
<file path=[Content_Types].xml><?xml version="1.0" encoding="utf-8"?>
<Types xmlns="http://schemas.openxmlformats.org/package/2006/content-types">
  <Default ContentType="application/vnd.ms-office.vbaProject" Extension="bin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spreadsheetml.worksheet+xml" PartName="/xl/worksheets/sheet14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sharedStrings+xml" PartName="/xl/sharedStrings.xml"/>
  <Override ContentType="application/vnd.openxmlformats-package.core-properties+xml" PartName="/docProps/core.xml"/>
  <Override ContentType="application/vnd.openxmlformats-officedocument.extended-properties+xml" PartName="/docProps/app.xml"/>
</Types>
</file>

<file path=_rels/.rels><?xml version="1.0" encoding="UTF-8" standalone="yes"?><Relationships xmlns="http://schemas.openxmlformats.org/package/2006/relationships"><Relationship Target="docProps/app.xml" Type="http://schemas.openxmlformats.org/officeDocument/2006/relationships/extended-properties" Id="rId3"/><Relationship Target="docProps/core.xml" Type="http://schemas.openxmlformats.org/package/2006/relationships/metadata/core-properties" Id="rId2"/><Relationship Target="xl/workbook.xml" Type="http://schemas.openxmlformats.org/officeDocument/2006/relationships/officeDocument" Id="rId1"/></Relationships>
</file>

<file path=xl/workbook.xml><?xml version="1.0" encoding="utf-8"?>
<workbook xmlns="http://schemas.openxmlformats.org/spreadsheetml/2006/main" xmlns:r="http://schemas.openxmlformats.org/officeDocument/2006/relationships">
  <fileVersion rupBuild="9303" lowestEdited="5" lastEdited="5" appName="xl"/>
  <workbookPr/>
  <bookViews>
    <workbookView xWindow="480" yWindow="60" windowWidth="18195" windowHeight="8505" activeTab="3"/>
  </bookViews>
  <sheets>
    <sheet r:id="rId1" sheetId="1" name="sample"/>
    <sheet r:id="rId2" sheetId="2" name="Sheet1"/>
    <sheet r:id="rId3" sheetId="3" name="Sector"/>
    <sheet r:id="rId4" sheetId="4" name="City"/>
    <sheet r:id="rId5" sheetId="5" name="2015"/>
    <sheet r:id="rId6" sheetId="6" name="2016"/>
    <sheet r:id="rId7" sheetId="7" name="2017"/>
    <sheet r:id="rId8" sheetId="8" name="2018"/>
    <sheet r:id="rId9" sheetId="9" name="2019"/>
    <sheet r:id="rId10" sheetId="10" name="2020"/>
    <sheet r:id="rId11" sheetId="11" name="2021"/>
    <sheet r:id="rId12" sheetId="12" name="2022"/>
    <sheet r:id="rId13" sheetId="13" name="2023"/>
    <sheet r:id="rId14" sheetId="14" name="2024"/>
  </sheets>
  <definedNames>
    <definedName name="_xleta.IFERROR">#NAME?</definedName>
  </definedNames>
  <calcPr fullCalcOnLoad="1"/>
</workbook>
</file>

<file path=xl/sharedStrings.xml><?xml version="1.0" encoding="utf-8"?>
<sst xmlns="http://schemas.openxmlformats.org/spreadsheetml/2006/main" count="4938" uniqueCount="174">
  <si>
    <t>TT</t>
  </si>
  <si>
    <t>Ngành</t>
  </si>
  <si>
    <t>Cấp mới</t>
  </si>
  <si>
    <t>Tăng vốn</t>
  </si>
  <si>
    <t>Góp vốn, mua cổ phần</t>
  </si>
  <si>
    <t>Tổng vốn đăng ký cấp mới, vốn tăng thêm và Vốn góp (triệu USD)</t>
  </si>
  <si>
    <t>Số dự án cấp mới</t>
  </si>
  <si>
    <t>Vốn đăng ký cấp mới (USD)</t>
  </si>
  <si>
    <t>Vốn đăng ký cấp mới (triệu USD)</t>
  </si>
  <si>
    <t>Số lượt dự án điều chỉnh</t>
  </si>
  <si>
    <t>Vốn đăng ký điều chỉnh (USD)</t>
  </si>
  <si>
    <t>Vốn đăng ký điều chỉnh
(triệu USD)</t>
  </si>
  <si>
    <t>Số lượt góp vốn mua cổ phần</t>
  </si>
  <si>
    <t>Giá trị góp vốn, mua cổ phần 
(triệu USD)</t>
  </si>
  <si>
    <t>Địa phương</t>
  </si>
  <si>
    <t>Công nghiệp chế biến, chế tạo</t>
  </si>
  <si>
    <t>#N/A</t>
  </si>
  <si>
    <t>Hà Nội</t>
  </si>
  <si>
    <t>Sản xuất, phân phối điện, khí, nước, điều hòa</t>
  </si>
  <si>
    <t>TP. Hồ Chí Minh</t>
  </si>
  <si>
    <t>Hoạt động kinh doanh bất động sản</t>
  </si>
  <si>
    <t>Bình Dương</t>
  </si>
  <si>
    <t>Xây dựng</t>
  </si>
  <si>
    <t>Đồng Nai</t>
  </si>
  <si>
    <t>Bán buôn và bán lẻ; sửa chữa ô tô, mô tô, xe máy</t>
  </si>
  <si>
    <t>Bắc Ninh</t>
  </si>
  <si>
    <t>Nông nghiêp, lâm nghiệp và thủy sản</t>
  </si>
  <si>
    <t>Hải Phòng</t>
  </si>
  <si>
    <t>Hoạt động chuyên môn, khoa học công nghệ</t>
  </si>
  <si>
    <t>Tây Ninh</t>
  </si>
  <si>
    <t>Vận tải kho bãi</t>
  </si>
  <si>
    <t>Bắc Giang</t>
  </si>
  <si>
    <t>Dịch vụ lưu trú và ăn uống</t>
  </si>
  <si>
    <t>Bà Rịa - Vũng Tàu</t>
  </si>
  <si>
    <t>Thông tin và truyền thông</t>
  </si>
  <si>
    <t>Hà Nam</t>
  </si>
  <si>
    <t>Hoạt động hành chính và dịch vụ hỗ trợ</t>
  </si>
  <si>
    <t>Long An</t>
  </si>
  <si>
    <t>Hoạt động dịch vụ khác</t>
  </si>
  <si>
    <t>Hải Dương</t>
  </si>
  <si>
    <t>Giáo dục và đào tạo</t>
  </si>
  <si>
    <t>Thái Nguyên</t>
  </si>
  <si>
    <t>Cấp nước và xử lý chất thải</t>
  </si>
  <si>
    <t>Vĩnh Phúc</t>
  </si>
  <si>
    <t>Y tế và hoạt động trợ giúp xã hội</t>
  </si>
  <si>
    <t>Đà Nẵng</t>
  </si>
  <si>
    <t>Khai khoáng</t>
  </si>
  <si>
    <t>Hưng Yên</t>
  </si>
  <si>
    <t>Nghệ thuật, vui chơi và giải trí</t>
  </si>
  <si>
    <t>Bình Phước</t>
  </si>
  <si>
    <t>Hoạt động tài chính, ngân hàng và bảo hiểm</t>
  </si>
  <si>
    <t>Tiền Giang</t>
  </si>
  <si>
    <t>Hoạt đông làm thuê các công việc trong các hộ gia đình</t>
  </si>
  <si>
    <t>Thanh Hóa</t>
  </si>
  <si>
    <t>Tổng số</t>
  </si>
  <si>
    <t>Phú Thọ</t>
  </si>
  <si>
    <t>Thừa Thiên Huế</t>
  </si>
  <si>
    <t>Nghệ An</t>
  </si>
  <si>
    <t>Quảng Ninh</t>
  </si>
  <si>
    <t>Phú Yên</t>
  </si>
  <si>
    <t>Khánh Hòa</t>
  </si>
  <si>
    <t>Quảng Nam</t>
  </si>
  <si>
    <t>Bình Thuận</t>
  </si>
  <si>
    <t>Vĩnh Long</t>
  </si>
  <si>
    <t>Ninh Bình</t>
  </si>
  <si>
    <t>Quảng Ngãi</t>
  </si>
  <si>
    <t>Ninh Thuận</t>
  </si>
  <si>
    <t>Bạc Liêu</t>
  </si>
  <si>
    <t>Sóc Trăng</t>
  </si>
  <si>
    <t>Trà Vinh</t>
  </si>
  <si>
    <t>Bình Định</t>
  </si>
  <si>
    <t>Cà Mau</t>
  </si>
  <si>
    <t>Hậu Giang</t>
  </si>
  <si>
    <t>Cần Thơ</t>
  </si>
  <si>
    <t>Thái Bình</t>
  </si>
  <si>
    <t>An Giang</t>
  </si>
  <si>
    <t>Nam Định</t>
  </si>
  <si>
    <t>Bến Tre</t>
  </si>
  <si>
    <t>Hà Tĩnh</t>
  </si>
  <si>
    <t>Lâm Đồng</t>
  </si>
  <si>
    <t>Kiên Giang</t>
  </si>
  <si>
    <t>Quảng Trị</t>
  </si>
  <si>
    <t>Tuyên Quang</t>
  </si>
  <si>
    <t>Đồng Tháp</t>
  </si>
  <si>
    <t>Yên Bái</t>
  </si>
  <si>
    <t>Kon Tum</t>
  </si>
  <si>
    <t>Bắc Kạn</t>
  </si>
  <si>
    <t>Đăk Lăk</t>
  </si>
  <si>
    <t>Lạng Sơn</t>
  </si>
  <si>
    <t>Điện Biên</t>
  </si>
  <si>
    <t>Lào Cai</t>
  </si>
  <si>
    <t>Quảng Bình</t>
  </si>
  <si>
    <t>Hà Giang</t>
  </si>
  <si>
    <t>Sơn La</t>
  </si>
  <si>
    <t>Đăk Nông</t>
  </si>
  <si>
    <t>Cao Bằng</t>
  </si>
  <si>
    <t>Lai Châu</t>
  </si>
  <si>
    <t>Hòa Bình</t>
  </si>
  <si>
    <t>Gia Lai</t>
  </si>
  <si>
    <t>Dầu khí</t>
  </si>
  <si>
    <t>Year</t>
  </si>
  <si>
    <t>RANGE</t>
  </si>
  <si>
    <t>ITEM</t>
  </si>
  <si>
    <t>ATTRIBUTE</t>
  </si>
  <si>
    <t xml:space="preserve">Ha Noi </t>
  </si>
  <si>
    <t xml:space="preserve">Ho Chi Minh </t>
  </si>
  <si>
    <t xml:space="preserve">Binh Duong </t>
  </si>
  <si>
    <t>#REF!</t>
  </si>
  <si>
    <t xml:space="preserve">Dong Nai </t>
  </si>
  <si>
    <t xml:space="preserve">Bac Ninh </t>
  </si>
  <si>
    <t xml:space="preserve">Hai Phong </t>
  </si>
  <si>
    <t xml:space="preserve">Tay Ninh </t>
  </si>
  <si>
    <t xml:space="preserve">Bac Giang </t>
  </si>
  <si>
    <t xml:space="preserve">Ba Ria - Vung Tau </t>
  </si>
  <si>
    <t xml:space="preserve">Ha Nam </t>
  </si>
  <si>
    <t xml:space="preserve">Long An </t>
  </si>
  <si>
    <t xml:space="preserve">Hai Duong </t>
  </si>
  <si>
    <t xml:space="preserve">Thai Nguyen </t>
  </si>
  <si>
    <t xml:space="preserve">Vinh Phuc </t>
  </si>
  <si>
    <t xml:space="preserve">Da Nang </t>
  </si>
  <si>
    <t xml:space="preserve">Hung Yen </t>
  </si>
  <si>
    <t xml:space="preserve">Binh Phuoc </t>
  </si>
  <si>
    <t xml:space="preserve">Tien Giang </t>
  </si>
  <si>
    <t xml:space="preserve">Thanh Hoa </t>
  </si>
  <si>
    <t xml:space="preserve">Phu Tho </t>
  </si>
  <si>
    <t xml:space="preserve">Thua Thien Hue </t>
  </si>
  <si>
    <t xml:space="preserve">Nghe An </t>
  </si>
  <si>
    <t xml:space="preserve">Quang Ninh </t>
  </si>
  <si>
    <t xml:space="preserve">Phu Yen </t>
  </si>
  <si>
    <t xml:space="preserve">Khanh Hoa </t>
  </si>
  <si>
    <t xml:space="preserve">Quang Nam </t>
  </si>
  <si>
    <t xml:space="preserve">Binh Thuan </t>
  </si>
  <si>
    <t xml:space="preserve">Vinh Long </t>
  </si>
  <si>
    <t xml:space="preserve">Ninh Binh </t>
  </si>
  <si>
    <t xml:space="preserve">Quang Ngai </t>
  </si>
  <si>
    <t xml:space="preserve">Ninh Thuan </t>
  </si>
  <si>
    <t xml:space="preserve">Bac Lieu </t>
  </si>
  <si>
    <t xml:space="preserve">Soc Trang </t>
  </si>
  <si>
    <t xml:space="preserve">Tra Vinh </t>
  </si>
  <si>
    <t xml:space="preserve">Binh Dinh </t>
  </si>
  <si>
    <t xml:space="preserve">Ca Mau </t>
  </si>
  <si>
    <t xml:space="preserve">Hau Giang </t>
  </si>
  <si>
    <t xml:space="preserve">Can Tho </t>
  </si>
  <si>
    <t xml:space="preserve">Thai Binh </t>
  </si>
  <si>
    <t xml:space="preserve">An Giang </t>
  </si>
  <si>
    <t xml:space="preserve">Nam Dinh </t>
  </si>
  <si>
    <t xml:space="preserve">Ben Tre </t>
  </si>
  <si>
    <t xml:space="preserve">Ha Tinh </t>
  </si>
  <si>
    <t xml:space="preserve">Lam Dong </t>
  </si>
  <si>
    <t xml:space="preserve">Kien Giang </t>
  </si>
  <si>
    <t xml:space="preserve">Quang Tri </t>
  </si>
  <si>
    <t xml:space="preserve">Tuyen Quang </t>
  </si>
  <si>
    <t xml:space="preserve">Dong Thap </t>
  </si>
  <si>
    <t xml:space="preserve">Yen Bai </t>
  </si>
  <si>
    <t xml:space="preserve">Kon Tum </t>
  </si>
  <si>
    <t xml:space="preserve">Bac Kan </t>
  </si>
  <si>
    <t xml:space="preserve">Dak Lak </t>
  </si>
  <si>
    <t xml:space="preserve">Lang Son </t>
  </si>
  <si>
    <t xml:space="preserve">Dien Bien </t>
  </si>
  <si>
    <t xml:space="preserve">Lao Cai </t>
  </si>
  <si>
    <t xml:space="preserve">Quang Binh </t>
  </si>
  <si>
    <t xml:space="preserve">Ha Giang </t>
  </si>
  <si>
    <t xml:space="preserve">Son La </t>
  </si>
  <si>
    <t xml:space="preserve">Dak Nong </t>
  </si>
  <si>
    <t xml:space="preserve">Cao Bang </t>
  </si>
  <si>
    <t xml:space="preserve">Lai Chau </t>
  </si>
  <si>
    <t xml:space="preserve">Hoa Binh </t>
  </si>
  <si>
    <t xml:space="preserve">Gia Lai </t>
  </si>
  <si>
    <t>STT</t>
  </si>
  <si>
    <t>Sector</t>
  </si>
  <si>
    <t>OUTPUT</t>
  </si>
  <si>
    <t>INSTRUCTION:</t>
  </si>
  <si>
    <t>Data we only care</t>
  </si>
  <si>
    <t>Core Formula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</si>
</sst>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 mc:Ignorable="x14ac">
  <numFmts count="0"/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Aptos Narrow"/>
      <family val="2"/>
    </font>
    <font>
      <i/>
      <sz val="11"/>
      <color rgb="FF000000"/>
      <name val="Arial"/>
      <family val="2"/>
    </font>
    <font>
      <b/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c1e5f5"/>
      </patternFill>
    </fill>
    <fill>
      <patternFill patternType="solid">
        <fgColor rgb="FFfbe3d6"/>
      </patternFill>
    </fill>
    <fill>
      <patternFill patternType="solid">
        <fgColor rgb="FFcaeefb"/>
      </patternFill>
    </fill>
  </fills>
  <borders count="3">
    <border>
      <left/>
      <right/>
      <top/>
      <bottom/>
      <diagonal/>
    </border>
    <border>
      <left/>
      <right/>
      <top/>
      <bottom/>
      <diagonal/>
    </border>
    <border>
      <left style="thin">
        <color rgb="FFc6c6c6"/>
      </left>
      <right style="thin">
        <color rgb="FFc6c6c6"/>
      </right>
      <top style="thin">
        <color rgb="FFc6c6c6"/>
      </top>
      <bottom style="thin">
        <color rgb="FFc6c6c6"/>
      </bottom>
      <diagonal/>
    </border>
  </borders>
  <cellStyleXfs count="1">
    <xf numFmtId="0" fontId="0" fillId="0" borderId="0"/>
  </cellStyleXfs>
  <cellXfs count="39">
    <xf xfId="0" numFmtId="0" borderId="0" fontId="0" fillId="0"/>
    <xf xfId="0" numFmtId="3" applyNumberFormat="1" borderId="1" applyBorder="1" fontId="1" applyFont="1" fillId="0" applyAlignment="1">
      <alignment horizontal="left"/>
    </xf>
    <xf xfId="0" numFmtId="0" borderId="0" fontId="0" fillId="0" applyAlignment="1">
      <alignment horizontal="general"/>
    </xf>
    <xf xfId="0" numFmtId="3" applyNumberFormat="1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3" applyNumberFormat="1" borderId="1" applyBorder="1" fontId="1" applyFont="1" fillId="0" applyAlignment="1">
      <alignment horizontal="right"/>
    </xf>
    <xf xfId="0" numFmtId="3" applyNumberFormat="1" borderId="0" fontId="0" fillId="0" applyAlignment="1">
      <alignment horizontal="right"/>
    </xf>
    <xf xfId="0" numFmtId="4" applyNumberFormat="1" borderId="0" fontId="0" fillId="0" applyAlignment="1">
      <alignment horizontal="right"/>
    </xf>
    <xf xfId="0" numFmtId="4" applyNumberFormat="1" borderId="1" applyBorder="1" fontId="1" applyFont="1" fillId="0" applyAlignment="1">
      <alignment horizontal="right"/>
    </xf>
    <xf xfId="0" numFmtId="4" applyNumberFormat="1" borderId="1" applyBorder="1" fontId="1" applyFont="1" fillId="0" applyAlignment="1">
      <alignment horizontal="left"/>
    </xf>
    <xf xfId="0" numFmtId="3" applyNumberFormat="1" borderId="1" applyBorder="1" fontId="2" applyFont="1" fillId="0" applyAlignment="1">
      <alignment horizontal="right"/>
    </xf>
    <xf xfId="0" numFmtId="4" applyNumberFormat="1" borderId="1" applyBorder="1" fontId="2" applyFont="1" fillId="0" applyAlignment="1">
      <alignment horizontal="right"/>
    </xf>
    <xf xfId="0" numFmtId="3" applyNumberFormat="1" borderId="0" fontId="0" fillId="0" applyAlignment="1">
      <alignment horizontal="general"/>
    </xf>
    <xf xfId="0" numFmtId="0" borderId="0" fontId="0" fillId="0" applyAlignment="1">
      <alignment horizontal="general"/>
    </xf>
    <xf xfId="0" numFmtId="4" applyNumberFormat="1" borderId="0" fontId="0" fillId="0" applyAlignment="1">
      <alignment horizontal="general"/>
    </xf>
    <xf xfId="0" numFmtId="3" applyNumberFormat="1" borderId="0" fontId="0" fillId="0" applyAlignment="1">
      <alignment horizontal="right"/>
    </xf>
    <xf xfId="0" numFmtId="4" applyNumberFormat="1" borderId="0" fontId="0" fillId="0" applyAlignment="1">
      <alignment horizontal="right"/>
    </xf>
    <xf xfId="0" numFmtId="3" applyNumberFormat="1" borderId="2" applyBorder="1" fontId="3" applyFont="1" fillId="2" applyFill="1" applyAlignment="1">
      <alignment horizontal="left"/>
    </xf>
    <xf xfId="0" numFmtId="3" applyNumberFormat="1" borderId="1" applyBorder="1" fontId="3" applyFont="1" fillId="0" applyAlignment="1">
      <alignment horizontal="left"/>
    </xf>
    <xf xfId="0" numFmtId="0" borderId="0" fontId="0" fillId="0" applyAlignment="1">
      <alignment horizontal="left"/>
    </xf>
    <xf xfId="0" numFmtId="0" borderId="1" applyBorder="1" fontId="3" applyFont="1" fillId="0" applyAlignment="1">
      <alignment horizontal="left"/>
    </xf>
    <xf xfId="0" numFmtId="4" applyNumberFormat="1" borderId="2" applyBorder="1" fontId="3" applyFont="1" fillId="2" applyFill="1" applyAlignment="1">
      <alignment horizontal="left"/>
    </xf>
    <xf xfId="0" numFmtId="0" borderId="2" applyBorder="1" fontId="3" applyFont="1" fillId="3" applyFill="1" applyAlignment="1">
      <alignment horizontal="left"/>
    </xf>
    <xf xfId="0" numFmtId="3" applyNumberFormat="1" borderId="2" applyBorder="1" fontId="2" applyFont="1" fillId="2" applyFill="1" applyAlignment="1">
      <alignment horizontal="right"/>
    </xf>
    <xf xfId="0" numFmtId="4" applyNumberFormat="1" borderId="2" applyBorder="1" fontId="2" applyFont="1" fillId="2" applyFill="1" applyAlignment="1">
      <alignment horizontal="right"/>
    </xf>
    <xf xfId="0" numFmtId="4" applyNumberFormat="1" borderId="2" applyBorder="1" fontId="2" applyFont="1" fillId="2" applyFill="1" applyAlignment="1">
      <alignment horizontal="left"/>
    </xf>
    <xf xfId="0" numFmtId="0" borderId="2" applyBorder="1" fontId="2" applyFont="1" fillId="3" applyFill="1" applyAlignment="1">
      <alignment horizontal="left"/>
    </xf>
    <xf xfId="0" numFmtId="3" applyNumberFormat="1" borderId="1" applyBorder="1" fontId="4" applyFont="1" fillId="0" applyAlignment="1">
      <alignment horizontal="right"/>
    </xf>
    <xf xfId="0" numFmtId="3" applyNumberFormat="1" borderId="1" applyBorder="1" fontId="5" applyFont="1" fillId="0" applyAlignment="1">
      <alignment horizontal="right"/>
    </xf>
    <xf xfId="0" numFmtId="0" borderId="2" applyBorder="1" fontId="2" applyFont="1" fillId="3" applyFill="1" applyAlignment="1">
      <alignment horizontal="left"/>
    </xf>
    <xf xfId="0" numFmtId="3" applyNumberFormat="1" borderId="2" applyBorder="1" fontId="2" applyFont="1" fillId="2" applyFill="1" applyAlignment="1">
      <alignment horizontal="left"/>
    </xf>
    <xf xfId="0" numFmtId="0" borderId="0" fontId="0" fillId="0" applyAlignment="1">
      <alignment horizontal="left"/>
    </xf>
    <xf xfId="0" numFmtId="3" applyNumberFormat="1" borderId="2" applyBorder="1" fontId="3" applyFont="1" fillId="4" applyFill="1" applyAlignment="1">
      <alignment horizontal="left"/>
    </xf>
    <xf xfId="0" numFmtId="4" applyNumberFormat="1" borderId="2" applyBorder="1" fontId="3" applyFont="1" fillId="4" applyFill="1" applyAlignment="1">
      <alignment horizontal="left"/>
    </xf>
    <xf xfId="0" numFmtId="3" applyNumberFormat="1" borderId="2" applyBorder="1" fontId="2" applyFont="1" fillId="4" applyFill="1" applyAlignment="1">
      <alignment horizontal="right"/>
    </xf>
    <xf xfId="0" numFmtId="4" applyNumberFormat="1" borderId="2" applyBorder="1" fontId="2" applyFont="1" fillId="4" applyFill="1" applyAlignment="1">
      <alignment horizontal="right"/>
    </xf>
    <xf xfId="0" numFmtId="3" applyNumberFormat="1" borderId="2" applyBorder="1" fontId="2" applyFont="1" fillId="4" applyFill="1" applyAlignment="1">
      <alignment horizontal="left"/>
    </xf>
    <xf xfId="0" numFmtId="4" applyNumberFormat="1" borderId="2" applyBorder="1" fontId="2" applyFont="1" fillId="4" applyFill="1" applyAlignment="1">
      <alignment horizontal="left"/>
    </xf>
    <xf xfId="0" numFmtId="0" borderId="2" applyBorder="1" fontId="2" applyFont="1" fillId="2" applyFill="1" applyAlignment="1">
      <alignment horizontal="left"/>
    </xf>
  </cellXfs>
  <cellStyles count="1">
    <cellStyle xfId="0" builtinId="0" name="Normal"/>
  </cellStyles>
  <dxfs count="0"/>
  <tableStyles count="0" defaultTableStyle="TableStyleMedium9" defaultPivotStyle="PivotStyleLight16"/>
  <extLst>
    <ext uri="{EB79DEF2-80B8-43e5-95BD-54CBDDF9020C}">
      <x14ac:slicerStyles xmlns:x14="http://schemas.microsoft.com/office/spreadsheetml/2009/9/main" defaultSlicerStyle="SlicerStyleLight1"/>
    </ext>
  </extLst>
</styleSheet>
</file>

<file path=xl/_rels/workbook.xml.rels><?xml version="1.0" encoding="UTF-8" standalone="yes"?><Relationships xmlns="http://schemas.openxmlformats.org/package/2006/relationships"><Relationship Target="worksheets/sheet1.xml" Type="http://schemas.openxmlformats.org/officeDocument/2006/relationships/worksheet" Id="rId1"/><Relationship Target="worksheets/sheet2.xml" Type="http://schemas.openxmlformats.org/officeDocument/2006/relationships/worksheet" Id="rId2"/><Relationship Target="worksheets/sheet3.xml" Type="http://schemas.openxmlformats.org/officeDocument/2006/relationships/worksheet" Id="rId3"/><Relationship Target="worksheets/sheet4.xml" Type="http://schemas.openxmlformats.org/officeDocument/2006/relationships/worksheet" Id="rId4"/><Relationship Target="worksheets/sheet5.xml" Type="http://schemas.openxmlformats.org/officeDocument/2006/relationships/worksheet" Id="rId5"/><Relationship Target="worksheets/sheet6.xml" Type="http://schemas.openxmlformats.org/officeDocument/2006/relationships/worksheet" Id="rId6"/><Relationship Target="worksheets/sheet7.xml" Type="http://schemas.openxmlformats.org/officeDocument/2006/relationships/worksheet" Id="rId7"/><Relationship Target="worksheets/sheet8.xml" Type="http://schemas.openxmlformats.org/officeDocument/2006/relationships/worksheet" Id="rId8"/><Relationship Target="worksheets/sheet9.xml" Type="http://schemas.openxmlformats.org/officeDocument/2006/relationships/worksheet" Id="rId9"/><Relationship Target="worksheets/sheet10.xml" Type="http://schemas.openxmlformats.org/officeDocument/2006/relationships/worksheet" Id="rId10"/><Relationship Target="worksheets/sheet11.xml" Type="http://schemas.openxmlformats.org/officeDocument/2006/relationships/worksheet" Id="rId11"/><Relationship Target="worksheets/sheet12.xml" Type="http://schemas.openxmlformats.org/officeDocument/2006/relationships/worksheet" Id="rId12"/><Relationship Target="worksheets/sheet13.xml" Type="http://schemas.openxmlformats.org/officeDocument/2006/relationships/worksheet" Id="rId13"/><Relationship Target="worksheets/sheet14.xml" Type="http://schemas.openxmlformats.org/officeDocument/2006/relationships/worksheet" Id="rId14"/><Relationship Target="sharedStrings.xml" Type="http://schemas.openxmlformats.org/officeDocument/2006/relationships/sharedStrings" Id="rId15"/><Relationship Target="styles.xml" Type="http://schemas.openxmlformats.org/officeDocument/2006/relationships/styles" Id="rId16"/><Relationship Target="theme/theme1.xml" Type="http://schemas.openxmlformats.org/officeDocument/2006/relationships/theme" Id="rId17"/><Relationship Target="vbaProject.bin" Type="http://schemas.microsoft.com/office/2006/relationships/vbaProject" Id="rId18"/></Relationships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Times New Roman" script="Arab"/>
        <a:font typeface="Times New Roman" script="Hebr"/>
        <a:font typeface="Tahoma" script="Thai"/>
        <a:font typeface="Nyala" script="Ethi"/>
        <a:font typeface="Vrinda" script="Beng"/>
        <a:font typeface="Shruti" script="Gujr"/>
        <a:font typeface="MoolBoran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Times New Roman" script="Viet"/>
        <a:font typeface="Microsoft Uighur" script="Uigh"/>
        <a:font typeface="Sylfaen" script="Geor"/>
      </a:majorFont>
      <a:minorFont>
        <a:latin typeface="Calibri"/>
        <a:ea typeface=""/>
        <a:cs typeface=""/>
        <a:font typeface="ＭＳ Ｐゴシック" script="Jpan"/>
        <a:font typeface="맑은 고딕" script="Hang"/>
        <a:font typeface="宋体" script="Hans"/>
        <a:font typeface="新細明體" script="Hant"/>
        <a:font typeface="Arial" script="Arab"/>
        <a:font typeface="Arial" script="Hebr"/>
        <a:font typeface="Tahoma" script="Thai"/>
        <a:font typeface="Nyala" script="Ethi"/>
        <a:font typeface="Vrinda" script="Beng"/>
        <a:font typeface="Shruti" script="Gujr"/>
        <a:font typeface="DaunPenh" script="Khmr"/>
        <a:font typeface="Tunga" script="Knda"/>
        <a:font typeface="Raavi" script="Guru"/>
        <a:font typeface="Euphemia" script="Cans"/>
        <a:font typeface="Plantagenet Cherokee" script="Cher"/>
        <a:font typeface="Microsoft Yi Baiti" script="Yiii"/>
        <a:font typeface="Microsoft Himalaya" script="Tibt"/>
        <a:font typeface="MV Boli" script="Thaa"/>
        <a:font typeface="Mangal" script="Deva"/>
        <a:font typeface="Gautami" script="Telu"/>
        <a:font typeface="Latha" script="Taml"/>
        <a:font typeface="Estrangelo Edessa" script="Syrc"/>
        <a:font typeface="Kalinga" script="Orya"/>
        <a:font typeface="Kartika" script="Mlym"/>
        <a:font typeface="DokChampa" script="Laoo"/>
        <a:font typeface="Iskoola Pota" script="Sinh"/>
        <a:font typeface="Mongolian Baiti" script="Mong"/>
        <a:font typeface="Arial" script="Viet"/>
        <a:font typeface="Microsoft Uighur" script="Uigh"/>
        <a:font typeface="Sylfaen" script="Geo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satMod val="350000"/>
              </a:schemeClr>
            </a:gs>
          </a:gsLst>
          <a:lin scaled="1" ang="16200000"/>
        </a:gradFill>
        <a:gradFill rotWithShape="1">
          <a:gsLst>
            <a:gs pos="0">
              <a:schemeClr val="phClr">
                <a:tint val="51000"/>
                <a:satMod val="130000"/>
              </a:schemeClr>
            </a:gs>
            <a:gs pos="80000">
              <a:schemeClr val="phClr">
                <a:tint val="15000"/>
                <a:satMod val="130000"/>
              </a:schemeClr>
            </a:gs>
            <a:gs pos="100000">
              <a:schemeClr val="phClr">
                <a:tint val="94000"/>
                <a:satMod val="135000"/>
              </a:schemeClr>
            </a:gs>
          </a:gsLst>
          <a:lin scaled="1" ang="16200000"/>
        </a:gradFill>
      </a:fillStyleLst>
      <a:lnStyleLst>
        <a:ln algn="ctr" cmpd="sng" cap="flat" w="9525">
          <a:solidFill>
            <a:schemeClr val="phClr">
              <a:shade val="9500"/>
              <a:satMod val="105000"/>
            </a:schemeClr>
          </a:solidFill>
          <a:prstDash val="solid"/>
        </a:ln>
        <a:ln algn="ctr" cmpd="sng" cap="flat" w="25400">
          <a:solidFill>
            <a:schemeClr val="phClr"/>
          </a:solidFill>
          <a:prstDash val="solid"/>
        </a:ln>
        <a:ln algn="ctr" cmpd="sng" cap="flat" w="38100">
          <a:solidFill>
            <a:schemeClr val="phClr"/>
          </a:solidFill>
          <a:prstDash val="solid"/>
        </a:ln>
      </a:lnStyleLst>
      <a:effectStyleLst>
        <a:effectStyle>
          <a:effectLst>
            <a:outerShdw dir="5400000" rotWithShape="0" dist="23000" blurRad="40000">
              <a:srgbClr val="000000">
                <a:alpha val="38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</a:effectStyle>
        <a:effectStyle>
          <a:effectLst>
            <a:outerShdw dir="5400000" rotWithShape="0" dist="23000" blurRad="40000">
              <a:srgbClr val="000000">
                <a:alpha val="35000"/>
              </a:srgbClr>
            </a:outerShdw>
          </a:effectLst>
          <a:scene3d>
            <a:camera prst="orthographicFront">
              <a:rot rev="0" lon="0" lat="0"/>
            </a:camera>
            <a:lightRig dir="t" rig="threePt">
              <a:rot rev="1200000" lon="0" lat="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tint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satMod val="300000"/>
              </a:schemeClr>
            </a:gs>
            <a:gs pos="100000">
              <a:schemeClr val="phClr">
                <a:tint val="8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J121"/>
  <sheetViews>
    <sheetView workbookViewId="0"/>
  </sheetViews>
  <sheetFormatPr defaultRowHeight="15" x14ac:dyDescent="0.25"/>
  <cols>
    <col min="1" max="1" style="13" width="10.719285714285713" customWidth="1" bestFit="1"/>
    <col min="2" max="2" style="13" width="15.576428571428572" customWidth="1" bestFit="1"/>
    <col min="3" max="3" style="13" width="12.576428571428572" customWidth="1" bestFit="1"/>
    <col min="4" max="4" style="13" width="12.576428571428572" customWidth="1" bestFit="1"/>
    <col min="5" max="5" style="13" width="12.576428571428572" customWidth="1" bestFit="1"/>
    <col min="6" max="6" style="13" width="12.576428571428572" customWidth="1" bestFit="1"/>
    <col min="7" max="7" style="15" width="3.005" customWidth="1" bestFit="1"/>
    <col min="8" max="8" style="13" width="14.719285714285713" customWidth="1" bestFit="1"/>
    <col min="9" max="9" style="12" width="4.005" customWidth="1" bestFit="1"/>
    <col min="10" max="10" style="12" width="14.719285714285713" customWidth="1" bestFit="1"/>
  </cols>
  <sheetData>
    <row x14ac:dyDescent="0.25" r="1" customHeight="1" ht="17.25">
      <c r="A1" s="20" t="s">
        <v>171</v>
      </c>
      <c r="B1" s="2"/>
      <c r="C1" s="2"/>
      <c r="D1" s="2"/>
      <c r="E1" s="2"/>
      <c r="F1" s="2"/>
      <c r="G1" s="10">
        <v>1</v>
      </c>
      <c r="H1" s="2" t="s">
        <v>17</v>
      </c>
      <c r="I1" s="10">
        <v>1</v>
      </c>
      <c r="J1" s="1" t="s">
        <v>17</v>
      </c>
    </row>
    <row x14ac:dyDescent="0.25" r="2" customHeight="1" ht="17.25">
      <c r="A2" s="38"/>
      <c r="B2" s="20" t="s">
        <v>172</v>
      </c>
      <c r="C2" s="2"/>
      <c r="D2" s="2"/>
      <c r="E2" s="2"/>
      <c r="F2" s="2"/>
      <c r="G2" s="10">
        <v>2</v>
      </c>
      <c r="H2" s="2" t="s">
        <v>19</v>
      </c>
      <c r="I2" s="10">
        <v>2</v>
      </c>
      <c r="J2" s="1" t="s">
        <v>19</v>
      </c>
    </row>
    <row x14ac:dyDescent="0.25" r="3" customHeight="1" ht="17.25">
      <c r="A3" s="29"/>
      <c r="B3" s="20" t="s">
        <v>173</v>
      </c>
      <c r="C3" s="2"/>
      <c r="D3" s="2"/>
      <c r="E3" s="2"/>
      <c r="F3" s="2"/>
      <c r="G3" s="10">
        <v>3</v>
      </c>
      <c r="H3" s="2" t="s">
        <v>21</v>
      </c>
      <c r="I3" s="10">
        <v>3</v>
      </c>
      <c r="J3" s="1" t="s">
        <v>21</v>
      </c>
    </row>
    <row x14ac:dyDescent="0.25" r="4" customHeight="1" ht="17.25">
      <c r="A4" s="2"/>
      <c r="B4" s="2"/>
      <c r="C4" s="2"/>
      <c r="D4" s="2"/>
      <c r="E4" s="2"/>
      <c r="F4" s="2"/>
      <c r="G4" s="10">
        <v>4</v>
      </c>
      <c r="H4" s="2" t="s">
        <v>23</v>
      </c>
      <c r="I4" s="10">
        <v>4</v>
      </c>
      <c r="J4" s="1" t="s">
        <v>23</v>
      </c>
    </row>
    <row x14ac:dyDescent="0.25" r="5" customHeight="1" ht="17.25">
      <c r="A5" s="2"/>
      <c r="B5" s="2"/>
      <c r="C5" s="2"/>
      <c r="D5" s="2"/>
      <c r="E5" s="2"/>
      <c r="F5" s="2"/>
      <c r="G5" s="10">
        <v>5</v>
      </c>
      <c r="H5" s="2" t="s">
        <v>25</v>
      </c>
      <c r="I5" s="10">
        <v>5</v>
      </c>
      <c r="J5" s="1" t="s">
        <v>25</v>
      </c>
    </row>
    <row x14ac:dyDescent="0.25" r="6" customHeight="1" ht="17.25">
      <c r="A6" s="2"/>
      <c r="B6" s="2"/>
      <c r="C6" s="2"/>
      <c r="D6" s="2"/>
      <c r="E6" s="2"/>
      <c r="F6" s="2"/>
      <c r="G6" s="10">
        <v>6</v>
      </c>
      <c r="H6" s="2" t="s">
        <v>27</v>
      </c>
      <c r="I6" s="10">
        <v>6</v>
      </c>
      <c r="J6" s="1" t="s">
        <v>27</v>
      </c>
    </row>
    <row x14ac:dyDescent="0.25" r="7" customHeight="1" ht="17.25">
      <c r="A7" s="2"/>
      <c r="B7" s="2"/>
      <c r="C7" s="2"/>
      <c r="D7" s="2"/>
      <c r="E7" s="2"/>
      <c r="F7" s="2"/>
      <c r="G7" s="10">
        <v>7</v>
      </c>
      <c r="H7" s="2" t="s">
        <v>29</v>
      </c>
      <c r="I7" s="10">
        <v>7</v>
      </c>
      <c r="J7" s="1" t="s">
        <v>29</v>
      </c>
    </row>
    <row x14ac:dyDescent="0.25" r="8" customHeight="1" ht="17.25">
      <c r="A8" s="2"/>
      <c r="B8" s="2"/>
      <c r="C8" s="2"/>
      <c r="D8" s="2"/>
      <c r="E8" s="2"/>
      <c r="F8" s="2"/>
      <c r="G8" s="10">
        <v>8</v>
      </c>
      <c r="H8" s="2" t="s">
        <v>31</v>
      </c>
      <c r="I8" s="10">
        <v>8</v>
      </c>
      <c r="J8" s="1" t="s">
        <v>31</v>
      </c>
    </row>
    <row x14ac:dyDescent="0.25" r="9" customHeight="1" ht="17.25">
      <c r="A9" s="2"/>
      <c r="B9" s="2"/>
      <c r="C9" s="2"/>
      <c r="D9" s="2"/>
      <c r="E9" s="2"/>
      <c r="F9" s="2"/>
      <c r="G9" s="10">
        <v>9</v>
      </c>
      <c r="H9" s="2" t="s">
        <v>33</v>
      </c>
      <c r="I9" s="10">
        <v>9</v>
      </c>
      <c r="J9" s="1" t="s">
        <v>33</v>
      </c>
    </row>
    <row x14ac:dyDescent="0.25" r="10" customHeight="1" ht="17.25">
      <c r="A10" s="2"/>
      <c r="B10" s="2"/>
      <c r="C10" s="2"/>
      <c r="D10" s="2"/>
      <c r="E10" s="2"/>
      <c r="F10" s="2"/>
      <c r="G10" s="10">
        <v>10</v>
      </c>
      <c r="H10" s="2" t="s">
        <v>35</v>
      </c>
      <c r="I10" s="10">
        <v>10</v>
      </c>
      <c r="J10" s="1" t="s">
        <v>35</v>
      </c>
    </row>
    <row x14ac:dyDescent="0.25" r="11" customHeight="1" ht="17.25">
      <c r="A11" s="2"/>
      <c r="B11" s="2"/>
      <c r="C11" s="2"/>
      <c r="D11" s="2"/>
      <c r="E11" s="2"/>
      <c r="F11" s="2"/>
      <c r="G11" s="10">
        <v>11</v>
      </c>
      <c r="H11" s="2" t="s">
        <v>37</v>
      </c>
      <c r="I11" s="10">
        <v>11</v>
      </c>
      <c r="J11" s="1" t="s">
        <v>37</v>
      </c>
    </row>
    <row x14ac:dyDescent="0.25" r="12" customHeight="1" ht="17.25">
      <c r="A12" s="2"/>
      <c r="B12" s="2"/>
      <c r="C12" s="2"/>
      <c r="D12" s="2"/>
      <c r="E12" s="2"/>
      <c r="F12" s="2"/>
      <c r="G12" s="10">
        <v>12</v>
      </c>
      <c r="H12" s="2" t="s">
        <v>39</v>
      </c>
      <c r="I12" s="10">
        <v>12</v>
      </c>
      <c r="J12" s="1" t="s">
        <v>39</v>
      </c>
    </row>
    <row x14ac:dyDescent="0.25" r="13" customHeight="1" ht="17.25">
      <c r="A13" s="2"/>
      <c r="B13" s="2"/>
      <c r="C13" s="2"/>
      <c r="D13" s="2"/>
      <c r="E13" s="2"/>
      <c r="F13" s="2"/>
      <c r="G13" s="10">
        <v>13</v>
      </c>
      <c r="H13" s="2" t="s">
        <v>41</v>
      </c>
      <c r="I13" s="10">
        <v>13</v>
      </c>
      <c r="J13" s="1" t="s">
        <v>41</v>
      </c>
    </row>
    <row x14ac:dyDescent="0.25" r="14" customHeight="1" ht="17.25">
      <c r="A14" s="2"/>
      <c r="B14" s="2"/>
      <c r="C14" s="2"/>
      <c r="D14" s="2"/>
      <c r="E14" s="2"/>
      <c r="F14" s="2"/>
      <c r="G14" s="10">
        <v>14</v>
      </c>
      <c r="H14" s="2" t="s">
        <v>43</v>
      </c>
      <c r="I14" s="10">
        <v>14</v>
      </c>
      <c r="J14" s="1" t="s">
        <v>43</v>
      </c>
    </row>
    <row x14ac:dyDescent="0.25" r="15" customHeight="1" ht="17.25">
      <c r="A15" s="2"/>
      <c r="B15" s="2"/>
      <c r="C15" s="2"/>
      <c r="D15" s="2"/>
      <c r="E15" s="2"/>
      <c r="F15" s="2"/>
      <c r="G15" s="10">
        <v>15</v>
      </c>
      <c r="H15" s="2" t="s">
        <v>45</v>
      </c>
      <c r="I15" s="10">
        <v>15</v>
      </c>
      <c r="J15" s="1" t="s">
        <v>45</v>
      </c>
    </row>
    <row x14ac:dyDescent="0.25" r="16" customHeight="1" ht="17.25">
      <c r="A16" s="2"/>
      <c r="B16" s="2"/>
      <c r="C16" s="2"/>
      <c r="D16" s="2"/>
      <c r="E16" s="2"/>
      <c r="F16" s="2"/>
      <c r="G16" s="10">
        <v>16</v>
      </c>
      <c r="H16" s="2" t="s">
        <v>47</v>
      </c>
      <c r="I16" s="10">
        <v>16</v>
      </c>
      <c r="J16" s="1" t="s">
        <v>47</v>
      </c>
    </row>
    <row x14ac:dyDescent="0.25" r="17" customHeight="1" ht="17.25">
      <c r="A17" s="2"/>
      <c r="B17" s="2"/>
      <c r="C17" s="2"/>
      <c r="D17" s="2"/>
      <c r="E17" s="2"/>
      <c r="F17" s="2"/>
      <c r="G17" s="10">
        <v>17</v>
      </c>
      <c r="H17" s="2" t="s">
        <v>49</v>
      </c>
      <c r="I17" s="10">
        <v>17</v>
      </c>
      <c r="J17" s="1" t="s">
        <v>49</v>
      </c>
    </row>
    <row x14ac:dyDescent="0.25" r="18" customHeight="1" ht="17.25">
      <c r="A18" s="2"/>
      <c r="B18" s="2"/>
      <c r="C18" s="2"/>
      <c r="D18" s="2"/>
      <c r="E18" s="2"/>
      <c r="F18" s="2"/>
      <c r="G18" s="10">
        <v>18</v>
      </c>
      <c r="H18" s="2" t="s">
        <v>51</v>
      </c>
      <c r="I18" s="10">
        <v>18</v>
      </c>
      <c r="J18" s="1" t="s">
        <v>51</v>
      </c>
    </row>
    <row x14ac:dyDescent="0.25" r="19" customHeight="1" ht="17.25">
      <c r="A19" s="2"/>
      <c r="B19" s="2"/>
      <c r="C19" s="2"/>
      <c r="D19" s="2"/>
      <c r="E19" s="2"/>
      <c r="F19" s="2"/>
      <c r="G19" s="10">
        <v>19</v>
      </c>
      <c r="H19" s="2" t="s">
        <v>53</v>
      </c>
      <c r="I19" s="10">
        <v>19</v>
      </c>
      <c r="J19" s="1" t="s">
        <v>53</v>
      </c>
    </row>
    <row x14ac:dyDescent="0.25" r="20" customHeight="1" ht="17.25">
      <c r="A20" s="2"/>
      <c r="B20" s="2"/>
      <c r="C20" s="2"/>
      <c r="D20" s="2"/>
      <c r="E20" s="2"/>
      <c r="F20" s="2"/>
      <c r="G20" s="10">
        <v>20</v>
      </c>
      <c r="H20" s="2" t="s">
        <v>55</v>
      </c>
      <c r="I20" s="10">
        <v>20</v>
      </c>
      <c r="J20" s="1" t="s">
        <v>55</v>
      </c>
    </row>
    <row x14ac:dyDescent="0.25" r="21" customHeight="1" ht="17.25">
      <c r="A21" s="2"/>
      <c r="B21" s="2"/>
      <c r="C21" s="2"/>
      <c r="D21" s="2"/>
      <c r="E21" s="2"/>
      <c r="F21" s="2"/>
      <c r="G21" s="10">
        <v>21</v>
      </c>
      <c r="H21" s="2" t="s">
        <v>56</v>
      </c>
      <c r="I21" s="10">
        <v>21</v>
      </c>
      <c r="J21" s="1" t="s">
        <v>56</v>
      </c>
    </row>
    <row x14ac:dyDescent="0.25" r="22" customHeight="1" ht="17.25">
      <c r="A22" s="2"/>
      <c r="B22" s="2"/>
      <c r="C22" s="2"/>
      <c r="D22" s="2"/>
      <c r="E22" s="2"/>
      <c r="F22" s="2"/>
      <c r="G22" s="10">
        <v>22</v>
      </c>
      <c r="H22" s="2" t="s">
        <v>57</v>
      </c>
      <c r="I22" s="10">
        <v>22</v>
      </c>
      <c r="J22" s="1" t="s">
        <v>57</v>
      </c>
    </row>
    <row x14ac:dyDescent="0.25" r="23" customHeight="1" ht="17.25">
      <c r="A23" s="2"/>
      <c r="B23" s="2"/>
      <c r="C23" s="2"/>
      <c r="D23" s="2"/>
      <c r="E23" s="2"/>
      <c r="F23" s="2"/>
      <c r="G23" s="10">
        <v>23</v>
      </c>
      <c r="H23" s="2" t="s">
        <v>58</v>
      </c>
      <c r="I23" s="10">
        <v>23</v>
      </c>
      <c r="J23" s="1" t="s">
        <v>58</v>
      </c>
    </row>
    <row x14ac:dyDescent="0.25" r="24" customHeight="1" ht="17.25">
      <c r="A24" s="2"/>
      <c r="B24" s="2"/>
      <c r="C24" s="2"/>
      <c r="D24" s="2"/>
      <c r="E24" s="2"/>
      <c r="F24" s="2"/>
      <c r="G24" s="10">
        <v>24</v>
      </c>
      <c r="H24" s="2" t="s">
        <v>59</v>
      </c>
      <c r="I24" s="10">
        <v>24</v>
      </c>
      <c r="J24" s="1" t="s">
        <v>59</v>
      </c>
    </row>
    <row x14ac:dyDescent="0.25" r="25" customHeight="1" ht="17.25">
      <c r="A25" s="2"/>
      <c r="B25" s="2"/>
      <c r="C25" s="2"/>
      <c r="D25" s="2"/>
      <c r="E25" s="2"/>
      <c r="F25" s="2"/>
      <c r="G25" s="10">
        <v>25</v>
      </c>
      <c r="H25" s="2" t="s">
        <v>60</v>
      </c>
      <c r="I25" s="10">
        <v>25</v>
      </c>
      <c r="J25" s="1" t="s">
        <v>60</v>
      </c>
    </row>
    <row x14ac:dyDescent="0.25" r="26" customHeight="1" ht="17.25">
      <c r="A26" s="2"/>
      <c r="B26" s="2"/>
      <c r="C26" s="2"/>
      <c r="D26" s="2"/>
      <c r="E26" s="2"/>
      <c r="F26" s="2"/>
      <c r="G26" s="10">
        <v>26</v>
      </c>
      <c r="H26" s="2" t="s">
        <v>61</v>
      </c>
      <c r="I26" s="10">
        <v>26</v>
      </c>
      <c r="J26" s="1" t="s">
        <v>61</v>
      </c>
    </row>
    <row x14ac:dyDescent="0.25" r="27" customHeight="1" ht="17.25">
      <c r="A27" s="2"/>
      <c r="B27" s="2"/>
      <c r="C27" s="2"/>
      <c r="D27" s="2"/>
      <c r="E27" s="2"/>
      <c r="F27" s="2"/>
      <c r="G27" s="10">
        <v>27</v>
      </c>
      <c r="H27" s="2" t="s">
        <v>62</v>
      </c>
      <c r="I27" s="10">
        <v>27</v>
      </c>
      <c r="J27" s="1" t="s">
        <v>62</v>
      </c>
    </row>
    <row x14ac:dyDescent="0.25" r="28" customHeight="1" ht="17.25">
      <c r="A28" s="2"/>
      <c r="B28" s="2"/>
      <c r="C28" s="2"/>
      <c r="D28" s="2"/>
      <c r="E28" s="2"/>
      <c r="F28" s="2"/>
      <c r="G28" s="10">
        <v>28</v>
      </c>
      <c r="H28" s="2" t="s">
        <v>63</v>
      </c>
      <c r="I28" s="10">
        <v>28</v>
      </c>
      <c r="J28" s="1" t="s">
        <v>63</v>
      </c>
    </row>
    <row x14ac:dyDescent="0.25" r="29" customHeight="1" ht="17.25">
      <c r="A29" s="2"/>
      <c r="B29" s="2"/>
      <c r="C29" s="2"/>
      <c r="D29" s="2"/>
      <c r="E29" s="2"/>
      <c r="F29" s="2"/>
      <c r="G29" s="10">
        <v>29</v>
      </c>
      <c r="H29" s="2" t="s">
        <v>64</v>
      </c>
      <c r="I29" s="10">
        <v>29</v>
      </c>
      <c r="J29" s="1" t="s">
        <v>64</v>
      </c>
    </row>
    <row x14ac:dyDescent="0.25" r="30" customHeight="1" ht="17.25">
      <c r="A30" s="2"/>
      <c r="B30" s="2"/>
      <c r="C30" s="2"/>
      <c r="D30" s="2"/>
      <c r="E30" s="2"/>
      <c r="F30" s="2"/>
      <c r="G30" s="10">
        <v>30</v>
      </c>
      <c r="H30" s="2" t="s">
        <v>65</v>
      </c>
      <c r="I30" s="10">
        <v>30</v>
      </c>
      <c r="J30" s="1" t="s">
        <v>65</v>
      </c>
    </row>
    <row x14ac:dyDescent="0.25" r="31" customHeight="1" ht="17.25">
      <c r="A31" s="2"/>
      <c r="B31" s="2"/>
      <c r="C31" s="2"/>
      <c r="D31" s="2"/>
      <c r="E31" s="2"/>
      <c r="F31" s="2"/>
      <c r="G31" s="10">
        <v>31</v>
      </c>
      <c r="H31" s="2" t="s">
        <v>66</v>
      </c>
      <c r="I31" s="10">
        <v>31</v>
      </c>
      <c r="J31" s="1" t="s">
        <v>66</v>
      </c>
    </row>
    <row x14ac:dyDescent="0.25" r="32" customHeight="1" ht="17.25">
      <c r="A32" s="2"/>
      <c r="B32" s="2"/>
      <c r="C32" s="2"/>
      <c r="D32" s="2"/>
      <c r="E32" s="2"/>
      <c r="F32" s="2"/>
      <c r="G32" s="10">
        <v>32</v>
      </c>
      <c r="H32" s="2" t="s">
        <v>67</v>
      </c>
      <c r="I32" s="10">
        <v>32</v>
      </c>
      <c r="J32" s="1" t="s">
        <v>67</v>
      </c>
    </row>
    <row x14ac:dyDescent="0.25" r="33" customHeight="1" ht="17.25">
      <c r="A33" s="2"/>
      <c r="B33" s="2"/>
      <c r="C33" s="2"/>
      <c r="D33" s="2"/>
      <c r="E33" s="2"/>
      <c r="F33" s="2"/>
      <c r="G33" s="10">
        <v>33</v>
      </c>
      <c r="H33" s="2" t="s">
        <v>68</v>
      </c>
      <c r="I33" s="10">
        <v>33</v>
      </c>
      <c r="J33" s="1" t="s">
        <v>68</v>
      </c>
    </row>
    <row x14ac:dyDescent="0.25" r="34" customHeight="1" ht="17.25">
      <c r="A34" s="2"/>
      <c r="B34" s="2"/>
      <c r="C34" s="2"/>
      <c r="D34" s="2"/>
      <c r="E34" s="2"/>
      <c r="F34" s="2"/>
      <c r="G34" s="10">
        <v>34</v>
      </c>
      <c r="H34" s="2" t="s">
        <v>69</v>
      </c>
      <c r="I34" s="10">
        <v>34</v>
      </c>
      <c r="J34" s="1" t="s">
        <v>69</v>
      </c>
    </row>
    <row x14ac:dyDescent="0.25" r="35" customHeight="1" ht="17.25">
      <c r="A35" s="2"/>
      <c r="B35" s="2"/>
      <c r="C35" s="2"/>
      <c r="D35" s="2"/>
      <c r="E35" s="2"/>
      <c r="F35" s="2"/>
      <c r="G35" s="10">
        <v>35</v>
      </c>
      <c r="H35" s="2" t="s">
        <v>70</v>
      </c>
      <c r="I35" s="10">
        <v>35</v>
      </c>
      <c r="J35" s="1" t="s">
        <v>70</v>
      </c>
    </row>
    <row x14ac:dyDescent="0.25" r="36" customHeight="1" ht="17.25">
      <c r="A36" s="2"/>
      <c r="B36" s="2"/>
      <c r="C36" s="2"/>
      <c r="D36" s="2"/>
      <c r="E36" s="2"/>
      <c r="F36" s="2"/>
      <c r="G36" s="10">
        <v>36</v>
      </c>
      <c r="H36" s="2" t="s">
        <v>71</v>
      </c>
      <c r="I36" s="10">
        <v>36</v>
      </c>
      <c r="J36" s="1" t="s">
        <v>71</v>
      </c>
    </row>
    <row x14ac:dyDescent="0.25" r="37" customHeight="1" ht="17.25">
      <c r="A37" s="2"/>
      <c r="B37" s="2"/>
      <c r="C37" s="2"/>
      <c r="D37" s="2"/>
      <c r="E37" s="2"/>
      <c r="F37" s="2"/>
      <c r="G37" s="10">
        <v>37</v>
      </c>
      <c r="H37" s="2" t="s">
        <v>72</v>
      </c>
      <c r="I37" s="10">
        <v>37</v>
      </c>
      <c r="J37" s="1" t="s">
        <v>72</v>
      </c>
    </row>
    <row x14ac:dyDescent="0.25" r="38" customHeight="1" ht="17.25">
      <c r="A38" s="2"/>
      <c r="B38" s="2"/>
      <c r="C38" s="2"/>
      <c r="D38" s="2"/>
      <c r="E38" s="2"/>
      <c r="F38" s="2"/>
      <c r="G38" s="10">
        <v>38</v>
      </c>
      <c r="H38" s="2" t="s">
        <v>73</v>
      </c>
      <c r="I38" s="10">
        <v>38</v>
      </c>
      <c r="J38" s="1" t="s">
        <v>73</v>
      </c>
    </row>
    <row x14ac:dyDescent="0.25" r="39" customHeight="1" ht="17.25">
      <c r="A39" s="2"/>
      <c r="B39" s="2"/>
      <c r="C39" s="2"/>
      <c r="D39" s="2"/>
      <c r="E39" s="2"/>
      <c r="F39" s="2"/>
      <c r="G39" s="10">
        <v>39</v>
      </c>
      <c r="H39" s="2" t="s">
        <v>74</v>
      </c>
      <c r="I39" s="10">
        <v>39</v>
      </c>
      <c r="J39" s="1" t="s">
        <v>74</v>
      </c>
    </row>
    <row x14ac:dyDescent="0.25" r="40" customHeight="1" ht="17.25">
      <c r="A40" s="2"/>
      <c r="B40" s="2"/>
      <c r="C40" s="2"/>
      <c r="D40" s="2"/>
      <c r="E40" s="2"/>
      <c r="F40" s="2"/>
      <c r="G40" s="10">
        <v>40</v>
      </c>
      <c r="H40" s="2" t="s">
        <v>75</v>
      </c>
      <c r="I40" s="10">
        <v>40</v>
      </c>
      <c r="J40" s="1" t="s">
        <v>75</v>
      </c>
    </row>
    <row x14ac:dyDescent="0.25" r="41" customHeight="1" ht="17.25">
      <c r="A41" s="2"/>
      <c r="B41" s="2"/>
      <c r="C41" s="2"/>
      <c r="D41" s="2"/>
      <c r="E41" s="2"/>
      <c r="F41" s="2"/>
      <c r="G41" s="10">
        <v>41</v>
      </c>
      <c r="H41" s="2" t="s">
        <v>76</v>
      </c>
      <c r="I41" s="10">
        <v>41</v>
      </c>
      <c r="J41" s="1" t="s">
        <v>76</v>
      </c>
    </row>
    <row x14ac:dyDescent="0.25" r="42" customHeight="1" ht="17.25">
      <c r="A42" s="2"/>
      <c r="B42" s="2"/>
      <c r="C42" s="2"/>
      <c r="D42" s="2"/>
      <c r="E42" s="2"/>
      <c r="F42" s="2"/>
      <c r="G42" s="10">
        <v>42</v>
      </c>
      <c r="H42" s="2" t="s">
        <v>77</v>
      </c>
      <c r="I42" s="10">
        <v>42</v>
      </c>
      <c r="J42" s="1" t="s">
        <v>77</v>
      </c>
    </row>
    <row x14ac:dyDescent="0.25" r="43" customHeight="1" ht="17.25">
      <c r="A43" s="2"/>
      <c r="B43" s="2"/>
      <c r="C43" s="2"/>
      <c r="D43" s="2"/>
      <c r="E43" s="2"/>
      <c r="F43" s="2"/>
      <c r="G43" s="10">
        <v>43</v>
      </c>
      <c r="H43" s="2" t="s">
        <v>78</v>
      </c>
      <c r="I43" s="10">
        <v>43</v>
      </c>
      <c r="J43" s="1" t="s">
        <v>78</v>
      </c>
    </row>
    <row x14ac:dyDescent="0.25" r="44" customHeight="1" ht="17.25">
      <c r="A44" s="2"/>
      <c r="B44" s="2"/>
      <c r="C44" s="2"/>
      <c r="D44" s="2"/>
      <c r="E44" s="2"/>
      <c r="F44" s="2"/>
      <c r="G44" s="10">
        <v>44</v>
      </c>
      <c r="H44" s="2" t="s">
        <v>79</v>
      </c>
      <c r="I44" s="10">
        <v>44</v>
      </c>
      <c r="J44" s="1" t="s">
        <v>79</v>
      </c>
    </row>
    <row x14ac:dyDescent="0.25" r="45" customHeight="1" ht="17.25">
      <c r="A45" s="2"/>
      <c r="B45" s="2"/>
      <c r="C45" s="2"/>
      <c r="D45" s="2"/>
      <c r="E45" s="2"/>
      <c r="F45" s="2"/>
      <c r="G45" s="10">
        <v>45</v>
      </c>
      <c r="H45" s="2" t="s">
        <v>80</v>
      </c>
      <c r="I45" s="10">
        <v>45</v>
      </c>
      <c r="J45" s="1" t="s">
        <v>80</v>
      </c>
    </row>
    <row x14ac:dyDescent="0.25" r="46" customHeight="1" ht="17.25">
      <c r="A46" s="2"/>
      <c r="B46" s="2"/>
      <c r="C46" s="2"/>
      <c r="D46" s="2"/>
      <c r="E46" s="2"/>
      <c r="F46" s="2"/>
      <c r="G46" s="10">
        <v>46</v>
      </c>
      <c r="H46" s="2" t="s">
        <v>81</v>
      </c>
      <c r="I46" s="10">
        <v>46</v>
      </c>
      <c r="J46" s="1" t="s">
        <v>81</v>
      </c>
    </row>
    <row x14ac:dyDescent="0.25" r="47" customHeight="1" ht="17.25">
      <c r="A47" s="2"/>
      <c r="B47" s="2"/>
      <c r="C47" s="2"/>
      <c r="D47" s="2"/>
      <c r="E47" s="2"/>
      <c r="F47" s="2"/>
      <c r="G47" s="10">
        <v>47</v>
      </c>
      <c r="H47" s="2" t="s">
        <v>82</v>
      </c>
      <c r="I47" s="10">
        <v>47</v>
      </c>
      <c r="J47" s="1" t="s">
        <v>82</v>
      </c>
    </row>
    <row x14ac:dyDescent="0.25" r="48" customHeight="1" ht="17.25">
      <c r="A48" s="2"/>
      <c r="B48" s="2"/>
      <c r="C48" s="2"/>
      <c r="D48" s="2"/>
      <c r="E48" s="2"/>
      <c r="F48" s="2"/>
      <c r="G48" s="10">
        <v>48</v>
      </c>
      <c r="H48" s="2" t="s">
        <v>83</v>
      </c>
      <c r="I48" s="10">
        <v>48</v>
      </c>
      <c r="J48" s="1" t="s">
        <v>83</v>
      </c>
    </row>
    <row x14ac:dyDescent="0.25" r="49" customHeight="1" ht="17.25">
      <c r="A49" s="2"/>
      <c r="B49" s="2"/>
      <c r="C49" s="2"/>
      <c r="D49" s="2"/>
      <c r="E49" s="2"/>
      <c r="F49" s="2"/>
      <c r="G49" s="10">
        <v>49</v>
      </c>
      <c r="H49" s="2" t="s">
        <v>84</v>
      </c>
      <c r="I49" s="10">
        <v>49</v>
      </c>
      <c r="J49" s="1" t="s">
        <v>84</v>
      </c>
    </row>
    <row x14ac:dyDescent="0.25" r="50" customHeight="1" ht="17.25">
      <c r="A50" s="2"/>
      <c r="B50" s="2"/>
      <c r="C50" s="2"/>
      <c r="D50" s="2"/>
      <c r="E50" s="2"/>
      <c r="F50" s="2"/>
      <c r="G50" s="10">
        <v>50</v>
      </c>
      <c r="H50" s="2" t="s">
        <v>85</v>
      </c>
      <c r="I50" s="10">
        <v>50</v>
      </c>
      <c r="J50" s="1" t="s">
        <v>85</v>
      </c>
    </row>
    <row x14ac:dyDescent="0.25" r="51" customHeight="1" ht="17.25">
      <c r="A51" s="2"/>
      <c r="B51" s="2"/>
      <c r="C51" s="2"/>
      <c r="D51" s="2"/>
      <c r="E51" s="2"/>
      <c r="F51" s="2"/>
      <c r="G51" s="10">
        <v>51</v>
      </c>
      <c r="H51" s="2" t="s">
        <v>86</v>
      </c>
      <c r="I51" s="10">
        <v>51</v>
      </c>
      <c r="J51" s="1" t="s">
        <v>86</v>
      </c>
    </row>
    <row x14ac:dyDescent="0.25" r="52" customHeight="1" ht="17.25">
      <c r="A52" s="2"/>
      <c r="B52" s="2"/>
      <c r="C52" s="2"/>
      <c r="D52" s="2"/>
      <c r="E52" s="2"/>
      <c r="F52" s="2"/>
      <c r="G52" s="10">
        <v>52</v>
      </c>
      <c r="H52" s="2" t="s">
        <v>87</v>
      </c>
      <c r="I52" s="10">
        <v>52</v>
      </c>
      <c r="J52" s="1" t="s">
        <v>87</v>
      </c>
    </row>
    <row x14ac:dyDescent="0.25" r="53" customHeight="1" ht="17.25">
      <c r="A53" s="2"/>
      <c r="B53" s="2"/>
      <c r="C53" s="2"/>
      <c r="D53" s="2"/>
      <c r="E53" s="2"/>
      <c r="F53" s="2"/>
      <c r="G53" s="10">
        <v>53</v>
      </c>
      <c r="H53" s="2" t="s">
        <v>88</v>
      </c>
      <c r="I53" s="10">
        <v>53</v>
      </c>
      <c r="J53" s="1" t="s">
        <v>88</v>
      </c>
    </row>
    <row x14ac:dyDescent="0.25" r="54" customHeight="1" ht="17.25">
      <c r="A54" s="2"/>
      <c r="B54" s="2"/>
      <c r="C54" s="2"/>
      <c r="D54" s="2"/>
      <c r="E54" s="2"/>
      <c r="F54" s="2"/>
      <c r="G54" s="10">
        <v>54</v>
      </c>
      <c r="H54" s="2" t="s">
        <v>89</v>
      </c>
      <c r="I54" s="10">
        <v>54</v>
      </c>
      <c r="J54" s="1" t="s">
        <v>89</v>
      </c>
    </row>
    <row x14ac:dyDescent="0.25" r="55" customHeight="1" ht="17.25">
      <c r="A55" s="2"/>
      <c r="B55" s="2"/>
      <c r="C55" s="2"/>
      <c r="D55" s="2"/>
      <c r="E55" s="2"/>
      <c r="F55" s="2"/>
      <c r="G55" s="10">
        <v>55</v>
      </c>
      <c r="H55" s="2" t="s">
        <v>90</v>
      </c>
      <c r="I55" s="10">
        <v>55</v>
      </c>
      <c r="J55" s="1" t="s">
        <v>90</v>
      </c>
    </row>
    <row x14ac:dyDescent="0.25" r="56" customHeight="1" ht="17.25">
      <c r="A56" s="2"/>
      <c r="B56" s="2"/>
      <c r="C56" s="2"/>
      <c r="D56" s="2"/>
      <c r="E56" s="2"/>
      <c r="F56" s="2"/>
      <c r="G56" s="10">
        <v>56</v>
      </c>
      <c r="H56" s="2" t="s">
        <v>91</v>
      </c>
      <c r="I56" s="10">
        <v>56</v>
      </c>
      <c r="J56" s="1" t="s">
        <v>91</v>
      </c>
    </row>
    <row x14ac:dyDescent="0.25" r="57" customHeight="1" ht="17.25">
      <c r="A57" s="2"/>
      <c r="B57" s="2"/>
      <c r="C57" s="2"/>
      <c r="D57" s="2"/>
      <c r="E57" s="2"/>
      <c r="F57" s="2"/>
      <c r="G57" s="10">
        <v>57</v>
      </c>
      <c r="H57" s="2" t="s">
        <v>92</v>
      </c>
      <c r="I57" s="10">
        <v>57</v>
      </c>
      <c r="J57" s="1" t="s">
        <v>92</v>
      </c>
    </row>
    <row x14ac:dyDescent="0.25" r="58" customHeight="1" ht="17.25">
      <c r="A58" s="2"/>
      <c r="B58" s="2"/>
      <c r="C58" s="2"/>
      <c r="D58" s="2"/>
      <c r="E58" s="2"/>
      <c r="F58" s="2"/>
      <c r="G58" s="10">
        <v>58</v>
      </c>
      <c r="H58" s="2" t="s">
        <v>93</v>
      </c>
      <c r="I58" s="10">
        <v>58</v>
      </c>
      <c r="J58" s="1" t="s">
        <v>93</v>
      </c>
    </row>
    <row x14ac:dyDescent="0.25" r="59" customHeight="1" ht="17.25">
      <c r="A59" s="2"/>
      <c r="B59" s="2"/>
      <c r="C59" s="2"/>
      <c r="D59" s="2"/>
      <c r="E59" s="2"/>
      <c r="F59" s="2"/>
      <c r="G59" s="10">
        <v>59</v>
      </c>
      <c r="H59" s="2" t="s">
        <v>94</v>
      </c>
      <c r="I59" s="10">
        <v>59</v>
      </c>
      <c r="J59" s="1" t="s">
        <v>94</v>
      </c>
    </row>
    <row x14ac:dyDescent="0.25" r="60" customHeight="1" ht="17.25">
      <c r="A60" s="2"/>
      <c r="B60" s="2"/>
      <c r="C60" s="2"/>
      <c r="D60" s="2"/>
      <c r="E60" s="2"/>
      <c r="F60" s="2"/>
      <c r="G60" s="10">
        <v>60</v>
      </c>
      <c r="H60" s="2" t="s">
        <v>95</v>
      </c>
      <c r="I60" s="10">
        <v>60</v>
      </c>
      <c r="J60" s="1" t="s">
        <v>95</v>
      </c>
    </row>
    <row x14ac:dyDescent="0.25" r="61" customHeight="1" ht="17.25">
      <c r="A61" s="2"/>
      <c r="B61" s="2"/>
      <c r="C61" s="2"/>
      <c r="D61" s="2"/>
      <c r="E61" s="2"/>
      <c r="F61" s="2"/>
      <c r="G61" s="10">
        <v>61</v>
      </c>
      <c r="H61" s="2" t="s">
        <v>96</v>
      </c>
      <c r="I61" s="10">
        <v>61</v>
      </c>
      <c r="J61" s="1" t="s">
        <v>96</v>
      </c>
    </row>
    <row x14ac:dyDescent="0.25" r="62" customHeight="1" ht="17.25">
      <c r="A62" s="2"/>
      <c r="B62" s="2"/>
      <c r="C62" s="2"/>
      <c r="D62" s="2"/>
      <c r="E62" s="2"/>
      <c r="F62" s="2"/>
      <c r="G62" s="10">
        <v>62</v>
      </c>
      <c r="H62" s="2" t="s">
        <v>97</v>
      </c>
      <c r="I62" s="10">
        <v>62</v>
      </c>
      <c r="J62" s="1" t="s">
        <v>97</v>
      </c>
    </row>
    <row x14ac:dyDescent="0.25" r="63" customHeight="1" ht="17.25">
      <c r="A63" s="2"/>
      <c r="B63" s="2"/>
      <c r="C63" s="2"/>
      <c r="D63" s="2"/>
      <c r="E63" s="2"/>
      <c r="F63" s="2"/>
      <c r="G63" s="10">
        <v>1</v>
      </c>
      <c r="H63" s="2" t="s">
        <v>19</v>
      </c>
      <c r="I63" s="10">
        <v>63</v>
      </c>
      <c r="J63" s="1" t="s">
        <v>98</v>
      </c>
    </row>
    <row x14ac:dyDescent="0.25" r="64" customHeight="1" ht="17.25">
      <c r="A64" s="2"/>
      <c r="B64" s="2"/>
      <c r="C64" s="2"/>
      <c r="D64" s="2"/>
      <c r="E64" s="2"/>
      <c r="F64" s="2"/>
      <c r="G64" s="10">
        <v>2</v>
      </c>
      <c r="H64" s="2" t="s">
        <v>67</v>
      </c>
      <c r="I64" s="10">
        <v>64</v>
      </c>
      <c r="J64" s="10">
        <v>0</v>
      </c>
    </row>
    <row x14ac:dyDescent="0.25" r="65" customHeight="1" ht="17.25">
      <c r="A65" s="2"/>
      <c r="B65" s="2"/>
      <c r="C65" s="2"/>
      <c r="D65" s="2"/>
      <c r="E65" s="2"/>
      <c r="F65" s="2"/>
      <c r="G65" s="10">
        <v>3</v>
      </c>
      <c r="H65" s="2" t="s">
        <v>17</v>
      </c>
      <c r="I65" s="10">
        <v>65</v>
      </c>
      <c r="J65" s="3"/>
    </row>
    <row x14ac:dyDescent="0.25" r="66" customHeight="1" ht="17.25">
      <c r="A66" s="2"/>
      <c r="B66" s="2"/>
      <c r="C66" s="2"/>
      <c r="D66" s="2"/>
      <c r="E66" s="2"/>
      <c r="F66" s="2"/>
      <c r="G66" s="10">
        <v>4</v>
      </c>
      <c r="H66" s="2" t="s">
        <v>33</v>
      </c>
      <c r="I66" s="10">
        <v>66</v>
      </c>
      <c r="J66" s="3"/>
    </row>
    <row x14ac:dyDescent="0.25" r="67" customHeight="1" ht="17.25">
      <c r="A67" s="2"/>
      <c r="B67" s="2"/>
      <c r="C67" s="2"/>
      <c r="D67" s="2"/>
      <c r="E67" s="2"/>
      <c r="F67" s="2"/>
      <c r="G67" s="10">
        <v>5</v>
      </c>
      <c r="H67" s="2" t="s">
        <v>21</v>
      </c>
      <c r="I67" s="10">
        <v>67</v>
      </c>
      <c r="J67" s="3"/>
    </row>
    <row x14ac:dyDescent="0.25" r="68" customHeight="1" ht="17.25">
      <c r="A68" s="2"/>
      <c r="B68" s="2"/>
      <c r="C68" s="2"/>
      <c r="D68" s="2"/>
      <c r="E68" s="2"/>
      <c r="F68" s="2"/>
      <c r="G68" s="10">
        <v>6</v>
      </c>
      <c r="H68" s="2" t="s">
        <v>27</v>
      </c>
      <c r="I68" s="10">
        <v>68</v>
      </c>
      <c r="J68" s="3"/>
    </row>
    <row x14ac:dyDescent="0.25" r="69" customHeight="1" ht="17.25">
      <c r="A69" s="2"/>
      <c r="B69" s="2"/>
      <c r="C69" s="2"/>
      <c r="D69" s="2"/>
      <c r="E69" s="2"/>
      <c r="F69" s="2"/>
      <c r="G69" s="10">
        <v>7</v>
      </c>
      <c r="H69" s="2" t="s">
        <v>23</v>
      </c>
      <c r="I69" s="10">
        <v>69</v>
      </c>
      <c r="J69" s="3"/>
    </row>
    <row x14ac:dyDescent="0.25" r="70" customHeight="1" ht="17.25">
      <c r="A70" s="2"/>
      <c r="B70" s="2"/>
      <c r="C70" s="2"/>
      <c r="D70" s="2"/>
      <c r="E70" s="2"/>
      <c r="F70" s="2"/>
      <c r="G70" s="10">
        <v>8</v>
      </c>
      <c r="H70" s="2" t="s">
        <v>25</v>
      </c>
      <c r="I70" s="10">
        <v>70</v>
      </c>
      <c r="J70" s="3"/>
    </row>
    <row x14ac:dyDescent="0.25" r="71" customHeight="1" ht="17.25">
      <c r="A71" s="2"/>
      <c r="B71" s="2"/>
      <c r="C71" s="2"/>
      <c r="D71" s="2"/>
      <c r="E71" s="2"/>
      <c r="F71" s="2"/>
      <c r="G71" s="10">
        <v>9</v>
      </c>
      <c r="H71" s="2" t="s">
        <v>31</v>
      </c>
      <c r="I71" s="10">
        <v>71</v>
      </c>
      <c r="J71" s="3"/>
    </row>
    <row x14ac:dyDescent="0.25" r="72" customHeight="1" ht="17.25">
      <c r="A72" s="2"/>
      <c r="B72" s="2"/>
      <c r="C72" s="2"/>
      <c r="D72" s="2"/>
      <c r="E72" s="2"/>
      <c r="F72" s="2"/>
      <c r="G72" s="10">
        <v>10</v>
      </c>
      <c r="H72" s="2" t="s">
        <v>37</v>
      </c>
      <c r="I72" s="10">
        <v>72</v>
      </c>
      <c r="J72" s="3"/>
    </row>
    <row x14ac:dyDescent="0.25" r="73" customHeight="1" ht="17.25">
      <c r="A73" s="2"/>
      <c r="B73" s="2"/>
      <c r="C73" s="2"/>
      <c r="D73" s="2"/>
      <c r="E73" s="2"/>
      <c r="F73" s="2"/>
      <c r="G73" s="10">
        <v>11</v>
      </c>
      <c r="H73" s="2" t="s">
        <v>35</v>
      </c>
      <c r="I73" s="10">
        <v>73</v>
      </c>
      <c r="J73" s="3"/>
    </row>
    <row x14ac:dyDescent="0.25" r="74" customHeight="1" ht="17.25">
      <c r="A74" s="2"/>
      <c r="B74" s="2"/>
      <c r="C74" s="2"/>
      <c r="D74" s="2"/>
      <c r="E74" s="2"/>
      <c r="F74" s="2"/>
      <c r="G74" s="10">
        <v>12</v>
      </c>
      <c r="H74" s="2" t="s">
        <v>77</v>
      </c>
      <c r="I74" s="10">
        <v>74</v>
      </c>
      <c r="J74" s="3"/>
    </row>
    <row x14ac:dyDescent="0.25" r="75" customHeight="1" ht="17.25">
      <c r="A75" s="2"/>
      <c r="B75" s="2"/>
      <c r="C75" s="2"/>
      <c r="D75" s="2"/>
      <c r="E75" s="2"/>
      <c r="F75" s="2"/>
      <c r="G75" s="10">
        <v>13</v>
      </c>
      <c r="H75" s="2" t="s">
        <v>29</v>
      </c>
      <c r="I75" s="10">
        <v>75</v>
      </c>
      <c r="J75" s="3"/>
    </row>
    <row x14ac:dyDescent="0.25" r="76" customHeight="1" ht="17.25">
      <c r="A76" s="2"/>
      <c r="B76" s="2"/>
      <c r="C76" s="2"/>
      <c r="D76" s="2"/>
      <c r="E76" s="2"/>
      <c r="F76" s="2"/>
      <c r="G76" s="10">
        <v>14</v>
      </c>
      <c r="H76" s="2" t="s">
        <v>43</v>
      </c>
      <c r="I76" s="10">
        <v>76</v>
      </c>
      <c r="J76" s="3"/>
    </row>
    <row x14ac:dyDescent="0.25" r="77" customHeight="1" ht="17.25">
      <c r="A77" s="2"/>
      <c r="B77" s="2"/>
      <c r="C77" s="2"/>
      <c r="D77" s="2"/>
      <c r="E77" s="2"/>
      <c r="F77" s="2"/>
      <c r="G77" s="10">
        <v>15</v>
      </c>
      <c r="H77" s="2" t="s">
        <v>39</v>
      </c>
      <c r="I77" s="10">
        <v>77</v>
      </c>
      <c r="J77" s="3"/>
    </row>
    <row x14ac:dyDescent="0.25" r="78" customHeight="1" ht="17.25">
      <c r="A78" s="2"/>
      <c r="B78" s="2"/>
      <c r="C78" s="2"/>
      <c r="D78" s="2"/>
      <c r="E78" s="2"/>
      <c r="F78" s="2"/>
      <c r="G78" s="10">
        <v>16</v>
      </c>
      <c r="H78" s="2" t="s">
        <v>58</v>
      </c>
      <c r="I78" s="10">
        <v>78</v>
      </c>
      <c r="J78" s="3"/>
    </row>
    <row x14ac:dyDescent="0.25" r="79" customHeight="1" ht="17.25">
      <c r="A79" s="2"/>
      <c r="B79" s="2"/>
      <c r="C79" s="2"/>
      <c r="D79" s="2"/>
      <c r="E79" s="2"/>
      <c r="F79" s="2"/>
      <c r="G79" s="10">
        <v>17</v>
      </c>
      <c r="H79" s="2" t="s">
        <v>47</v>
      </c>
      <c r="I79" s="10">
        <v>79</v>
      </c>
      <c r="J79" s="3"/>
    </row>
    <row x14ac:dyDescent="0.25" r="80" customHeight="1" ht="17.25">
      <c r="A80" s="2"/>
      <c r="B80" s="2"/>
      <c r="C80" s="2"/>
      <c r="D80" s="2"/>
      <c r="E80" s="2"/>
      <c r="F80" s="2"/>
      <c r="G80" s="10">
        <v>18</v>
      </c>
      <c r="H80" s="2" t="s">
        <v>41</v>
      </c>
      <c r="I80" s="10">
        <v>80</v>
      </c>
      <c r="J80" s="3"/>
    </row>
    <row x14ac:dyDescent="0.25" r="81" customHeight="1" ht="17.25">
      <c r="A81" s="2"/>
      <c r="B81" s="2"/>
      <c r="C81" s="2"/>
      <c r="D81" s="2"/>
      <c r="E81" s="2"/>
      <c r="F81" s="2"/>
      <c r="G81" s="10">
        <v>19</v>
      </c>
      <c r="H81" s="2" t="s">
        <v>49</v>
      </c>
      <c r="I81" s="10">
        <v>81</v>
      </c>
      <c r="J81" s="3"/>
    </row>
    <row x14ac:dyDescent="0.25" r="82" customHeight="1" ht="17.25">
      <c r="A82" s="2"/>
      <c r="B82" s="2"/>
      <c r="C82" s="2"/>
      <c r="D82" s="2"/>
      <c r="E82" s="2"/>
      <c r="F82" s="2"/>
      <c r="G82" s="10">
        <v>20</v>
      </c>
      <c r="H82" s="2" t="s">
        <v>53</v>
      </c>
      <c r="I82" s="10">
        <v>82</v>
      </c>
      <c r="J82" s="3"/>
    </row>
    <row x14ac:dyDescent="0.25" r="83" customHeight="1" ht="17.25">
      <c r="A83" s="2"/>
      <c r="B83" s="2"/>
      <c r="C83" s="2"/>
      <c r="D83" s="2"/>
      <c r="E83" s="2"/>
      <c r="F83" s="2"/>
      <c r="G83" s="10">
        <v>21</v>
      </c>
      <c r="H83" s="2" t="s">
        <v>55</v>
      </c>
      <c r="I83" s="10">
        <v>83</v>
      </c>
      <c r="J83" s="3"/>
    </row>
    <row x14ac:dyDescent="0.25" r="84" customHeight="1" ht="17.25">
      <c r="A84" s="2"/>
      <c r="B84" s="2"/>
      <c r="C84" s="2"/>
      <c r="D84" s="2"/>
      <c r="E84" s="2"/>
      <c r="F84" s="2"/>
      <c r="G84" s="10">
        <v>22</v>
      </c>
      <c r="H84" s="2" t="s">
        <v>91</v>
      </c>
      <c r="I84" s="10">
        <v>84</v>
      </c>
      <c r="J84" s="3"/>
    </row>
    <row x14ac:dyDescent="0.25" r="85" customHeight="1" ht="17.25">
      <c r="A85" s="2"/>
      <c r="B85" s="2"/>
      <c r="C85" s="2"/>
      <c r="D85" s="2"/>
      <c r="E85" s="2"/>
      <c r="F85" s="2"/>
      <c r="G85" s="10">
        <v>23</v>
      </c>
      <c r="H85" s="2" t="s">
        <v>63</v>
      </c>
      <c r="I85" s="10">
        <v>85</v>
      </c>
      <c r="J85" s="3"/>
    </row>
    <row x14ac:dyDescent="0.25" r="86" customHeight="1" ht="17.25">
      <c r="A86" s="2"/>
      <c r="B86" s="2"/>
      <c r="C86" s="2"/>
      <c r="D86" s="2"/>
      <c r="E86" s="2"/>
      <c r="F86" s="2"/>
      <c r="G86" s="10">
        <v>24</v>
      </c>
      <c r="H86" s="2" t="s">
        <v>45</v>
      </c>
      <c r="I86" s="10">
        <v>86</v>
      </c>
      <c r="J86" s="3"/>
    </row>
    <row x14ac:dyDescent="0.25" r="87" customHeight="1" ht="17.25">
      <c r="A87" s="2"/>
      <c r="B87" s="2"/>
      <c r="C87" s="2"/>
      <c r="D87" s="2"/>
      <c r="E87" s="2"/>
      <c r="F87" s="2"/>
      <c r="G87" s="10">
        <v>25</v>
      </c>
      <c r="H87" s="2" t="s">
        <v>57</v>
      </c>
      <c r="I87" s="10">
        <v>87</v>
      </c>
      <c r="J87" s="3"/>
    </row>
    <row x14ac:dyDescent="0.25" r="88" customHeight="1" ht="17.25">
      <c r="A88" s="2"/>
      <c r="B88" s="2"/>
      <c r="C88" s="2"/>
      <c r="D88" s="2"/>
      <c r="E88" s="2"/>
      <c r="F88" s="2"/>
      <c r="G88" s="10">
        <v>26</v>
      </c>
      <c r="H88" s="2" t="s">
        <v>51</v>
      </c>
      <c r="I88" s="10">
        <v>88</v>
      </c>
      <c r="J88" s="3"/>
    </row>
    <row x14ac:dyDescent="0.25" r="89" customHeight="1" ht="17.25">
      <c r="A89" s="2"/>
      <c r="B89" s="2"/>
      <c r="C89" s="2"/>
      <c r="D89" s="2"/>
      <c r="E89" s="2"/>
      <c r="F89" s="2"/>
      <c r="G89" s="10">
        <v>27</v>
      </c>
      <c r="H89" s="2" t="s">
        <v>94</v>
      </c>
      <c r="I89" s="10">
        <v>89</v>
      </c>
      <c r="J89" s="3"/>
    </row>
    <row x14ac:dyDescent="0.25" r="90" customHeight="1" ht="17.25">
      <c r="A90" s="2"/>
      <c r="B90" s="2"/>
      <c r="C90" s="2"/>
      <c r="D90" s="2"/>
      <c r="E90" s="2"/>
      <c r="F90" s="2"/>
      <c r="G90" s="10">
        <v>28</v>
      </c>
      <c r="H90" s="2" t="s">
        <v>65</v>
      </c>
      <c r="I90" s="10">
        <v>90</v>
      </c>
      <c r="J90" s="3"/>
    </row>
    <row x14ac:dyDescent="0.25" r="91" customHeight="1" ht="17.25">
      <c r="A91" s="2"/>
      <c r="B91" s="2"/>
      <c r="C91" s="2"/>
      <c r="D91" s="2"/>
      <c r="E91" s="2"/>
      <c r="F91" s="2"/>
      <c r="G91" s="10">
        <v>29</v>
      </c>
      <c r="H91" s="2" t="s">
        <v>69</v>
      </c>
      <c r="I91" s="10">
        <v>91</v>
      </c>
      <c r="J91" s="3"/>
    </row>
    <row x14ac:dyDescent="0.25" r="92" customHeight="1" ht="17.25">
      <c r="A92" s="2"/>
      <c r="B92" s="2"/>
      <c r="C92" s="2"/>
      <c r="D92" s="2"/>
      <c r="E92" s="2"/>
      <c r="F92" s="2"/>
      <c r="G92" s="10">
        <v>30</v>
      </c>
      <c r="H92" s="2" t="s">
        <v>64</v>
      </c>
      <c r="I92" s="10">
        <v>92</v>
      </c>
      <c r="J92" s="3"/>
    </row>
    <row x14ac:dyDescent="0.25" r="93" customHeight="1" ht="17.25">
      <c r="A93" s="2"/>
      <c r="B93" s="2"/>
      <c r="C93" s="2"/>
      <c r="D93" s="2"/>
      <c r="E93" s="2"/>
      <c r="F93" s="2"/>
      <c r="G93" s="10">
        <v>31</v>
      </c>
      <c r="H93" s="2" t="s">
        <v>62</v>
      </c>
      <c r="I93" s="10">
        <v>93</v>
      </c>
      <c r="J93" s="3"/>
    </row>
    <row x14ac:dyDescent="0.25" r="94" customHeight="1" ht="17.25">
      <c r="A94" s="2"/>
      <c r="B94" s="2"/>
      <c r="C94" s="2"/>
      <c r="D94" s="2"/>
      <c r="E94" s="2"/>
      <c r="F94" s="2"/>
      <c r="G94" s="10">
        <v>32</v>
      </c>
      <c r="H94" s="2" t="s">
        <v>76</v>
      </c>
      <c r="I94" s="10">
        <v>94</v>
      </c>
      <c r="J94" s="3"/>
    </row>
    <row x14ac:dyDescent="0.25" r="95" customHeight="1" ht="17.25">
      <c r="A95" s="2"/>
      <c r="B95" s="2"/>
      <c r="C95" s="2"/>
      <c r="D95" s="2"/>
      <c r="E95" s="2"/>
      <c r="F95" s="2"/>
      <c r="G95" s="10">
        <v>33</v>
      </c>
      <c r="H95" s="2" t="s">
        <v>74</v>
      </c>
      <c r="I95" s="10">
        <v>95</v>
      </c>
      <c r="J95" s="3"/>
    </row>
    <row x14ac:dyDescent="0.25" r="96" customHeight="1" ht="17.25">
      <c r="A96" s="2"/>
      <c r="B96" s="2"/>
      <c r="C96" s="2"/>
      <c r="D96" s="2"/>
      <c r="E96" s="2"/>
      <c r="F96" s="2"/>
      <c r="G96" s="10">
        <v>34</v>
      </c>
      <c r="H96" s="2" t="s">
        <v>60</v>
      </c>
      <c r="I96" s="10">
        <v>96</v>
      </c>
      <c r="J96" s="3"/>
    </row>
    <row x14ac:dyDescent="0.25" r="97" customHeight="1" ht="17.25">
      <c r="A97" s="2"/>
      <c r="B97" s="2"/>
      <c r="C97" s="2"/>
      <c r="D97" s="2"/>
      <c r="E97" s="2"/>
      <c r="F97" s="2"/>
      <c r="G97" s="10">
        <v>35</v>
      </c>
      <c r="H97" s="2" t="s">
        <v>68</v>
      </c>
      <c r="I97" s="10">
        <v>97</v>
      </c>
      <c r="J97" s="3"/>
    </row>
    <row x14ac:dyDescent="0.25" r="98" customHeight="1" ht="17.25">
      <c r="A98" s="2"/>
      <c r="B98" s="2"/>
      <c r="C98" s="2"/>
      <c r="D98" s="2"/>
      <c r="E98" s="2"/>
      <c r="F98" s="2"/>
      <c r="G98" s="10">
        <v>36</v>
      </c>
      <c r="H98" s="2" t="s">
        <v>70</v>
      </c>
      <c r="I98" s="10">
        <v>98</v>
      </c>
      <c r="J98" s="3"/>
    </row>
    <row x14ac:dyDescent="0.25" r="99" customHeight="1" ht="17.25">
      <c r="A99" s="2"/>
      <c r="B99" s="2"/>
      <c r="C99" s="2"/>
      <c r="D99" s="2"/>
      <c r="E99" s="2"/>
      <c r="F99" s="2"/>
      <c r="G99" s="10">
        <v>37</v>
      </c>
      <c r="H99" s="2" t="s">
        <v>73</v>
      </c>
      <c r="I99" s="10">
        <v>99</v>
      </c>
      <c r="J99" s="3"/>
    </row>
    <row x14ac:dyDescent="0.25" r="100" customHeight="1" ht="17.25">
      <c r="A100" s="2"/>
      <c r="B100" s="2"/>
      <c r="C100" s="2"/>
      <c r="D100" s="2"/>
      <c r="E100" s="2"/>
      <c r="F100" s="2"/>
      <c r="G100" s="10">
        <v>38</v>
      </c>
      <c r="H100" s="2" t="s">
        <v>56</v>
      </c>
      <c r="I100" s="10">
        <v>100</v>
      </c>
      <c r="J100" s="3"/>
    </row>
    <row x14ac:dyDescent="0.25" r="101" customHeight="1" ht="17.25">
      <c r="A101" s="2"/>
      <c r="B101" s="2"/>
      <c r="C101" s="2"/>
      <c r="D101" s="2"/>
      <c r="E101" s="2"/>
      <c r="F101" s="2"/>
      <c r="G101" s="10">
        <v>39</v>
      </c>
      <c r="H101" s="2" t="s">
        <v>71</v>
      </c>
      <c r="I101" s="10">
        <v>101</v>
      </c>
      <c r="J101" s="3"/>
    </row>
    <row x14ac:dyDescent="0.25" r="102" customHeight="1" ht="17.25">
      <c r="A102" s="2"/>
      <c r="B102" s="2"/>
      <c r="C102" s="2"/>
      <c r="D102" s="2"/>
      <c r="E102" s="2"/>
      <c r="F102" s="2"/>
      <c r="G102" s="10">
        <v>40</v>
      </c>
      <c r="H102" s="2" t="s">
        <v>97</v>
      </c>
      <c r="I102" s="10">
        <v>102</v>
      </c>
      <c r="J102" s="3"/>
    </row>
    <row x14ac:dyDescent="0.25" r="103" customHeight="1" ht="17.25">
      <c r="A103" s="2"/>
      <c r="B103" s="2"/>
      <c r="C103" s="2"/>
      <c r="D103" s="2"/>
      <c r="E103" s="2"/>
      <c r="F103" s="2"/>
      <c r="G103" s="10">
        <v>41</v>
      </c>
      <c r="H103" s="2" t="s">
        <v>81</v>
      </c>
      <c r="I103" s="10">
        <v>103</v>
      </c>
      <c r="J103" s="3"/>
    </row>
    <row x14ac:dyDescent="0.25" r="104" customHeight="1" ht="17.25">
      <c r="A104" s="2"/>
      <c r="B104" s="2"/>
      <c r="C104" s="2"/>
      <c r="D104" s="2"/>
      <c r="E104" s="2"/>
      <c r="F104" s="2"/>
      <c r="G104" s="10">
        <v>42</v>
      </c>
      <c r="H104" s="2" t="s">
        <v>79</v>
      </c>
      <c r="I104" s="10">
        <v>104</v>
      </c>
      <c r="J104" s="3"/>
    </row>
    <row x14ac:dyDescent="0.25" r="105" customHeight="1" ht="17.25">
      <c r="A105" s="2"/>
      <c r="B105" s="2"/>
      <c r="C105" s="2"/>
      <c r="D105" s="2"/>
      <c r="E105" s="2"/>
      <c r="F105" s="2"/>
      <c r="G105" s="10">
        <v>43</v>
      </c>
      <c r="H105" s="2" t="s">
        <v>83</v>
      </c>
      <c r="I105" s="10">
        <v>105</v>
      </c>
      <c r="J105" s="3"/>
    </row>
    <row x14ac:dyDescent="0.25" r="106" customHeight="1" ht="17.25">
      <c r="A106" s="2"/>
      <c r="B106" s="2"/>
      <c r="C106" s="2"/>
      <c r="D106" s="2"/>
      <c r="E106" s="2"/>
      <c r="F106" s="2"/>
      <c r="G106" s="10">
        <v>44</v>
      </c>
      <c r="H106" s="2" t="s">
        <v>78</v>
      </c>
      <c r="I106" s="10">
        <v>106</v>
      </c>
      <c r="J106" s="3"/>
    </row>
    <row x14ac:dyDescent="0.25" r="107" customHeight="1" ht="17.25">
      <c r="A107" s="2"/>
      <c r="B107" s="2"/>
      <c r="C107" s="2"/>
      <c r="D107" s="2"/>
      <c r="E107" s="2"/>
      <c r="F107" s="2"/>
      <c r="G107" s="10">
        <v>45</v>
      </c>
      <c r="H107" s="2" t="s">
        <v>80</v>
      </c>
      <c r="I107" s="10">
        <v>107</v>
      </c>
      <c r="J107" s="3"/>
    </row>
    <row x14ac:dyDescent="0.25" r="108" customHeight="1" ht="17.25">
      <c r="A108" s="2"/>
      <c r="B108" s="2"/>
      <c r="C108" s="2"/>
      <c r="D108" s="2"/>
      <c r="E108" s="2"/>
      <c r="F108" s="2"/>
      <c r="G108" s="10">
        <v>46</v>
      </c>
      <c r="H108" s="2" t="s">
        <v>82</v>
      </c>
      <c r="I108" s="10">
        <v>108</v>
      </c>
      <c r="J108" s="3"/>
    </row>
    <row x14ac:dyDescent="0.25" r="109" customHeight="1" ht="17.25">
      <c r="A109" s="2"/>
      <c r="B109" s="2"/>
      <c r="C109" s="2"/>
      <c r="D109" s="2"/>
      <c r="E109" s="2"/>
      <c r="F109" s="2"/>
      <c r="G109" s="10">
        <v>47</v>
      </c>
      <c r="H109" s="2" t="s">
        <v>98</v>
      </c>
      <c r="I109" s="10">
        <v>109</v>
      </c>
      <c r="J109" s="3"/>
    </row>
    <row x14ac:dyDescent="0.25" r="110" customHeight="1" ht="17.25">
      <c r="A110" s="2"/>
      <c r="B110" s="2"/>
      <c r="C110" s="2"/>
      <c r="D110" s="2"/>
      <c r="E110" s="2"/>
      <c r="F110" s="2"/>
      <c r="G110" s="10">
        <v>48</v>
      </c>
      <c r="H110" s="2" t="s">
        <v>84</v>
      </c>
      <c r="I110" s="10">
        <v>110</v>
      </c>
      <c r="J110" s="3"/>
    </row>
    <row x14ac:dyDescent="0.25" r="111" customHeight="1" ht="17.25">
      <c r="A111" s="2"/>
      <c r="B111" s="2"/>
      <c r="C111" s="2"/>
      <c r="D111" s="2"/>
      <c r="E111" s="2"/>
      <c r="F111" s="2"/>
      <c r="G111" s="10">
        <v>49</v>
      </c>
      <c r="H111" s="2" t="s">
        <v>90</v>
      </c>
      <c r="I111" s="10">
        <v>111</v>
      </c>
      <c r="J111" s="3"/>
    </row>
    <row x14ac:dyDescent="0.25" r="112" customHeight="1" ht="17.25">
      <c r="A112" s="2"/>
      <c r="B112" s="2"/>
      <c r="C112" s="2"/>
      <c r="D112" s="2"/>
      <c r="E112" s="2"/>
      <c r="F112" s="2"/>
      <c r="G112" s="10">
        <v>50</v>
      </c>
      <c r="H112" s="2" t="s">
        <v>75</v>
      </c>
      <c r="I112" s="10">
        <v>112</v>
      </c>
      <c r="J112" s="3"/>
    </row>
    <row x14ac:dyDescent="0.25" r="113" customHeight="1" ht="17.25">
      <c r="A113" s="2"/>
      <c r="B113" s="2"/>
      <c r="C113" s="2"/>
      <c r="D113" s="2"/>
      <c r="E113" s="2"/>
      <c r="F113" s="2"/>
      <c r="G113" s="10">
        <v>51</v>
      </c>
      <c r="H113" s="2" t="s">
        <v>72</v>
      </c>
      <c r="I113" s="10">
        <v>113</v>
      </c>
      <c r="J113" s="3"/>
    </row>
    <row x14ac:dyDescent="0.25" r="114" customHeight="1" ht="17.25">
      <c r="A114" s="2"/>
      <c r="B114" s="2"/>
      <c r="C114" s="2"/>
      <c r="D114" s="2"/>
      <c r="E114" s="2"/>
      <c r="F114" s="2"/>
      <c r="G114" s="10">
        <v>52</v>
      </c>
      <c r="H114" s="2" t="s">
        <v>87</v>
      </c>
      <c r="I114" s="10">
        <v>114</v>
      </c>
      <c r="J114" s="3"/>
    </row>
    <row x14ac:dyDescent="0.25" r="115" customHeight="1" ht="17.25">
      <c r="A115" s="2"/>
      <c r="B115" s="2"/>
      <c r="C115" s="2"/>
      <c r="D115" s="2"/>
      <c r="E115" s="2"/>
      <c r="F115" s="2"/>
      <c r="G115" s="10">
        <v>53</v>
      </c>
      <c r="H115" s="2" t="s">
        <v>93</v>
      </c>
      <c r="I115" s="10">
        <v>115</v>
      </c>
      <c r="J115" s="3"/>
    </row>
    <row x14ac:dyDescent="0.25" r="116" customHeight="1" ht="17.25">
      <c r="A116" s="2"/>
      <c r="B116" s="2"/>
      <c r="C116" s="2"/>
      <c r="D116" s="2"/>
      <c r="E116" s="2"/>
      <c r="F116" s="2"/>
      <c r="G116" s="10">
        <v>54</v>
      </c>
      <c r="H116" s="2" t="s">
        <v>59</v>
      </c>
      <c r="I116" s="10">
        <v>116</v>
      </c>
      <c r="J116" s="3"/>
    </row>
    <row x14ac:dyDescent="0.25" r="117" customHeight="1" ht="17.25">
      <c r="A117" s="2"/>
      <c r="B117" s="2"/>
      <c r="C117" s="2"/>
      <c r="D117" s="2"/>
      <c r="E117" s="2"/>
      <c r="F117" s="2"/>
      <c r="G117" s="10">
        <v>55</v>
      </c>
      <c r="H117" s="2" t="s">
        <v>85</v>
      </c>
      <c r="I117" s="10">
        <v>117</v>
      </c>
      <c r="J117" s="3"/>
    </row>
    <row x14ac:dyDescent="0.25" r="118" customHeight="1" ht="17.25">
      <c r="A118" s="2"/>
      <c r="B118" s="2"/>
      <c r="C118" s="2"/>
      <c r="D118" s="2"/>
      <c r="E118" s="2"/>
      <c r="F118" s="2"/>
      <c r="G118" s="10">
        <v>56</v>
      </c>
      <c r="H118" s="2" t="s">
        <v>89</v>
      </c>
      <c r="I118" s="10">
        <v>118</v>
      </c>
      <c r="J118" s="3"/>
    </row>
    <row x14ac:dyDescent="0.25" r="119" customHeight="1" ht="17.25">
      <c r="A119" s="2"/>
      <c r="B119" s="2"/>
      <c r="C119" s="2"/>
      <c r="D119" s="2"/>
      <c r="E119" s="2"/>
      <c r="F119" s="2"/>
      <c r="G119" s="10">
        <v>57</v>
      </c>
      <c r="H119" s="2" t="s">
        <v>95</v>
      </c>
      <c r="I119" s="3"/>
      <c r="J119" s="3"/>
    </row>
    <row x14ac:dyDescent="0.25" r="120" customHeight="1" ht="17.25">
      <c r="A120" s="2"/>
      <c r="B120" s="2"/>
      <c r="C120" s="2"/>
      <c r="D120" s="2"/>
      <c r="E120" s="2"/>
      <c r="F120" s="2"/>
      <c r="G120" s="10">
        <v>59</v>
      </c>
      <c r="H120" s="2" t="s">
        <v>61</v>
      </c>
      <c r="I120" s="3"/>
      <c r="J120" s="3"/>
    </row>
    <row x14ac:dyDescent="0.25" r="121" customHeight="1" ht="17.25">
      <c r="A121" s="2"/>
      <c r="B121" s="2"/>
      <c r="C121" s="2"/>
      <c r="D121" s="2"/>
      <c r="E121" s="2"/>
      <c r="F121" s="2"/>
      <c r="G121" s="10">
        <v>60</v>
      </c>
      <c r="H121" s="2" t="s">
        <v>66</v>
      </c>
      <c r="I121" s="3"/>
      <c r="J12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Y302"/>
  <sheetViews>
    <sheetView workbookViewId="0">
      <pane state="frozen" activePane="bottomLeft" topLeftCell="A2" ySplit="1" xSplit="0"/>
    </sheetView>
  </sheetViews>
  <sheetFormatPr defaultRowHeight="15" x14ac:dyDescent="0.25"/>
  <cols>
    <col min="1" max="1" style="12" width="3.862142857142857" customWidth="1" bestFit="1"/>
    <col min="2" max="2" style="12" width="5.005" customWidth="1" bestFit="1"/>
    <col min="3" max="3" style="13" width="44.86214285714286" customWidth="1" bestFit="1"/>
    <col min="4" max="4" style="12" width="15.290714285714287" customWidth="1" bestFit="1"/>
    <col min="5" max="5" style="12" width="23.290714285714284" customWidth="1" bestFit="1"/>
    <col min="6" max="6" style="14" width="27.719285714285714" customWidth="1" bestFit="1"/>
    <col min="7" max="7" style="12" width="21.14785714285714" customWidth="1" bestFit="1"/>
    <col min="8" max="8" style="12" width="25.14785714285714" customWidth="1" bestFit="1"/>
    <col min="9" max="9" style="14" width="29.005" customWidth="1" bestFit="1"/>
    <col min="10" max="10" style="12" width="24.719285714285714" customWidth="1" bestFit="1"/>
    <col min="11" max="11" style="14" width="34.14785714285715" customWidth="1" bestFit="1"/>
    <col min="12" max="12" style="14" width="53.57642857142857" customWidth="1" bestFit="1"/>
    <col min="13" max="13" style="31" width="16.290714285714284" customWidth="1" bestFit="1"/>
    <col min="14" max="14" style="31" width="16.290714285714284" customWidth="1" bestFit="1"/>
    <col min="15" max="15" style="31" width="15.290714285714287" customWidth="1" bestFit="1"/>
    <col min="16" max="16" style="13" width="12.576428571428572" customWidth="1" bestFit="1"/>
    <col min="17" max="17" style="13" width="12.576428571428572" customWidth="1" bestFit="1"/>
    <col min="18" max="18" style="13" width="12.576428571428572" customWidth="1" bestFit="1"/>
    <col min="19" max="19" style="13" width="12.576428571428572" customWidth="1" bestFit="1"/>
    <col min="20" max="20" style="13" width="12.576428571428572" customWidth="1" bestFit="1"/>
    <col min="21" max="21" style="13" width="12.576428571428572" customWidth="1" bestFit="1"/>
    <col min="22" max="22" style="13" width="12.576428571428572" customWidth="1" bestFit="1"/>
    <col min="23" max="23" style="13" width="12.576428571428572" customWidth="1" bestFit="1"/>
    <col min="24" max="24" style="13" width="10.719285714285713" customWidth="1" bestFit="1"/>
    <col min="25" max="25" style="13" width="35.29071428571429" customWidth="1" bestFit="1"/>
  </cols>
  <sheetData>
    <row x14ac:dyDescent="0.25" r="1" customHeight="1" ht="17.25">
      <c r="A1" s="18" t="s">
        <v>168</v>
      </c>
      <c r="B1" s="18" t="s">
        <v>100</v>
      </c>
      <c r="C1" s="20" t="s">
        <v>169</v>
      </c>
      <c r="D1" s="32" t="s">
        <v>6</v>
      </c>
      <c r="E1" s="18" t="s">
        <v>7</v>
      </c>
      <c r="F1" s="33" t="s">
        <v>8</v>
      </c>
      <c r="G1" s="32" t="s">
        <v>9</v>
      </c>
      <c r="H1" s="18" t="s">
        <v>10</v>
      </c>
      <c r="I1" s="33" t="s">
        <v>11</v>
      </c>
      <c r="J1" s="32" t="s">
        <v>12</v>
      </c>
      <c r="K1" s="33" t="s">
        <v>13</v>
      </c>
      <c r="L1" s="33" t="s">
        <v>5</v>
      </c>
      <c r="M1" s="22" t="s">
        <v>101</v>
      </c>
      <c r="N1" s="22" t="s">
        <v>102</v>
      </c>
      <c r="O1" s="22" t="s">
        <v>170</v>
      </c>
      <c r="P1" s="2"/>
      <c r="Q1" s="2"/>
      <c r="R1" s="2"/>
      <c r="S1" s="2"/>
      <c r="T1" s="2"/>
      <c r="U1" s="2"/>
      <c r="V1" s="2"/>
      <c r="W1" s="2"/>
      <c r="X1" s="2"/>
      <c r="Y1" s="2"/>
    </row>
    <row x14ac:dyDescent="0.25" r="2" customHeight="1" ht="17.25">
      <c r="A2" s="10">
        <v>1</v>
      </c>
      <c r="B2" s="10">
        <v>2015</v>
      </c>
      <c r="C2" s="2" t="s">
        <v>15</v>
      </c>
      <c r="D2" s="34">
        <v>1012</v>
      </c>
      <c r="E2" s="10">
        <v>9466284582</v>
      </c>
      <c r="F2" s="35">
        <v>9466.284582</v>
      </c>
      <c r="G2" s="34">
        <v>616</v>
      </c>
      <c r="H2" s="11">
        <v>6962482085.25</v>
      </c>
      <c r="I2" s="35">
        <v>6962.48208525</v>
      </c>
      <c r="J2" s="36" t="s">
        <v>16</v>
      </c>
      <c r="K2" s="37" t="s">
        <v>16</v>
      </c>
      <c r="L2" s="35">
        <v>16428.766667249998</v>
      </c>
      <c r="M2" s="26">
        <f>_xlfn.CONCAT("'",$B2,"'","!","$C$3:$K$23")</f>
      </c>
      <c r="N2" s="26">
        <f>_xlfn.CONCAT("'",$B2,"'","!","$B$3:$B$22")</f>
      </c>
      <c r="O2" s="26">
        <f>_xlfn.CONCAT("'",$B2,"'","!","$C$2:$K$2")</f>
      </c>
      <c r="P2" s="2"/>
      <c r="Q2" s="2"/>
      <c r="R2" s="2"/>
      <c r="S2" s="2"/>
      <c r="T2" s="2"/>
      <c r="U2" s="2"/>
      <c r="V2" s="27"/>
      <c r="W2" s="2"/>
      <c r="X2" s="2"/>
      <c r="Y2" s="2"/>
    </row>
    <row x14ac:dyDescent="0.25" r="3" customHeight="1" ht="17.25">
      <c r="A3" s="10">
        <v>2</v>
      </c>
      <c r="B3" s="10">
        <v>2015</v>
      </c>
      <c r="C3" s="2" t="s">
        <v>18</v>
      </c>
      <c r="D3" s="34">
        <v>10</v>
      </c>
      <c r="E3" s="10">
        <v>2859591155</v>
      </c>
      <c r="F3" s="35">
        <v>2859.591155</v>
      </c>
      <c r="G3" s="34">
        <v>11</v>
      </c>
      <c r="H3" s="10">
        <v>-60160477</v>
      </c>
      <c r="I3" s="35">
        <v>60.160477</v>
      </c>
      <c r="J3" s="36" t="s">
        <v>16</v>
      </c>
      <c r="K3" s="37" t="s">
        <v>16</v>
      </c>
      <c r="L3" s="35">
        <v>2919.751632</v>
      </c>
      <c r="M3" s="29" t="s">
        <v>107</v>
      </c>
      <c r="N3" s="26">
        <f>_xlfn.CONCAT("'",$B3,"'","!","$B$3:$B$22")</f>
      </c>
      <c r="O3" s="26">
        <f>_xlfn.CONCAT("'",$B3,"'","!","$C$2:$K$2")</f>
      </c>
      <c r="P3" s="2"/>
      <c r="Q3" s="2"/>
      <c r="R3" s="2"/>
      <c r="S3" s="2"/>
      <c r="T3" s="2"/>
      <c r="U3" s="2"/>
      <c r="V3" s="28"/>
      <c r="W3" s="2"/>
      <c r="X3" s="2"/>
      <c r="Y3" s="2"/>
    </row>
    <row x14ac:dyDescent="0.25" r="4" customHeight="1" ht="17.25">
      <c r="A4" s="10">
        <v>3</v>
      </c>
      <c r="B4" s="10">
        <v>2015</v>
      </c>
      <c r="C4" s="2" t="s">
        <v>20</v>
      </c>
      <c r="D4" s="34">
        <v>34</v>
      </c>
      <c r="E4" s="10">
        <v>2146413268</v>
      </c>
      <c r="F4" s="35">
        <v>2146.413268</v>
      </c>
      <c r="G4" s="34">
        <v>14</v>
      </c>
      <c r="H4" s="10">
        <v>248289212</v>
      </c>
      <c r="I4" s="35">
        <v>248.289212</v>
      </c>
      <c r="J4" s="36" t="s">
        <v>16</v>
      </c>
      <c r="K4" s="37" t="s">
        <v>16</v>
      </c>
      <c r="L4" s="35">
        <v>2394.70248</v>
      </c>
      <c r="M4" s="26">
        <f>INDEX(INDIRECT($M194),
       MATCH(TRIM($C194), TRIM(INDIRECT($N194)), 0),
       MATCH(TRIM(X$1), TRIM(INDIRECT($O194)), 0))</f>
      </c>
      <c r="N4" s="26">
        <f>_xlfn.CONCAT("'",$B4,"'","!","$B$3:$B$22")</f>
      </c>
      <c r="O4" s="26">
        <f>_xlfn.CONCAT("'",$B4,"'","!","$C$2:$K$2")</f>
      </c>
      <c r="P4" s="2"/>
      <c r="Q4" s="2"/>
      <c r="R4" s="2"/>
      <c r="S4" s="2"/>
      <c r="T4" s="2"/>
      <c r="U4" s="2"/>
      <c r="V4" s="28"/>
      <c r="W4" s="2"/>
      <c r="X4" s="2"/>
      <c r="Y4" s="2"/>
    </row>
    <row x14ac:dyDescent="0.25" r="5" customHeight="1" ht="17.25">
      <c r="A5" s="10">
        <v>4</v>
      </c>
      <c r="B5" s="10">
        <v>2015</v>
      </c>
      <c r="C5" s="2" t="s">
        <v>22</v>
      </c>
      <c r="D5" s="34">
        <v>115</v>
      </c>
      <c r="E5" s="10">
        <v>575129332</v>
      </c>
      <c r="F5" s="35">
        <v>575.129332</v>
      </c>
      <c r="G5" s="34">
        <v>30</v>
      </c>
      <c r="H5" s="10">
        <v>163437685</v>
      </c>
      <c r="I5" s="35">
        <v>163.437685</v>
      </c>
      <c r="J5" s="36" t="s">
        <v>16</v>
      </c>
      <c r="K5" s="37" t="s">
        <v>16</v>
      </c>
      <c r="L5" s="35">
        <v>738.567017</v>
      </c>
      <c r="M5" s="26">
        <f>INDEX(INDIRECT($M195),
       MATCH(TRIM($C195), TRIM(INDIRECT($N195)), 0),
       MATCH(TRIM(X$1), TRIM(INDIRECT($O195)), 0))</f>
      </c>
      <c r="N5" s="26">
        <f>_xlfn.CONCAT("'",$B5,"'","!","$B$3:$B$22")</f>
      </c>
      <c r="O5" s="26">
        <f>_xlfn.CONCAT("'",$B5,"'","!","$C$2:$K$2")</f>
      </c>
      <c r="P5" s="2"/>
      <c r="Q5" s="2"/>
      <c r="R5" s="2"/>
      <c r="S5" s="2"/>
      <c r="T5" s="2"/>
      <c r="U5" s="2"/>
      <c r="V5" s="28"/>
      <c r="W5" s="2"/>
      <c r="X5" s="2"/>
      <c r="Y5" s="2"/>
    </row>
    <row x14ac:dyDescent="0.25" r="6" customHeight="1" ht="17.25">
      <c r="A6" s="10">
        <v>5</v>
      </c>
      <c r="B6" s="10">
        <v>2015</v>
      </c>
      <c r="C6" s="2" t="s">
        <v>24</v>
      </c>
      <c r="D6" s="34">
        <v>328</v>
      </c>
      <c r="E6" s="11">
        <v>516079367.24</v>
      </c>
      <c r="F6" s="35">
        <v>516.07936724</v>
      </c>
      <c r="G6" s="34">
        <v>67</v>
      </c>
      <c r="H6" s="11">
        <v>168351429.17</v>
      </c>
      <c r="I6" s="35">
        <v>168.35142917</v>
      </c>
      <c r="J6" s="36" t="s">
        <v>16</v>
      </c>
      <c r="K6" s="37" t="s">
        <v>16</v>
      </c>
      <c r="L6" s="35">
        <v>684.43079641</v>
      </c>
      <c r="M6" s="26">
        <f>INDEX(INDIRECT($M196),
       MATCH(TRIM($C196), TRIM(INDIRECT($N196)), 0),
       MATCH(TRIM(X$1), TRIM(INDIRECT($O196)), 0))</f>
      </c>
      <c r="N6" s="26">
        <f>_xlfn.CONCAT("'",$B6,"'","!","$B$3:$B$22")</f>
      </c>
      <c r="O6" s="26">
        <f>_xlfn.CONCAT("'",$B6,"'","!","$C$2:$K$2")</f>
      </c>
      <c r="P6" s="2"/>
      <c r="Q6" s="2"/>
      <c r="R6" s="2"/>
      <c r="S6" s="2"/>
      <c r="T6" s="2"/>
      <c r="U6" s="2"/>
      <c r="V6" s="2"/>
      <c r="W6" s="2"/>
      <c r="X6" s="2"/>
      <c r="Y6" s="2"/>
    </row>
    <row x14ac:dyDescent="0.25" r="7" customHeight="1" ht="17.25">
      <c r="A7" s="10">
        <v>6</v>
      </c>
      <c r="B7" s="10">
        <v>2015</v>
      </c>
      <c r="C7" s="2" t="s">
        <v>26</v>
      </c>
      <c r="D7" s="34">
        <v>17</v>
      </c>
      <c r="E7" s="10">
        <v>149018873</v>
      </c>
      <c r="F7" s="35">
        <v>149.018873</v>
      </c>
      <c r="G7" s="34">
        <v>16</v>
      </c>
      <c r="H7" s="10">
        <v>108987838</v>
      </c>
      <c r="I7" s="35">
        <v>108.987838</v>
      </c>
      <c r="J7" s="36" t="s">
        <v>16</v>
      </c>
      <c r="K7" s="37" t="s">
        <v>16</v>
      </c>
      <c r="L7" s="35">
        <v>258.006711</v>
      </c>
      <c r="M7" s="26">
        <f>INDEX(INDIRECT($M197),
       MATCH(TRIM($C197), TRIM(INDIRECT($N197)), 0),
       MATCH(TRIM(X$1), TRIM(INDIRECT($O197)), 0))</f>
      </c>
      <c r="N7" s="26">
        <f>_xlfn.CONCAT("'",$B7,"'","!","$B$3:$B$22")</f>
      </c>
      <c r="O7" s="26">
        <f>_xlfn.CONCAT("'",$B7,"'","!","$C$2:$K$2")</f>
      </c>
      <c r="P7" s="2"/>
      <c r="Q7" s="2"/>
      <c r="R7" s="2"/>
      <c r="S7" s="2"/>
      <c r="T7" s="2"/>
      <c r="U7" s="2"/>
      <c r="V7" s="2"/>
      <c r="W7" s="2"/>
      <c r="X7" s="2"/>
      <c r="Y7" s="2"/>
    </row>
    <row x14ac:dyDescent="0.25" r="8" customHeight="1" ht="17.25">
      <c r="A8" s="10">
        <v>7</v>
      </c>
      <c r="B8" s="10">
        <v>2015</v>
      </c>
      <c r="C8" s="2" t="s">
        <v>28</v>
      </c>
      <c r="D8" s="34">
        <v>215</v>
      </c>
      <c r="E8" s="10">
        <v>223986627</v>
      </c>
      <c r="F8" s="35">
        <v>223.986627</v>
      </c>
      <c r="G8" s="34">
        <v>57</v>
      </c>
      <c r="H8" s="10">
        <v>26150600</v>
      </c>
      <c r="I8" s="35">
        <v>26.1506</v>
      </c>
      <c r="J8" s="36" t="s">
        <v>16</v>
      </c>
      <c r="K8" s="37" t="s">
        <v>16</v>
      </c>
      <c r="L8" s="35">
        <v>250.137227</v>
      </c>
      <c r="M8" s="26">
        <f>INDEX(INDIRECT($M198),
       MATCH(TRIM($C198), TRIM(INDIRECT($N198)), 0),
       MATCH(TRIM(X$1), TRIM(INDIRECT($O198)), 0))</f>
      </c>
      <c r="N8" s="26">
        <f>_xlfn.CONCAT("'",$B8,"'","!","$B$3:$B$22")</f>
      </c>
      <c r="O8" s="26">
        <f>_xlfn.CONCAT("'",$B8,"'","!","$C$2:$K$2")</f>
      </c>
      <c r="P8" s="2"/>
      <c r="Q8" s="2"/>
      <c r="R8" s="2"/>
      <c r="S8" s="2"/>
      <c r="T8" s="2"/>
      <c r="U8" s="2"/>
      <c r="V8" s="2"/>
      <c r="W8" s="2"/>
      <c r="X8" s="2"/>
      <c r="Y8" s="2"/>
    </row>
    <row x14ac:dyDescent="0.25" r="9" customHeight="1" ht="17.25">
      <c r="A9" s="10">
        <v>8</v>
      </c>
      <c r="B9" s="10">
        <v>2015</v>
      </c>
      <c r="C9" s="2" t="s">
        <v>30</v>
      </c>
      <c r="D9" s="34">
        <v>55</v>
      </c>
      <c r="E9" s="10">
        <v>72635827</v>
      </c>
      <c r="F9" s="35">
        <v>72.635827</v>
      </c>
      <c r="G9" s="34">
        <v>25</v>
      </c>
      <c r="H9" s="10">
        <v>72394649</v>
      </c>
      <c r="I9" s="35">
        <v>72.394649</v>
      </c>
      <c r="J9" s="36" t="s">
        <v>16</v>
      </c>
      <c r="K9" s="37" t="s">
        <v>16</v>
      </c>
      <c r="L9" s="35">
        <v>145.03047600000002</v>
      </c>
      <c r="M9" s="26">
        <f>INDEX(INDIRECT($M199),
       MATCH(TRIM($C199), TRIM(INDIRECT($N199)), 0),
       MATCH(TRIM(X$1), TRIM(INDIRECT($O199)), 0))</f>
      </c>
      <c r="N9" s="26">
        <f>_xlfn.CONCAT("'",$B9,"'","!","$B$3:$B$22")</f>
      </c>
      <c r="O9" s="26">
        <f>_xlfn.CONCAT("'",$B9,"'","!","$C$2:$K$2")</f>
      </c>
      <c r="P9" s="2"/>
      <c r="Q9" s="2"/>
      <c r="R9" s="2"/>
      <c r="S9" s="2"/>
      <c r="T9" s="2"/>
      <c r="U9" s="2"/>
      <c r="V9" s="2"/>
      <c r="W9" s="2"/>
      <c r="X9" s="2"/>
      <c r="Y9" s="2"/>
    </row>
    <row x14ac:dyDescent="0.25" r="10" customHeight="1" ht="17.25">
      <c r="A10" s="10">
        <v>9</v>
      </c>
      <c r="B10" s="10">
        <v>2015</v>
      </c>
      <c r="C10" s="2" t="s">
        <v>32</v>
      </c>
      <c r="D10" s="34">
        <v>65</v>
      </c>
      <c r="E10" s="10">
        <v>110304869</v>
      </c>
      <c r="F10" s="35">
        <v>110.304869</v>
      </c>
      <c r="G10" s="34">
        <v>13</v>
      </c>
      <c r="H10" s="10">
        <v>29129961</v>
      </c>
      <c r="I10" s="35">
        <v>29.129961</v>
      </c>
      <c r="J10" s="36" t="s">
        <v>16</v>
      </c>
      <c r="K10" s="37" t="s">
        <v>16</v>
      </c>
      <c r="L10" s="35">
        <v>139.43483</v>
      </c>
      <c r="M10" s="26">
        <f>INDEX(INDIRECT($M200),
       MATCH(TRIM($C200), TRIM(INDIRECT($N200)), 0),
       MATCH(TRIM(X$1), TRIM(INDIRECT($O200)), 0))</f>
      </c>
      <c r="N10" s="26">
        <f>_xlfn.CONCAT("'",$B10,"'","!","$B$3:$B$22")</f>
      </c>
      <c r="O10" s="26">
        <f>_xlfn.CONCAT("'",$B10,"'","!","$C$2:$K$2")</f>
      </c>
      <c r="P10" s="2"/>
      <c r="Q10" s="2"/>
      <c r="R10" s="2"/>
      <c r="S10" s="2"/>
      <c r="T10" s="2"/>
      <c r="U10" s="2"/>
      <c r="V10" s="2"/>
      <c r="W10" s="2"/>
      <c r="X10" s="2"/>
      <c r="Y10" s="2"/>
    </row>
    <row x14ac:dyDescent="0.25" r="11" customHeight="1" ht="17.25">
      <c r="A11" s="10">
        <v>10</v>
      </c>
      <c r="B11" s="10">
        <v>2015</v>
      </c>
      <c r="C11" s="2" t="s">
        <v>34</v>
      </c>
      <c r="D11" s="34">
        <v>171</v>
      </c>
      <c r="E11" s="10">
        <v>66065998</v>
      </c>
      <c r="F11" s="35">
        <v>66.065998</v>
      </c>
      <c r="G11" s="34">
        <v>43</v>
      </c>
      <c r="H11" s="10">
        <v>30838715</v>
      </c>
      <c r="I11" s="35">
        <v>30.838715</v>
      </c>
      <c r="J11" s="36" t="s">
        <v>16</v>
      </c>
      <c r="K11" s="37" t="s">
        <v>16</v>
      </c>
      <c r="L11" s="35">
        <v>96.90471299999999</v>
      </c>
      <c r="M11" s="26">
        <f>INDEX(INDIRECT($M201),
       MATCH(TRIM($C201), TRIM(INDIRECT($N201)), 0),
       MATCH(TRIM(X$1), TRIM(INDIRECT($O201)), 0))</f>
      </c>
      <c r="N11" s="26">
        <f>_xlfn.CONCAT("'",$B11,"'","!","$B$3:$B$22")</f>
      </c>
      <c r="O11" s="26">
        <f>_xlfn.CONCAT("'",$B11,"'","!","$C$2:$K$2")</f>
      </c>
      <c r="P11" s="2"/>
      <c r="Q11" s="2"/>
      <c r="R11" s="2"/>
      <c r="S11" s="2"/>
      <c r="T11" s="2"/>
      <c r="U11" s="2"/>
      <c r="V11" s="2"/>
      <c r="W11" s="2"/>
      <c r="X11" s="2"/>
      <c r="Y11" s="2"/>
    </row>
    <row x14ac:dyDescent="0.25" r="12" customHeight="1" ht="17.25">
      <c r="A12" s="10">
        <v>11</v>
      </c>
      <c r="B12" s="10">
        <v>2015</v>
      </c>
      <c r="C12" s="2" t="s">
        <v>36</v>
      </c>
      <c r="D12" s="34">
        <v>25</v>
      </c>
      <c r="E12" s="10">
        <v>57345769</v>
      </c>
      <c r="F12" s="35">
        <v>57.345769</v>
      </c>
      <c r="G12" s="34">
        <v>5</v>
      </c>
      <c r="H12" s="10">
        <v>-5500000</v>
      </c>
      <c r="I12" s="35">
        <v>-5.5</v>
      </c>
      <c r="J12" s="36" t="s">
        <v>16</v>
      </c>
      <c r="K12" s="37" t="s">
        <v>16</v>
      </c>
      <c r="L12" s="35">
        <v>51.845769</v>
      </c>
      <c r="M12" s="26">
        <f>INDEX(INDIRECT($M202),
       MATCH(TRIM($C202), TRIM(INDIRECT($N202)), 0),
       MATCH(TRIM(X$1), TRIM(INDIRECT($O202)), 0))</f>
      </c>
      <c r="N12" s="26">
        <f>_xlfn.CONCAT("'",$B12,"'","!","$B$3:$B$22")</f>
      </c>
      <c r="O12" s="26">
        <f>_xlfn.CONCAT("'",$B12,"'","!","$C$2:$K$2")</f>
      </c>
      <c r="P12" s="2"/>
      <c r="Q12" s="2"/>
      <c r="R12" s="2"/>
      <c r="S12" s="2"/>
      <c r="T12" s="2"/>
      <c r="U12" s="2"/>
      <c r="V12" s="27"/>
      <c r="W12" s="28"/>
      <c r="X12" s="28"/>
      <c r="Y12" s="28"/>
    </row>
    <row x14ac:dyDescent="0.25" r="13" customHeight="1" ht="17.25">
      <c r="A13" s="10">
        <v>12</v>
      </c>
      <c r="B13" s="10">
        <v>2015</v>
      </c>
      <c r="C13" s="2" t="s">
        <v>38</v>
      </c>
      <c r="D13" s="34">
        <v>15</v>
      </c>
      <c r="E13" s="10">
        <v>27662500</v>
      </c>
      <c r="F13" s="35">
        <v>27.6625</v>
      </c>
      <c r="G13" s="34">
        <v>5</v>
      </c>
      <c r="H13" s="10">
        <v>10350000</v>
      </c>
      <c r="I13" s="35">
        <v>10.35</v>
      </c>
      <c r="J13" s="36" t="s">
        <v>16</v>
      </c>
      <c r="K13" s="37" t="s">
        <v>16</v>
      </c>
      <c r="L13" s="35">
        <v>38.0125</v>
      </c>
      <c r="M13" s="26">
        <f>INDEX(INDIRECT($M203),
       MATCH(TRIM($C203), TRIM(INDIRECT($N203)), 0),
       MATCH(TRIM(X$1), TRIM(INDIRECT($O203)), 0))</f>
      </c>
      <c r="N13" s="26">
        <f>_xlfn.CONCAT("'",$B13,"'","!","$B$3:$B$22")</f>
      </c>
      <c r="O13" s="26">
        <f>_xlfn.CONCAT("'",$B13,"'","!","$C$2:$K$2")</f>
      </c>
      <c r="P13" s="2"/>
      <c r="Q13" s="2"/>
      <c r="R13" s="2"/>
      <c r="S13" s="2"/>
      <c r="T13" s="2"/>
      <c r="U13" s="2"/>
      <c r="V13" s="2"/>
      <c r="W13" s="2"/>
      <c r="X13" s="2"/>
      <c r="Y13" s="2"/>
    </row>
    <row x14ac:dyDescent="0.25" r="14" customHeight="1" ht="17.25">
      <c r="A14" s="10">
        <v>13</v>
      </c>
      <c r="B14" s="10">
        <v>2015</v>
      </c>
      <c r="C14" s="2" t="s">
        <v>40</v>
      </c>
      <c r="D14" s="34">
        <v>40</v>
      </c>
      <c r="E14" s="10">
        <v>28842652</v>
      </c>
      <c r="F14" s="35">
        <v>28.842652</v>
      </c>
      <c r="G14" s="34">
        <v>7</v>
      </c>
      <c r="H14" s="10">
        <v>361154</v>
      </c>
      <c r="I14" s="35">
        <v>0.361154</v>
      </c>
      <c r="J14" s="36" t="s">
        <v>16</v>
      </c>
      <c r="K14" s="37" t="s">
        <v>16</v>
      </c>
      <c r="L14" s="35">
        <v>29.203806</v>
      </c>
      <c r="M14" s="26">
        <f>INDEX(INDIRECT($M204),
       MATCH(TRIM($C204), TRIM(INDIRECT($N204)), 0),
       MATCH(TRIM(X$1), TRIM(INDIRECT($O204)), 0))</f>
      </c>
      <c r="N14" s="26">
        <f>_xlfn.CONCAT("'",$B14,"'","!","$B$3:$B$22")</f>
      </c>
      <c r="O14" s="26">
        <f>_xlfn.CONCAT("'",$B14,"'","!","$C$2:$K$2")</f>
      </c>
      <c r="P14" s="2"/>
      <c r="Q14" s="2"/>
      <c r="R14" s="2"/>
      <c r="S14" s="2"/>
      <c r="T14" s="2"/>
      <c r="U14" s="2"/>
      <c r="V14" s="2"/>
      <c r="W14" s="2"/>
      <c r="X14" s="2"/>
      <c r="Y14" s="2"/>
    </row>
    <row x14ac:dyDescent="0.25" r="15" customHeight="1" ht="17.25">
      <c r="A15" s="10">
        <v>14</v>
      </c>
      <c r="B15" s="10">
        <v>2015</v>
      </c>
      <c r="C15" s="2" t="s">
        <v>42</v>
      </c>
      <c r="D15" s="34">
        <v>3</v>
      </c>
      <c r="E15" s="10">
        <v>2200000</v>
      </c>
      <c r="F15" s="35">
        <v>2.2</v>
      </c>
      <c r="G15" s="34">
        <v>3</v>
      </c>
      <c r="H15" s="10">
        <v>15377541</v>
      </c>
      <c r="I15" s="35">
        <v>15.377541</v>
      </c>
      <c r="J15" s="36" t="s">
        <v>16</v>
      </c>
      <c r="K15" s="37" t="s">
        <v>16</v>
      </c>
      <c r="L15" s="35">
        <v>17.577541</v>
      </c>
      <c r="M15" s="26">
        <f>INDEX(INDIRECT($M205),
       MATCH(TRIM($C205), TRIM(INDIRECT($N205)), 0),
       MATCH(TRIM(X$1), TRIM(INDIRECT($O205)), 0))</f>
      </c>
      <c r="N15" s="26">
        <f>_xlfn.CONCAT("'",$B15,"'","!","$B$3:$B$22")</f>
      </c>
      <c r="O15" s="26">
        <f>_xlfn.CONCAT("'",$B15,"'","!","$C$2:$K$2")</f>
      </c>
      <c r="P15" s="2"/>
      <c r="Q15" s="2"/>
      <c r="R15" s="2"/>
      <c r="S15" s="2"/>
      <c r="T15" s="2"/>
      <c r="U15" s="2"/>
      <c r="V15" s="2"/>
      <c r="W15" s="2"/>
      <c r="X15" s="2"/>
      <c r="Y15" s="2"/>
    </row>
    <row x14ac:dyDescent="0.25" r="16" customHeight="1" ht="17.25">
      <c r="A16" s="10">
        <v>15</v>
      </c>
      <c r="B16" s="10">
        <v>2015</v>
      </c>
      <c r="C16" s="2" t="s">
        <v>44</v>
      </c>
      <c r="D16" s="34">
        <v>10</v>
      </c>
      <c r="E16" s="10">
        <v>11320908</v>
      </c>
      <c r="F16" s="35">
        <v>11.320908</v>
      </c>
      <c r="G16" s="34">
        <v>3</v>
      </c>
      <c r="H16" s="10">
        <v>2000000</v>
      </c>
      <c r="I16" s="34">
        <v>2</v>
      </c>
      <c r="J16" s="36" t="s">
        <v>16</v>
      </c>
      <c r="K16" s="37" t="s">
        <v>16</v>
      </c>
      <c r="L16" s="35">
        <v>13.320908</v>
      </c>
      <c r="M16" s="26">
        <f>INDEX(INDIRECT($M206),
       MATCH(TRIM($C206), TRIM(INDIRECT($N206)), 0),
       MATCH(TRIM(X$1), TRIM(INDIRECT($O206)), 0))</f>
      </c>
      <c r="N16" s="26">
        <f>_xlfn.CONCAT("'",$B16,"'","!","$B$3:$B$22")</f>
      </c>
      <c r="O16" s="26">
        <f>_xlfn.CONCAT("'",$B16,"'","!","$C$2:$K$2")</f>
      </c>
      <c r="P16" s="2"/>
      <c r="Q16" s="2"/>
      <c r="R16" s="2"/>
      <c r="S16" s="2"/>
      <c r="T16" s="2"/>
      <c r="U16" s="2"/>
      <c r="V16" s="2"/>
      <c r="W16" s="2"/>
      <c r="X16" s="2"/>
      <c r="Y16" s="2"/>
    </row>
    <row x14ac:dyDescent="0.25" r="17" customHeight="1" ht="17.25">
      <c r="A17" s="10">
        <v>16</v>
      </c>
      <c r="B17" s="10">
        <v>2015</v>
      </c>
      <c r="C17" s="2" t="s">
        <v>46</v>
      </c>
      <c r="D17" s="34">
        <v>3</v>
      </c>
      <c r="E17" s="10">
        <v>25370476</v>
      </c>
      <c r="F17" s="35">
        <v>25.370476</v>
      </c>
      <c r="G17" s="34">
        <v>0</v>
      </c>
      <c r="H17" s="10">
        <v>0</v>
      </c>
      <c r="I17" s="34">
        <v>0</v>
      </c>
      <c r="J17" s="36" t="s">
        <v>16</v>
      </c>
      <c r="K17" s="37" t="s">
        <v>16</v>
      </c>
      <c r="L17" s="35">
        <v>25.370476</v>
      </c>
      <c r="M17" s="26">
        <f>INDEX(INDIRECT($M207),
       MATCH(TRIM($C207), TRIM(INDIRECT($N207)), 0),
       MATCH(TRIM(X$1), TRIM(INDIRECT($O207)), 0))</f>
      </c>
      <c r="N17" s="26">
        <f>_xlfn.CONCAT("'",$B17,"'","!","$B$3:$B$22")</f>
      </c>
      <c r="O17" s="26">
        <f>_xlfn.CONCAT("'",$B17,"'","!","$C$2:$K$2")</f>
      </c>
      <c r="P17" s="2"/>
      <c r="Q17" s="2"/>
      <c r="R17" s="2"/>
      <c r="S17" s="2"/>
      <c r="T17" s="2"/>
      <c r="U17" s="2"/>
      <c r="V17" s="2"/>
      <c r="W17" s="2"/>
      <c r="X17" s="2"/>
      <c r="Y17" s="2"/>
    </row>
    <row x14ac:dyDescent="0.25" r="18" customHeight="1" ht="17.25">
      <c r="A18" s="10">
        <v>17</v>
      </c>
      <c r="B18" s="10">
        <v>2015</v>
      </c>
      <c r="C18" s="2" t="s">
        <v>48</v>
      </c>
      <c r="D18" s="34">
        <v>1</v>
      </c>
      <c r="E18" s="10">
        <v>2500000</v>
      </c>
      <c r="F18" s="35">
        <v>2.5</v>
      </c>
      <c r="G18" s="34">
        <v>2</v>
      </c>
      <c r="H18" s="10">
        <v>350000</v>
      </c>
      <c r="I18" s="35">
        <v>0.35</v>
      </c>
      <c r="J18" s="36" t="s">
        <v>16</v>
      </c>
      <c r="K18" s="37" t="s">
        <v>16</v>
      </c>
      <c r="L18" s="35">
        <v>2.85</v>
      </c>
      <c r="M18" s="26">
        <f>INDEX(INDIRECT($M208),
       MATCH(TRIM($C208), TRIM(INDIRECT($N208)), 0),
       MATCH(TRIM(X$1), TRIM(INDIRECT($O208)), 0))</f>
      </c>
      <c r="N18" s="26">
        <f>_xlfn.CONCAT("'",$B18,"'","!","$B$3:$B$22")</f>
      </c>
      <c r="O18" s="26">
        <f>_xlfn.CONCAT("'",$B18,"'","!","$C$2:$K$2")</f>
      </c>
      <c r="P18" s="2"/>
      <c r="Q18" s="2"/>
      <c r="R18" s="2"/>
      <c r="S18" s="2"/>
      <c r="T18" s="2"/>
      <c r="U18" s="2"/>
      <c r="V18" s="2"/>
      <c r="W18" s="2"/>
      <c r="X18" s="2"/>
      <c r="Y18" s="2"/>
    </row>
    <row x14ac:dyDescent="0.25" r="19" customHeight="1" ht="17.25">
      <c r="A19" s="10">
        <v>18</v>
      </c>
      <c r="B19" s="10">
        <v>2015</v>
      </c>
      <c r="C19" s="2" t="s">
        <v>50</v>
      </c>
      <c r="D19" s="34">
        <v>0</v>
      </c>
      <c r="E19" s="10">
        <v>0</v>
      </c>
      <c r="F19" s="34">
        <v>0</v>
      </c>
      <c r="G19" s="34">
        <v>1</v>
      </c>
      <c r="H19" s="10">
        <v>1122581</v>
      </c>
      <c r="I19" s="35">
        <v>1.122581</v>
      </c>
      <c r="J19" s="36" t="s">
        <v>16</v>
      </c>
      <c r="K19" s="37" t="s">
        <v>16</v>
      </c>
      <c r="L19" s="35">
        <v>1.122581</v>
      </c>
      <c r="M19" s="26">
        <f>INDEX(INDIRECT($M209),
       MATCH(TRIM($C209), TRIM(INDIRECT($N209)), 0),
       MATCH(TRIM(X$1), TRIM(INDIRECT($O209)), 0))</f>
      </c>
      <c r="N19" s="26">
        <f>_xlfn.CONCAT("'",$B19,"'","!","$B$3:$B$22")</f>
      </c>
      <c r="O19" s="26">
        <f>_xlfn.CONCAT("'",$B19,"'","!","$C$2:$K$2")</f>
      </c>
      <c r="P19" s="2"/>
      <c r="Q19" s="2"/>
      <c r="R19" s="2"/>
      <c r="S19" s="2"/>
      <c r="T19" s="2"/>
      <c r="U19" s="2"/>
      <c r="V19" s="2"/>
      <c r="W19" s="2"/>
      <c r="X19" s="2"/>
      <c r="Y19" s="2"/>
    </row>
    <row x14ac:dyDescent="0.25" r="20" customHeight="1" ht="17.25">
      <c r="A20" s="10">
        <v>19</v>
      </c>
      <c r="B20" s="10">
        <v>2015</v>
      </c>
      <c r="C20" s="2" t="s">
        <v>52</v>
      </c>
      <c r="D20" s="34">
        <v>1</v>
      </c>
      <c r="E20" s="10">
        <v>290000</v>
      </c>
      <c r="F20" s="35">
        <v>0.29</v>
      </c>
      <c r="G20" s="34">
        <v>0</v>
      </c>
      <c r="H20" s="10">
        <v>0</v>
      </c>
      <c r="I20" s="34">
        <v>0</v>
      </c>
      <c r="J20" s="36" t="s">
        <v>16</v>
      </c>
      <c r="K20" s="37" t="s">
        <v>16</v>
      </c>
      <c r="L20" s="35">
        <v>0.29</v>
      </c>
      <c r="M20" s="26">
        <f>INDEX(INDIRECT($M210),
       MATCH(TRIM($C210), TRIM(INDIRECT($N210)), 0),
       MATCH(TRIM(X$1), TRIM(INDIRECT($O210)), 0))</f>
      </c>
      <c r="N20" s="26">
        <f>_xlfn.CONCAT("'",$B20,"'","!","$B$3:$B$22")</f>
      </c>
      <c r="O20" s="26">
        <f>_xlfn.CONCAT("'",$B20,"'","!","$C$2:$K$2")</f>
      </c>
      <c r="P20" s="2"/>
      <c r="Q20" s="2"/>
      <c r="R20" s="2"/>
      <c r="S20" s="2"/>
      <c r="T20" s="2"/>
      <c r="U20" s="2"/>
      <c r="V20" s="2"/>
      <c r="W20" s="2"/>
      <c r="X20" s="2"/>
      <c r="Y20" s="2"/>
    </row>
    <row x14ac:dyDescent="0.25" r="21" customHeight="1" ht="17.25">
      <c r="A21" s="10">
        <v>1</v>
      </c>
      <c r="B21" s="10">
        <v>2016</v>
      </c>
      <c r="C21" s="2" t="s">
        <v>15</v>
      </c>
      <c r="D21" s="34">
        <v>1020</v>
      </c>
      <c r="E21" s="11">
        <v>9812574442.46</v>
      </c>
      <c r="F21" s="35">
        <v>9812.57444246</v>
      </c>
      <c r="G21" s="34">
        <v>861</v>
      </c>
      <c r="H21" s="11">
        <v>5132552895.497422</v>
      </c>
      <c r="I21" s="35">
        <v>5132.5528954974225</v>
      </c>
      <c r="J21" s="34">
        <v>290</v>
      </c>
      <c r="K21" s="35">
        <v>593.5112741775457</v>
      </c>
      <c r="L21" s="35">
        <v>15538.63861213497</v>
      </c>
      <c r="M21" s="26">
        <f>INDEX(INDIRECT($M211),
       MATCH(TRIM($C211), TRIM(INDIRECT($N211)), 0),
       MATCH(TRIM(X$1), TRIM(INDIRECT($O211)), 0))</f>
      </c>
      <c r="N21" s="26">
        <f>_xlfn.CONCAT("'",$B21,"'","!","$B$3:$B$22")</f>
      </c>
      <c r="O21" s="26">
        <f>_xlfn.CONCAT("'",$B21,"'","!","$C$2:$K$2")</f>
      </c>
      <c r="P21" s="2"/>
      <c r="Q21" s="2"/>
      <c r="R21" s="2"/>
      <c r="S21" s="2"/>
      <c r="T21" s="2"/>
      <c r="U21" s="2"/>
      <c r="V21" s="2"/>
      <c r="W21" s="2"/>
      <c r="X21" s="2"/>
      <c r="Y21" s="2"/>
    </row>
    <row x14ac:dyDescent="0.25" r="22" customHeight="1" ht="17.25">
      <c r="A22" s="10">
        <v>2</v>
      </c>
      <c r="B22" s="10">
        <v>2016</v>
      </c>
      <c r="C22" s="2" t="s">
        <v>18</v>
      </c>
      <c r="D22" s="34">
        <v>2</v>
      </c>
      <c r="E22" s="10">
        <v>127226755</v>
      </c>
      <c r="F22" s="35">
        <v>127.226755</v>
      </c>
      <c r="G22" s="34">
        <v>3</v>
      </c>
      <c r="H22" s="10">
        <v>3021188</v>
      </c>
      <c r="I22" s="35">
        <v>3.021188</v>
      </c>
      <c r="J22" s="34">
        <v>1</v>
      </c>
      <c r="K22" s="35">
        <v>2.177777777777778</v>
      </c>
      <c r="L22" s="35">
        <v>132.42572077777777</v>
      </c>
      <c r="M22" s="26">
        <f>INDEX(INDIRECT($M212),
       MATCH(TRIM($C212), TRIM(INDIRECT($N212)), 0),
       MATCH(TRIM(X$1), TRIM(INDIRECT($O212)), 0))</f>
      </c>
      <c r="N22" s="26">
        <f>_xlfn.CONCAT("'",$B22,"'","!","$B$3:$B$22")</f>
      </c>
      <c r="O22" s="26">
        <f>_xlfn.CONCAT("'",$B22,"'","!","$C$2:$K$2")</f>
      </c>
      <c r="P22" s="2"/>
      <c r="Q22" s="2"/>
      <c r="R22" s="2"/>
      <c r="S22" s="2"/>
      <c r="T22" s="2"/>
      <c r="U22" s="2"/>
      <c r="V22" s="2"/>
      <c r="W22" s="2"/>
      <c r="X22" s="2"/>
      <c r="Y22" s="2"/>
    </row>
    <row x14ac:dyDescent="0.25" r="23" customHeight="1" ht="17.25">
      <c r="A23" s="10">
        <v>3</v>
      </c>
      <c r="B23" s="10">
        <v>2016</v>
      </c>
      <c r="C23" s="2" t="s">
        <v>20</v>
      </c>
      <c r="D23" s="34">
        <v>59</v>
      </c>
      <c r="E23" s="10">
        <v>1522667121</v>
      </c>
      <c r="F23" s="35">
        <v>1522.667121</v>
      </c>
      <c r="G23" s="34">
        <v>12</v>
      </c>
      <c r="H23" s="10">
        <v>-559051055</v>
      </c>
      <c r="I23" s="35">
        <v>-559.051055</v>
      </c>
      <c r="J23" s="34">
        <v>80</v>
      </c>
      <c r="K23" s="35">
        <v>722.548286496133</v>
      </c>
      <c r="L23" s="35">
        <v>1686.1643524961328</v>
      </c>
      <c r="M23" s="26">
        <f>INDEX(INDIRECT($M213),
       MATCH(TRIM($C213), TRIM(INDIRECT($N213)), 0),
       MATCH(TRIM(X$1), TRIM(INDIRECT($O213)), 0))</f>
      </c>
      <c r="N23" s="26">
        <f>_xlfn.CONCAT("'",$B23,"'","!","$B$3:$B$22")</f>
      </c>
      <c r="O23" s="26">
        <f>_xlfn.CONCAT("'",$B23,"'","!","$C$2:$K$2")</f>
      </c>
      <c r="P23" s="2"/>
      <c r="Q23" s="2"/>
      <c r="R23" s="2"/>
      <c r="S23" s="2"/>
      <c r="T23" s="2"/>
      <c r="U23" s="2"/>
      <c r="V23" s="2"/>
      <c r="W23" s="2"/>
      <c r="X23" s="2"/>
      <c r="Y23" s="2"/>
    </row>
    <row x14ac:dyDescent="0.25" r="24" customHeight="1" ht="17.25">
      <c r="A24" s="10">
        <v>4</v>
      </c>
      <c r="B24" s="10">
        <v>2016</v>
      </c>
      <c r="C24" s="2" t="s">
        <v>22</v>
      </c>
      <c r="D24" s="34">
        <v>124</v>
      </c>
      <c r="E24" s="10">
        <v>388508822</v>
      </c>
      <c r="F24" s="35">
        <v>388.508822</v>
      </c>
      <c r="G24" s="34">
        <v>47</v>
      </c>
      <c r="H24" s="10">
        <v>56214006</v>
      </c>
      <c r="I24" s="35">
        <v>56.214006</v>
      </c>
      <c r="J24" s="34">
        <v>131</v>
      </c>
      <c r="K24" s="35">
        <v>165.68352099044458</v>
      </c>
      <c r="L24" s="35">
        <v>610.4063489904446</v>
      </c>
      <c r="M24" s="26">
        <f>INDEX(INDIRECT($M214),
       MATCH(TRIM($C214), TRIM(INDIRECT($N214)), 0),
       MATCH(TRIM(X$1), TRIM(INDIRECT($O214)), 0))</f>
      </c>
      <c r="N24" s="26">
        <f>_xlfn.CONCAT("'",$B24,"'","!","$B$3:$B$22")</f>
      </c>
      <c r="O24" s="26">
        <f>_xlfn.CONCAT("'",$B24,"'","!","$C$2:$K$2")</f>
      </c>
      <c r="P24" s="2"/>
      <c r="Q24" s="2"/>
      <c r="R24" s="2"/>
      <c r="S24" s="2"/>
      <c r="T24" s="2"/>
      <c r="U24" s="2"/>
      <c r="V24" s="2"/>
      <c r="W24" s="2"/>
      <c r="X24" s="2"/>
      <c r="Y24" s="2"/>
    </row>
    <row x14ac:dyDescent="0.25" r="25" customHeight="1" ht="17.25">
      <c r="A25" s="10">
        <v>5</v>
      </c>
      <c r="B25" s="10">
        <v>2016</v>
      </c>
      <c r="C25" s="2" t="s">
        <v>24</v>
      </c>
      <c r="D25" s="34">
        <v>505</v>
      </c>
      <c r="E25" s="10">
        <v>367036754</v>
      </c>
      <c r="F25" s="35">
        <v>367.036754</v>
      </c>
      <c r="G25" s="34">
        <v>99</v>
      </c>
      <c r="H25" s="10">
        <v>320722418</v>
      </c>
      <c r="I25" s="35">
        <v>320.722418</v>
      </c>
      <c r="J25" s="34">
        <v>1269</v>
      </c>
      <c r="K25" s="35">
        <v>1211.4524106815938</v>
      </c>
      <c r="L25" s="35">
        <v>1899.2115826815939</v>
      </c>
      <c r="M25" s="26">
        <f>INDEX(INDIRECT($M215),
       MATCH(TRIM($C215), TRIM(INDIRECT($N215)), 0),
       MATCH(TRIM(X$1), TRIM(INDIRECT($O215)), 0))</f>
      </c>
      <c r="N25" s="26">
        <f>_xlfn.CONCAT("'",$B25,"'","!","$B$3:$B$22")</f>
      </c>
      <c r="O25" s="26">
        <f>_xlfn.CONCAT("'",$B25,"'","!","$C$2:$K$2")</f>
      </c>
      <c r="P25" s="2"/>
      <c r="Q25" s="2"/>
      <c r="R25" s="2"/>
      <c r="S25" s="2"/>
      <c r="T25" s="2"/>
      <c r="U25" s="2"/>
      <c r="V25" s="2"/>
      <c r="W25" s="2"/>
      <c r="X25" s="2"/>
      <c r="Y25" s="2"/>
    </row>
    <row x14ac:dyDescent="0.25" r="26" customHeight="1" ht="17.25">
      <c r="A26" s="10">
        <v>6</v>
      </c>
      <c r="B26" s="10">
        <v>2016</v>
      </c>
      <c r="C26" s="2" t="s">
        <v>26</v>
      </c>
      <c r="D26" s="34">
        <v>12</v>
      </c>
      <c r="E26" s="10">
        <v>44397064</v>
      </c>
      <c r="F26" s="35">
        <v>44.397064</v>
      </c>
      <c r="G26" s="34">
        <v>14</v>
      </c>
      <c r="H26" s="10">
        <v>34905580</v>
      </c>
      <c r="I26" s="35">
        <v>34.90558</v>
      </c>
      <c r="J26" s="34">
        <v>9</v>
      </c>
      <c r="K26" s="35">
        <v>20.16729252266666</v>
      </c>
      <c r="L26" s="35">
        <v>99.46993652266666</v>
      </c>
      <c r="M26" s="26">
        <f>INDEX(INDIRECT($M216),
       MATCH(TRIM($C216), TRIM(INDIRECT($N216)), 0),
       MATCH(TRIM(X$1), TRIM(INDIRECT($O216)), 0))</f>
      </c>
      <c r="N26" s="26">
        <f>_xlfn.CONCAT("'",$B26,"'","!","$B$3:$B$22")</f>
      </c>
      <c r="O26" s="26">
        <f>_xlfn.CONCAT("'",$B26,"'","!","$C$2:$K$2")</f>
      </c>
      <c r="P26" s="2"/>
      <c r="Q26" s="2"/>
      <c r="R26" s="2"/>
      <c r="S26" s="2"/>
      <c r="T26" s="2"/>
      <c r="U26" s="2"/>
      <c r="V26" s="2"/>
      <c r="W26" s="2"/>
      <c r="X26" s="2"/>
      <c r="Y26" s="2"/>
    </row>
    <row x14ac:dyDescent="0.25" r="27" customHeight="1" ht="17.25">
      <c r="A27" s="10">
        <v>7</v>
      </c>
      <c r="B27" s="10">
        <v>2016</v>
      </c>
      <c r="C27" s="2" t="s">
        <v>28</v>
      </c>
      <c r="D27" s="34">
        <v>282</v>
      </c>
      <c r="E27" s="10">
        <v>436452791</v>
      </c>
      <c r="F27" s="35">
        <v>436.452791</v>
      </c>
      <c r="G27" s="34">
        <v>65</v>
      </c>
      <c r="H27" s="10">
        <v>316949270</v>
      </c>
      <c r="I27" s="35">
        <v>316.94927</v>
      </c>
      <c r="J27" s="34">
        <v>212</v>
      </c>
      <c r="K27" s="35">
        <v>179.67632271688893</v>
      </c>
      <c r="L27" s="35">
        <v>933.078383716889</v>
      </c>
      <c r="M27" s="26">
        <f>INDEX(INDIRECT($M217),
       MATCH(TRIM($C217), TRIM(INDIRECT($N217)), 0),
       MATCH(TRIM(X$1), TRIM(INDIRECT($O217)), 0))</f>
      </c>
      <c r="N27" s="26">
        <f>_xlfn.CONCAT("'",$B27,"'","!","$B$3:$B$22")</f>
      </c>
      <c r="O27" s="26">
        <f>_xlfn.CONCAT("'",$B27,"'","!","$C$2:$K$2")</f>
      </c>
      <c r="P27" s="2"/>
      <c r="Q27" s="2"/>
      <c r="R27" s="2"/>
      <c r="S27" s="2"/>
      <c r="T27" s="2"/>
      <c r="U27" s="2"/>
      <c r="V27" s="2"/>
      <c r="W27" s="2"/>
      <c r="X27" s="2"/>
      <c r="Y27" s="2"/>
    </row>
    <row x14ac:dyDescent="0.25" r="28" customHeight="1" ht="17.25">
      <c r="A28" s="10">
        <v>8</v>
      </c>
      <c r="B28" s="10">
        <v>2016</v>
      </c>
      <c r="C28" s="2" t="s">
        <v>30</v>
      </c>
      <c r="D28" s="34">
        <v>88</v>
      </c>
      <c r="E28" s="10">
        <v>703938422</v>
      </c>
      <c r="F28" s="35">
        <v>703.938422</v>
      </c>
      <c r="G28" s="34">
        <v>22</v>
      </c>
      <c r="H28" s="10">
        <v>-28997718</v>
      </c>
      <c r="I28" s="35">
        <v>-28.997718</v>
      </c>
      <c r="J28" s="34">
        <v>119</v>
      </c>
      <c r="K28" s="35">
        <v>207.19296205493336</v>
      </c>
      <c r="L28" s="35">
        <v>882.1336660549333</v>
      </c>
      <c r="M28" s="26">
        <f>INDEX(INDIRECT($M218),
       MATCH(TRIM($C218), TRIM(INDIRECT($N218)), 0),
       MATCH(TRIM(X$1), TRIM(INDIRECT($O218)), 0))</f>
      </c>
      <c r="N28" s="26">
        <f>_xlfn.CONCAT("'",$B28,"'","!","$B$3:$B$22")</f>
      </c>
      <c r="O28" s="26">
        <f>_xlfn.CONCAT("'",$B28,"'","!","$C$2:$K$2")</f>
      </c>
      <c r="P28" s="2"/>
      <c r="Q28" s="2"/>
      <c r="R28" s="2"/>
      <c r="S28" s="2"/>
      <c r="T28" s="2"/>
      <c r="U28" s="2"/>
      <c r="V28" s="2"/>
      <c r="W28" s="2"/>
      <c r="X28" s="2"/>
      <c r="Y28" s="2"/>
    </row>
    <row x14ac:dyDescent="0.25" r="29" customHeight="1" ht="17.25">
      <c r="A29" s="10">
        <v>9</v>
      </c>
      <c r="B29" s="10">
        <v>2016</v>
      </c>
      <c r="C29" s="2" t="s">
        <v>32</v>
      </c>
      <c r="D29" s="34">
        <v>97</v>
      </c>
      <c r="E29" s="10">
        <v>278142327</v>
      </c>
      <c r="F29" s="35">
        <v>278.142327</v>
      </c>
      <c r="G29" s="34">
        <v>11</v>
      </c>
      <c r="H29" s="10">
        <v>58022597</v>
      </c>
      <c r="I29" s="35">
        <v>58.022597</v>
      </c>
      <c r="J29" s="34">
        <v>135</v>
      </c>
      <c r="K29" s="35">
        <v>70.52760216328895</v>
      </c>
      <c r="L29" s="35">
        <v>406.692526163289</v>
      </c>
      <c r="M29" s="26">
        <f>INDEX(INDIRECT($M219),
       MATCH(TRIM($C219), TRIM(INDIRECT($N219)), 0),
       MATCH(TRIM(X$1), TRIM(INDIRECT($O219)), 0))</f>
      </c>
      <c r="N29" s="26">
        <f>_xlfn.CONCAT("'",$B29,"'","!","$B$3:$B$22")</f>
      </c>
      <c r="O29" s="26">
        <f>_xlfn.CONCAT("'",$B29,"'","!","$C$2:$K$2")</f>
      </c>
      <c r="P29" s="2"/>
      <c r="Q29" s="2"/>
      <c r="R29" s="2"/>
      <c r="S29" s="2"/>
      <c r="T29" s="2"/>
      <c r="U29" s="2"/>
      <c r="V29" s="2"/>
      <c r="W29" s="2"/>
      <c r="X29" s="2"/>
      <c r="Y29" s="2"/>
    </row>
    <row x14ac:dyDescent="0.25" r="30" customHeight="1" ht="17.25">
      <c r="A30" s="10">
        <v>10</v>
      </c>
      <c r="B30" s="10">
        <v>2016</v>
      </c>
      <c r="C30" s="2" t="s">
        <v>34</v>
      </c>
      <c r="D30" s="34">
        <v>195</v>
      </c>
      <c r="E30" s="10">
        <v>103117113</v>
      </c>
      <c r="F30" s="35">
        <v>103.117113</v>
      </c>
      <c r="G30" s="34">
        <v>46</v>
      </c>
      <c r="H30" s="10">
        <v>233215651</v>
      </c>
      <c r="I30" s="35">
        <v>233.215651</v>
      </c>
      <c r="J30" s="34">
        <v>120</v>
      </c>
      <c r="K30" s="35">
        <v>32.937145097555565</v>
      </c>
      <c r="L30" s="35">
        <v>369.26990909755557</v>
      </c>
      <c r="M30" s="26">
        <f>INDEX(INDIRECT($M220),
       MATCH(TRIM($C220), TRIM(INDIRECT($N220)), 0),
       MATCH(TRIM(X$1), TRIM(INDIRECT($O220)), 0))</f>
      </c>
      <c r="N30" s="26">
        <f>_xlfn.CONCAT("'",$B30,"'","!","$B$3:$B$22")</f>
      </c>
      <c r="O30" s="26">
        <f>_xlfn.CONCAT("'",$B30,"'","!","$C$2:$K$2")</f>
      </c>
      <c r="P30" s="2"/>
      <c r="Q30" s="2"/>
      <c r="R30" s="2"/>
      <c r="S30" s="2"/>
      <c r="T30" s="2"/>
      <c r="U30" s="2"/>
      <c r="V30" s="2"/>
      <c r="W30" s="2"/>
      <c r="X30" s="2"/>
      <c r="Y30" s="2"/>
    </row>
    <row x14ac:dyDescent="0.25" r="31" customHeight="1" ht="17.25">
      <c r="A31" s="10">
        <v>11</v>
      </c>
      <c r="B31" s="10">
        <v>2016</v>
      </c>
      <c r="C31" s="2" t="s">
        <v>36</v>
      </c>
      <c r="D31" s="34">
        <v>58</v>
      </c>
      <c r="E31" s="10">
        <v>45507586</v>
      </c>
      <c r="F31" s="35">
        <v>45.507586</v>
      </c>
      <c r="G31" s="34">
        <v>12</v>
      </c>
      <c r="H31" s="10">
        <v>23828707</v>
      </c>
      <c r="I31" s="35">
        <v>23.828707</v>
      </c>
      <c r="J31" s="34">
        <v>68</v>
      </c>
      <c r="K31" s="35">
        <v>91.01679349497785</v>
      </c>
      <c r="L31" s="35">
        <v>160.35308649497784</v>
      </c>
      <c r="M31" s="26">
        <f>INDEX(INDIRECT($M221),
       MATCH(TRIM($C221), TRIM(INDIRECT($N221)), 0),
       MATCH(TRIM(X$1), TRIM(INDIRECT($O221)), 0))</f>
      </c>
      <c r="N31" s="26">
        <f>_xlfn.CONCAT("'",$B31,"'","!","$B$3:$B$22")</f>
      </c>
      <c r="O31" s="26">
        <f>_xlfn.CONCAT("'",$B31,"'","!","$C$2:$K$2")</f>
      </c>
      <c r="P31" s="2"/>
      <c r="Q31" s="2"/>
      <c r="R31" s="2"/>
      <c r="S31" s="2"/>
      <c r="T31" s="2"/>
      <c r="U31" s="2"/>
      <c r="V31" s="2"/>
      <c r="W31" s="2"/>
      <c r="X31" s="2"/>
      <c r="Y31" s="2"/>
    </row>
    <row x14ac:dyDescent="0.25" r="32" customHeight="1" ht="17.25">
      <c r="A32" s="10">
        <v>12</v>
      </c>
      <c r="B32" s="10">
        <v>2016</v>
      </c>
      <c r="C32" s="2" t="s">
        <v>38</v>
      </c>
      <c r="D32" s="34">
        <v>5</v>
      </c>
      <c r="E32" s="10">
        <v>55760000</v>
      </c>
      <c r="F32" s="35">
        <v>55.76</v>
      </c>
      <c r="G32" s="34">
        <v>7</v>
      </c>
      <c r="H32" s="10">
        <v>9765018</v>
      </c>
      <c r="I32" s="35">
        <v>9.765018</v>
      </c>
      <c r="J32" s="34">
        <v>6</v>
      </c>
      <c r="K32" s="35">
        <v>2.2262146793777773</v>
      </c>
      <c r="L32" s="35">
        <v>67.75123267937778</v>
      </c>
      <c r="M32" s="26">
        <f>INDEX(INDIRECT($M222),
       MATCH(TRIM($C222), TRIM(INDIRECT($N222)), 0),
       MATCH(TRIM(X$1), TRIM(INDIRECT($O222)), 0))</f>
      </c>
      <c r="N32" s="26">
        <f>_xlfn.CONCAT("'",$B32,"'","!","$B$3:$B$22")</f>
      </c>
      <c r="O32" s="26">
        <f>_xlfn.CONCAT("'",$B32,"'","!","$C$2:$K$2")</f>
      </c>
      <c r="P32" s="2"/>
      <c r="Q32" s="2"/>
      <c r="R32" s="2"/>
      <c r="S32" s="2"/>
      <c r="T32" s="2"/>
      <c r="U32" s="2"/>
      <c r="V32" s="2"/>
      <c r="W32" s="2"/>
      <c r="X32" s="2"/>
      <c r="Y32" s="2"/>
    </row>
    <row x14ac:dyDescent="0.25" r="33" customHeight="1" ht="17.25">
      <c r="A33" s="10">
        <v>13</v>
      </c>
      <c r="B33" s="10">
        <v>2016</v>
      </c>
      <c r="C33" s="2" t="s">
        <v>40</v>
      </c>
      <c r="D33" s="34">
        <v>70</v>
      </c>
      <c r="E33" s="10">
        <v>47322737</v>
      </c>
      <c r="F33" s="35">
        <v>47.322737</v>
      </c>
      <c r="G33" s="34">
        <v>9</v>
      </c>
      <c r="H33" s="10">
        <v>-215128</v>
      </c>
      <c r="I33" s="35">
        <v>-0.215128</v>
      </c>
      <c r="J33" s="34">
        <v>56</v>
      </c>
      <c r="K33" s="35">
        <v>13.34687989133333</v>
      </c>
      <c r="L33" s="35">
        <v>60.45448889133333</v>
      </c>
      <c r="M33" s="26">
        <f>INDEX(INDIRECT($M223),
       MATCH(TRIM($C223), TRIM(INDIRECT($N223)), 0),
       MATCH(TRIM(X$1), TRIM(INDIRECT($O223)), 0))</f>
      </c>
      <c r="N33" s="26">
        <f>_xlfn.CONCAT("'",$B33,"'","!","$B$3:$B$22")</f>
      </c>
      <c r="O33" s="26">
        <f>_xlfn.CONCAT("'",$B33,"'","!","$C$2:$K$2")</f>
      </c>
      <c r="P33" s="2"/>
      <c r="Q33" s="2"/>
      <c r="R33" s="2"/>
      <c r="S33" s="2"/>
      <c r="T33" s="2"/>
      <c r="U33" s="2"/>
      <c r="V33" s="2"/>
      <c r="W33" s="2"/>
      <c r="X33" s="2"/>
      <c r="Y33" s="2"/>
    </row>
    <row x14ac:dyDescent="0.25" r="34" customHeight="1" ht="17.25">
      <c r="A34" s="10">
        <v>14</v>
      </c>
      <c r="B34" s="10">
        <v>2016</v>
      </c>
      <c r="C34" s="2" t="s">
        <v>42</v>
      </c>
      <c r="D34" s="34">
        <v>13</v>
      </c>
      <c r="E34" s="10">
        <v>485094024</v>
      </c>
      <c r="F34" s="35">
        <v>485.094024</v>
      </c>
      <c r="G34" s="34">
        <v>5</v>
      </c>
      <c r="H34" s="10">
        <v>2305000</v>
      </c>
      <c r="I34" s="35">
        <v>2.305</v>
      </c>
      <c r="J34" s="34">
        <v>4</v>
      </c>
      <c r="K34" s="35">
        <v>0.8630444444444443</v>
      </c>
      <c r="L34" s="35">
        <v>488.2620684444444</v>
      </c>
      <c r="M34" s="26">
        <f>INDEX(INDIRECT($M224),
       MATCH(TRIM($C224), TRIM(INDIRECT($N224)), 0),
       MATCH(TRIM(X$1), TRIM(INDIRECT($O224)), 0))</f>
      </c>
      <c r="N34" s="26">
        <f>_xlfn.CONCAT("'",$B34,"'","!","$B$3:$B$22")</f>
      </c>
      <c r="O34" s="26">
        <f>_xlfn.CONCAT("'",$B34,"'","!","$C$2:$K$2")</f>
      </c>
      <c r="P34" s="2"/>
      <c r="Q34" s="2"/>
      <c r="R34" s="2"/>
      <c r="S34" s="2"/>
      <c r="T34" s="2"/>
      <c r="U34" s="2"/>
      <c r="V34" s="2"/>
      <c r="W34" s="2"/>
      <c r="X34" s="2"/>
      <c r="Y34" s="2"/>
    </row>
    <row x14ac:dyDescent="0.25" r="35" customHeight="1" ht="17.25">
      <c r="A35" s="10">
        <v>15</v>
      </c>
      <c r="B35" s="10">
        <v>2016</v>
      </c>
      <c r="C35" s="2" t="s">
        <v>44</v>
      </c>
      <c r="D35" s="34">
        <v>10</v>
      </c>
      <c r="E35" s="10">
        <v>11237391</v>
      </c>
      <c r="F35" s="35">
        <v>11.237391</v>
      </c>
      <c r="G35" s="34">
        <v>3</v>
      </c>
      <c r="H35" s="10">
        <v>2670000</v>
      </c>
      <c r="I35" s="35">
        <v>2.67</v>
      </c>
      <c r="J35" s="34">
        <v>9</v>
      </c>
      <c r="K35" s="35">
        <v>38.166753869111105</v>
      </c>
      <c r="L35" s="35">
        <v>52.07414486911111</v>
      </c>
      <c r="M35" s="29" t="s">
        <v>107</v>
      </c>
      <c r="N35" s="26">
        <f>_xlfn.CONCAT("'",$B35,"'","!","$B$3:$B$22")</f>
      </c>
      <c r="O35" s="26">
        <f>_xlfn.CONCAT("'",$B35,"'","!","$C$2:$K$2")</f>
      </c>
      <c r="P35" s="2"/>
      <c r="Q35" s="2"/>
      <c r="R35" s="2"/>
      <c r="S35" s="2"/>
      <c r="T35" s="2"/>
      <c r="U35" s="2"/>
      <c r="V35" s="2"/>
      <c r="W35" s="2"/>
      <c r="X35" s="2"/>
      <c r="Y35" s="2"/>
    </row>
    <row x14ac:dyDescent="0.25" r="36" customHeight="1" ht="17.25">
      <c r="A36" s="10">
        <v>16</v>
      </c>
      <c r="B36" s="10">
        <v>2016</v>
      </c>
      <c r="C36" s="2" t="s">
        <v>46</v>
      </c>
      <c r="D36" s="34">
        <v>1</v>
      </c>
      <c r="E36" s="10">
        <v>31500000</v>
      </c>
      <c r="F36" s="35">
        <v>31.5</v>
      </c>
      <c r="G36" s="34">
        <v>1</v>
      </c>
      <c r="H36" s="10">
        <v>37153552</v>
      </c>
      <c r="I36" s="35">
        <v>37.153552</v>
      </c>
      <c r="J36" s="34">
        <v>2</v>
      </c>
      <c r="K36" s="35">
        <v>1.3688933333333335</v>
      </c>
      <c r="L36" s="35">
        <v>70.02244533333332</v>
      </c>
      <c r="M36" s="26">
        <f>INDEX(INDIRECT($M226),
       MATCH(TRIM($C226), TRIM(INDIRECT($N226)), 0),
       MATCH(TRIM(X$1), TRIM(INDIRECT($O226)), 0))</f>
      </c>
      <c r="N36" s="26">
        <f>_xlfn.CONCAT("'",$B36,"'","!","$B$3:$B$22")</f>
      </c>
      <c r="O36" s="26">
        <f>_xlfn.CONCAT("'",$B36,"'","!","$C$2:$K$2")</f>
      </c>
      <c r="P36" s="2"/>
      <c r="Q36" s="2"/>
      <c r="R36" s="2"/>
      <c r="S36" s="2"/>
      <c r="T36" s="2"/>
      <c r="U36" s="2"/>
      <c r="V36" s="2"/>
      <c r="W36" s="2"/>
      <c r="X36" s="2"/>
      <c r="Y36" s="2"/>
    </row>
    <row x14ac:dyDescent="0.25" r="37" customHeight="1" ht="17.25">
      <c r="A37" s="10">
        <v>17</v>
      </c>
      <c r="B37" s="10">
        <v>2016</v>
      </c>
      <c r="C37" s="2" t="s">
        <v>48</v>
      </c>
      <c r="D37" s="34">
        <v>2</v>
      </c>
      <c r="E37" s="10">
        <v>210588503</v>
      </c>
      <c r="F37" s="35">
        <v>210.588503</v>
      </c>
      <c r="G37" s="34">
        <v>6</v>
      </c>
      <c r="H37" s="10">
        <v>118129908</v>
      </c>
      <c r="I37" s="35">
        <v>118.129908</v>
      </c>
      <c r="J37" s="34">
        <v>4</v>
      </c>
      <c r="K37" s="35">
        <v>1.0816888888888887</v>
      </c>
      <c r="L37" s="35">
        <v>329.8000998888889</v>
      </c>
      <c r="M37" s="26">
        <f>INDEX(INDIRECT($M227),
       MATCH(TRIM($C227), TRIM(INDIRECT($N227)), 0),
       MATCH(TRIM(X$1), TRIM(INDIRECT($O227)), 0))</f>
      </c>
      <c r="N37" s="26">
        <f>_xlfn.CONCAT("'",$B37,"'","!","$B$3:$B$22")</f>
      </c>
      <c r="O37" s="26">
        <f>_xlfn.CONCAT("'",$B37,"'","!","$C$2:$K$2")</f>
      </c>
      <c r="P37" s="2"/>
      <c r="Q37" s="2"/>
      <c r="R37" s="2"/>
      <c r="S37" s="2"/>
      <c r="T37" s="2"/>
      <c r="U37" s="2"/>
      <c r="V37" s="2"/>
      <c r="W37" s="2"/>
      <c r="X37" s="2"/>
      <c r="Y37" s="2"/>
    </row>
    <row x14ac:dyDescent="0.25" r="38" customHeight="1" ht="17.25">
      <c r="A38" s="10">
        <v>18</v>
      </c>
      <c r="B38" s="10">
        <v>2016</v>
      </c>
      <c r="C38" s="2" t="s">
        <v>50</v>
      </c>
      <c r="D38" s="34">
        <v>12</v>
      </c>
      <c r="E38" s="11">
        <v>511023497.88888884</v>
      </c>
      <c r="F38" s="35">
        <v>511.0234978888888</v>
      </c>
      <c r="G38" s="34">
        <v>1</v>
      </c>
      <c r="H38" s="10">
        <v>8980</v>
      </c>
      <c r="I38" s="35">
        <v>0.00898</v>
      </c>
      <c r="J38" s="34">
        <v>32</v>
      </c>
      <c r="K38" s="35">
        <v>71.37795146755555</v>
      </c>
      <c r="L38" s="35">
        <v>582.4104293564444</v>
      </c>
      <c r="M38" s="26">
        <f>INDEX(INDIRECT($M228),
       MATCH(TRIM($C228), TRIM(INDIRECT($N228)), 0),
       MATCH(TRIM(X$1), TRIM(INDIRECT($O228)), 0))</f>
      </c>
      <c r="N38" s="26">
        <f>_xlfn.CONCAT("'",$B38,"'","!","$B$3:$B$22")</f>
      </c>
      <c r="O38" s="26">
        <f>_xlfn.CONCAT("'",$B38,"'","!","$C$2:$K$2")</f>
      </c>
      <c r="P38" s="2"/>
      <c r="Q38" s="2"/>
      <c r="R38" s="2"/>
      <c r="S38" s="2"/>
      <c r="T38" s="2"/>
      <c r="U38" s="2"/>
      <c r="V38" s="2"/>
      <c r="W38" s="2"/>
      <c r="X38" s="2"/>
      <c r="Y38" s="2"/>
    </row>
    <row x14ac:dyDescent="0.25" r="39" customHeight="1" ht="17.25">
      <c r="A39" s="10">
        <v>19</v>
      </c>
      <c r="B39" s="10">
        <v>2016</v>
      </c>
      <c r="C39" s="2" t="s">
        <v>52</v>
      </c>
      <c r="D39" s="34">
        <v>1</v>
      </c>
      <c r="E39" s="10">
        <v>150000</v>
      </c>
      <c r="F39" s="35">
        <v>0.15</v>
      </c>
      <c r="G39" s="34">
        <v>1</v>
      </c>
      <c r="H39" s="10">
        <v>3900000</v>
      </c>
      <c r="I39" s="35">
        <v>3.9</v>
      </c>
      <c r="J39" s="34">
        <v>0</v>
      </c>
      <c r="K39" s="34">
        <v>0</v>
      </c>
      <c r="L39" s="35">
        <v>4.05</v>
      </c>
      <c r="M39" s="26">
        <f>INDEX(INDIRECT($M229),
       MATCH(TRIM($C229), TRIM(INDIRECT($N229)), 0),
       MATCH(TRIM(X$1), TRIM(INDIRECT($O229)), 0))</f>
      </c>
      <c r="N39" s="26">
        <f>_xlfn.CONCAT("'",$B39,"'","!","$B$3:$B$22")</f>
      </c>
      <c r="O39" s="26">
        <f>_xlfn.CONCAT("'",$B39,"'","!","$C$2:$K$2")</f>
      </c>
      <c r="P39" s="2"/>
      <c r="Q39" s="2"/>
      <c r="R39" s="2"/>
      <c r="S39" s="2"/>
      <c r="T39" s="2"/>
      <c r="U39" s="2"/>
      <c r="V39" s="2"/>
      <c r="W39" s="2"/>
      <c r="X39" s="2"/>
      <c r="Y39" s="2"/>
    </row>
    <row x14ac:dyDescent="0.25" r="40" customHeight="1" ht="17.25">
      <c r="A40" s="10">
        <v>1</v>
      </c>
      <c r="B40" s="10">
        <v>2017</v>
      </c>
      <c r="C40" s="2" t="s">
        <v>15</v>
      </c>
      <c r="D40" s="34">
        <v>932</v>
      </c>
      <c r="E40" s="11">
        <v>6860360754.42</v>
      </c>
      <c r="F40" s="35">
        <v>6860.36075442</v>
      </c>
      <c r="G40" s="34">
        <v>761</v>
      </c>
      <c r="H40" s="11">
        <v>7271266055.4125</v>
      </c>
      <c r="I40" s="35">
        <v>7271.2660554125005</v>
      </c>
      <c r="J40" s="34">
        <v>1365</v>
      </c>
      <c r="K40" s="35">
        <v>1744.3586046300925</v>
      </c>
      <c r="L40" s="35">
        <v>15875.985414462593</v>
      </c>
      <c r="M40" s="26">
        <f>INDEX(INDIRECT($M230),
       MATCH(TRIM($C230), TRIM(INDIRECT($N230)), 0),
       MATCH(TRIM(X$1), TRIM(INDIRECT($O230)), 0))</f>
      </c>
      <c r="N40" s="26">
        <f>_xlfn.CONCAT("'",$B40,"'","!","$B$3:$B$22")</f>
      </c>
      <c r="O40" s="26">
        <f>_xlfn.CONCAT("'",$B40,"'","!","$C$2:$K$2")</f>
      </c>
      <c r="P40" s="2"/>
      <c r="Q40" s="2"/>
      <c r="R40" s="2"/>
      <c r="S40" s="2"/>
      <c r="T40" s="2"/>
      <c r="U40" s="2"/>
      <c r="V40" s="2"/>
      <c r="W40" s="2"/>
      <c r="X40" s="2"/>
      <c r="Y40" s="2"/>
    </row>
    <row x14ac:dyDescent="0.25" r="41" customHeight="1" ht="17.25">
      <c r="A41" s="10">
        <v>2</v>
      </c>
      <c r="B41" s="10">
        <v>2017</v>
      </c>
      <c r="C41" s="2" t="s">
        <v>18</v>
      </c>
      <c r="D41" s="34">
        <v>13</v>
      </c>
      <c r="E41" s="10">
        <v>8369300518</v>
      </c>
      <c r="F41" s="35">
        <v>8369.300518</v>
      </c>
      <c r="G41" s="34">
        <v>5</v>
      </c>
      <c r="H41" s="10">
        <v>4765167</v>
      </c>
      <c r="I41" s="35">
        <v>4.765167</v>
      </c>
      <c r="J41" s="34">
        <v>0</v>
      </c>
      <c r="K41" s="34">
        <v>0</v>
      </c>
      <c r="L41" s="35">
        <v>8374.065685</v>
      </c>
      <c r="M41" s="26">
        <f>INDEX(INDIRECT($M231),
       MATCH(TRIM($C231), TRIM(INDIRECT($N231)), 0),
       MATCH(TRIM(X$1), TRIM(INDIRECT($O231)), 0))</f>
      </c>
      <c r="N41" s="26">
        <f>_xlfn.CONCAT("'",$B41,"'","!","$B$3:$B$22")</f>
      </c>
      <c r="O41" s="26">
        <f>_xlfn.CONCAT("'",$B41,"'","!","$C$2:$K$2")</f>
      </c>
      <c r="P41" s="2"/>
      <c r="Q41" s="2"/>
      <c r="R41" s="2"/>
      <c r="S41" s="2"/>
      <c r="T41" s="2"/>
      <c r="U41" s="2"/>
      <c r="V41" s="2"/>
      <c r="W41" s="2"/>
      <c r="X41" s="2"/>
      <c r="Y41" s="2"/>
    </row>
    <row x14ac:dyDescent="0.25" r="42" customHeight="1" ht="17.25">
      <c r="A42" s="10">
        <v>3</v>
      </c>
      <c r="B42" s="10">
        <v>2017</v>
      </c>
      <c r="C42" s="2" t="s">
        <v>20</v>
      </c>
      <c r="D42" s="34">
        <v>65</v>
      </c>
      <c r="E42" s="10">
        <v>2238927782</v>
      </c>
      <c r="F42" s="35">
        <v>2238.927782</v>
      </c>
      <c r="G42" s="34">
        <v>23</v>
      </c>
      <c r="H42" s="10">
        <v>281335282</v>
      </c>
      <c r="I42" s="35">
        <v>281.335282</v>
      </c>
      <c r="J42" s="34">
        <v>107</v>
      </c>
      <c r="K42" s="35">
        <v>533.3592012996444</v>
      </c>
      <c r="L42" s="35">
        <v>3053.622265299645</v>
      </c>
      <c r="M42" s="26">
        <f>INDEX(INDIRECT($M232),
       MATCH(TRIM($C232), TRIM(INDIRECT($N232)), 0),
       MATCH(TRIM(X$1), TRIM(INDIRECT($O232)), 0))</f>
      </c>
      <c r="N42" s="26">
        <f>_xlfn.CONCAT("'",$B42,"'","!","$B$3:$B$22")</f>
      </c>
      <c r="O42" s="26">
        <f>_xlfn.CONCAT("'",$B42,"'","!","$C$2:$K$2")</f>
      </c>
      <c r="P42" s="2"/>
      <c r="Q42" s="2"/>
      <c r="R42" s="2"/>
      <c r="S42" s="2"/>
      <c r="T42" s="2"/>
      <c r="U42" s="2"/>
      <c r="V42" s="2"/>
      <c r="W42" s="2"/>
      <c r="X42" s="2"/>
      <c r="Y42" s="2"/>
    </row>
    <row x14ac:dyDescent="0.25" r="43" customHeight="1" ht="17.25">
      <c r="A43" s="10">
        <v>4</v>
      </c>
      <c r="B43" s="10">
        <v>2017</v>
      </c>
      <c r="C43" s="2" t="s">
        <v>22</v>
      </c>
      <c r="D43" s="34">
        <v>122</v>
      </c>
      <c r="E43" s="10">
        <v>171747621</v>
      </c>
      <c r="F43" s="35">
        <v>171.747621</v>
      </c>
      <c r="G43" s="34">
        <v>48</v>
      </c>
      <c r="H43" s="10">
        <v>102508873</v>
      </c>
      <c r="I43" s="35">
        <v>102.508873</v>
      </c>
      <c r="J43" s="34">
        <v>224</v>
      </c>
      <c r="K43" s="35">
        <v>858.7851376752607</v>
      </c>
      <c r="L43" s="35">
        <v>1133.0416316752608</v>
      </c>
      <c r="M43" s="26">
        <f>INDEX(INDIRECT($M233),
       MATCH(TRIM($C233), TRIM(INDIRECT($N233)), 0),
       MATCH(TRIM(X$1), TRIM(INDIRECT($O233)), 0))</f>
      </c>
      <c r="N43" s="26">
        <f>_xlfn.CONCAT("'",$B43,"'","!","$B$3:$B$22")</f>
      </c>
      <c r="O43" s="26">
        <f>_xlfn.CONCAT("'",$B43,"'","!","$C$2:$K$2")</f>
      </c>
      <c r="P43" s="2"/>
      <c r="Q43" s="2"/>
      <c r="R43" s="2"/>
      <c r="S43" s="2"/>
      <c r="T43" s="2"/>
      <c r="U43" s="2"/>
      <c r="V43" s="2"/>
      <c r="W43" s="2"/>
      <c r="X43" s="2"/>
      <c r="Y43" s="2"/>
    </row>
    <row x14ac:dyDescent="0.25" r="44" customHeight="1" ht="17.25">
      <c r="A44" s="10">
        <v>5</v>
      </c>
      <c r="B44" s="10">
        <v>2017</v>
      </c>
      <c r="C44" s="2" t="s">
        <v>24</v>
      </c>
      <c r="D44" s="34">
        <v>585</v>
      </c>
      <c r="E44" s="10">
        <v>492997756</v>
      </c>
      <c r="F44" s="35">
        <v>492.997756</v>
      </c>
      <c r="G44" s="34">
        <v>111</v>
      </c>
      <c r="H44" s="11">
        <v>114845192.875</v>
      </c>
      <c r="I44" s="35">
        <v>114.845192875</v>
      </c>
      <c r="J44" s="34">
        <v>1945</v>
      </c>
      <c r="K44" s="35">
        <v>1837.836278919819</v>
      </c>
      <c r="L44" s="35">
        <v>2445.679227794819</v>
      </c>
      <c r="M44" s="26">
        <f>INDEX(INDIRECT($M234),
       MATCH(TRIM($C234), TRIM(INDIRECT($N234)), 0),
       MATCH(TRIM(X$1), TRIM(INDIRECT($O234)), 0))</f>
      </c>
      <c r="N44" s="26">
        <f>_xlfn.CONCAT("'",$B44,"'","!","$B$3:$B$22")</f>
      </c>
      <c r="O44" s="26">
        <f>_xlfn.CONCAT("'",$B44,"'","!","$C$2:$K$2")</f>
      </c>
      <c r="P44" s="2"/>
      <c r="Q44" s="2"/>
      <c r="R44" s="2"/>
      <c r="S44" s="2"/>
      <c r="T44" s="2"/>
      <c r="U44" s="2"/>
      <c r="V44" s="2"/>
      <c r="W44" s="2"/>
      <c r="X44" s="2"/>
      <c r="Y44" s="2"/>
    </row>
    <row x14ac:dyDescent="0.25" r="45" customHeight="1" ht="17.25">
      <c r="A45" s="10">
        <v>6</v>
      </c>
      <c r="B45" s="10">
        <v>2017</v>
      </c>
      <c r="C45" s="2" t="s">
        <v>26</v>
      </c>
      <c r="D45" s="34">
        <v>17</v>
      </c>
      <c r="E45" s="10">
        <v>179311750</v>
      </c>
      <c r="F45" s="35">
        <v>179.31175</v>
      </c>
      <c r="G45" s="34">
        <v>14</v>
      </c>
      <c r="H45" s="10">
        <v>2585778</v>
      </c>
      <c r="I45" s="35">
        <v>2.585778</v>
      </c>
      <c r="J45" s="34">
        <v>29</v>
      </c>
      <c r="K45" s="35">
        <v>9.649834820355556</v>
      </c>
      <c r="L45" s="35">
        <v>191.54736282035554</v>
      </c>
      <c r="M45" s="26">
        <f>INDEX(INDIRECT($M235),
       MATCH(TRIM($C235), TRIM(INDIRECT($N235)), 0),
       MATCH(TRIM(X$1), TRIM(INDIRECT($O235)), 0))</f>
      </c>
      <c r="N45" s="26">
        <f>_xlfn.CONCAT("'",$B45,"'","!","$B$3:$B$22")</f>
      </c>
      <c r="O45" s="26">
        <f>_xlfn.CONCAT("'",$B45,"'","!","$C$2:$K$2")</f>
      </c>
      <c r="P45" s="2"/>
      <c r="Q45" s="2"/>
      <c r="R45" s="2"/>
      <c r="S45" s="2"/>
      <c r="T45" s="2"/>
      <c r="U45" s="2"/>
      <c r="V45" s="2"/>
      <c r="W45" s="2"/>
      <c r="X45" s="2"/>
      <c r="Y45" s="2"/>
    </row>
    <row x14ac:dyDescent="0.25" r="46" customHeight="1" ht="17.25">
      <c r="A46" s="10">
        <v>7</v>
      </c>
      <c r="B46" s="10">
        <v>2017</v>
      </c>
      <c r="C46" s="2" t="s">
        <v>28</v>
      </c>
      <c r="D46" s="34">
        <v>324</v>
      </c>
      <c r="E46" s="10">
        <v>390258682</v>
      </c>
      <c r="F46" s="35">
        <v>390.258682</v>
      </c>
      <c r="G46" s="34">
        <v>71</v>
      </c>
      <c r="H46" s="11">
        <v>138465459.75390625</v>
      </c>
      <c r="I46" s="35">
        <v>138.46545975390626</v>
      </c>
      <c r="J46" s="34">
        <v>428</v>
      </c>
      <c r="K46" s="35">
        <v>499.34308206081437</v>
      </c>
      <c r="L46" s="35">
        <v>1028.0672238147206</v>
      </c>
      <c r="M46" s="26">
        <f>INDEX(INDIRECT($M236),
       MATCH(TRIM($C236), TRIM(INDIRECT($N236)), 0),
       MATCH(TRIM(X$1), TRIM(INDIRECT($O236)), 0))</f>
      </c>
      <c r="N46" s="26">
        <f>_xlfn.CONCAT("'",$B46,"'","!","$B$3:$B$22")</f>
      </c>
      <c r="O46" s="26">
        <f>_xlfn.CONCAT("'",$B46,"'","!","$C$2:$K$2")</f>
      </c>
      <c r="P46" s="2"/>
      <c r="Q46" s="2"/>
      <c r="R46" s="2"/>
      <c r="S46" s="2"/>
      <c r="T46" s="2"/>
      <c r="U46" s="2"/>
      <c r="V46" s="2"/>
      <c r="W46" s="2"/>
      <c r="X46" s="2"/>
      <c r="Y46" s="2"/>
    </row>
    <row x14ac:dyDescent="0.25" r="47" customHeight="1" ht="17.25">
      <c r="A47" s="10">
        <v>8</v>
      </c>
      <c r="B47" s="10">
        <v>2017</v>
      </c>
      <c r="C47" s="2" t="s">
        <v>30</v>
      </c>
      <c r="D47" s="34">
        <v>74</v>
      </c>
      <c r="E47" s="10">
        <v>173167584</v>
      </c>
      <c r="F47" s="35">
        <v>173.167584</v>
      </c>
      <c r="G47" s="34">
        <v>29</v>
      </c>
      <c r="H47" s="10">
        <v>143289019</v>
      </c>
      <c r="I47" s="35">
        <v>143.289019</v>
      </c>
      <c r="J47" s="34">
        <v>137</v>
      </c>
      <c r="K47" s="35">
        <v>70.11630325680001</v>
      </c>
      <c r="L47" s="35">
        <v>386.57290625679997</v>
      </c>
      <c r="M47" s="26">
        <f>INDEX(INDIRECT($M237),
       MATCH(TRIM($C237), TRIM(INDIRECT($N237)), 0),
       MATCH(TRIM(X$1), TRIM(INDIRECT($O237)), 0))</f>
      </c>
      <c r="N47" s="26">
        <f>_xlfn.CONCAT("'",$B47,"'","!","$B$3:$B$22")</f>
      </c>
      <c r="O47" s="26">
        <f>_xlfn.CONCAT("'",$B47,"'","!","$C$2:$K$2")</f>
      </c>
      <c r="P47" s="2"/>
      <c r="Q47" s="2"/>
      <c r="R47" s="2"/>
      <c r="S47" s="2"/>
      <c r="T47" s="2"/>
      <c r="U47" s="2"/>
      <c r="V47" s="2"/>
      <c r="W47" s="2"/>
      <c r="X47" s="2"/>
      <c r="Y47" s="2"/>
    </row>
    <row x14ac:dyDescent="0.25" r="48" customHeight="1" ht="17.25">
      <c r="A48" s="10">
        <v>9</v>
      </c>
      <c r="B48" s="10">
        <v>2017</v>
      </c>
      <c r="C48" s="2" t="s">
        <v>32</v>
      </c>
      <c r="D48" s="34">
        <v>106</v>
      </c>
      <c r="E48" s="10">
        <v>122495264</v>
      </c>
      <c r="F48" s="35">
        <v>122.495264</v>
      </c>
      <c r="G48" s="34">
        <v>29</v>
      </c>
      <c r="H48" s="10">
        <v>110483147</v>
      </c>
      <c r="I48" s="35">
        <v>110.483147</v>
      </c>
      <c r="J48" s="34">
        <v>222</v>
      </c>
      <c r="K48" s="35">
        <v>280.21662452973356</v>
      </c>
      <c r="L48" s="35">
        <v>513.1950355297336</v>
      </c>
      <c r="M48" s="26">
        <f>INDEX(INDIRECT($M238),
       MATCH(TRIM($C238), TRIM(INDIRECT($N238)), 0),
       MATCH(TRIM(X$1), TRIM(INDIRECT($O238)), 0))</f>
      </c>
      <c r="N48" s="26">
        <f>_xlfn.CONCAT("'",$B48,"'","!","$B$3:$B$22")</f>
      </c>
      <c r="O48" s="26">
        <f>_xlfn.CONCAT("'",$B48,"'","!","$C$2:$K$2")</f>
      </c>
      <c r="P48" s="2"/>
      <c r="Q48" s="2"/>
      <c r="R48" s="2"/>
      <c r="S48" s="2"/>
      <c r="T48" s="2"/>
      <c r="U48" s="2"/>
      <c r="V48" s="2"/>
      <c r="W48" s="2"/>
      <c r="X48" s="2"/>
      <c r="Y48" s="2"/>
    </row>
    <row x14ac:dyDescent="0.25" r="49" customHeight="1" ht="17.25">
      <c r="A49" s="10">
        <v>10</v>
      </c>
      <c r="B49" s="10">
        <v>2017</v>
      </c>
      <c r="C49" s="2" t="s">
        <v>34</v>
      </c>
      <c r="D49" s="34">
        <v>182</v>
      </c>
      <c r="E49" s="10">
        <v>140778447</v>
      </c>
      <c r="F49" s="35">
        <v>140.778447</v>
      </c>
      <c r="G49" s="34">
        <v>52</v>
      </c>
      <c r="H49" s="11">
        <v>45400725.296875</v>
      </c>
      <c r="I49" s="35">
        <v>45.400725296875</v>
      </c>
      <c r="J49" s="34">
        <v>246</v>
      </c>
      <c r="K49" s="35">
        <v>50.511319523392885</v>
      </c>
      <c r="L49" s="35">
        <v>236.69049182026788</v>
      </c>
      <c r="M49" s="26">
        <f>INDEX(INDIRECT($M239),
       MATCH(TRIM($C239), TRIM(INDIRECT($N239)), 0),
       MATCH(TRIM(X$1), TRIM(INDIRECT($O239)), 0))</f>
      </c>
      <c r="N49" s="26">
        <f>_xlfn.CONCAT("'",$B49,"'","!","$B$3:$B$22")</f>
      </c>
      <c r="O49" s="26">
        <f>_xlfn.CONCAT("'",$B49,"'","!","$C$2:$K$2")</f>
      </c>
      <c r="P49" s="2"/>
      <c r="Q49" s="2"/>
      <c r="R49" s="2"/>
      <c r="S49" s="2"/>
      <c r="T49" s="2"/>
      <c r="U49" s="2"/>
      <c r="V49" s="2"/>
      <c r="W49" s="2"/>
      <c r="X49" s="2"/>
      <c r="Y49" s="2"/>
    </row>
    <row x14ac:dyDescent="0.25" r="50" customHeight="1" ht="17.25">
      <c r="A50" s="10">
        <v>11</v>
      </c>
      <c r="B50" s="10">
        <v>2017</v>
      </c>
      <c r="C50" s="2" t="s">
        <v>36</v>
      </c>
      <c r="D50" s="34">
        <v>66</v>
      </c>
      <c r="E50" s="10">
        <v>24105858</v>
      </c>
      <c r="F50" s="35">
        <v>24.105858</v>
      </c>
      <c r="G50" s="34">
        <v>11</v>
      </c>
      <c r="H50" s="10">
        <v>10888233</v>
      </c>
      <c r="I50" s="35">
        <v>10.888233</v>
      </c>
      <c r="J50" s="34">
        <v>139</v>
      </c>
      <c r="K50" s="35">
        <v>74.03411390422221</v>
      </c>
      <c r="L50" s="35">
        <v>109.0282049042222</v>
      </c>
      <c r="M50" s="26">
        <f>INDEX(INDIRECT($M240),
       MATCH(TRIM($C240), TRIM(INDIRECT($N240)), 0),
       MATCH(TRIM(X$1), TRIM(INDIRECT($O240)), 0))</f>
      </c>
      <c r="N50" s="26">
        <f>_xlfn.CONCAT("'",$B50,"'","!","$B$3:$B$22")</f>
      </c>
      <c r="O50" s="26">
        <f>_xlfn.CONCAT("'",$B50,"'","!","$C$2:$K$2")</f>
      </c>
      <c r="P50" s="2"/>
      <c r="Q50" s="2"/>
      <c r="R50" s="2"/>
      <c r="S50" s="2"/>
      <c r="T50" s="2"/>
      <c r="U50" s="2"/>
      <c r="V50" s="2"/>
      <c r="W50" s="2"/>
      <c r="X50" s="2"/>
      <c r="Y50" s="2"/>
    </row>
    <row x14ac:dyDescent="0.25" r="51" customHeight="1" ht="17.25">
      <c r="A51" s="10">
        <v>12</v>
      </c>
      <c r="B51" s="10">
        <v>2017</v>
      </c>
      <c r="C51" s="2" t="s">
        <v>38</v>
      </c>
      <c r="D51" s="34">
        <v>8</v>
      </c>
      <c r="E51" s="10">
        <v>24829000</v>
      </c>
      <c r="F51" s="35">
        <v>24.829</v>
      </c>
      <c r="G51" s="34">
        <v>5</v>
      </c>
      <c r="H51" s="10">
        <v>1069500</v>
      </c>
      <c r="I51" s="35">
        <v>1.0695</v>
      </c>
      <c r="J51" s="34">
        <v>20</v>
      </c>
      <c r="K51" s="35">
        <v>22.837555517155554</v>
      </c>
      <c r="L51" s="35">
        <v>48.736055517155556</v>
      </c>
      <c r="M51" s="26">
        <f>INDEX(INDIRECT($M241),
       MATCH(TRIM($C241), TRIM(INDIRECT($N241)), 0),
       MATCH(TRIM(X$1), TRIM(INDIRECT($O241)), 0))</f>
      </c>
      <c r="N51" s="26">
        <f>_xlfn.CONCAT("'",$B51,"'","!","$B$3:$B$22")</f>
      </c>
      <c r="O51" s="26">
        <f>_xlfn.CONCAT("'",$B51,"'","!","$C$2:$K$2")</f>
      </c>
      <c r="P51" s="2"/>
      <c r="Q51" s="2"/>
      <c r="R51" s="2"/>
      <c r="S51" s="2"/>
      <c r="T51" s="2"/>
      <c r="U51" s="2"/>
      <c r="V51" s="2"/>
      <c r="W51" s="2"/>
      <c r="X51" s="2"/>
      <c r="Y51" s="2"/>
    </row>
    <row x14ac:dyDescent="0.25" r="52" customHeight="1" ht="17.25">
      <c r="A52" s="10">
        <v>13</v>
      </c>
      <c r="B52" s="10">
        <v>2017</v>
      </c>
      <c r="C52" s="2" t="s">
        <v>40</v>
      </c>
      <c r="D52" s="34">
        <v>59</v>
      </c>
      <c r="E52" s="10">
        <v>60404872</v>
      </c>
      <c r="F52" s="35">
        <v>60.404872</v>
      </c>
      <c r="G52" s="34">
        <v>11</v>
      </c>
      <c r="H52" s="10">
        <v>-3223392</v>
      </c>
      <c r="I52" s="35">
        <v>-3.223392</v>
      </c>
      <c r="J52" s="34">
        <v>77</v>
      </c>
      <c r="K52" s="35">
        <v>59.57277907733332</v>
      </c>
      <c r="L52" s="35">
        <v>116.75425907733333</v>
      </c>
      <c r="M52" s="26">
        <f>INDEX(INDIRECT($M242),
       MATCH(TRIM($C242), TRIM(INDIRECT($N242)), 0),
       MATCH(TRIM(X$1), TRIM(INDIRECT($O242)), 0))</f>
      </c>
      <c r="N52" s="26">
        <f>_xlfn.CONCAT("'",$B52,"'","!","$B$3:$B$22")</f>
      </c>
      <c r="O52" s="26">
        <f>_xlfn.CONCAT("'",$B52,"'","!","$C$2:$K$2")</f>
      </c>
      <c r="P52" s="2"/>
      <c r="Q52" s="2"/>
      <c r="R52" s="2"/>
      <c r="S52" s="2"/>
      <c r="T52" s="2"/>
      <c r="U52" s="2"/>
      <c r="V52" s="2"/>
      <c r="W52" s="2"/>
      <c r="X52" s="2"/>
      <c r="Y52" s="2"/>
    </row>
    <row x14ac:dyDescent="0.25" r="53" customHeight="1" ht="17.25">
      <c r="A53" s="10">
        <v>14</v>
      </c>
      <c r="B53" s="10">
        <v>2017</v>
      </c>
      <c r="C53" s="2" t="s">
        <v>42</v>
      </c>
      <c r="D53" s="34">
        <v>12</v>
      </c>
      <c r="E53" s="10">
        <v>566696325</v>
      </c>
      <c r="F53" s="35">
        <v>566.696325</v>
      </c>
      <c r="G53" s="34">
        <v>2</v>
      </c>
      <c r="H53" s="10">
        <v>1300000</v>
      </c>
      <c r="I53" s="35">
        <v>1.3</v>
      </c>
      <c r="J53" s="34">
        <v>0</v>
      </c>
      <c r="K53" s="34">
        <v>0</v>
      </c>
      <c r="L53" s="35">
        <v>567.996325</v>
      </c>
      <c r="M53" s="26">
        <f>INDEX(INDIRECT($M243),
       MATCH(TRIM($C243), TRIM(INDIRECT($N243)), 0),
       MATCH(TRIM(X$1), TRIM(INDIRECT($O243)), 0))</f>
      </c>
      <c r="N53" s="26">
        <f>_xlfn.CONCAT("'",$B53,"'","!","$B$3:$B$22")</f>
      </c>
      <c r="O53" s="26">
        <f>_xlfn.CONCAT("'",$B53,"'","!","$C$2:$K$2")</f>
      </c>
      <c r="P53" s="2"/>
      <c r="Q53" s="2"/>
      <c r="R53" s="2"/>
      <c r="S53" s="2"/>
      <c r="T53" s="2"/>
      <c r="U53" s="2"/>
      <c r="V53" s="2"/>
      <c r="W53" s="2"/>
      <c r="X53" s="2"/>
      <c r="Y53" s="2"/>
    </row>
    <row x14ac:dyDescent="0.25" r="54" customHeight="1" ht="17.25">
      <c r="A54" s="10">
        <v>15</v>
      </c>
      <c r="B54" s="10">
        <v>2017</v>
      </c>
      <c r="C54" s="2" t="s">
        <v>44</v>
      </c>
      <c r="D54" s="34">
        <v>14</v>
      </c>
      <c r="E54" s="10">
        <v>162313798</v>
      </c>
      <c r="F54" s="35">
        <v>162.313798</v>
      </c>
      <c r="G54" s="34">
        <v>10</v>
      </c>
      <c r="H54" s="10">
        <v>106587979</v>
      </c>
      <c r="I54" s="35">
        <v>106.587979</v>
      </c>
      <c r="J54" s="34">
        <v>21</v>
      </c>
      <c r="K54" s="35">
        <v>118.63081956266663</v>
      </c>
      <c r="L54" s="35">
        <v>387.53259656266664</v>
      </c>
      <c r="M54" s="26">
        <f>INDEX(INDIRECT($M244),
       MATCH(TRIM($C244), TRIM(INDIRECT($N244)), 0),
       MATCH(TRIM(X$1), TRIM(INDIRECT($O244)), 0))</f>
      </c>
      <c r="N54" s="26">
        <f>_xlfn.CONCAT("'",$B54,"'","!","$B$3:$B$22")</f>
      </c>
      <c r="O54" s="26">
        <f>_xlfn.CONCAT("'",$B54,"'","!","$C$2:$K$2")</f>
      </c>
      <c r="P54" s="2"/>
      <c r="Q54" s="2"/>
      <c r="R54" s="2"/>
      <c r="S54" s="2"/>
      <c r="T54" s="2"/>
      <c r="U54" s="2"/>
      <c r="V54" s="2"/>
      <c r="W54" s="2"/>
      <c r="X54" s="2"/>
      <c r="Y54" s="2"/>
    </row>
    <row x14ac:dyDescent="0.25" r="55" customHeight="1" ht="17.25">
      <c r="A55" s="10">
        <v>16</v>
      </c>
      <c r="B55" s="10">
        <v>2017</v>
      </c>
      <c r="C55" s="2" t="s">
        <v>46</v>
      </c>
      <c r="D55" s="34">
        <v>2</v>
      </c>
      <c r="E55" s="10">
        <v>1279016043</v>
      </c>
      <c r="F55" s="35">
        <v>1279.016043</v>
      </c>
      <c r="G55" s="34">
        <v>0</v>
      </c>
      <c r="H55" s="10">
        <v>0</v>
      </c>
      <c r="I55" s="34">
        <v>0</v>
      </c>
      <c r="J55" s="34">
        <v>4</v>
      </c>
      <c r="K55" s="35">
        <v>9.8836134992</v>
      </c>
      <c r="L55" s="35">
        <v>1288.8996564992</v>
      </c>
      <c r="M55" s="26">
        <f>INDEX(INDIRECT($M245),
       MATCH(TRIM($C245), TRIM(INDIRECT($N245)), 0),
       MATCH(TRIM(X$1), TRIM(INDIRECT($O245)), 0))</f>
      </c>
      <c r="N55" s="26">
        <f>_xlfn.CONCAT("'",$B55,"'","!","$B$3:$B$22")</f>
      </c>
      <c r="O55" s="26">
        <f>_xlfn.CONCAT("'",$B55,"'","!","$C$2:$K$2")</f>
      </c>
      <c r="P55" s="2"/>
      <c r="Q55" s="2"/>
      <c r="R55" s="2"/>
      <c r="S55" s="2"/>
      <c r="T55" s="2"/>
      <c r="U55" s="2"/>
      <c r="V55" s="2"/>
      <c r="W55" s="2"/>
      <c r="X55" s="2"/>
      <c r="Y55" s="2"/>
    </row>
    <row x14ac:dyDescent="0.25" r="56" customHeight="1" ht="17.25">
      <c r="A56" s="10">
        <v>17</v>
      </c>
      <c r="B56" s="10">
        <v>2017</v>
      </c>
      <c r="C56" s="2" t="s">
        <v>48</v>
      </c>
      <c r="D56" s="34">
        <v>6</v>
      </c>
      <c r="E56" s="10">
        <v>18504747</v>
      </c>
      <c r="F56" s="35">
        <v>18.504747</v>
      </c>
      <c r="G56" s="34">
        <v>4</v>
      </c>
      <c r="H56" s="10">
        <v>15407480</v>
      </c>
      <c r="I56" s="35">
        <v>15.40748</v>
      </c>
      <c r="J56" s="34">
        <v>6</v>
      </c>
      <c r="K56" s="35">
        <v>3.812133333333334</v>
      </c>
      <c r="L56" s="35">
        <v>37.72436033333334</v>
      </c>
      <c r="M56" s="26">
        <f>INDEX(INDIRECT($M246),
       MATCH(TRIM($C246), TRIM(INDIRECT($N246)), 0),
       MATCH(TRIM(X$1), TRIM(INDIRECT($O246)), 0))</f>
      </c>
      <c r="N56" s="26">
        <f>_xlfn.CONCAT("'",$B56,"'","!","$B$3:$B$22")</f>
      </c>
      <c r="O56" s="26">
        <f>_xlfn.CONCAT("'",$B56,"'","!","$C$2:$K$2")</f>
      </c>
      <c r="P56" s="2"/>
      <c r="Q56" s="2"/>
      <c r="R56" s="2"/>
      <c r="S56" s="2"/>
      <c r="T56" s="2"/>
      <c r="U56" s="2"/>
      <c r="V56" s="2"/>
      <c r="W56" s="2"/>
      <c r="X56" s="2"/>
      <c r="Y56" s="2"/>
    </row>
    <row x14ac:dyDescent="0.25" r="57" customHeight="1" ht="17.25">
      <c r="A57" s="10">
        <v>18</v>
      </c>
      <c r="B57" s="10">
        <v>2017</v>
      </c>
      <c r="C57" s="2" t="s">
        <v>50</v>
      </c>
      <c r="D57" s="34">
        <v>3</v>
      </c>
      <c r="E57" s="10">
        <v>176500</v>
      </c>
      <c r="F57" s="35">
        <v>0.1765</v>
      </c>
      <c r="G57" s="34">
        <v>2</v>
      </c>
      <c r="H57" s="10">
        <v>69867550</v>
      </c>
      <c r="I57" s="35">
        <v>69.86755</v>
      </c>
      <c r="J57" s="34">
        <v>32</v>
      </c>
      <c r="K57" s="35">
        <v>18.167150813111117</v>
      </c>
      <c r="L57" s="35">
        <v>88.21120081311112</v>
      </c>
      <c r="M57" s="26">
        <f>INDEX(INDIRECT($M247),
       MATCH(TRIM($C247), TRIM(INDIRECT($N247)), 0),
       MATCH(TRIM(X$1), TRIM(INDIRECT($O247)), 0))</f>
      </c>
      <c r="N57" s="26">
        <f>_xlfn.CONCAT("'",$B57,"'","!","$B$3:$B$22")</f>
      </c>
      <c r="O57" s="26">
        <f>_xlfn.CONCAT("'",$B57,"'","!","$C$2:$K$2")</f>
      </c>
      <c r="P57" s="2"/>
      <c r="Q57" s="2"/>
      <c r="R57" s="2"/>
      <c r="S57" s="2"/>
      <c r="T57" s="2"/>
      <c r="U57" s="2"/>
      <c r="V57" s="2"/>
      <c r="W57" s="2"/>
      <c r="X57" s="2"/>
      <c r="Y57" s="2"/>
    </row>
    <row x14ac:dyDescent="0.25" r="58" customHeight="1" ht="17.25">
      <c r="A58" s="10">
        <v>19</v>
      </c>
      <c r="B58" s="10">
        <v>2017</v>
      </c>
      <c r="C58" s="2" t="s">
        <v>52</v>
      </c>
      <c r="D58" s="34">
        <v>1</v>
      </c>
      <c r="E58" s="10">
        <v>500000</v>
      </c>
      <c r="F58" s="35">
        <v>0.5</v>
      </c>
      <c r="G58" s="34">
        <v>0</v>
      </c>
      <c r="H58" s="10">
        <v>0</v>
      </c>
      <c r="I58" s="34">
        <v>0</v>
      </c>
      <c r="J58" s="34">
        <v>0</v>
      </c>
      <c r="K58" s="34">
        <v>0</v>
      </c>
      <c r="L58" s="35">
        <v>0.5</v>
      </c>
      <c r="M58" s="26">
        <f>INDEX(INDIRECT($M248),
       MATCH(TRIM($C248), TRIM(INDIRECT($N248)), 0),
       MATCH(TRIM(X$1), TRIM(INDIRECT($O248)), 0))</f>
      </c>
      <c r="N58" s="26">
        <f>_xlfn.CONCAT("'",$B58,"'","!","$B$3:$B$22")</f>
      </c>
      <c r="O58" s="26">
        <f>_xlfn.CONCAT("'",$B58,"'","!","$C$2:$K$2")</f>
      </c>
      <c r="P58" s="2"/>
      <c r="Q58" s="2"/>
      <c r="R58" s="2"/>
      <c r="S58" s="2"/>
      <c r="T58" s="2"/>
      <c r="U58" s="2"/>
      <c r="V58" s="2"/>
      <c r="W58" s="2"/>
      <c r="X58" s="2"/>
      <c r="Y58" s="2"/>
    </row>
    <row x14ac:dyDescent="0.25" r="59" customHeight="1" ht="17.25">
      <c r="A59" s="10">
        <v>1</v>
      </c>
      <c r="B59" s="10">
        <v>2018</v>
      </c>
      <c r="C59" s="2" t="s">
        <v>15</v>
      </c>
      <c r="D59" s="34">
        <v>1065</v>
      </c>
      <c r="E59" s="11">
        <v>9067458901.36</v>
      </c>
      <c r="F59" s="35">
        <v>9067.45890136</v>
      </c>
      <c r="G59" s="34">
        <v>743</v>
      </c>
      <c r="H59" s="11">
        <v>5093781230.561055</v>
      </c>
      <c r="I59" s="35">
        <v>5093.781230561055</v>
      </c>
      <c r="J59" s="34">
        <v>1528</v>
      </c>
      <c r="K59" s="35">
        <v>2426.798385766391</v>
      </c>
      <c r="L59" s="35">
        <v>16588.038517687448</v>
      </c>
      <c r="M59" s="26">
        <f>INDEX(INDIRECT($M249),
       MATCH(TRIM($C249), TRIM(INDIRECT($N249)), 0),
       MATCH(TRIM(X$1), TRIM(INDIRECT($O249)), 0))</f>
      </c>
      <c r="N59" s="26">
        <f>_xlfn.CONCAT("'",$B59,"'","!","$B$3:$B$22")</f>
      </c>
      <c r="O59" s="26">
        <f>_xlfn.CONCAT("'",$B59,"'","!","$C$2:$K$2")</f>
      </c>
      <c r="P59" s="2"/>
      <c r="Q59" s="2"/>
      <c r="R59" s="2"/>
      <c r="S59" s="2"/>
      <c r="T59" s="2"/>
      <c r="U59" s="2"/>
      <c r="V59" s="2"/>
      <c r="W59" s="2"/>
      <c r="X59" s="2"/>
      <c r="Y59" s="2"/>
    </row>
    <row x14ac:dyDescent="0.25" r="60" customHeight="1" ht="17.25">
      <c r="A60" s="10">
        <v>2</v>
      </c>
      <c r="B60" s="10">
        <v>2018</v>
      </c>
      <c r="C60" s="2" t="s">
        <v>18</v>
      </c>
      <c r="D60" s="34">
        <v>19</v>
      </c>
      <c r="E60" s="10">
        <v>1631330648</v>
      </c>
      <c r="F60" s="35">
        <v>1631.330648</v>
      </c>
      <c r="G60" s="34">
        <v>2</v>
      </c>
      <c r="H60" s="10">
        <v>-3651078</v>
      </c>
      <c r="I60" s="35">
        <v>-3.651078</v>
      </c>
      <c r="J60" s="34">
        <v>0</v>
      </c>
      <c r="K60" s="34">
        <v>0</v>
      </c>
      <c r="L60" s="35">
        <v>1627.67957</v>
      </c>
      <c r="M60" s="26">
        <f>INDEX(INDIRECT($M250),
       MATCH(TRIM($C250), TRIM(INDIRECT($N250)), 0),
       MATCH(TRIM(X$1), TRIM(INDIRECT($O250)), 0))</f>
      </c>
      <c r="N60" s="26">
        <f>_xlfn.CONCAT("'",$B60,"'","!","$B$3:$B$22")</f>
      </c>
      <c r="O60" s="26">
        <f>_xlfn.CONCAT("'",$B60,"'","!","$C$2:$K$2")</f>
      </c>
      <c r="P60" s="2"/>
      <c r="Q60" s="2"/>
      <c r="R60" s="2"/>
      <c r="S60" s="2"/>
      <c r="T60" s="2"/>
      <c r="U60" s="2"/>
      <c r="V60" s="2"/>
      <c r="W60" s="2"/>
      <c r="X60" s="2"/>
      <c r="Y60" s="2"/>
    </row>
    <row x14ac:dyDescent="0.25" r="61" customHeight="1" ht="17.25">
      <c r="A61" s="10">
        <v>3</v>
      </c>
      <c r="B61" s="10">
        <v>2018</v>
      </c>
      <c r="C61" s="2" t="s">
        <v>20</v>
      </c>
      <c r="D61" s="34">
        <v>92</v>
      </c>
      <c r="E61" s="10">
        <v>5216777980</v>
      </c>
      <c r="F61" s="35">
        <v>5216.77798</v>
      </c>
      <c r="G61" s="34">
        <v>31</v>
      </c>
      <c r="H61" s="10">
        <v>727437252</v>
      </c>
      <c r="I61" s="35">
        <v>727.437252</v>
      </c>
      <c r="J61" s="34">
        <v>147</v>
      </c>
      <c r="K61" s="35">
        <v>671.1097067625826</v>
      </c>
      <c r="L61" s="35">
        <v>6615.324938762582</v>
      </c>
      <c r="M61" s="26">
        <f>INDEX(INDIRECT($M251),
       MATCH(TRIM($C251), TRIM(INDIRECT($N251)), 0),
       MATCH(TRIM(X$1), TRIM(INDIRECT($O251)), 0))</f>
      </c>
      <c r="N61" s="26">
        <f>_xlfn.CONCAT("'",$B61,"'","!","$B$3:$B$22")</f>
      </c>
      <c r="O61" s="26">
        <f>_xlfn.CONCAT("'",$B61,"'","!","$C$2:$K$2")</f>
      </c>
      <c r="P61" s="2"/>
      <c r="Q61" s="2"/>
      <c r="R61" s="2"/>
      <c r="S61" s="2"/>
      <c r="T61" s="2"/>
      <c r="U61" s="2"/>
      <c r="V61" s="2"/>
      <c r="W61" s="2"/>
      <c r="X61" s="2"/>
      <c r="Y61" s="2"/>
    </row>
    <row x14ac:dyDescent="0.25" r="62" customHeight="1" ht="17.25">
      <c r="A62" s="10">
        <v>4</v>
      </c>
      <c r="B62" s="10">
        <v>2018</v>
      </c>
      <c r="C62" s="2" t="s">
        <v>22</v>
      </c>
      <c r="D62" s="34">
        <v>114</v>
      </c>
      <c r="E62" s="10">
        <v>217669265</v>
      </c>
      <c r="F62" s="35">
        <v>217.669265</v>
      </c>
      <c r="G62" s="34">
        <v>38</v>
      </c>
      <c r="H62" s="10">
        <v>26743485</v>
      </c>
      <c r="I62" s="35">
        <v>26.743485</v>
      </c>
      <c r="J62" s="34">
        <v>255</v>
      </c>
      <c r="K62" s="35">
        <v>938.6606201189317</v>
      </c>
      <c r="L62" s="35">
        <v>1183.0733701189317</v>
      </c>
      <c r="M62" s="26">
        <f>INDEX(INDIRECT($M252),
       MATCH(TRIM($C252), TRIM(INDIRECT($N252)), 0),
       MATCH(TRIM(X$1), TRIM(INDIRECT($O252)), 0))</f>
      </c>
      <c r="N62" s="26">
        <f>_xlfn.CONCAT("'",$B62,"'","!","$B$3:$B$22")</f>
      </c>
      <c r="O62" s="26">
        <f>_xlfn.CONCAT("'",$B62,"'","!","$C$2:$K$2")</f>
      </c>
      <c r="P62" s="2"/>
      <c r="Q62" s="2"/>
      <c r="R62" s="2"/>
      <c r="S62" s="2"/>
      <c r="T62" s="2"/>
      <c r="U62" s="2"/>
      <c r="V62" s="2"/>
      <c r="W62" s="2"/>
      <c r="X62" s="2"/>
      <c r="Y62" s="2"/>
    </row>
    <row x14ac:dyDescent="0.25" r="63" customHeight="1" ht="17.25">
      <c r="A63" s="10">
        <v>5</v>
      </c>
      <c r="B63" s="10">
        <v>2018</v>
      </c>
      <c r="C63" s="2" t="s">
        <v>24</v>
      </c>
      <c r="D63" s="34">
        <v>757</v>
      </c>
      <c r="E63" s="10">
        <v>704533419</v>
      </c>
      <c r="F63" s="35">
        <v>704.533419</v>
      </c>
      <c r="G63" s="34">
        <v>119</v>
      </c>
      <c r="H63" s="10">
        <v>105263028</v>
      </c>
      <c r="I63" s="35">
        <v>105.263028</v>
      </c>
      <c r="J63" s="34">
        <v>2829</v>
      </c>
      <c r="K63" s="35">
        <v>2863.1118280000023</v>
      </c>
      <c r="L63" s="35">
        <v>3672.9082750000025</v>
      </c>
      <c r="M63" s="26">
        <f>INDEX(INDIRECT($M253),
       MATCH(TRIM($C253), TRIM(INDIRECT($N253)), 0),
       MATCH(TRIM(X$1), TRIM(INDIRECT($O253)), 0))</f>
      </c>
      <c r="N63" s="26">
        <f>_xlfn.CONCAT("'",$B63,"'","!","$B$3:$B$22")</f>
      </c>
      <c r="O63" s="26">
        <f>_xlfn.CONCAT("'",$B63,"'","!","$C$2:$K$2")</f>
      </c>
      <c r="P63" s="2"/>
      <c r="Q63" s="2"/>
      <c r="R63" s="2"/>
      <c r="S63" s="2"/>
      <c r="T63" s="2"/>
      <c r="U63" s="2"/>
      <c r="V63" s="2"/>
      <c r="W63" s="2"/>
      <c r="X63" s="2"/>
      <c r="Y63" s="2"/>
    </row>
    <row x14ac:dyDescent="0.25" r="64" customHeight="1" ht="17.25">
      <c r="A64" s="10">
        <v>6</v>
      </c>
      <c r="B64" s="10">
        <v>2018</v>
      </c>
      <c r="C64" s="2" t="s">
        <v>26</v>
      </c>
      <c r="D64" s="34">
        <v>11</v>
      </c>
      <c r="E64" s="10">
        <v>71154916</v>
      </c>
      <c r="F64" s="35">
        <v>71.154916</v>
      </c>
      <c r="G64" s="34">
        <v>14</v>
      </c>
      <c r="H64" s="10">
        <v>61160616</v>
      </c>
      <c r="I64" s="35">
        <v>61.160616</v>
      </c>
      <c r="J64" s="34">
        <v>28</v>
      </c>
      <c r="K64" s="35">
        <v>8.532277967504786</v>
      </c>
      <c r="L64" s="35">
        <v>140.8478099675048</v>
      </c>
      <c r="M64" s="26">
        <f>INDEX(INDIRECT($M254),
       MATCH(TRIM($C254), TRIM(INDIRECT($N254)), 0),
       MATCH(TRIM(X$1), TRIM(INDIRECT($O254)), 0))</f>
      </c>
      <c r="N64" s="26">
        <f>_xlfn.CONCAT("'",$B64,"'","!","$B$3:$B$22")</f>
      </c>
      <c r="O64" s="26">
        <f>_xlfn.CONCAT("'",$B64,"'","!","$C$2:$K$2")</f>
      </c>
      <c r="P64" s="2"/>
      <c r="Q64" s="2"/>
      <c r="R64" s="2"/>
      <c r="S64" s="2"/>
      <c r="T64" s="2"/>
      <c r="U64" s="2"/>
      <c r="V64" s="2"/>
      <c r="W64" s="2"/>
      <c r="X64" s="2"/>
      <c r="Y64" s="2"/>
    </row>
    <row x14ac:dyDescent="0.25" r="65" customHeight="1" ht="17.25">
      <c r="A65" s="10">
        <v>7</v>
      </c>
      <c r="B65" s="10">
        <v>2018</v>
      </c>
      <c r="C65" s="2" t="s">
        <v>28</v>
      </c>
      <c r="D65" s="34">
        <v>386</v>
      </c>
      <c r="E65" s="10">
        <v>183365170</v>
      </c>
      <c r="F65" s="35">
        <v>183.36517</v>
      </c>
      <c r="G65" s="34">
        <v>88</v>
      </c>
      <c r="H65" s="10">
        <v>144045329</v>
      </c>
      <c r="I65" s="35">
        <v>144.045329</v>
      </c>
      <c r="J65" s="34">
        <v>584</v>
      </c>
      <c r="K65" s="35">
        <v>1820.0035041070746</v>
      </c>
      <c r="L65" s="35">
        <v>2147.4140031070747</v>
      </c>
      <c r="M65" s="26">
        <f>INDEX(INDIRECT($M255),
       MATCH(TRIM($C255), TRIM(INDIRECT($N255)), 0),
       MATCH(TRIM(X$1), TRIM(INDIRECT($O255)), 0))</f>
      </c>
      <c r="N65" s="26">
        <f>_xlfn.CONCAT("'",$B65,"'","!","$B$3:$B$22")</f>
      </c>
      <c r="O65" s="26">
        <f>_xlfn.CONCAT("'",$B65,"'","!","$C$2:$K$2")</f>
      </c>
      <c r="P65" s="2"/>
      <c r="Q65" s="2"/>
      <c r="R65" s="2"/>
      <c r="S65" s="2"/>
      <c r="T65" s="2"/>
      <c r="U65" s="2"/>
      <c r="V65" s="2"/>
      <c r="W65" s="2"/>
      <c r="X65" s="2"/>
      <c r="Y65" s="2"/>
    </row>
    <row x14ac:dyDescent="0.25" r="66" customHeight="1" ht="17.25">
      <c r="A66" s="10">
        <v>8</v>
      </c>
      <c r="B66" s="10">
        <v>2018</v>
      </c>
      <c r="C66" s="2" t="s">
        <v>30</v>
      </c>
      <c r="D66" s="34">
        <v>73</v>
      </c>
      <c r="E66" s="10">
        <v>206470370</v>
      </c>
      <c r="F66" s="35">
        <v>206.47037</v>
      </c>
      <c r="G66" s="34">
        <v>24</v>
      </c>
      <c r="H66" s="10">
        <v>52898810</v>
      </c>
      <c r="I66" s="35">
        <v>52.89881</v>
      </c>
      <c r="J66" s="34">
        <v>131</v>
      </c>
      <c r="K66" s="35">
        <v>146.16498301128743</v>
      </c>
      <c r="L66" s="35">
        <v>405.53416301128743</v>
      </c>
      <c r="M66" s="26">
        <f>_xlfn.CONCAT("'",$B66,"'","!","$C$3:$K$23")</f>
      </c>
      <c r="N66" s="26">
        <f>_xlfn.CONCAT("'",$B66,"'","!","$B$3:$B$22")</f>
      </c>
      <c r="O66" s="26">
        <f>_xlfn.CONCAT("'",$B66,"'","!","$C$2:$K$2")</f>
      </c>
      <c r="P66" s="2"/>
      <c r="Q66" s="2"/>
      <c r="R66" s="2"/>
      <c r="S66" s="2"/>
      <c r="T66" s="2"/>
      <c r="U66" s="2"/>
      <c r="V66" s="2"/>
      <c r="W66" s="2"/>
      <c r="X66" s="2"/>
      <c r="Y66" s="2"/>
    </row>
    <row x14ac:dyDescent="0.25" r="67" customHeight="1" ht="17.25">
      <c r="A67" s="10">
        <v>9</v>
      </c>
      <c r="B67" s="10">
        <v>2018</v>
      </c>
      <c r="C67" s="2" t="s">
        <v>32</v>
      </c>
      <c r="D67" s="34">
        <v>102</v>
      </c>
      <c r="E67" s="10">
        <v>27363603</v>
      </c>
      <c r="F67" s="35">
        <v>27.363603</v>
      </c>
      <c r="G67" s="34">
        <v>21</v>
      </c>
      <c r="H67" s="10">
        <v>59820955</v>
      </c>
      <c r="I67" s="35">
        <v>59.820955</v>
      </c>
      <c r="J67" s="34">
        <v>311</v>
      </c>
      <c r="K67" s="35">
        <v>491.34076173368044</v>
      </c>
      <c r="L67" s="35">
        <v>578.5253197336805</v>
      </c>
      <c r="M67" s="26">
        <f>_xlfn.CONCAT("'",$B67,"'","!","$C$3:$K$23")</f>
      </c>
      <c r="N67" s="26">
        <f>_xlfn.CONCAT("'",$B67,"'","!","$B$3:$B$22")</f>
      </c>
      <c r="O67" s="26">
        <f>_xlfn.CONCAT("'",$B67,"'","!","$C$2:$K$2")</f>
      </c>
      <c r="P67" s="2"/>
      <c r="Q67" s="2"/>
      <c r="R67" s="2"/>
      <c r="S67" s="2"/>
      <c r="T67" s="2"/>
      <c r="U67" s="2"/>
      <c r="V67" s="2"/>
      <c r="W67" s="2"/>
      <c r="X67" s="2"/>
      <c r="Y67" s="2"/>
    </row>
    <row x14ac:dyDescent="0.25" r="68" customHeight="1" ht="17.25">
      <c r="A68" s="10">
        <v>10</v>
      </c>
      <c r="B68" s="10">
        <v>2018</v>
      </c>
      <c r="C68" s="2" t="s">
        <v>34</v>
      </c>
      <c r="D68" s="34">
        <v>243</v>
      </c>
      <c r="E68" s="10">
        <v>273715241</v>
      </c>
      <c r="F68" s="35">
        <v>273.715241</v>
      </c>
      <c r="G68" s="34">
        <v>47</v>
      </c>
      <c r="H68" s="10">
        <v>90798181</v>
      </c>
      <c r="I68" s="35">
        <v>90.798181</v>
      </c>
      <c r="J68" s="34">
        <v>321</v>
      </c>
      <c r="K68" s="35">
        <v>196.35722740521683</v>
      </c>
      <c r="L68" s="35">
        <v>560.8706494052168</v>
      </c>
      <c r="M68" s="26">
        <f>_xlfn.CONCAT("'",$B68,"'","!","$C$3:$K$23")</f>
      </c>
      <c r="N68" s="26">
        <f>_xlfn.CONCAT("'",$B68,"'","!","$B$3:$B$22")</f>
      </c>
      <c r="O68" s="26">
        <f>_xlfn.CONCAT("'",$B68,"'","!","$C$2:$K$2")</f>
      </c>
      <c r="P68" s="2"/>
      <c r="Q68" s="2"/>
      <c r="R68" s="2"/>
      <c r="S68" s="2"/>
      <c r="T68" s="2"/>
      <c r="U68" s="2"/>
      <c r="V68" s="2"/>
      <c r="W68" s="2"/>
      <c r="X68" s="2"/>
      <c r="Y68" s="2"/>
    </row>
    <row x14ac:dyDescent="0.25" r="69" customHeight="1" ht="17.25">
      <c r="A69" s="10">
        <v>11</v>
      </c>
      <c r="B69" s="10">
        <v>2018</v>
      </c>
      <c r="C69" s="2" t="s">
        <v>36</v>
      </c>
      <c r="D69" s="34">
        <v>77</v>
      </c>
      <c r="E69" s="10">
        <v>52956787</v>
      </c>
      <c r="F69" s="35">
        <v>52.956787</v>
      </c>
      <c r="G69" s="34">
        <v>13</v>
      </c>
      <c r="H69" s="10">
        <v>64570304</v>
      </c>
      <c r="I69" s="35">
        <v>64.570304</v>
      </c>
      <c r="J69" s="34">
        <v>170</v>
      </c>
      <c r="K69" s="35">
        <v>96.4411312195353</v>
      </c>
      <c r="L69" s="35">
        <v>213.96822221953528</v>
      </c>
      <c r="M69" s="26">
        <f>_xlfn.CONCAT("'",$B69,"'","!","$C$3:$K$23")</f>
      </c>
      <c r="N69" s="26">
        <f>_xlfn.CONCAT("'",$B69,"'","!","$B$3:$B$22")</f>
      </c>
      <c r="O69" s="26">
        <f>_xlfn.CONCAT("'",$B69,"'","!","$C$2:$K$2")</f>
      </c>
      <c r="P69" s="2"/>
      <c r="Q69" s="2"/>
      <c r="R69" s="2"/>
      <c r="S69" s="2"/>
      <c r="T69" s="2"/>
      <c r="U69" s="2"/>
      <c r="V69" s="2"/>
      <c r="W69" s="2"/>
      <c r="X69" s="2"/>
      <c r="Y69" s="2"/>
    </row>
    <row x14ac:dyDescent="0.25" r="70" customHeight="1" ht="17.25">
      <c r="A70" s="10">
        <v>12</v>
      </c>
      <c r="B70" s="10">
        <v>2018</v>
      </c>
      <c r="C70" s="2" t="s">
        <v>38</v>
      </c>
      <c r="D70" s="34">
        <v>9</v>
      </c>
      <c r="E70" s="10">
        <v>3953647</v>
      </c>
      <c r="F70" s="35">
        <v>3.953647</v>
      </c>
      <c r="G70" s="34">
        <v>3</v>
      </c>
      <c r="H70" s="10">
        <v>377400</v>
      </c>
      <c r="I70" s="35">
        <v>0.3774</v>
      </c>
      <c r="J70" s="34">
        <v>18</v>
      </c>
      <c r="K70" s="35">
        <v>3.4347732448880004</v>
      </c>
      <c r="L70" s="35">
        <v>7.765820244888</v>
      </c>
      <c r="M70" s="26">
        <f>_xlfn.CONCAT("'",$B70,"'","!","$C$3:$K$23")</f>
      </c>
      <c r="N70" s="26">
        <f>_xlfn.CONCAT("'",$B70,"'","!","$B$3:$B$22")</f>
      </c>
      <c r="O70" s="26">
        <f>_xlfn.CONCAT("'",$B70,"'","!","$C$2:$K$2")</f>
      </c>
      <c r="P70" s="2"/>
      <c r="Q70" s="2"/>
      <c r="R70" s="2"/>
      <c r="S70" s="2"/>
      <c r="T70" s="2"/>
      <c r="U70" s="2"/>
      <c r="V70" s="2"/>
      <c r="W70" s="2"/>
      <c r="X70" s="2"/>
      <c r="Y70" s="2"/>
    </row>
    <row x14ac:dyDescent="0.25" r="71" customHeight="1" ht="17.25">
      <c r="A71" s="10">
        <v>13</v>
      </c>
      <c r="B71" s="10">
        <v>2018</v>
      </c>
      <c r="C71" s="2" t="s">
        <v>40</v>
      </c>
      <c r="D71" s="34">
        <v>70</v>
      </c>
      <c r="E71" s="10">
        <v>30969474</v>
      </c>
      <c r="F71" s="35">
        <v>30.969474</v>
      </c>
      <c r="G71" s="34">
        <v>14</v>
      </c>
      <c r="H71" s="10">
        <v>30884192</v>
      </c>
      <c r="I71" s="35">
        <v>30.884192</v>
      </c>
      <c r="J71" s="34">
        <v>92</v>
      </c>
      <c r="K71" s="35">
        <v>28.866062511456995</v>
      </c>
      <c r="L71" s="35">
        <v>90.71972851145699</v>
      </c>
      <c r="M71" s="26">
        <f>_xlfn.CONCAT("'",$B71,"'","!","$C$3:$K$23")</f>
      </c>
      <c r="N71" s="26">
        <f>_xlfn.CONCAT("'",$B71,"'","!","$B$3:$B$22")</f>
      </c>
      <c r="O71" s="26">
        <f>_xlfn.CONCAT("'",$B71,"'","!","$C$2:$K$2")</f>
      </c>
      <c r="P71" s="2"/>
      <c r="Q71" s="2"/>
      <c r="R71" s="2"/>
      <c r="S71" s="2"/>
      <c r="T71" s="2"/>
      <c r="U71" s="2"/>
      <c r="V71" s="2"/>
      <c r="W71" s="2"/>
      <c r="X71" s="2"/>
      <c r="Y71" s="2"/>
    </row>
    <row x14ac:dyDescent="0.25" r="72" customHeight="1" ht="17.25">
      <c r="A72" s="10">
        <v>14</v>
      </c>
      <c r="B72" s="10">
        <v>2018</v>
      </c>
      <c r="C72" s="2" t="s">
        <v>42</v>
      </c>
      <c r="D72" s="34">
        <v>7</v>
      </c>
      <c r="E72" s="10">
        <v>232391990</v>
      </c>
      <c r="F72" s="35">
        <v>232.39199</v>
      </c>
      <c r="G72" s="34">
        <v>3</v>
      </c>
      <c r="H72" s="10">
        <v>10192138</v>
      </c>
      <c r="I72" s="35">
        <v>10.192138</v>
      </c>
      <c r="J72" s="34">
        <v>9</v>
      </c>
      <c r="K72" s="35">
        <v>16.6242753333</v>
      </c>
      <c r="L72" s="35">
        <v>259.2084033333</v>
      </c>
      <c r="M72" s="26">
        <f>_xlfn.CONCAT("'",$B72,"'","!","$C$3:$K$23")</f>
      </c>
      <c r="N72" s="26">
        <f>_xlfn.CONCAT("'",$B72,"'","!","$B$3:$B$22")</f>
      </c>
      <c r="O72" s="26">
        <f>_xlfn.CONCAT("'",$B72,"'","!","$C$2:$K$2")</f>
      </c>
      <c r="P72" s="2"/>
      <c r="Q72" s="2"/>
      <c r="R72" s="2"/>
      <c r="S72" s="2"/>
      <c r="T72" s="2"/>
      <c r="U72" s="2"/>
      <c r="V72" s="2"/>
      <c r="W72" s="2"/>
      <c r="X72" s="2"/>
      <c r="Y72" s="2"/>
    </row>
    <row x14ac:dyDescent="0.25" r="73" customHeight="1" ht="17.25">
      <c r="A73" s="10">
        <v>15</v>
      </c>
      <c r="B73" s="10">
        <v>2018</v>
      </c>
      <c r="C73" s="2" t="s">
        <v>44</v>
      </c>
      <c r="D73" s="34">
        <v>7</v>
      </c>
      <c r="E73" s="10">
        <v>14170000</v>
      </c>
      <c r="F73" s="35">
        <v>14.17</v>
      </c>
      <c r="G73" s="34">
        <v>4</v>
      </c>
      <c r="H73" s="10">
        <v>3412280</v>
      </c>
      <c r="I73" s="35">
        <v>3.41228</v>
      </c>
      <c r="J73" s="34">
        <v>33</v>
      </c>
      <c r="K73" s="35">
        <v>115.226668197729</v>
      </c>
      <c r="L73" s="35">
        <v>132.808948197729</v>
      </c>
      <c r="M73" s="26">
        <f>_xlfn.CONCAT("'",$B73,"'","!","$C$3:$K$23")</f>
      </c>
      <c r="N73" s="26">
        <f>_xlfn.CONCAT("'",$B73,"'","!","$B$3:$B$22")</f>
      </c>
      <c r="O73" s="26">
        <f>_xlfn.CONCAT("'",$B73,"'","!","$C$2:$K$2")</f>
      </c>
      <c r="P73" s="2"/>
      <c r="Q73" s="2"/>
      <c r="R73" s="2"/>
      <c r="S73" s="2"/>
      <c r="T73" s="2"/>
      <c r="U73" s="2"/>
      <c r="V73" s="2"/>
      <c r="W73" s="2"/>
      <c r="X73" s="2"/>
      <c r="Y73" s="2"/>
    </row>
    <row x14ac:dyDescent="0.25" r="74" customHeight="1" ht="17.25">
      <c r="A74" s="10">
        <v>16</v>
      </c>
      <c r="B74" s="10">
        <v>2018</v>
      </c>
      <c r="C74" s="2" t="s">
        <v>46</v>
      </c>
      <c r="D74" s="34">
        <v>2</v>
      </c>
      <c r="E74" s="10">
        <v>25396887</v>
      </c>
      <c r="F74" s="35">
        <v>25.396887</v>
      </c>
      <c r="G74" s="34">
        <v>0</v>
      </c>
      <c r="H74" s="10">
        <v>0</v>
      </c>
      <c r="I74" s="34">
        <v>0</v>
      </c>
      <c r="J74" s="34">
        <v>0</v>
      </c>
      <c r="K74" s="34">
        <v>0</v>
      </c>
      <c r="L74" s="35">
        <v>25.396887</v>
      </c>
      <c r="M74" s="26">
        <f>_xlfn.CONCAT("'",$B74,"'","!","$C$3:$K$23")</f>
      </c>
      <c r="N74" s="26">
        <f>_xlfn.CONCAT("'",$B74,"'","!","$B$3:$B$22")</f>
      </c>
      <c r="O74" s="26">
        <f>_xlfn.CONCAT("'",$B74,"'","!","$C$2:$K$2")</f>
      </c>
      <c r="P74" s="2"/>
      <c r="Q74" s="2"/>
      <c r="R74" s="2"/>
      <c r="S74" s="2"/>
      <c r="T74" s="2"/>
      <c r="U74" s="2"/>
      <c r="V74" s="2"/>
      <c r="W74" s="2"/>
      <c r="X74" s="2"/>
      <c r="Y74" s="2"/>
    </row>
    <row x14ac:dyDescent="0.25" r="75" customHeight="1" ht="17.25">
      <c r="A75" s="10">
        <v>17</v>
      </c>
      <c r="B75" s="10">
        <v>2018</v>
      </c>
      <c r="C75" s="2" t="s">
        <v>48</v>
      </c>
      <c r="D75" s="34">
        <v>7</v>
      </c>
      <c r="E75" s="10">
        <v>6198139</v>
      </c>
      <c r="F75" s="35">
        <v>6.198139</v>
      </c>
      <c r="G75" s="34">
        <v>1</v>
      </c>
      <c r="H75" s="10">
        <v>1124999936</v>
      </c>
      <c r="I75" s="35">
        <v>1124.999936</v>
      </c>
      <c r="J75" s="34">
        <v>9</v>
      </c>
      <c r="K75" s="35">
        <v>2.4369575557500003</v>
      </c>
      <c r="L75" s="35">
        <v>1133.63503255575</v>
      </c>
      <c r="M75" s="26">
        <f>_xlfn.CONCAT("'",$B75,"'","!","$C$3:$K$23")</f>
      </c>
      <c r="N75" s="26">
        <f>_xlfn.CONCAT("'",$B75,"'","!","$B$3:$B$22")</f>
      </c>
      <c r="O75" s="26">
        <f>_xlfn.CONCAT("'",$B75,"'","!","$C$2:$K$2")</f>
      </c>
      <c r="P75" s="2"/>
      <c r="Q75" s="2"/>
      <c r="R75" s="2"/>
      <c r="S75" s="2"/>
      <c r="T75" s="2"/>
      <c r="U75" s="2"/>
      <c r="V75" s="2"/>
      <c r="W75" s="2"/>
      <c r="X75" s="2"/>
      <c r="Y75" s="2"/>
    </row>
    <row x14ac:dyDescent="0.25" r="76" customHeight="1" ht="17.25">
      <c r="A76" s="10">
        <v>18</v>
      </c>
      <c r="B76" s="10">
        <v>2018</v>
      </c>
      <c r="C76" s="2" t="s">
        <v>50</v>
      </c>
      <c r="D76" s="34">
        <v>5</v>
      </c>
      <c r="E76" s="10">
        <v>10296055</v>
      </c>
      <c r="F76" s="35">
        <v>10.296055</v>
      </c>
      <c r="G76" s="34">
        <v>4</v>
      </c>
      <c r="H76" s="10">
        <v>3920849</v>
      </c>
      <c r="I76" s="35">
        <v>3.920849</v>
      </c>
      <c r="J76" s="34">
        <v>31</v>
      </c>
      <c r="K76" s="35">
        <v>67.61906733162999</v>
      </c>
      <c r="L76" s="35">
        <v>81.83597133162999</v>
      </c>
      <c r="M76" s="26">
        <f>_xlfn.CONCAT("'",$B76,"'","!","$C$3:$K$23")</f>
      </c>
      <c r="N76" s="26">
        <f>_xlfn.CONCAT("'",$B76,"'","!","$B$3:$B$22")</f>
      </c>
      <c r="O76" s="26">
        <f>_xlfn.CONCAT("'",$B76,"'","!","$C$2:$K$2")</f>
      </c>
      <c r="P76" s="2"/>
      <c r="Q76" s="2"/>
      <c r="R76" s="2"/>
      <c r="S76" s="2"/>
      <c r="T76" s="2"/>
      <c r="U76" s="2"/>
      <c r="V76" s="2"/>
      <c r="W76" s="2"/>
      <c r="X76" s="2"/>
      <c r="Y76" s="2"/>
    </row>
    <row x14ac:dyDescent="0.25" r="77" customHeight="1" ht="17.25">
      <c r="A77" s="10">
        <v>19</v>
      </c>
      <c r="B77" s="10">
        <v>2018</v>
      </c>
      <c r="C77" s="2" t="s">
        <v>52</v>
      </c>
      <c r="D77" s="36" t="s">
        <v>16</v>
      </c>
      <c r="E77" s="1" t="s">
        <v>16</v>
      </c>
      <c r="F77" s="37" t="s">
        <v>16</v>
      </c>
      <c r="G77" s="36" t="s">
        <v>16</v>
      </c>
      <c r="H77" s="1" t="s">
        <v>16</v>
      </c>
      <c r="I77" s="37" t="s">
        <v>16</v>
      </c>
      <c r="J77" s="36" t="s">
        <v>16</v>
      </c>
      <c r="K77" s="37" t="s">
        <v>16</v>
      </c>
      <c r="L77" s="37" t="s">
        <v>16</v>
      </c>
      <c r="M77" s="26">
        <f>_xlfn.CONCAT("'",$B77,"'","!","$C$3:$K$23")</f>
      </c>
      <c r="N77" s="26">
        <f>_xlfn.CONCAT("'",$B77,"'","!","$B$3:$B$22")</f>
      </c>
      <c r="O77" s="26">
        <f>_xlfn.CONCAT("'",$B77,"'","!","$C$2:$K$2")</f>
      </c>
      <c r="P77" s="2"/>
      <c r="Q77" s="2"/>
      <c r="R77" s="2"/>
      <c r="S77" s="2"/>
      <c r="T77" s="2"/>
      <c r="U77" s="2"/>
      <c r="V77" s="2"/>
      <c r="W77" s="2"/>
      <c r="X77" s="2"/>
      <c r="Y77" s="2"/>
    </row>
    <row x14ac:dyDescent="0.25" r="78" customHeight="1" ht="17.25">
      <c r="A78" s="10">
        <v>1</v>
      </c>
      <c r="B78" s="10">
        <v>2019</v>
      </c>
      <c r="C78" s="2" t="s">
        <v>15</v>
      </c>
      <c r="D78" s="34">
        <v>1314</v>
      </c>
      <c r="E78" s="11">
        <v>12093140778.81</v>
      </c>
      <c r="F78" s="35">
        <v>12093.140778809999</v>
      </c>
      <c r="G78" s="34">
        <v>861</v>
      </c>
      <c r="H78" s="11">
        <v>5381984527.615</v>
      </c>
      <c r="I78" s="35">
        <v>5381.984527615</v>
      </c>
      <c r="J78" s="34">
        <v>2261</v>
      </c>
      <c r="K78" s="35">
        <v>7086.6569118203215</v>
      </c>
      <c r="L78" s="35">
        <v>24561.78221824532</v>
      </c>
      <c r="M78" s="26">
        <f>_xlfn.CONCAT("'",$B78,"'","!","$C$3:$K$23")</f>
      </c>
      <c r="N78" s="26">
        <f>_xlfn.CONCAT("'",$B78,"'","!","$B$3:$B$22")</f>
      </c>
      <c r="O78" s="26">
        <f>_xlfn.CONCAT("'",$B78,"'","!","$C$2:$K$2")</f>
      </c>
      <c r="P78" s="2"/>
      <c r="Q78" s="2"/>
      <c r="R78" s="2"/>
      <c r="S78" s="2"/>
      <c r="T78" s="2"/>
      <c r="U78" s="2"/>
      <c r="V78" s="2"/>
      <c r="W78" s="2"/>
      <c r="X78" s="2"/>
      <c r="Y78" s="2"/>
    </row>
    <row x14ac:dyDescent="0.25" r="79" customHeight="1" ht="17.25">
      <c r="A79" s="10">
        <v>2</v>
      </c>
      <c r="B79" s="10">
        <v>2019</v>
      </c>
      <c r="C79" s="2" t="s">
        <v>18</v>
      </c>
      <c r="D79" s="34">
        <v>15</v>
      </c>
      <c r="E79" s="10">
        <v>722595074</v>
      </c>
      <c r="F79" s="35">
        <v>722.595074</v>
      </c>
      <c r="G79" s="34">
        <v>2</v>
      </c>
      <c r="H79" s="10">
        <v>-14912069</v>
      </c>
      <c r="I79" s="35">
        <v>-14.912069</v>
      </c>
      <c r="J79" s="34">
        <v>62</v>
      </c>
      <c r="K79" s="35">
        <v>302.41933139761676</v>
      </c>
      <c r="L79" s="35">
        <v>1010.1023363976167</v>
      </c>
      <c r="M79" s="26">
        <f>_xlfn.CONCAT("'",$B79,"'","!","$C$3:$K$23")</f>
      </c>
      <c r="N79" s="26">
        <f>_xlfn.CONCAT("'",$B79,"'","!","$B$3:$B$22")</f>
      </c>
      <c r="O79" s="26">
        <f>_xlfn.CONCAT("'",$B79,"'","!","$C$2:$K$2")</f>
      </c>
      <c r="P79" s="2"/>
      <c r="Q79" s="2"/>
      <c r="R79" s="2"/>
      <c r="S79" s="2"/>
      <c r="T79" s="2"/>
      <c r="U79" s="2"/>
      <c r="V79" s="2"/>
      <c r="W79" s="2"/>
      <c r="X79" s="2"/>
      <c r="Y79" s="2"/>
    </row>
    <row x14ac:dyDescent="0.25" r="80" customHeight="1" ht="17.25">
      <c r="A80" s="10">
        <v>3</v>
      </c>
      <c r="B80" s="10">
        <v>2019</v>
      </c>
      <c r="C80" s="2" t="s">
        <v>20</v>
      </c>
      <c r="D80" s="34">
        <v>123</v>
      </c>
      <c r="E80" s="10">
        <v>1817969227</v>
      </c>
      <c r="F80" s="35">
        <v>1817.969227</v>
      </c>
      <c r="G80" s="34">
        <v>28</v>
      </c>
      <c r="H80" s="10">
        <v>-693726840</v>
      </c>
      <c r="I80" s="35">
        <v>-693.72684</v>
      </c>
      <c r="J80" s="34">
        <v>397</v>
      </c>
      <c r="K80" s="35">
        <v>2751.786162371547</v>
      </c>
      <c r="L80" s="35">
        <v>3876.0285493715473</v>
      </c>
      <c r="M80" s="26">
        <f>_xlfn.CONCAT("'",$B80,"'","!","$C$3:$K$23")</f>
      </c>
      <c r="N80" s="26">
        <f>_xlfn.CONCAT("'",$B80,"'","!","$B$3:$B$22")</f>
      </c>
      <c r="O80" s="26">
        <f>_xlfn.CONCAT("'",$B80,"'","!","$C$2:$K$2")</f>
      </c>
      <c r="P80" s="2"/>
      <c r="Q80" s="2"/>
      <c r="R80" s="2"/>
      <c r="S80" s="2"/>
      <c r="T80" s="2"/>
      <c r="U80" s="2"/>
      <c r="V80" s="2"/>
      <c r="W80" s="2"/>
      <c r="X80" s="2"/>
      <c r="Y80" s="2"/>
    </row>
    <row x14ac:dyDescent="0.25" r="81" customHeight="1" ht="17.25">
      <c r="A81" s="10">
        <v>4</v>
      </c>
      <c r="B81" s="10">
        <v>2019</v>
      </c>
      <c r="C81" s="2" t="s">
        <v>22</v>
      </c>
      <c r="D81" s="34">
        <v>134</v>
      </c>
      <c r="E81" s="10">
        <v>322432307</v>
      </c>
      <c r="F81" s="35">
        <v>322.432307</v>
      </c>
      <c r="G81" s="34">
        <v>45</v>
      </c>
      <c r="H81" s="10">
        <v>81720233</v>
      </c>
      <c r="I81" s="35">
        <v>81.720233</v>
      </c>
      <c r="J81" s="34">
        <v>521</v>
      </c>
      <c r="K81" s="35">
        <v>574.8777910799884</v>
      </c>
      <c r="L81" s="35">
        <v>979.0303310799884</v>
      </c>
      <c r="M81" s="26">
        <f>_xlfn.CONCAT("'",$B81,"'","!","$C$3:$K$23")</f>
      </c>
      <c r="N81" s="26">
        <f>_xlfn.CONCAT("'",$B81,"'","!","$B$3:$B$22")</f>
      </c>
      <c r="O81" s="26">
        <f>_xlfn.CONCAT("'",$B81,"'","!","$C$2:$K$2")</f>
      </c>
      <c r="P81" s="2"/>
      <c r="Q81" s="2"/>
      <c r="R81" s="2"/>
      <c r="S81" s="2"/>
      <c r="T81" s="2"/>
      <c r="U81" s="2"/>
      <c r="V81" s="2"/>
      <c r="W81" s="2"/>
      <c r="X81" s="2"/>
      <c r="Y81" s="2"/>
    </row>
    <row x14ac:dyDescent="0.25" r="82" customHeight="1" ht="17.25">
      <c r="A82" s="10">
        <v>5</v>
      </c>
      <c r="B82" s="10">
        <v>2019</v>
      </c>
      <c r="C82" s="2" t="s">
        <v>24</v>
      </c>
      <c r="D82" s="34">
        <v>1105</v>
      </c>
      <c r="E82" s="10">
        <v>880798245</v>
      </c>
      <c r="F82" s="35">
        <v>880.798245</v>
      </c>
      <c r="G82" s="34">
        <v>182</v>
      </c>
      <c r="H82" s="11">
        <v>279325102.75</v>
      </c>
      <c r="I82" s="35">
        <v>279.32510275</v>
      </c>
      <c r="J82" s="34">
        <v>3292</v>
      </c>
      <c r="K82" s="35">
        <v>1427.9764534072897</v>
      </c>
      <c r="L82" s="35">
        <v>2588.0998011572897</v>
      </c>
      <c r="M82" s="26">
        <f>_xlfn.CONCAT("'",$B82,"'","!","$C$3:$K$23")</f>
      </c>
      <c r="N82" s="26">
        <f>_xlfn.CONCAT("'",$B82,"'","!","$B$3:$B$22")</f>
      </c>
      <c r="O82" s="26">
        <f>_xlfn.CONCAT("'",$B82,"'","!","$C$2:$K$2")</f>
      </c>
      <c r="P82" s="2"/>
      <c r="Q82" s="2"/>
      <c r="R82" s="2"/>
      <c r="S82" s="2"/>
      <c r="T82" s="2"/>
      <c r="U82" s="2"/>
      <c r="V82" s="2"/>
      <c r="W82" s="2"/>
      <c r="X82" s="2"/>
      <c r="Y82" s="2"/>
    </row>
    <row x14ac:dyDescent="0.25" r="83" customHeight="1" ht="17.25">
      <c r="A83" s="10">
        <v>6</v>
      </c>
      <c r="B83" s="10">
        <v>2019</v>
      </c>
      <c r="C83" s="2" t="s">
        <v>26</v>
      </c>
      <c r="D83" s="34">
        <v>16</v>
      </c>
      <c r="E83" s="10">
        <v>72956870</v>
      </c>
      <c r="F83" s="35">
        <v>72.95687</v>
      </c>
      <c r="G83" s="34">
        <v>10</v>
      </c>
      <c r="H83" s="10">
        <v>7425660</v>
      </c>
      <c r="I83" s="35">
        <v>7.42566</v>
      </c>
      <c r="J83" s="34">
        <v>54</v>
      </c>
      <c r="K83" s="35">
        <v>18.932666475780504</v>
      </c>
      <c r="L83" s="35">
        <v>99.3151964757805</v>
      </c>
      <c r="M83" s="26">
        <f>_xlfn.CONCAT("'",$B83,"'","!","$C$3:$K$23")</f>
      </c>
      <c r="N83" s="26">
        <f>_xlfn.CONCAT("'",$B83,"'","!","$B$3:$B$22")</f>
      </c>
      <c r="O83" s="26">
        <f>_xlfn.CONCAT("'",$B83,"'","!","$C$2:$K$2")</f>
      </c>
      <c r="P83" s="2"/>
      <c r="Q83" s="2"/>
      <c r="R83" s="2"/>
      <c r="S83" s="2"/>
      <c r="T83" s="2"/>
      <c r="U83" s="2"/>
      <c r="V83" s="2"/>
      <c r="W83" s="2"/>
      <c r="X83" s="2"/>
      <c r="Y83" s="2"/>
    </row>
    <row x14ac:dyDescent="0.25" r="84" customHeight="1" ht="17.25">
      <c r="A84" s="10">
        <v>7</v>
      </c>
      <c r="B84" s="10">
        <v>2019</v>
      </c>
      <c r="C84" s="2" t="s">
        <v>28</v>
      </c>
      <c r="D84" s="34">
        <v>493</v>
      </c>
      <c r="E84" s="10">
        <v>330262134</v>
      </c>
      <c r="F84" s="35">
        <v>330.262134</v>
      </c>
      <c r="G84" s="34">
        <v>104</v>
      </c>
      <c r="H84" s="10">
        <v>144794798</v>
      </c>
      <c r="I84" s="35">
        <v>144.794798</v>
      </c>
      <c r="J84" s="34">
        <v>1129</v>
      </c>
      <c r="K84" s="35">
        <v>1091.5198734039484</v>
      </c>
      <c r="L84" s="35">
        <v>1566.5768054039484</v>
      </c>
      <c r="M84" s="26">
        <f>_xlfn.CONCAT("'",$B84,"'","!","$C$3:$K$23")</f>
      </c>
      <c r="N84" s="26">
        <f>_xlfn.CONCAT("'",$B84,"'","!","$B$3:$B$22")</f>
      </c>
      <c r="O84" s="26">
        <f>_xlfn.CONCAT("'",$B84,"'","!","$C$2:$K$2")</f>
      </c>
      <c r="P84" s="2"/>
      <c r="Q84" s="2"/>
      <c r="R84" s="2"/>
      <c r="S84" s="2"/>
      <c r="T84" s="2"/>
      <c r="U84" s="2"/>
      <c r="V84" s="2"/>
      <c r="W84" s="2"/>
      <c r="X84" s="2"/>
      <c r="Y84" s="2"/>
    </row>
    <row x14ac:dyDescent="0.25" r="85" customHeight="1" ht="17.25">
      <c r="A85" s="10">
        <v>8</v>
      </c>
      <c r="B85" s="10">
        <v>2019</v>
      </c>
      <c r="C85" s="2" t="s">
        <v>30</v>
      </c>
      <c r="D85" s="34">
        <v>100</v>
      </c>
      <c r="E85" s="10">
        <v>122382873</v>
      </c>
      <c r="F85" s="35">
        <v>122.382873</v>
      </c>
      <c r="G85" s="34">
        <v>24</v>
      </c>
      <c r="H85" s="10">
        <v>56732462</v>
      </c>
      <c r="I85" s="35">
        <v>56.732462</v>
      </c>
      <c r="J85" s="34">
        <v>285</v>
      </c>
      <c r="K85" s="35">
        <v>166.94645322589508</v>
      </c>
      <c r="L85" s="35">
        <v>346.0617882258951</v>
      </c>
      <c r="M85" s="26">
        <f>_xlfn.CONCAT("'",$B85,"'","!","$C$3:$K$23")</f>
      </c>
      <c r="N85" s="26">
        <f>_xlfn.CONCAT("'",$B85,"'","!","$B$3:$B$22")</f>
      </c>
      <c r="O85" s="26">
        <f>_xlfn.CONCAT("'",$B85,"'","!","$C$2:$K$2")</f>
      </c>
      <c r="P85" s="2"/>
      <c r="Q85" s="2"/>
      <c r="R85" s="2"/>
      <c r="S85" s="2"/>
      <c r="T85" s="2"/>
      <c r="U85" s="2"/>
      <c r="V85" s="2"/>
      <c r="W85" s="2"/>
      <c r="X85" s="2"/>
      <c r="Y85" s="2"/>
    </row>
    <row x14ac:dyDescent="0.25" r="86" customHeight="1" ht="17.25">
      <c r="A86" s="10">
        <v>9</v>
      </c>
      <c r="B86" s="10">
        <v>2019</v>
      </c>
      <c r="C86" s="2" t="s">
        <v>32</v>
      </c>
      <c r="D86" s="34">
        <v>103</v>
      </c>
      <c r="E86" s="10">
        <v>39046531</v>
      </c>
      <c r="F86" s="35">
        <v>39.046531</v>
      </c>
      <c r="G86" s="34">
        <v>23</v>
      </c>
      <c r="H86" s="11">
        <v>37994035.510009766</v>
      </c>
      <c r="I86" s="35">
        <v>37.994035510009766</v>
      </c>
      <c r="J86" s="34">
        <v>710</v>
      </c>
      <c r="K86" s="35">
        <v>411.84625273737606</v>
      </c>
      <c r="L86" s="35">
        <v>488.8868192473858</v>
      </c>
      <c r="M86" s="26">
        <f>_xlfn.CONCAT("'",$B86,"'","!","$C$3:$K$23")</f>
      </c>
      <c r="N86" s="26">
        <f>_xlfn.CONCAT("'",$B86,"'","!","$B$3:$B$22")</f>
      </c>
      <c r="O86" s="26">
        <f>_xlfn.CONCAT("'",$B86,"'","!","$C$2:$K$2")</f>
      </c>
      <c r="P86" s="2"/>
      <c r="Q86" s="2"/>
      <c r="R86" s="2"/>
      <c r="S86" s="2"/>
      <c r="T86" s="2"/>
      <c r="U86" s="2"/>
      <c r="V86" s="2"/>
      <c r="W86" s="2"/>
      <c r="X86" s="2"/>
      <c r="Y86" s="2"/>
    </row>
    <row x14ac:dyDescent="0.25" r="87" customHeight="1" ht="17.25">
      <c r="A87" s="10">
        <v>10</v>
      </c>
      <c r="B87" s="10">
        <v>2019</v>
      </c>
      <c r="C87" s="2" t="s">
        <v>34</v>
      </c>
      <c r="D87" s="34">
        <v>302</v>
      </c>
      <c r="E87" s="10">
        <v>85369682</v>
      </c>
      <c r="F87" s="35">
        <v>85.369682</v>
      </c>
      <c r="G87" s="34">
        <v>61</v>
      </c>
      <c r="H87" s="10">
        <v>195367240</v>
      </c>
      <c r="I87" s="35">
        <v>195.36724</v>
      </c>
      <c r="J87" s="34">
        <v>557</v>
      </c>
      <c r="K87" s="35">
        <v>255.86090739917245</v>
      </c>
      <c r="L87" s="35">
        <v>536.5978293991725</v>
      </c>
      <c r="M87" s="26">
        <f>_xlfn.CONCAT("'",$B87,"'","!","$C$3:$K$23")</f>
      </c>
      <c r="N87" s="26">
        <f>_xlfn.CONCAT("'",$B87,"'","!","$B$3:$B$22")</f>
      </c>
      <c r="O87" s="26">
        <f>_xlfn.CONCAT("'",$B87,"'","!","$C$2:$K$2")</f>
      </c>
      <c r="P87" s="2"/>
      <c r="Q87" s="2"/>
      <c r="R87" s="2"/>
      <c r="S87" s="2"/>
      <c r="T87" s="2"/>
      <c r="U87" s="2"/>
      <c r="V87" s="2"/>
      <c r="W87" s="2"/>
      <c r="X87" s="2"/>
      <c r="Y87" s="2"/>
    </row>
    <row x14ac:dyDescent="0.25" r="88" customHeight="1" ht="17.25">
      <c r="A88" s="10">
        <v>11</v>
      </c>
      <c r="B88" s="10">
        <v>2019</v>
      </c>
      <c r="C88" s="2" t="s">
        <v>36</v>
      </c>
      <c r="D88" s="34">
        <v>63</v>
      </c>
      <c r="E88" s="10">
        <v>32451189</v>
      </c>
      <c r="F88" s="35">
        <v>32.451189</v>
      </c>
      <c r="G88" s="34">
        <v>13</v>
      </c>
      <c r="H88" s="10">
        <v>9955748</v>
      </c>
      <c r="I88" s="35">
        <v>9.955748</v>
      </c>
      <c r="J88" s="34">
        <v>238</v>
      </c>
      <c r="K88" s="35">
        <v>81.19504593791378</v>
      </c>
      <c r="L88" s="35">
        <v>123.60198293791377</v>
      </c>
      <c r="M88" s="26">
        <f>_xlfn.CONCAT("'",$B88,"'","!","$C$3:$K$23")</f>
      </c>
      <c r="N88" s="26">
        <f>_xlfn.CONCAT("'",$B88,"'","!","$B$3:$B$22")</f>
      </c>
      <c r="O88" s="26">
        <f>_xlfn.CONCAT("'",$B88,"'","!","$C$2:$K$2")</f>
      </c>
      <c r="P88" s="2"/>
      <c r="Q88" s="2"/>
      <c r="R88" s="2"/>
      <c r="S88" s="2"/>
      <c r="T88" s="2"/>
      <c r="U88" s="2"/>
      <c r="V88" s="2"/>
      <c r="W88" s="2"/>
      <c r="X88" s="2"/>
      <c r="Y88" s="2"/>
    </row>
    <row x14ac:dyDescent="0.25" r="89" customHeight="1" ht="17.25">
      <c r="A89" s="10">
        <v>12</v>
      </c>
      <c r="B89" s="10">
        <v>2019</v>
      </c>
      <c r="C89" s="2" t="s">
        <v>38</v>
      </c>
      <c r="D89" s="34">
        <v>11</v>
      </c>
      <c r="E89" s="10">
        <v>36751848</v>
      </c>
      <c r="F89" s="35">
        <v>36.751848</v>
      </c>
      <c r="G89" s="34">
        <v>2</v>
      </c>
      <c r="H89" s="10">
        <v>2200000</v>
      </c>
      <c r="I89" s="35">
        <v>2.2</v>
      </c>
      <c r="J89" s="34">
        <v>31</v>
      </c>
      <c r="K89" s="35">
        <v>8.117867458086577</v>
      </c>
      <c r="L89" s="35">
        <v>47.069715458086584</v>
      </c>
      <c r="M89" s="26">
        <f>_xlfn.CONCAT("'",$B89,"'","!","$C$3:$K$23")</f>
      </c>
      <c r="N89" s="26">
        <f>_xlfn.CONCAT("'",$B89,"'","!","$B$3:$B$22")</f>
      </c>
      <c r="O89" s="26">
        <f>_xlfn.CONCAT("'",$B89,"'","!","$C$2:$K$2")</f>
      </c>
      <c r="P89" s="2"/>
      <c r="Q89" s="2"/>
      <c r="R89" s="2"/>
      <c r="S89" s="2"/>
      <c r="T89" s="2"/>
      <c r="U89" s="2"/>
      <c r="V89" s="2"/>
      <c r="W89" s="2"/>
      <c r="X89" s="2"/>
      <c r="Y89" s="2"/>
    </row>
    <row x14ac:dyDescent="0.25" r="90" customHeight="1" ht="17.25">
      <c r="A90" s="10">
        <v>13</v>
      </c>
      <c r="B90" s="10">
        <v>2019</v>
      </c>
      <c r="C90" s="2" t="s">
        <v>40</v>
      </c>
      <c r="D90" s="34">
        <v>71</v>
      </c>
      <c r="E90" s="10">
        <v>24961926</v>
      </c>
      <c r="F90" s="35">
        <v>24.961926</v>
      </c>
      <c r="G90" s="34">
        <v>12</v>
      </c>
      <c r="H90" s="10">
        <v>9363256</v>
      </c>
      <c r="I90" s="35">
        <v>9.363256</v>
      </c>
      <c r="J90" s="34">
        <v>172</v>
      </c>
      <c r="K90" s="35">
        <v>30.301657034080264</v>
      </c>
      <c r="L90" s="35">
        <v>64.62683903408026</v>
      </c>
      <c r="M90" s="26">
        <f>_xlfn.CONCAT("'",$B90,"'","!","$C$3:$K$23")</f>
      </c>
      <c r="N90" s="26">
        <f>_xlfn.CONCAT("'",$B90,"'","!","$B$3:$B$22")</f>
      </c>
      <c r="O90" s="26">
        <f>_xlfn.CONCAT("'",$B90,"'","!","$C$2:$K$2")</f>
      </c>
      <c r="P90" s="2"/>
      <c r="Q90" s="2"/>
      <c r="R90" s="2"/>
      <c r="S90" s="2"/>
      <c r="T90" s="2"/>
      <c r="U90" s="2"/>
      <c r="V90" s="2"/>
      <c r="W90" s="2"/>
      <c r="X90" s="2"/>
      <c r="Y90" s="2"/>
    </row>
    <row x14ac:dyDescent="0.25" r="91" customHeight="1" ht="17.25">
      <c r="A91" s="10">
        <v>14</v>
      </c>
      <c r="B91" s="10">
        <v>2019</v>
      </c>
      <c r="C91" s="2" t="s">
        <v>42</v>
      </c>
      <c r="D91" s="34">
        <v>6</v>
      </c>
      <c r="E91" s="10">
        <v>125027636</v>
      </c>
      <c r="F91" s="35">
        <v>125.027636</v>
      </c>
      <c r="G91" s="34">
        <v>6</v>
      </c>
      <c r="H91" s="10">
        <v>78222671</v>
      </c>
      <c r="I91" s="35">
        <v>78.222671</v>
      </c>
      <c r="J91" s="34">
        <v>19</v>
      </c>
      <c r="K91" s="35">
        <v>46.01556315302244</v>
      </c>
      <c r="L91" s="35">
        <v>249.26587015302246</v>
      </c>
      <c r="M91" s="26">
        <f>_xlfn.CONCAT("'",$B91,"'","!","$C$3:$K$23")</f>
      </c>
      <c r="N91" s="26">
        <f>_xlfn.CONCAT("'",$B91,"'","!","$B$3:$B$22")</f>
      </c>
      <c r="O91" s="26">
        <f>_xlfn.CONCAT("'",$B91,"'","!","$C$2:$K$2")</f>
      </c>
      <c r="P91" s="2"/>
      <c r="Q91" s="2"/>
      <c r="R91" s="2"/>
      <c r="S91" s="2"/>
      <c r="T91" s="2"/>
      <c r="U91" s="2"/>
      <c r="V91" s="2"/>
      <c r="W91" s="2"/>
      <c r="X91" s="2"/>
      <c r="Y91" s="2"/>
    </row>
    <row x14ac:dyDescent="0.25" r="92" customHeight="1" ht="17.25">
      <c r="A92" s="10">
        <v>15</v>
      </c>
      <c r="B92" s="10">
        <v>2019</v>
      </c>
      <c r="C92" s="2" t="s">
        <v>44</v>
      </c>
      <c r="D92" s="34">
        <v>6</v>
      </c>
      <c r="E92" s="10">
        <v>17300000</v>
      </c>
      <c r="F92" s="35">
        <v>17.3</v>
      </c>
      <c r="G92" s="34">
        <v>3</v>
      </c>
      <c r="H92" s="10">
        <v>2928883</v>
      </c>
      <c r="I92" s="35">
        <v>2.928883</v>
      </c>
      <c r="J92" s="34">
        <v>41</v>
      </c>
      <c r="K92" s="35">
        <v>191.21945574009573</v>
      </c>
      <c r="L92" s="35">
        <v>211.44833874009572</v>
      </c>
      <c r="M92" s="26">
        <f>_xlfn.CONCAT("'",$B92,"'","!","$C$3:$K$23")</f>
      </c>
      <c r="N92" s="26">
        <f>_xlfn.CONCAT("'",$B92,"'","!","$B$3:$B$22")</f>
      </c>
      <c r="O92" s="26">
        <f>_xlfn.CONCAT("'",$B92,"'","!","$C$2:$K$2")</f>
      </c>
      <c r="P92" s="2"/>
      <c r="Q92" s="2"/>
      <c r="R92" s="2"/>
      <c r="S92" s="2"/>
      <c r="T92" s="2"/>
      <c r="U92" s="2"/>
      <c r="V92" s="2"/>
      <c r="W92" s="2"/>
      <c r="X92" s="2"/>
      <c r="Y92" s="2"/>
    </row>
    <row x14ac:dyDescent="0.25" r="93" customHeight="1" ht="17.25">
      <c r="A93" s="10">
        <v>16</v>
      </c>
      <c r="B93" s="10">
        <v>2019</v>
      </c>
      <c r="C93" s="2" t="s">
        <v>46</v>
      </c>
      <c r="D93" s="34">
        <v>2</v>
      </c>
      <c r="E93" s="10">
        <v>1903773</v>
      </c>
      <c r="F93" s="35">
        <v>1.903773</v>
      </c>
      <c r="G93" s="34">
        <v>2</v>
      </c>
      <c r="H93" s="10">
        <v>28025113</v>
      </c>
      <c r="I93" s="35">
        <v>28.025113</v>
      </c>
      <c r="J93" s="34">
        <v>8</v>
      </c>
      <c r="K93" s="35">
        <v>5.659319417161469</v>
      </c>
      <c r="L93" s="35">
        <v>35.58820541716147</v>
      </c>
      <c r="M93" s="26">
        <f>_xlfn.CONCAT("'",$B93,"'","!","$C$3:$K$23")</f>
      </c>
      <c r="N93" s="26">
        <f>_xlfn.CONCAT("'",$B93,"'","!","$B$3:$B$22")</f>
      </c>
      <c r="O93" s="26">
        <f>_xlfn.CONCAT("'",$B93,"'","!","$C$2:$K$2")</f>
      </c>
      <c r="P93" s="2"/>
      <c r="Q93" s="2"/>
      <c r="R93" s="2"/>
      <c r="S93" s="2"/>
      <c r="T93" s="2"/>
      <c r="U93" s="2"/>
      <c r="V93" s="2"/>
      <c r="W93" s="2"/>
      <c r="X93" s="2"/>
      <c r="Y93" s="2"/>
    </row>
    <row x14ac:dyDescent="0.25" r="94" customHeight="1" ht="17.25">
      <c r="A94" s="10">
        <v>17</v>
      </c>
      <c r="B94" s="10">
        <v>2019</v>
      </c>
      <c r="C94" s="2" t="s">
        <v>48</v>
      </c>
      <c r="D94" s="34">
        <v>6</v>
      </c>
      <c r="E94" s="10">
        <v>8273202</v>
      </c>
      <c r="F94" s="35">
        <v>8.273202</v>
      </c>
      <c r="G94" s="34">
        <v>1</v>
      </c>
      <c r="H94" s="10">
        <v>2652174</v>
      </c>
      <c r="I94" s="35">
        <v>2.652174</v>
      </c>
      <c r="J94" s="34">
        <v>26</v>
      </c>
      <c r="K94" s="35">
        <v>51.81266706936358</v>
      </c>
      <c r="L94" s="35">
        <v>62.73804306936358</v>
      </c>
      <c r="M94" s="26">
        <f>_xlfn.CONCAT("'",$B94,"'","!","$C$3:$K$23")</f>
      </c>
      <c r="N94" s="26">
        <f>_xlfn.CONCAT("'",$B94,"'","!","$B$3:$B$22")</f>
      </c>
      <c r="O94" s="26">
        <f>_xlfn.CONCAT("'",$B94,"'","!","$C$2:$K$2")</f>
      </c>
      <c r="P94" s="2"/>
      <c r="Q94" s="2"/>
      <c r="R94" s="2"/>
      <c r="S94" s="2"/>
      <c r="T94" s="2"/>
      <c r="U94" s="2"/>
      <c r="V94" s="2"/>
      <c r="W94" s="2"/>
      <c r="X94" s="2"/>
      <c r="Y94" s="2"/>
    </row>
    <row x14ac:dyDescent="0.25" r="95" customHeight="1" ht="17.25">
      <c r="A95" s="10">
        <v>18</v>
      </c>
      <c r="B95" s="10">
        <v>2019</v>
      </c>
      <c r="C95" s="2" t="s">
        <v>50</v>
      </c>
      <c r="D95" s="34">
        <v>12</v>
      </c>
      <c r="E95" s="10">
        <v>11548062</v>
      </c>
      <c r="F95" s="35">
        <v>11.548062</v>
      </c>
      <c r="G95" s="34">
        <v>2</v>
      </c>
      <c r="H95" s="10">
        <v>191974944</v>
      </c>
      <c r="I95" s="35">
        <v>191.974944</v>
      </c>
      <c r="J95" s="34">
        <v>39</v>
      </c>
      <c r="K95" s="35">
        <v>968.3375393607895</v>
      </c>
      <c r="L95" s="35">
        <v>1171.8605453607895</v>
      </c>
      <c r="M95" s="26">
        <f>_xlfn.CONCAT("'",$B95,"'","!","$C$3:$K$23")</f>
      </c>
      <c r="N95" s="26">
        <f>_xlfn.CONCAT("'",$B95,"'","!","$B$3:$B$22")</f>
      </c>
      <c r="O95" s="26">
        <f>_xlfn.CONCAT("'",$B95,"'","!","$C$2:$K$2")</f>
      </c>
      <c r="P95" s="2"/>
      <c r="Q95" s="2"/>
      <c r="R95" s="2"/>
      <c r="S95" s="2"/>
      <c r="T95" s="2"/>
      <c r="U95" s="2"/>
      <c r="V95" s="2"/>
      <c r="W95" s="2"/>
      <c r="X95" s="2"/>
      <c r="Y95" s="2"/>
    </row>
    <row x14ac:dyDescent="0.25" r="96" customHeight="1" ht="17.25">
      <c r="A96" s="10">
        <v>19</v>
      </c>
      <c r="B96" s="10">
        <v>2019</v>
      </c>
      <c r="C96" s="2" t="s">
        <v>52</v>
      </c>
      <c r="D96" s="34">
        <v>1</v>
      </c>
      <c r="E96" s="10">
        <v>431044</v>
      </c>
      <c r="F96" s="35">
        <v>0.431044</v>
      </c>
      <c r="G96" s="34">
        <v>0</v>
      </c>
      <c r="H96" s="10">
        <v>0</v>
      </c>
      <c r="I96" s="34">
        <v>0</v>
      </c>
      <c r="J96" s="34">
        <v>0</v>
      </c>
      <c r="K96" s="34">
        <v>0</v>
      </c>
      <c r="L96" s="35">
        <v>0.431044</v>
      </c>
      <c r="M96" s="26">
        <f>_xlfn.CONCAT("'",$B96,"'","!","$C$3:$K$23")</f>
      </c>
      <c r="N96" s="26">
        <f>_xlfn.CONCAT("'",$B96,"'","!","$B$3:$B$22")</f>
      </c>
      <c r="O96" s="26">
        <f>_xlfn.CONCAT("'",$B96,"'","!","$C$2:$K$2")</f>
      </c>
      <c r="P96" s="2"/>
      <c r="Q96" s="2"/>
      <c r="R96" s="2"/>
      <c r="S96" s="2"/>
      <c r="T96" s="2"/>
      <c r="U96" s="2"/>
      <c r="V96" s="2"/>
      <c r="W96" s="2"/>
      <c r="X96" s="2"/>
      <c r="Y96" s="2"/>
    </row>
    <row x14ac:dyDescent="0.25" r="97" customHeight="1" ht="17.25">
      <c r="A97" s="10">
        <v>1</v>
      </c>
      <c r="B97" s="10">
        <v>2020</v>
      </c>
      <c r="C97" s="2" t="s">
        <v>15</v>
      </c>
      <c r="D97" s="34">
        <v>800</v>
      </c>
      <c r="E97" s="1" t="s">
        <v>16</v>
      </c>
      <c r="F97" s="35">
        <v>7190.774148</v>
      </c>
      <c r="G97" s="34">
        <v>680</v>
      </c>
      <c r="H97" s="1" t="s">
        <v>16</v>
      </c>
      <c r="I97" s="35">
        <v>4593.85664067875</v>
      </c>
      <c r="J97" s="34">
        <v>1268</v>
      </c>
      <c r="K97" s="35">
        <v>1816.4634590623748</v>
      </c>
      <c r="L97" s="35">
        <v>13601.094247741126</v>
      </c>
      <c r="M97" s="26">
        <f>_xlfn.CONCAT("'",$B97,"'","!","$C$3:$K$23")</f>
      </c>
      <c r="N97" s="26">
        <f>_xlfn.CONCAT("'",$B97,"'","!","$B$3:$B$22")</f>
      </c>
      <c r="O97" s="26">
        <f>_xlfn.CONCAT("'",$B97,"'","!","$C$2:$K$2")</f>
      </c>
      <c r="P97" s="2"/>
      <c r="Q97" s="2"/>
      <c r="R97" s="2"/>
      <c r="S97" s="2"/>
      <c r="T97" s="2"/>
      <c r="U97" s="2"/>
      <c r="V97" s="2"/>
      <c r="W97" s="2"/>
      <c r="X97" s="2"/>
      <c r="Y97" s="2"/>
    </row>
    <row x14ac:dyDescent="0.25" r="98" customHeight="1" ht="17.25">
      <c r="A98" s="10">
        <v>2</v>
      </c>
      <c r="B98" s="10">
        <v>2020</v>
      </c>
      <c r="C98" s="2" t="s">
        <v>18</v>
      </c>
      <c r="D98" s="34">
        <v>20</v>
      </c>
      <c r="E98" s="1" t="s">
        <v>16</v>
      </c>
      <c r="F98" s="35">
        <v>5080.813326</v>
      </c>
      <c r="G98" s="34">
        <v>8</v>
      </c>
      <c r="H98" s="1" t="s">
        <v>16</v>
      </c>
      <c r="I98" s="35">
        <v>-137.469289</v>
      </c>
      <c r="J98" s="34">
        <v>45</v>
      </c>
      <c r="K98" s="35">
        <v>199.22343076989497</v>
      </c>
      <c r="L98" s="35">
        <v>5142.567467769895</v>
      </c>
      <c r="M98" s="26">
        <f>_xlfn.CONCAT("'",$B98,"'","!","$C$3:$K$23")</f>
      </c>
      <c r="N98" s="26">
        <f>_xlfn.CONCAT("'",$B98,"'","!","$B$3:$B$22")</f>
      </c>
      <c r="O98" s="26">
        <f>_xlfn.CONCAT("'",$B98,"'","!","$C$2:$K$2")</f>
      </c>
      <c r="P98" s="2"/>
      <c r="Q98" s="2"/>
      <c r="R98" s="2"/>
      <c r="S98" s="2"/>
      <c r="T98" s="2"/>
      <c r="U98" s="2"/>
      <c r="V98" s="2"/>
      <c r="W98" s="2"/>
      <c r="X98" s="2"/>
      <c r="Y98" s="2"/>
    </row>
    <row x14ac:dyDescent="0.25" r="99" customHeight="1" ht="17.25">
      <c r="A99" s="10">
        <v>3</v>
      </c>
      <c r="B99" s="10">
        <v>2020</v>
      </c>
      <c r="C99" s="2" t="s">
        <v>20</v>
      </c>
      <c r="D99" s="34">
        <v>70</v>
      </c>
      <c r="E99" s="1" t="s">
        <v>16</v>
      </c>
      <c r="F99" s="35">
        <v>987.412103</v>
      </c>
      <c r="G99" s="34">
        <v>32</v>
      </c>
      <c r="H99" s="1" t="s">
        <v>16</v>
      </c>
      <c r="I99" s="35">
        <v>1256.075787</v>
      </c>
      <c r="J99" s="34">
        <v>229</v>
      </c>
      <c r="K99" s="35">
        <v>1941.4578675752098</v>
      </c>
      <c r="L99" s="35">
        <v>4184.945757575209</v>
      </c>
      <c r="M99" s="26">
        <f>_xlfn.CONCAT("'",$B99,"'","!","$C$3:$K$23")</f>
      </c>
      <c r="N99" s="26">
        <f>_xlfn.CONCAT("'",$B99,"'","!","$B$3:$B$22")</f>
      </c>
      <c r="O99" s="26">
        <f>_xlfn.CONCAT("'",$B99,"'","!","$C$2:$K$2")</f>
      </c>
      <c r="P99" s="2"/>
      <c r="Q99" s="2"/>
      <c r="R99" s="2"/>
      <c r="S99" s="2"/>
      <c r="T99" s="2"/>
      <c r="U99" s="2"/>
      <c r="V99" s="2"/>
      <c r="W99" s="2"/>
      <c r="X99" s="2"/>
      <c r="Y99" s="2"/>
    </row>
    <row x14ac:dyDescent="0.25" r="100" customHeight="1" ht="17.25">
      <c r="A100" s="10">
        <v>4</v>
      </c>
      <c r="B100" s="10">
        <v>2020</v>
      </c>
      <c r="C100" s="2" t="s">
        <v>22</v>
      </c>
      <c r="D100" s="34">
        <v>79</v>
      </c>
      <c r="E100" s="1" t="s">
        <v>16</v>
      </c>
      <c r="F100" s="35">
        <v>237.244008</v>
      </c>
      <c r="G100" s="34">
        <v>29</v>
      </c>
      <c r="H100" s="1" t="s">
        <v>16</v>
      </c>
      <c r="I100" s="35">
        <v>78.886714</v>
      </c>
      <c r="J100" s="34">
        <v>233</v>
      </c>
      <c r="K100" s="35">
        <v>243.71684897701022</v>
      </c>
      <c r="L100" s="35">
        <v>559.8475709770103</v>
      </c>
      <c r="M100" s="26">
        <f>_xlfn.CONCAT("'",$B100,"'","!","$C$3:$K$23")</f>
      </c>
      <c r="N100" s="26">
        <f>_xlfn.CONCAT("'",$B100,"'","!","$B$3:$B$22")</f>
      </c>
      <c r="O100" s="26">
        <f>_xlfn.CONCAT("'",$B100,"'","!","$C$2:$K$2")</f>
      </c>
      <c r="P100" s="2"/>
      <c r="Q100" s="2"/>
      <c r="R100" s="2"/>
      <c r="S100" s="2"/>
      <c r="T100" s="2"/>
      <c r="U100" s="2"/>
      <c r="V100" s="2"/>
      <c r="W100" s="2"/>
      <c r="X100" s="2"/>
      <c r="Y100" s="2"/>
    </row>
    <row x14ac:dyDescent="0.25" r="101" customHeight="1" ht="17.25">
      <c r="A101" s="10">
        <v>5</v>
      </c>
      <c r="B101" s="10">
        <v>2020</v>
      </c>
      <c r="C101" s="2" t="s">
        <v>24</v>
      </c>
      <c r="D101" s="34">
        <v>704</v>
      </c>
      <c r="E101" s="1" t="s">
        <v>16</v>
      </c>
      <c r="F101" s="35">
        <v>431.184007</v>
      </c>
      <c r="G101" s="34">
        <v>164</v>
      </c>
      <c r="H101" s="1" t="s">
        <v>16</v>
      </c>
      <c r="I101" s="35">
        <v>234.2445251796875</v>
      </c>
      <c r="J101" s="34">
        <v>2264</v>
      </c>
      <c r="K101" s="35">
        <v>980.2147414665882</v>
      </c>
      <c r="L101" s="35">
        <v>1645.6432736462757</v>
      </c>
      <c r="M101" s="26">
        <f>_xlfn.CONCAT("'",$B101,"'","!","$C$3:$K$23")</f>
      </c>
      <c r="N101" s="26">
        <f>_xlfn.CONCAT("'",$B101,"'","!","$B$3:$B$22")</f>
      </c>
      <c r="O101" s="26">
        <f>_xlfn.CONCAT("'",$B101,"'","!","$C$2:$K$2")</f>
      </c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x14ac:dyDescent="0.25" r="102" customHeight="1" ht="17.25">
      <c r="A102" s="10">
        <v>6</v>
      </c>
      <c r="B102" s="10">
        <v>2020</v>
      </c>
      <c r="C102" s="2" t="s">
        <v>26</v>
      </c>
      <c r="D102" s="34">
        <v>12</v>
      </c>
      <c r="E102" s="1" t="s">
        <v>16</v>
      </c>
      <c r="F102" s="35">
        <v>103.087824</v>
      </c>
      <c r="G102" s="34">
        <v>16</v>
      </c>
      <c r="H102" s="1" t="s">
        <v>16</v>
      </c>
      <c r="I102" s="35">
        <v>79.645727</v>
      </c>
      <c r="J102" s="34">
        <v>29</v>
      </c>
      <c r="K102" s="35">
        <v>27.90132717491607</v>
      </c>
      <c r="L102" s="35">
        <v>210.63487817491605</v>
      </c>
      <c r="M102" s="26">
        <f>_xlfn.CONCAT("'",$B102,"'","!","$C$3:$K$23")</f>
      </c>
      <c r="N102" s="26">
        <f>_xlfn.CONCAT("'",$B102,"'","!","$B$3:$B$22")</f>
      </c>
      <c r="O102" s="26">
        <f>_xlfn.CONCAT("'",$B102,"'","!","$C$2:$K$2")</f>
      </c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x14ac:dyDescent="0.25" r="103" customHeight="1" ht="17.25">
      <c r="A103" s="10">
        <v>7</v>
      </c>
      <c r="B103" s="10">
        <v>2020</v>
      </c>
      <c r="C103" s="2" t="s">
        <v>28</v>
      </c>
      <c r="D103" s="34">
        <v>376</v>
      </c>
      <c r="E103" s="1" t="s">
        <v>16</v>
      </c>
      <c r="F103" s="35">
        <v>169.296008</v>
      </c>
      <c r="G103" s="34">
        <v>87</v>
      </c>
      <c r="H103" s="1" t="s">
        <v>16</v>
      </c>
      <c r="I103" s="35">
        <v>114.2967586015625</v>
      </c>
      <c r="J103" s="34">
        <v>825</v>
      </c>
      <c r="K103" s="35">
        <v>1062.9645251899863</v>
      </c>
      <c r="L103" s="35">
        <v>1346.5572917915488</v>
      </c>
      <c r="M103" s="26">
        <f>_xlfn.CONCAT("'",$B103,"'","!","$C$3:$K$23")</f>
      </c>
      <c r="N103" s="26">
        <f>_xlfn.CONCAT("'",$B103,"'","!","$B$3:$B$22")</f>
      </c>
      <c r="O103" s="26">
        <f>_xlfn.CONCAT("'",$B103,"'","!","$C$2:$K$2")</f>
      </c>
      <c r="P103" s="2"/>
      <c r="Q103" s="2"/>
      <c r="R103" s="2"/>
      <c r="S103" s="2"/>
      <c r="T103" s="2"/>
      <c r="U103" s="2"/>
      <c r="V103" s="2"/>
      <c r="W103" s="2"/>
      <c r="X103" s="2"/>
      <c r="Y103" s="2"/>
    </row>
    <row x14ac:dyDescent="0.25" r="104" customHeight="1" ht="17.25">
      <c r="A104" s="10">
        <v>8</v>
      </c>
      <c r="B104" s="10">
        <v>2020</v>
      </c>
      <c r="C104" s="2" t="s">
        <v>30</v>
      </c>
      <c r="D104" s="34">
        <v>59</v>
      </c>
      <c r="E104" s="1" t="s">
        <v>16</v>
      </c>
      <c r="F104" s="35">
        <v>169.231087</v>
      </c>
      <c r="G104" s="34">
        <v>19</v>
      </c>
      <c r="H104" s="1" t="s">
        <v>16</v>
      </c>
      <c r="I104" s="35">
        <v>43.165264</v>
      </c>
      <c r="J104" s="34">
        <v>155</v>
      </c>
      <c r="K104" s="35">
        <v>399.52523492744166</v>
      </c>
      <c r="L104" s="35">
        <v>611.9215859274417</v>
      </c>
      <c r="M104" s="26">
        <f>_xlfn.CONCAT("'",$B104,"'","!","$C$3:$K$23")</f>
      </c>
      <c r="N104" s="26">
        <f>_xlfn.CONCAT("'",$B104,"'","!","$B$3:$B$22")</f>
      </c>
      <c r="O104" s="26">
        <f>_xlfn.CONCAT("'",$B104,"'","!","$C$2:$K$2")</f>
      </c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x14ac:dyDescent="0.25" r="105" customHeight="1" ht="17.25">
      <c r="A105" s="10">
        <v>9</v>
      </c>
      <c r="B105" s="10">
        <v>2020</v>
      </c>
      <c r="C105" s="2" t="s">
        <v>32</v>
      </c>
      <c r="D105" s="34">
        <v>57</v>
      </c>
      <c r="E105" s="1" t="s">
        <v>16</v>
      </c>
      <c r="F105" s="35">
        <v>106.129337</v>
      </c>
      <c r="G105" s="34">
        <v>15</v>
      </c>
      <c r="H105" s="1" t="s">
        <v>16</v>
      </c>
      <c r="I105" s="35">
        <v>27.715395</v>
      </c>
      <c r="J105" s="34">
        <v>399</v>
      </c>
      <c r="K105" s="35">
        <v>207.6245398135737</v>
      </c>
      <c r="L105" s="35">
        <v>341.46927181357376</v>
      </c>
      <c r="M105" s="26">
        <f>_xlfn.CONCAT("'",$B105,"'","!","$C$3:$K$23")</f>
      </c>
      <c r="N105" s="26">
        <f>_xlfn.CONCAT("'",$B105,"'","!","$B$3:$B$22")</f>
      </c>
      <c r="O105" s="26">
        <f>_xlfn.CONCAT("'",$B105,"'","!","$C$2:$K$2")</f>
      </c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x14ac:dyDescent="0.25" r="106" customHeight="1" ht="17.25">
      <c r="A106" s="10">
        <v>10</v>
      </c>
      <c r="B106" s="10">
        <v>2020</v>
      </c>
      <c r="C106" s="2" t="s">
        <v>34</v>
      </c>
      <c r="D106" s="34">
        <v>206</v>
      </c>
      <c r="E106" s="1" t="s">
        <v>16</v>
      </c>
      <c r="F106" s="35">
        <v>53.460124</v>
      </c>
      <c r="G106" s="34">
        <v>49</v>
      </c>
      <c r="H106" s="1" t="s">
        <v>16</v>
      </c>
      <c r="I106" s="35">
        <v>41.563054</v>
      </c>
      <c r="J106" s="34">
        <v>352</v>
      </c>
      <c r="K106" s="35">
        <v>176.2630631810695</v>
      </c>
      <c r="L106" s="35">
        <v>271.2862411810695</v>
      </c>
      <c r="M106" s="26">
        <f>_xlfn.CONCAT("'",$B106,"'","!","$C$3:$K$23")</f>
      </c>
      <c r="N106" s="26">
        <f>_xlfn.CONCAT("'",$B106,"'","!","$B$3:$B$22")</f>
      </c>
      <c r="O106" s="26">
        <f>_xlfn.CONCAT("'",$B106,"'","!","$C$2:$K$2")</f>
      </c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x14ac:dyDescent="0.25" r="107" customHeight="1" ht="17.25">
      <c r="A107" s="10">
        <v>11</v>
      </c>
      <c r="B107" s="10">
        <v>2020</v>
      </c>
      <c r="C107" s="2" t="s">
        <v>36</v>
      </c>
      <c r="D107" s="34">
        <v>56</v>
      </c>
      <c r="E107" s="1" t="s">
        <v>16</v>
      </c>
      <c r="F107" s="35">
        <v>20.013877</v>
      </c>
      <c r="G107" s="34">
        <v>9</v>
      </c>
      <c r="H107" s="1" t="s">
        <v>16</v>
      </c>
      <c r="I107" s="35">
        <v>2.14</v>
      </c>
      <c r="J107" s="34">
        <v>130</v>
      </c>
      <c r="K107" s="35">
        <v>18.231527246014455</v>
      </c>
      <c r="L107" s="35">
        <v>40.38540424601446</v>
      </c>
      <c r="M107" s="26">
        <f>_xlfn.CONCAT("'",$B107,"'","!","$C$3:$K$23")</f>
      </c>
      <c r="N107" s="26">
        <f>_xlfn.CONCAT("'",$B107,"'","!","$B$3:$B$22")</f>
      </c>
      <c r="O107" s="26">
        <f>_xlfn.CONCAT("'",$B107,"'","!","$C$2:$K$2")</f>
      </c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x14ac:dyDescent="0.25" r="108" customHeight="1" ht="17.25">
      <c r="A108" s="10">
        <v>12</v>
      </c>
      <c r="B108" s="10">
        <v>2020</v>
      </c>
      <c r="C108" s="2" t="s">
        <v>38</v>
      </c>
      <c r="D108" s="34">
        <v>4</v>
      </c>
      <c r="E108" s="1" t="s">
        <v>16</v>
      </c>
      <c r="F108" s="35">
        <v>3.423424</v>
      </c>
      <c r="G108" s="34">
        <v>7</v>
      </c>
      <c r="H108" s="1" t="s">
        <v>16</v>
      </c>
      <c r="I108" s="35">
        <v>36.740039</v>
      </c>
      <c r="J108" s="34">
        <v>18</v>
      </c>
      <c r="K108" s="35">
        <v>3.611786594243779</v>
      </c>
      <c r="L108" s="35">
        <v>43.77524959424378</v>
      </c>
      <c r="M108" s="26">
        <f>_xlfn.CONCAT("'",$B108,"'","!","$C$3:$K$23")</f>
      </c>
      <c r="N108" s="26">
        <f>_xlfn.CONCAT("'",$B108,"'","!","$B$3:$B$22")</f>
      </c>
      <c r="O108" s="26">
        <f>_xlfn.CONCAT("'",$B108,"'","!","$C$2:$K$2")</f>
      </c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x14ac:dyDescent="0.25" r="109" customHeight="1" ht="17.25">
      <c r="A109" s="10">
        <v>13</v>
      </c>
      <c r="B109" s="10">
        <v>2020</v>
      </c>
      <c r="C109" s="2" t="s">
        <v>40</v>
      </c>
      <c r="D109" s="34">
        <v>54</v>
      </c>
      <c r="E109" s="1" t="s">
        <v>16</v>
      </c>
      <c r="F109" s="35">
        <v>19.365266</v>
      </c>
      <c r="G109" s="34">
        <v>16</v>
      </c>
      <c r="H109" s="1" t="s">
        <v>16</v>
      </c>
      <c r="I109" s="35">
        <v>13.915717</v>
      </c>
      <c r="J109" s="34">
        <v>115</v>
      </c>
      <c r="K109" s="35">
        <v>75.05424153908754</v>
      </c>
      <c r="L109" s="35">
        <v>108.33522453908753</v>
      </c>
      <c r="M109" s="26">
        <f>_xlfn.CONCAT("'",$B109,"'","!","$C$3:$K$23")</f>
      </c>
      <c r="N109" s="26">
        <f>_xlfn.CONCAT("'",$B109,"'","!","$B$3:$B$22")</f>
      </c>
      <c r="O109" s="26">
        <f>_xlfn.CONCAT("'",$B109,"'","!","$C$2:$K$2")</f>
      </c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x14ac:dyDescent="0.25" r="110" customHeight="1" ht="17.25">
      <c r="A110" s="10">
        <v>14</v>
      </c>
      <c r="B110" s="10">
        <v>2020</v>
      </c>
      <c r="C110" s="2" t="s">
        <v>42</v>
      </c>
      <c r="D110" s="34">
        <v>4</v>
      </c>
      <c r="E110" s="1" t="s">
        <v>16</v>
      </c>
      <c r="F110" s="35">
        <v>64.424666</v>
      </c>
      <c r="G110" s="34">
        <v>0</v>
      </c>
      <c r="H110" s="1" t="s">
        <v>16</v>
      </c>
      <c r="I110" s="34">
        <v>0</v>
      </c>
      <c r="J110" s="34">
        <v>12</v>
      </c>
      <c r="K110" s="35">
        <v>23.58549443522425</v>
      </c>
      <c r="L110" s="35">
        <v>88.01016043522425</v>
      </c>
      <c r="M110" s="26">
        <f>_xlfn.CONCAT("'",$B110,"'","!","$C$3:$K$23")</f>
      </c>
      <c r="N110" s="26">
        <f>_xlfn.CONCAT("'",$B110,"'","!","$B$3:$B$22")</f>
      </c>
      <c r="O110" s="26">
        <f>_xlfn.CONCAT("'",$B110,"'","!","$C$2:$K$2")</f>
      </c>
      <c r="P110" s="2"/>
      <c r="Q110" s="2"/>
      <c r="R110" s="2"/>
      <c r="S110" s="2"/>
      <c r="T110" s="2"/>
      <c r="U110" s="2"/>
      <c r="V110" s="2"/>
      <c r="W110" s="2"/>
      <c r="X110" s="2"/>
      <c r="Y110" s="2"/>
    </row>
    <row x14ac:dyDescent="0.25" r="111" customHeight="1" ht="17.25">
      <c r="A111" s="10">
        <v>15</v>
      </c>
      <c r="B111" s="10">
        <v>2020</v>
      </c>
      <c r="C111" s="2" t="s">
        <v>44</v>
      </c>
      <c r="D111" s="34">
        <v>9</v>
      </c>
      <c r="E111" s="1" t="s">
        <v>16</v>
      </c>
      <c r="F111" s="35">
        <v>4.486319</v>
      </c>
      <c r="G111" s="34">
        <v>4</v>
      </c>
      <c r="H111" s="1" t="s">
        <v>16</v>
      </c>
      <c r="I111" s="35">
        <v>12.655</v>
      </c>
      <c r="J111" s="34">
        <v>27</v>
      </c>
      <c r="K111" s="35">
        <v>15.41790511715589</v>
      </c>
      <c r="L111" s="35">
        <v>32.55922411715589</v>
      </c>
      <c r="M111" s="26">
        <f>_xlfn.CONCAT("'",$B111,"'","!","$C$3:$K$23")</f>
      </c>
      <c r="N111" s="26">
        <f>_xlfn.CONCAT("'",$B111,"'","!","$B$3:$B$22")</f>
      </c>
      <c r="O111" s="26">
        <f>_xlfn.CONCAT("'",$B111,"'","!","$C$2:$K$2")</f>
      </c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x14ac:dyDescent="0.25" r="112" customHeight="1" ht="17.25">
      <c r="A112" s="10">
        <v>16</v>
      </c>
      <c r="B112" s="10">
        <v>2020</v>
      </c>
      <c r="C112" s="2" t="s">
        <v>46</v>
      </c>
      <c r="D112" s="34">
        <v>1</v>
      </c>
      <c r="E112" s="1" t="s">
        <v>16</v>
      </c>
      <c r="F112" s="35">
        <v>0.407666</v>
      </c>
      <c r="G112" s="34">
        <v>1</v>
      </c>
      <c r="H112" s="1" t="s">
        <v>16</v>
      </c>
      <c r="I112" s="35">
        <v>0.680312</v>
      </c>
      <c r="J112" s="34">
        <v>12</v>
      </c>
      <c r="K112" s="35">
        <v>5.284711695876733</v>
      </c>
      <c r="L112" s="35">
        <v>6.372689695876733</v>
      </c>
      <c r="M112" s="26">
        <f>_xlfn.CONCAT("'",$B112,"'","!","$C$3:$K$23")</f>
      </c>
      <c r="N112" s="26">
        <f>_xlfn.CONCAT("'",$B112,"'","!","$B$3:$B$22")</f>
      </c>
      <c r="O112" s="26">
        <f>_xlfn.CONCAT("'",$B112,"'","!","$C$2:$K$2")</f>
      </c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x14ac:dyDescent="0.25" r="113" customHeight="1" ht="17.25">
      <c r="A113" s="10">
        <v>17</v>
      </c>
      <c r="B113" s="10">
        <v>2020</v>
      </c>
      <c r="C113" s="2" t="s">
        <v>48</v>
      </c>
      <c r="D113" s="34">
        <v>5</v>
      </c>
      <c r="E113" s="1" t="s">
        <v>16</v>
      </c>
      <c r="F113" s="35">
        <v>2.675308</v>
      </c>
      <c r="G113" s="34">
        <v>1</v>
      </c>
      <c r="H113" s="1" t="s">
        <v>16</v>
      </c>
      <c r="I113" s="35">
        <v>1.603</v>
      </c>
      <c r="J113" s="34">
        <v>4</v>
      </c>
      <c r="K113" s="35">
        <v>0.8814115499698726</v>
      </c>
      <c r="L113" s="35">
        <v>5.159719549969872</v>
      </c>
      <c r="M113" s="26">
        <f>_xlfn.CONCAT("'",$B113,"'","!","$C$3:$K$23")</f>
      </c>
      <c r="N113" s="26">
        <f>_xlfn.CONCAT("'",$B113,"'","!","$B$3:$B$22")</f>
      </c>
      <c r="O113" s="26">
        <f>_xlfn.CONCAT("'",$B113,"'","!","$C$2:$K$2")</f>
      </c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x14ac:dyDescent="0.25" r="114" customHeight="1" ht="17.25">
      <c r="A114" s="10">
        <v>18</v>
      </c>
      <c r="B114" s="10">
        <v>2020</v>
      </c>
      <c r="C114" s="2" t="s">
        <v>50</v>
      </c>
      <c r="D114" s="34">
        <v>6</v>
      </c>
      <c r="E114" s="1" t="s">
        <v>16</v>
      </c>
      <c r="F114" s="35">
        <v>0.288848</v>
      </c>
      <c r="G114" s="34">
        <v>3</v>
      </c>
      <c r="H114" s="1" t="s">
        <v>16</v>
      </c>
      <c r="I114" s="35">
        <v>14.770996</v>
      </c>
      <c r="J114" s="34">
        <v>24</v>
      </c>
      <c r="K114" s="35">
        <v>271.77601564728155</v>
      </c>
      <c r="L114" s="35">
        <v>286.83585964728155</v>
      </c>
      <c r="M114" s="26">
        <f>_xlfn.CONCAT("'",$B114,"'","!","$C$3:$K$23")</f>
      </c>
      <c r="N114" s="26">
        <f>_xlfn.CONCAT("'",$B114,"'","!","$B$3:$B$22")</f>
      </c>
      <c r="O114" s="26">
        <f>_xlfn.CONCAT("'",$B114,"'","!","$C$2:$K$2")</f>
      </c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x14ac:dyDescent="0.25" r="115" customHeight="1" ht="17.25">
      <c r="A115" s="10">
        <v>19</v>
      </c>
      <c r="B115" s="10">
        <v>2020</v>
      </c>
      <c r="C115" s="2" t="s">
        <v>52</v>
      </c>
      <c r="D115" s="34">
        <v>1</v>
      </c>
      <c r="E115" s="1" t="s">
        <v>16</v>
      </c>
      <c r="F115" s="35">
        <v>2.7</v>
      </c>
      <c r="G115" s="34">
        <v>0</v>
      </c>
      <c r="H115" s="1" t="s">
        <v>16</v>
      </c>
      <c r="I115" s="34">
        <v>0</v>
      </c>
      <c r="J115" s="34">
        <v>0</v>
      </c>
      <c r="K115" s="34">
        <v>0</v>
      </c>
      <c r="L115" s="35">
        <v>2.7</v>
      </c>
      <c r="M115" s="26">
        <f>_xlfn.CONCAT("'",$B115,"'","!","$C$3:$K$23")</f>
      </c>
      <c r="N115" s="26">
        <f>_xlfn.CONCAT("'",$B115,"'","!","$B$3:$B$22")</f>
      </c>
      <c r="O115" s="26">
        <f>_xlfn.CONCAT("'",$B115,"'","!","$C$2:$K$2")</f>
      </c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x14ac:dyDescent="0.25" r="116" customHeight="1" ht="17.25">
      <c r="A116" s="10">
        <v>1</v>
      </c>
      <c r="B116" s="10">
        <v>2021</v>
      </c>
      <c r="C116" s="2" t="s">
        <v>15</v>
      </c>
      <c r="D116" s="34">
        <v>533</v>
      </c>
      <c r="E116" s="1" t="s">
        <v>16</v>
      </c>
      <c r="F116" s="35">
        <v>7251.98293987</v>
      </c>
      <c r="G116" s="34">
        <v>612</v>
      </c>
      <c r="H116" s="1" t="s">
        <v>16</v>
      </c>
      <c r="I116" s="35">
        <v>7346.304395578125</v>
      </c>
      <c r="J116" s="34">
        <v>650</v>
      </c>
      <c r="K116" s="35">
        <v>3522.599397369999</v>
      </c>
      <c r="L116" s="35">
        <v>18120.886732818126</v>
      </c>
      <c r="M116" s="26">
        <f>_xlfn.CONCAT("'",$B116,"'","!","$C$3:$K$23")</f>
      </c>
      <c r="N116" s="26">
        <f>_xlfn.CONCAT("'",$B116,"'","!","$B$3:$B$22")</f>
      </c>
      <c r="O116" s="26">
        <f>_xlfn.CONCAT("'",$B116,"'","!","$C$2:$K$2")</f>
      </c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x14ac:dyDescent="0.25" r="117" customHeight="1" ht="17.25">
      <c r="A117" s="10">
        <v>2</v>
      </c>
      <c r="B117" s="10">
        <v>2021</v>
      </c>
      <c r="C117" s="2" t="s">
        <v>18</v>
      </c>
      <c r="D117" s="34">
        <v>23</v>
      </c>
      <c r="E117" s="1" t="s">
        <v>16</v>
      </c>
      <c r="F117" s="35">
        <v>5316.160082</v>
      </c>
      <c r="G117" s="34">
        <v>12</v>
      </c>
      <c r="H117" s="1" t="s">
        <v>16</v>
      </c>
      <c r="I117" s="35">
        <v>260.995754</v>
      </c>
      <c r="J117" s="34">
        <v>29</v>
      </c>
      <c r="K117" s="35">
        <v>134.59673822173914</v>
      </c>
      <c r="L117" s="35">
        <v>5711.752574221739</v>
      </c>
      <c r="M117" s="26">
        <f>_xlfn.CONCAT("'",$B117,"'","!","$C$3:$K$23")</f>
      </c>
      <c r="N117" s="26">
        <f>_xlfn.CONCAT("'",$B117,"'","!","$B$3:$B$22")</f>
      </c>
      <c r="O117" s="26">
        <f>_xlfn.CONCAT("'",$B117,"'","!","$C$2:$K$2")</f>
      </c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x14ac:dyDescent="0.25" r="118" customHeight="1" ht="17.25">
      <c r="A118" s="10">
        <v>3</v>
      </c>
      <c r="B118" s="10">
        <v>2021</v>
      </c>
      <c r="C118" s="2" t="s">
        <v>20</v>
      </c>
      <c r="D118" s="34">
        <v>57</v>
      </c>
      <c r="E118" s="1" t="s">
        <v>16</v>
      </c>
      <c r="F118" s="35">
        <v>1390.02722472</v>
      </c>
      <c r="G118" s="34">
        <v>29</v>
      </c>
      <c r="H118" s="1" t="s">
        <v>16</v>
      </c>
      <c r="I118" s="35">
        <v>246.661224</v>
      </c>
      <c r="J118" s="34">
        <v>120</v>
      </c>
      <c r="K118" s="35">
        <v>1000.7277755900005</v>
      </c>
      <c r="L118" s="35">
        <v>2637.4162243100004</v>
      </c>
      <c r="M118" s="26">
        <f>_xlfn.CONCAT("'",$B118,"'","!","$C$3:$K$23")</f>
      </c>
      <c r="N118" s="26">
        <f>_xlfn.CONCAT("'",$B118,"'","!","$B$3:$B$22")</f>
      </c>
      <c r="O118" s="26">
        <f>_xlfn.CONCAT("'",$B118,"'","!","$C$2:$K$2")</f>
      </c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x14ac:dyDescent="0.25" r="119" customHeight="1" ht="17.25">
      <c r="A119" s="10">
        <v>4</v>
      </c>
      <c r="B119" s="10">
        <v>2021</v>
      </c>
      <c r="C119" s="2" t="s">
        <v>22</v>
      </c>
      <c r="D119" s="34">
        <v>28</v>
      </c>
      <c r="E119" s="1" t="s">
        <v>16</v>
      </c>
      <c r="F119" s="35">
        <v>58.603879</v>
      </c>
      <c r="G119" s="34">
        <v>12</v>
      </c>
      <c r="H119" s="1" t="s">
        <v>16</v>
      </c>
      <c r="I119" s="35">
        <v>226.597885</v>
      </c>
      <c r="J119" s="34">
        <v>119</v>
      </c>
      <c r="K119" s="35">
        <v>172.07651475999992</v>
      </c>
      <c r="L119" s="35">
        <v>457.2782787599999</v>
      </c>
      <c r="M119" s="26">
        <f>_xlfn.CONCAT("'",$B119,"'","!","$C$3:$K$23")</f>
      </c>
      <c r="N119" s="26">
        <f>_xlfn.CONCAT("'",$B119,"'","!","$B$3:$B$22")</f>
      </c>
      <c r="O119" s="26">
        <f>_xlfn.CONCAT("'",$B119,"'","!","$C$2:$K$2")</f>
      </c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x14ac:dyDescent="0.25" r="120" customHeight="1" ht="17.25">
      <c r="A120" s="10">
        <v>5</v>
      </c>
      <c r="B120" s="10">
        <v>2021</v>
      </c>
      <c r="C120" s="2" t="s">
        <v>24</v>
      </c>
      <c r="D120" s="34">
        <v>488</v>
      </c>
      <c r="E120" s="1" t="s">
        <v>16</v>
      </c>
      <c r="F120" s="35">
        <v>293.78942202</v>
      </c>
      <c r="G120" s="34">
        <v>130</v>
      </c>
      <c r="H120" s="1" t="s">
        <v>16</v>
      </c>
      <c r="I120" s="35">
        <v>416.58294765625</v>
      </c>
      <c r="J120" s="34">
        <v>1338</v>
      </c>
      <c r="K120" s="35">
        <v>693.6431785399993</v>
      </c>
      <c r="L120" s="35">
        <v>1404.0155482162493</v>
      </c>
      <c r="M120" s="26">
        <f>_xlfn.CONCAT("'",$B120,"'","!","$C$3:$K$23")</f>
      </c>
      <c r="N120" s="26">
        <f>_xlfn.CONCAT("'",$B120,"'","!","$B$3:$B$22")</f>
      </c>
      <c r="O120" s="26">
        <f>_xlfn.CONCAT("'",$B120,"'","!","$C$2:$K$2")</f>
      </c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x14ac:dyDescent="0.25" r="121" customHeight="1" ht="17.25">
      <c r="A121" s="10">
        <v>6</v>
      </c>
      <c r="B121" s="10">
        <v>2021</v>
      </c>
      <c r="C121" s="2" t="s">
        <v>26</v>
      </c>
      <c r="D121" s="34">
        <v>15</v>
      </c>
      <c r="E121" s="1" t="s">
        <v>16</v>
      </c>
      <c r="F121" s="35">
        <v>59.96841178999999</v>
      </c>
      <c r="G121" s="34">
        <v>13</v>
      </c>
      <c r="H121" s="1" t="s">
        <v>16</v>
      </c>
      <c r="I121" s="35">
        <v>61.3830621875</v>
      </c>
      <c r="J121" s="34">
        <v>30</v>
      </c>
      <c r="K121" s="35">
        <v>35.43311433999999</v>
      </c>
      <c r="L121" s="35">
        <v>156.78458831749998</v>
      </c>
      <c r="M121" s="26">
        <f>_xlfn.CONCAT("'",$B121,"'","!","$C$3:$K$23")</f>
      </c>
      <c r="N121" s="26">
        <f>_xlfn.CONCAT("'",$B121,"'","!","$B$3:$B$22")</f>
      </c>
      <c r="O121" s="26">
        <f>_xlfn.CONCAT("'",$B121,"'","!","$C$2:$K$2")</f>
      </c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x14ac:dyDescent="0.25" r="122" customHeight="1" ht="17.25">
      <c r="A122" s="10">
        <v>7</v>
      </c>
      <c r="B122" s="10">
        <v>2021</v>
      </c>
      <c r="C122" s="2" t="s">
        <v>28</v>
      </c>
      <c r="D122" s="34">
        <v>291</v>
      </c>
      <c r="E122" s="1" t="s">
        <v>16</v>
      </c>
      <c r="F122" s="35">
        <v>143.30586036</v>
      </c>
      <c r="G122" s="34">
        <v>87</v>
      </c>
      <c r="H122" s="1" t="s">
        <v>16</v>
      </c>
      <c r="I122" s="35">
        <v>276.5512550625</v>
      </c>
      <c r="J122" s="34">
        <v>620</v>
      </c>
      <c r="K122" s="35">
        <v>604.1214847399991</v>
      </c>
      <c r="L122" s="35">
        <v>1023.9786001624991</v>
      </c>
      <c r="M122" s="26">
        <f>_xlfn.CONCAT("'",$B122,"'","!","$C$3:$K$23")</f>
      </c>
      <c r="N122" s="26">
        <f>_xlfn.CONCAT("'",$B122,"'","!","$B$3:$B$22")</f>
      </c>
      <c r="O122" s="26">
        <f>_xlfn.CONCAT("'",$B122,"'","!","$C$2:$K$2")</f>
      </c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x14ac:dyDescent="0.25" r="123" customHeight="1" ht="17.25">
      <c r="A123" s="10">
        <v>8</v>
      </c>
      <c r="B123" s="10">
        <v>2021</v>
      </c>
      <c r="C123" s="2" t="s">
        <v>30</v>
      </c>
      <c r="D123" s="34">
        <v>53</v>
      </c>
      <c r="E123" s="1" t="s">
        <v>16</v>
      </c>
      <c r="F123" s="35">
        <v>426.367905</v>
      </c>
      <c r="G123" s="34">
        <v>14</v>
      </c>
      <c r="H123" s="1" t="s">
        <v>16</v>
      </c>
      <c r="I123" s="35">
        <v>40.469126</v>
      </c>
      <c r="J123" s="34">
        <v>118</v>
      </c>
      <c r="K123" s="35">
        <v>316.95538808</v>
      </c>
      <c r="L123" s="35">
        <v>783.79241908</v>
      </c>
      <c r="M123" s="26">
        <f>_xlfn.CONCAT("'",$B123,"'","!","$C$3:$K$23")</f>
      </c>
      <c r="N123" s="26">
        <f>_xlfn.CONCAT("'",$B123,"'","!","$B$3:$B$22")</f>
      </c>
      <c r="O123" s="26">
        <f>_xlfn.CONCAT("'",$B123,"'","!","$C$2:$K$2")</f>
      </c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x14ac:dyDescent="0.25" r="124" customHeight="1" ht="17.25">
      <c r="A124" s="10">
        <v>9</v>
      </c>
      <c r="B124" s="10">
        <v>2021</v>
      </c>
      <c r="C124" s="2" t="s">
        <v>32</v>
      </c>
      <c r="D124" s="34">
        <v>23</v>
      </c>
      <c r="E124" s="1" t="s">
        <v>16</v>
      </c>
      <c r="F124" s="35">
        <v>41.59123309</v>
      </c>
      <c r="G124" s="34">
        <v>15</v>
      </c>
      <c r="H124" s="1" t="s">
        <v>16</v>
      </c>
      <c r="I124" s="35">
        <v>21.43831</v>
      </c>
      <c r="J124" s="34">
        <v>322</v>
      </c>
      <c r="K124" s="35">
        <v>104.57391995000003</v>
      </c>
      <c r="L124" s="35">
        <v>167.60346304000004</v>
      </c>
      <c r="M124" s="26">
        <f>_xlfn.CONCAT("'",$B124,"'","!","$C$3:$K$23")</f>
      </c>
      <c r="N124" s="26">
        <f>_xlfn.CONCAT("'",$B124,"'","!","$B$3:$B$22")</f>
      </c>
      <c r="O124" s="26">
        <f>_xlfn.CONCAT("'",$B124,"'","!","$C$2:$K$2")</f>
      </c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x14ac:dyDescent="0.25" r="125" customHeight="1" ht="17.25">
      <c r="A125" s="10">
        <v>10</v>
      </c>
      <c r="B125" s="10">
        <v>2021</v>
      </c>
      <c r="C125" s="2" t="s">
        <v>34</v>
      </c>
      <c r="D125" s="34">
        <v>156</v>
      </c>
      <c r="E125" s="1" t="s">
        <v>16</v>
      </c>
      <c r="F125" s="35">
        <v>226.05259894</v>
      </c>
      <c r="G125" s="34">
        <v>25</v>
      </c>
      <c r="H125" s="1" t="s">
        <v>16</v>
      </c>
      <c r="I125" s="35">
        <v>52.435763</v>
      </c>
      <c r="J125" s="34">
        <v>268</v>
      </c>
      <c r="K125" s="35">
        <v>125.90001697999996</v>
      </c>
      <c r="L125" s="35">
        <v>404.38837892</v>
      </c>
      <c r="M125" s="26">
        <f>_xlfn.CONCAT("'",$B125,"'","!","$C$3:$K$23")</f>
      </c>
      <c r="N125" s="26">
        <f>_xlfn.CONCAT("'",$B125,"'","!","$B$3:$B$22")</f>
      </c>
      <c r="O125" s="26">
        <f>_xlfn.CONCAT("'",$B125,"'","!","$C$2:$K$2")</f>
      </c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x14ac:dyDescent="0.25" r="126" customHeight="1" ht="17.25">
      <c r="A126" s="10">
        <v>11</v>
      </c>
      <c r="B126" s="10">
        <v>2021</v>
      </c>
      <c r="C126" s="2" t="s">
        <v>36</v>
      </c>
      <c r="D126" s="34">
        <v>38</v>
      </c>
      <c r="E126" s="1" t="s">
        <v>16</v>
      </c>
      <c r="F126" s="35">
        <v>11.827855</v>
      </c>
      <c r="G126" s="34">
        <v>14</v>
      </c>
      <c r="H126" s="1" t="s">
        <v>16</v>
      </c>
      <c r="I126" s="35">
        <v>11.71899</v>
      </c>
      <c r="J126" s="34">
        <v>66</v>
      </c>
      <c r="K126" s="35">
        <v>22.97783216</v>
      </c>
      <c r="L126" s="35">
        <v>46.524677159999996</v>
      </c>
      <c r="M126" s="26">
        <f>_xlfn.CONCAT("'",$B126,"'","!","$C$3:$K$23")</f>
      </c>
      <c r="N126" s="26">
        <f>_xlfn.CONCAT("'",$B126,"'","!","$B$3:$B$22")</f>
      </c>
      <c r="O126" s="26">
        <f>_xlfn.CONCAT("'",$B126,"'","!","$C$2:$K$2")</f>
      </c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x14ac:dyDescent="0.25" r="127" customHeight="1" ht="17.25">
      <c r="A127" s="10">
        <v>12</v>
      </c>
      <c r="B127" s="10">
        <v>2021</v>
      </c>
      <c r="C127" s="2" t="s">
        <v>38</v>
      </c>
      <c r="D127" s="34">
        <v>1</v>
      </c>
      <c r="E127" s="1" t="s">
        <v>16</v>
      </c>
      <c r="F127" s="35">
        <v>0.15</v>
      </c>
      <c r="G127" s="34">
        <v>2</v>
      </c>
      <c r="H127" s="1" t="s">
        <v>16</v>
      </c>
      <c r="I127" s="35">
        <v>0.4</v>
      </c>
      <c r="J127" s="34">
        <v>9</v>
      </c>
      <c r="K127" s="35">
        <v>3.0490673399999997</v>
      </c>
      <c r="L127" s="35">
        <v>3.5990673399999995</v>
      </c>
      <c r="M127" s="26">
        <f>_xlfn.CONCAT("'",$B127,"'","!","$C$3:$K$23")</f>
      </c>
      <c r="N127" s="26">
        <f>_xlfn.CONCAT("'",$B127,"'","!","$B$3:$B$22")</f>
      </c>
      <c r="O127" s="26">
        <f>_xlfn.CONCAT("'",$B127,"'","!","$C$2:$K$2")</f>
      </c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x14ac:dyDescent="0.25" r="128" customHeight="1" ht="17.25">
      <c r="A128" s="10">
        <v>13</v>
      </c>
      <c r="B128" s="10">
        <v>2021</v>
      </c>
      <c r="C128" s="2" t="s">
        <v>40</v>
      </c>
      <c r="D128" s="34">
        <v>27</v>
      </c>
      <c r="E128" s="1" t="s">
        <v>16</v>
      </c>
      <c r="F128" s="35">
        <v>12.643249</v>
      </c>
      <c r="G128" s="34">
        <v>14</v>
      </c>
      <c r="H128" s="1" t="s">
        <v>16</v>
      </c>
      <c r="I128" s="35">
        <v>17.296975</v>
      </c>
      <c r="J128" s="34">
        <v>55</v>
      </c>
      <c r="K128" s="35">
        <v>21.144640550000005</v>
      </c>
      <c r="L128" s="35">
        <v>51.084864550000006</v>
      </c>
      <c r="M128" s="26">
        <f>_xlfn.CONCAT("'",$B128,"'","!","$C$3:$K$23")</f>
      </c>
      <c r="N128" s="26">
        <f>_xlfn.CONCAT("'",$B128,"'","!","$B$3:$B$22")</f>
      </c>
      <c r="O128" s="26">
        <f>_xlfn.CONCAT("'",$B128,"'","!","$C$2:$K$2")</f>
      </c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x14ac:dyDescent="0.25" r="129" customHeight="1" ht="17.25">
      <c r="A129" s="10">
        <v>14</v>
      </c>
      <c r="B129" s="10">
        <v>2021</v>
      </c>
      <c r="C129" s="2" t="s">
        <v>42</v>
      </c>
      <c r="D129" s="34">
        <v>2</v>
      </c>
      <c r="E129" s="1" t="s">
        <v>16</v>
      </c>
      <c r="F129" s="35">
        <v>7.202</v>
      </c>
      <c r="G129" s="34">
        <v>1</v>
      </c>
      <c r="H129" s="1" t="s">
        <v>16</v>
      </c>
      <c r="I129" s="35">
        <v>4.71494</v>
      </c>
      <c r="J129" s="34">
        <v>10</v>
      </c>
      <c r="K129" s="35">
        <v>105.01985169</v>
      </c>
      <c r="L129" s="35">
        <v>116.93679168999999</v>
      </c>
      <c r="M129" s="26">
        <f>_xlfn.CONCAT("'",$B129,"'","!","$C$3:$K$23")</f>
      </c>
      <c r="N129" s="26">
        <f>_xlfn.CONCAT("'",$B129,"'","!","$B$3:$B$22")</f>
      </c>
      <c r="O129" s="26">
        <f>_xlfn.CONCAT("'",$B129,"'","!","$C$2:$K$2")</f>
      </c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x14ac:dyDescent="0.25" r="130" customHeight="1" ht="17.25">
      <c r="A130" s="10">
        <v>15</v>
      </c>
      <c r="B130" s="10">
        <v>2021</v>
      </c>
      <c r="C130" s="2" t="s">
        <v>44</v>
      </c>
      <c r="D130" s="34">
        <v>1</v>
      </c>
      <c r="E130" s="1" t="s">
        <v>16</v>
      </c>
      <c r="F130" s="35">
        <v>1.1</v>
      </c>
      <c r="G130" s="34">
        <v>3</v>
      </c>
      <c r="H130" s="1" t="s">
        <v>16</v>
      </c>
      <c r="I130" s="35">
        <v>0.616791125</v>
      </c>
      <c r="J130" s="34">
        <v>11</v>
      </c>
      <c r="K130" s="35">
        <v>2.8011978200000005</v>
      </c>
      <c r="L130" s="35">
        <v>4.517988945000001</v>
      </c>
      <c r="M130" s="26">
        <f>_xlfn.CONCAT("'",$B130,"'","!","$C$3:$K$23")</f>
      </c>
      <c r="N130" s="26">
        <f>_xlfn.CONCAT("'",$B130,"'","!","$B$3:$B$22")</f>
      </c>
      <c r="O130" s="26">
        <f>_xlfn.CONCAT("'",$B130,"'","!","$C$2:$K$2")</f>
      </c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x14ac:dyDescent="0.25" r="131" customHeight="1" ht="17.25">
      <c r="A131" s="10">
        <v>16</v>
      </c>
      <c r="B131" s="10">
        <v>2021</v>
      </c>
      <c r="C131" s="2" t="s">
        <v>46</v>
      </c>
      <c r="D131" s="34">
        <v>0</v>
      </c>
      <c r="E131" s="1" t="s">
        <v>16</v>
      </c>
      <c r="F131" s="34">
        <v>0</v>
      </c>
      <c r="G131" s="34">
        <v>1</v>
      </c>
      <c r="H131" s="1" t="s">
        <v>16</v>
      </c>
      <c r="I131" s="35">
        <v>0.135</v>
      </c>
      <c r="J131" s="34">
        <v>4</v>
      </c>
      <c r="K131" s="35">
        <v>1.3364363099999998</v>
      </c>
      <c r="L131" s="35">
        <v>1.4714363099999999</v>
      </c>
      <c r="M131" s="26">
        <f>_xlfn.CONCAT("'",$B131,"'","!","$C$3:$K$23")</f>
      </c>
      <c r="N131" s="26">
        <f>_xlfn.CONCAT("'",$B131,"'","!","$B$3:$B$22")</f>
      </c>
      <c r="O131" s="26">
        <f>_xlfn.CONCAT("'",$B131,"'","!","$C$2:$K$2")</f>
      </c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x14ac:dyDescent="0.25" r="132" customHeight="1" ht="17.25">
      <c r="A132" s="10">
        <v>17</v>
      </c>
      <c r="B132" s="10">
        <v>2021</v>
      </c>
      <c r="C132" s="2" t="s">
        <v>48</v>
      </c>
      <c r="D132" s="34">
        <v>1</v>
      </c>
      <c r="E132" s="1" t="s">
        <v>16</v>
      </c>
      <c r="F132" s="35">
        <v>0.13052</v>
      </c>
      <c r="G132" s="34">
        <v>0</v>
      </c>
      <c r="H132" s="1" t="s">
        <v>16</v>
      </c>
      <c r="I132" s="34">
        <v>0</v>
      </c>
      <c r="J132" s="34">
        <v>7</v>
      </c>
      <c r="K132" s="35">
        <v>1.55103786</v>
      </c>
      <c r="L132" s="35">
        <v>1.68155786</v>
      </c>
      <c r="M132" s="26">
        <f>_xlfn.CONCAT("'",$B132,"'","!","$C$3:$K$23")</f>
      </c>
      <c r="N132" s="26">
        <f>_xlfn.CONCAT("'",$B132,"'","!","$B$3:$B$22")</f>
      </c>
      <c r="O132" s="26">
        <f>_xlfn.CONCAT("'",$B132,"'","!","$C$2:$K$2")</f>
      </c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x14ac:dyDescent="0.25" r="133" customHeight="1" ht="17.25">
      <c r="A133" s="10">
        <v>18</v>
      </c>
      <c r="B133" s="10">
        <v>2021</v>
      </c>
      <c r="C133" s="2" t="s">
        <v>50</v>
      </c>
      <c r="D133" s="34">
        <v>1</v>
      </c>
      <c r="E133" s="1" t="s">
        <v>16</v>
      </c>
      <c r="F133" s="35">
        <v>4.5</v>
      </c>
      <c r="G133" s="34">
        <v>1</v>
      </c>
      <c r="H133" s="1" t="s">
        <v>16</v>
      </c>
      <c r="I133" s="35">
        <v>30.47</v>
      </c>
      <c r="J133" s="34">
        <v>21</v>
      </c>
      <c r="K133" s="35">
        <v>24.655916169999998</v>
      </c>
      <c r="L133" s="35">
        <v>59.625916169999996</v>
      </c>
      <c r="M133" s="26">
        <f>_xlfn.CONCAT("'",$B133,"'","!","$C$3:$K$23")</f>
      </c>
      <c r="N133" s="26">
        <f>_xlfn.CONCAT("'",$B133,"'","!","$B$3:$B$22")</f>
      </c>
      <c r="O133" s="26">
        <f>_xlfn.CONCAT("'",$B133,"'","!","$C$2:$K$2")</f>
      </c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x14ac:dyDescent="0.25" r="134" customHeight="1" ht="17.25">
      <c r="A134" s="10">
        <v>19</v>
      </c>
      <c r="B134" s="10">
        <v>2021</v>
      </c>
      <c r="C134" s="2" t="s">
        <v>52</v>
      </c>
      <c r="D134" s="36" t="s">
        <v>16</v>
      </c>
      <c r="E134" s="1" t="s">
        <v>16</v>
      </c>
      <c r="F134" s="37" t="s">
        <v>16</v>
      </c>
      <c r="G134" s="36" t="s">
        <v>16</v>
      </c>
      <c r="H134" s="1" t="s">
        <v>16</v>
      </c>
      <c r="I134" s="37" t="s">
        <v>16</v>
      </c>
      <c r="J134" s="36" t="s">
        <v>16</v>
      </c>
      <c r="K134" s="37" t="s">
        <v>16</v>
      </c>
      <c r="L134" s="37" t="s">
        <v>16</v>
      </c>
      <c r="M134" s="26">
        <f>_xlfn.CONCAT("'",$B134,"'","!","$C$3:$K$23")</f>
      </c>
      <c r="N134" s="26">
        <f>_xlfn.CONCAT("'",$B134,"'","!","$B$3:$B$22")</f>
      </c>
      <c r="O134" s="26">
        <f>_xlfn.CONCAT("'",$B134,"'","!","$C$2:$K$2")</f>
      </c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x14ac:dyDescent="0.25" r="135" customHeight="1" ht="17.25">
      <c r="A135" s="10">
        <v>1</v>
      </c>
      <c r="B135" s="10">
        <v>2022</v>
      </c>
      <c r="C135" s="2" t="s">
        <v>15</v>
      </c>
      <c r="D135" s="34">
        <v>511</v>
      </c>
      <c r="E135" s="1" t="s">
        <v>16</v>
      </c>
      <c r="F135" s="35">
        <v>7212.568197669998</v>
      </c>
      <c r="G135" s="34">
        <v>644</v>
      </c>
      <c r="H135" s="1" t="s">
        <v>16</v>
      </c>
      <c r="I135" s="35">
        <v>7977.900133924769</v>
      </c>
      <c r="J135" s="34">
        <v>471</v>
      </c>
      <c r="K135" s="35">
        <v>1611.0596202899997</v>
      </c>
      <c r="L135" s="35">
        <v>16801.527951884767</v>
      </c>
      <c r="M135" s="26">
        <f>_xlfn.CONCAT("'",$B135,"'","!","$C$3:$K$23")</f>
      </c>
      <c r="N135" s="26">
        <f>_xlfn.CONCAT("'",$B135,"'","!","$B$3:$B$22")</f>
      </c>
      <c r="O135" s="26">
        <f>_xlfn.CONCAT("'",$B135,"'","!","$C$2:$K$2")</f>
      </c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x14ac:dyDescent="0.25" r="136" customHeight="1" ht="17.25">
      <c r="A136" s="10">
        <v>2</v>
      </c>
      <c r="B136" s="10">
        <v>2022</v>
      </c>
      <c r="C136" s="2" t="s">
        <v>18</v>
      </c>
      <c r="D136" s="34">
        <v>11</v>
      </c>
      <c r="E136" s="1" t="s">
        <v>16</v>
      </c>
      <c r="F136" s="35">
        <v>2100.802567</v>
      </c>
      <c r="G136" s="34">
        <v>6</v>
      </c>
      <c r="H136" s="1" t="s">
        <v>16</v>
      </c>
      <c r="I136" s="35">
        <v>70.73884</v>
      </c>
      <c r="J136" s="34">
        <v>17</v>
      </c>
      <c r="K136" s="35">
        <v>89.97326308</v>
      </c>
      <c r="L136" s="35">
        <v>2261.51467008</v>
      </c>
      <c r="M136" s="26">
        <f>_xlfn.CONCAT("'",$B136,"'","!","$C$3:$K$23")</f>
      </c>
      <c r="N136" s="26">
        <f>_xlfn.CONCAT("'",$B136,"'","!","$B$3:$B$22")</f>
      </c>
      <c r="O136" s="26">
        <f>_xlfn.CONCAT("'",$B136,"'","!","$C$2:$K$2")</f>
      </c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x14ac:dyDescent="0.25" r="137" customHeight="1" ht="17.25">
      <c r="A137" s="10">
        <v>3</v>
      </c>
      <c r="B137" s="10">
        <v>2022</v>
      </c>
      <c r="C137" s="2" t="s">
        <v>20</v>
      </c>
      <c r="D137" s="34">
        <v>75</v>
      </c>
      <c r="E137" s="1" t="s">
        <v>16</v>
      </c>
      <c r="F137" s="35">
        <v>1815.61165716</v>
      </c>
      <c r="G137" s="34">
        <v>37</v>
      </c>
      <c r="H137" s="1" t="s">
        <v>16</v>
      </c>
      <c r="I137" s="35">
        <v>1059.275524</v>
      </c>
      <c r="J137" s="34">
        <v>103</v>
      </c>
      <c r="K137" s="35">
        <v>1576.54932937</v>
      </c>
      <c r="L137" s="35">
        <v>4451.43651053</v>
      </c>
      <c r="M137" s="26">
        <f>_xlfn.CONCAT("'",$B137,"'","!","$C$3:$K$23")</f>
      </c>
      <c r="N137" s="26">
        <f>_xlfn.CONCAT("'",$B137,"'","!","$B$3:$B$22")</f>
      </c>
      <c r="O137" s="26">
        <f>_xlfn.CONCAT("'",$B137,"'","!","$C$2:$K$2")</f>
      </c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x14ac:dyDescent="0.25" r="138" customHeight="1" ht="17.25">
      <c r="A138" s="10">
        <v>4</v>
      </c>
      <c r="B138" s="10">
        <v>2022</v>
      </c>
      <c r="C138" s="2" t="s">
        <v>22</v>
      </c>
      <c r="D138" s="34">
        <v>32</v>
      </c>
      <c r="E138" s="1" t="s">
        <v>16</v>
      </c>
      <c r="F138" s="35">
        <v>94.04156709</v>
      </c>
      <c r="G138" s="34">
        <v>23</v>
      </c>
      <c r="H138" s="1" t="s">
        <v>16</v>
      </c>
      <c r="I138" s="35">
        <v>35.53926236328125</v>
      </c>
      <c r="J138" s="34">
        <v>77</v>
      </c>
      <c r="K138" s="35">
        <v>117.90348286</v>
      </c>
      <c r="L138" s="35">
        <v>247.48431231328124</v>
      </c>
      <c r="M138" s="26">
        <f>_xlfn.CONCAT("'",$B138,"'","!","$C$3:$K$23")</f>
      </c>
      <c r="N138" s="26">
        <f>_xlfn.CONCAT("'",$B138,"'","!","$B$3:$B$22")</f>
      </c>
      <c r="O138" s="26">
        <f>_xlfn.CONCAT("'",$B138,"'","!","$C$2:$K$2")</f>
      </c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x14ac:dyDescent="0.25" r="139" customHeight="1" ht="17.25">
      <c r="A139" s="10">
        <v>5</v>
      </c>
      <c r="B139" s="10">
        <v>2022</v>
      </c>
      <c r="C139" s="2" t="s">
        <v>24</v>
      </c>
      <c r="D139" s="34">
        <v>611</v>
      </c>
      <c r="E139" s="1" t="s">
        <v>16</v>
      </c>
      <c r="F139" s="35">
        <v>318.48201896000006</v>
      </c>
      <c r="G139" s="34">
        <v>151</v>
      </c>
      <c r="H139" s="1" t="s">
        <v>16</v>
      </c>
      <c r="I139" s="35">
        <v>297.36366116578125</v>
      </c>
      <c r="J139" s="34">
        <v>1417</v>
      </c>
      <c r="K139" s="35">
        <v>394.8480421599995</v>
      </c>
      <c r="L139" s="35">
        <v>1010.6937222857808</v>
      </c>
      <c r="M139" s="26">
        <f>_xlfn.CONCAT("'",$B139,"'","!","$C$3:$K$23")</f>
      </c>
      <c r="N139" s="26">
        <f>_xlfn.CONCAT("'",$B139,"'","!","$B$3:$B$22")</f>
      </c>
      <c r="O139" s="26">
        <f>_xlfn.CONCAT("'",$B139,"'","!","$C$2:$K$2")</f>
      </c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x14ac:dyDescent="0.25" r="140" customHeight="1" ht="17.25">
      <c r="A140" s="10">
        <v>6</v>
      </c>
      <c r="B140" s="10">
        <v>2022</v>
      </c>
      <c r="C140" s="2" t="s">
        <v>26</v>
      </c>
      <c r="D140" s="34">
        <v>12</v>
      </c>
      <c r="E140" s="1" t="s">
        <v>16</v>
      </c>
      <c r="F140" s="35">
        <v>29.595246900000003</v>
      </c>
      <c r="G140" s="34">
        <v>5</v>
      </c>
      <c r="H140" s="1" t="s">
        <v>16</v>
      </c>
      <c r="I140" s="35">
        <v>11.6653546875</v>
      </c>
      <c r="J140" s="34">
        <v>16</v>
      </c>
      <c r="K140" s="35">
        <v>26.698707900000006</v>
      </c>
      <c r="L140" s="35">
        <v>67.95930948750001</v>
      </c>
      <c r="M140" s="26">
        <f>_xlfn.CONCAT("'",$B140,"'","!","$C$3:$K$23")</f>
      </c>
      <c r="N140" s="26">
        <f>_xlfn.CONCAT("'",$B140,"'","!","$B$3:$B$22")</f>
      </c>
      <c r="O140" s="26">
        <f>_xlfn.CONCAT("'",$B140,"'","!","$C$2:$K$2")</f>
      </c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x14ac:dyDescent="0.25" r="141" customHeight="1" ht="17.25">
      <c r="A141" s="10">
        <v>7</v>
      </c>
      <c r="B141" s="10">
        <v>2022</v>
      </c>
      <c r="C141" s="2" t="s">
        <v>28</v>
      </c>
      <c r="D141" s="34">
        <v>331</v>
      </c>
      <c r="E141" s="1" t="s">
        <v>16</v>
      </c>
      <c r="F141" s="35">
        <v>248.97973805999996</v>
      </c>
      <c r="G141" s="34">
        <v>106</v>
      </c>
      <c r="H141" s="1" t="s">
        <v>16</v>
      </c>
      <c r="I141" s="35">
        <v>172.43471217500002</v>
      </c>
      <c r="J141" s="34">
        <v>603</v>
      </c>
      <c r="K141" s="35">
        <v>867.89743933</v>
      </c>
      <c r="L141" s="35">
        <v>1289.311889565</v>
      </c>
      <c r="M141" s="26">
        <f>_xlfn.CONCAT("'",$B141,"'","!","$C$3:$K$23")</f>
      </c>
      <c r="N141" s="26">
        <f>_xlfn.CONCAT("'",$B141,"'","!","$B$3:$B$22")</f>
      </c>
      <c r="O141" s="26">
        <f>_xlfn.CONCAT("'",$B141,"'","!","$C$2:$K$2")</f>
      </c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x14ac:dyDescent="0.25" r="142" customHeight="1" ht="17.25">
      <c r="A142" s="10">
        <v>8</v>
      </c>
      <c r="B142" s="10">
        <v>2022</v>
      </c>
      <c r="C142" s="2" t="s">
        <v>30</v>
      </c>
      <c r="D142" s="34">
        <v>72</v>
      </c>
      <c r="E142" s="1" t="s">
        <v>16</v>
      </c>
      <c r="F142" s="35">
        <v>356.3239425</v>
      </c>
      <c r="G142" s="34">
        <v>16</v>
      </c>
      <c r="H142" s="1" t="s">
        <v>16</v>
      </c>
      <c r="I142" s="35">
        <v>46.775494</v>
      </c>
      <c r="J142" s="34">
        <v>133</v>
      </c>
      <c r="K142" s="35">
        <v>35.80935614999999</v>
      </c>
      <c r="L142" s="35">
        <v>438.90879264999995</v>
      </c>
      <c r="M142" s="26">
        <f>_xlfn.CONCAT("'",$B142,"'","!","$C$3:$K$23")</f>
      </c>
      <c r="N142" s="26">
        <f>_xlfn.CONCAT("'",$B142,"'","!","$B$3:$B$22")</f>
      </c>
      <c r="O142" s="26">
        <f>_xlfn.CONCAT("'",$B142,"'","!","$C$2:$K$2")</f>
      </c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x14ac:dyDescent="0.25" r="143" customHeight="1" ht="17.25">
      <c r="A143" s="10">
        <v>9</v>
      </c>
      <c r="B143" s="10">
        <v>2022</v>
      </c>
      <c r="C143" s="2" t="s">
        <v>32</v>
      </c>
      <c r="D143" s="34">
        <v>33</v>
      </c>
      <c r="E143" s="1" t="s">
        <v>16</v>
      </c>
      <c r="F143" s="35">
        <v>7.54864754</v>
      </c>
      <c r="G143" s="34">
        <v>18</v>
      </c>
      <c r="H143" s="1" t="s">
        <v>16</v>
      </c>
      <c r="I143" s="35">
        <v>-59.818035</v>
      </c>
      <c r="J143" s="34">
        <v>240</v>
      </c>
      <c r="K143" s="35">
        <v>63.71167543</v>
      </c>
      <c r="L143" s="35">
        <v>11.442287969999995</v>
      </c>
      <c r="M143" s="26">
        <f>_xlfn.CONCAT("'",$B143,"'","!","$C$3:$K$23")</f>
      </c>
      <c r="N143" s="26">
        <f>_xlfn.CONCAT("'",$B143,"'","!","$B$3:$B$22")</f>
      </c>
      <c r="O143" s="26">
        <f>_xlfn.CONCAT("'",$B143,"'","!","$C$2:$K$2")</f>
      </c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x14ac:dyDescent="0.25" r="144" customHeight="1" ht="17.25">
      <c r="A144" s="10">
        <v>10</v>
      </c>
      <c r="B144" s="10">
        <v>2022</v>
      </c>
      <c r="C144" s="2" t="s">
        <v>34</v>
      </c>
      <c r="D144" s="34">
        <v>241</v>
      </c>
      <c r="E144" s="1" t="s">
        <v>16</v>
      </c>
      <c r="F144" s="35">
        <v>182.85791655</v>
      </c>
      <c r="G144" s="34">
        <v>52</v>
      </c>
      <c r="H144" s="1" t="s">
        <v>16</v>
      </c>
      <c r="I144" s="35">
        <v>310.7337987890625</v>
      </c>
      <c r="J144" s="34">
        <v>305</v>
      </c>
      <c r="K144" s="35">
        <v>161.63767391000005</v>
      </c>
      <c r="L144" s="35">
        <v>655.2293892490625</v>
      </c>
      <c r="M144" s="26">
        <f>_xlfn.CONCAT("'",$B144,"'","!","$C$3:$K$23")</f>
      </c>
      <c r="N144" s="26">
        <f>_xlfn.CONCAT("'",$B144,"'","!","$B$3:$B$22")</f>
      </c>
      <c r="O144" s="26">
        <f>_xlfn.CONCAT("'",$B144,"'","!","$C$2:$K$2")</f>
      </c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x14ac:dyDescent="0.25" r="145" customHeight="1" ht="17.25">
      <c r="A145" s="10">
        <v>11</v>
      </c>
      <c r="B145" s="10">
        <v>2022</v>
      </c>
      <c r="C145" s="2" t="s">
        <v>36</v>
      </c>
      <c r="D145" s="34">
        <v>54</v>
      </c>
      <c r="E145" s="1" t="s">
        <v>16</v>
      </c>
      <c r="F145" s="35">
        <v>23.515755</v>
      </c>
      <c r="G145" s="34">
        <v>22</v>
      </c>
      <c r="H145" s="1" t="s">
        <v>16</v>
      </c>
      <c r="I145" s="35">
        <v>12.50114214</v>
      </c>
      <c r="J145" s="34">
        <v>70</v>
      </c>
      <c r="K145" s="35">
        <v>27.652751050000006</v>
      </c>
      <c r="L145" s="35">
        <v>63.669648190000004</v>
      </c>
      <c r="M145" s="26">
        <f>_xlfn.CONCAT("'",$B145,"'","!","$C$3:$K$23")</f>
      </c>
      <c r="N145" s="26">
        <f>_xlfn.CONCAT("'",$B145,"'","!","$B$3:$B$22")</f>
      </c>
      <c r="O145" s="26">
        <f>_xlfn.CONCAT("'",$B145,"'","!","$C$2:$K$2")</f>
      </c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x14ac:dyDescent="0.25" r="146" customHeight="1" ht="17.25">
      <c r="A146" s="10">
        <v>12</v>
      </c>
      <c r="B146" s="10">
        <v>2022</v>
      </c>
      <c r="C146" s="2" t="s">
        <v>38</v>
      </c>
      <c r="D146" s="34">
        <v>2</v>
      </c>
      <c r="E146" s="1" t="s">
        <v>16</v>
      </c>
      <c r="F146" s="35">
        <v>0.3</v>
      </c>
      <c r="G146" s="34">
        <v>4</v>
      </c>
      <c r="H146" s="1" t="s">
        <v>16</v>
      </c>
      <c r="I146" s="35">
        <v>3.371405</v>
      </c>
      <c r="J146" s="34">
        <v>17</v>
      </c>
      <c r="K146" s="35">
        <v>2.24499201</v>
      </c>
      <c r="L146" s="35">
        <v>5.91639701</v>
      </c>
      <c r="M146" s="26">
        <f>_xlfn.CONCAT("'",$B146,"'","!","$C$3:$K$23")</f>
      </c>
      <c r="N146" s="26">
        <f>_xlfn.CONCAT("'",$B146,"'","!","$B$3:$B$22")</f>
      </c>
      <c r="O146" s="26">
        <f>_xlfn.CONCAT("'",$B146,"'","!","$C$2:$K$2")</f>
      </c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x14ac:dyDescent="0.25" r="147" customHeight="1" ht="17.25">
      <c r="A147" s="10">
        <v>13</v>
      </c>
      <c r="B147" s="10">
        <v>2022</v>
      </c>
      <c r="C147" s="2" t="s">
        <v>40</v>
      </c>
      <c r="D147" s="34">
        <v>36</v>
      </c>
      <c r="E147" s="1" t="s">
        <v>16</v>
      </c>
      <c r="F147" s="35">
        <v>11.92994532</v>
      </c>
      <c r="G147" s="34">
        <v>16</v>
      </c>
      <c r="H147" s="1" t="s">
        <v>16</v>
      </c>
      <c r="I147" s="35">
        <v>136.78070360546874</v>
      </c>
      <c r="J147" s="34">
        <v>51</v>
      </c>
      <c r="K147" s="35">
        <v>104.70366788999999</v>
      </c>
      <c r="L147" s="35">
        <v>253.41431681546874</v>
      </c>
      <c r="M147" s="26">
        <f>_xlfn.CONCAT("'",$B147,"'","!","$C$3:$K$23")</f>
      </c>
      <c r="N147" s="26">
        <f>_xlfn.CONCAT("'",$B147,"'","!","$B$3:$B$22")</f>
      </c>
      <c r="O147" s="26">
        <f>_xlfn.CONCAT("'",$B147,"'","!","$C$2:$K$2")</f>
      </c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x14ac:dyDescent="0.25" r="148" customHeight="1" ht="17.25">
      <c r="A148" s="10">
        <v>14</v>
      </c>
      <c r="B148" s="10">
        <v>2022</v>
      </c>
      <c r="C148" s="2" t="s">
        <v>42</v>
      </c>
      <c r="D148" s="34">
        <v>3</v>
      </c>
      <c r="E148" s="1" t="s">
        <v>16</v>
      </c>
      <c r="F148" s="35">
        <v>1.852493</v>
      </c>
      <c r="G148" s="34">
        <v>1</v>
      </c>
      <c r="H148" s="1" t="s">
        <v>16</v>
      </c>
      <c r="I148" s="34">
        <v>16</v>
      </c>
      <c r="J148" s="34">
        <v>7</v>
      </c>
      <c r="K148" s="35">
        <v>39.44372611</v>
      </c>
      <c r="L148" s="35">
        <v>57.296219109999996</v>
      </c>
      <c r="M148" s="26">
        <f>_xlfn.CONCAT("'",$B148,"'","!","$C$3:$K$23")</f>
      </c>
      <c r="N148" s="26">
        <f>_xlfn.CONCAT("'",$B148,"'","!","$B$3:$B$22")</f>
      </c>
      <c r="O148" s="26">
        <f>_xlfn.CONCAT("'",$B148,"'","!","$C$2:$K$2")</f>
      </c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x14ac:dyDescent="0.25" r="149" customHeight="1" ht="17.25">
      <c r="A149" s="10">
        <v>15</v>
      </c>
      <c r="B149" s="10">
        <v>2022</v>
      </c>
      <c r="C149" s="2" t="s">
        <v>44</v>
      </c>
      <c r="D149" s="34">
        <v>2</v>
      </c>
      <c r="E149" s="1" t="s">
        <v>16</v>
      </c>
      <c r="F149" s="35">
        <v>10.432</v>
      </c>
      <c r="G149" s="34">
        <v>4</v>
      </c>
      <c r="H149" s="1" t="s">
        <v>16</v>
      </c>
      <c r="I149" s="35">
        <v>1.713338</v>
      </c>
      <c r="J149" s="34">
        <v>11</v>
      </c>
      <c r="K149" s="35">
        <v>9.01600113</v>
      </c>
      <c r="L149" s="35">
        <v>21.16133913</v>
      </c>
      <c r="M149" s="26">
        <f>_xlfn.CONCAT("'",$B149,"'","!","$C$3:$K$23")</f>
      </c>
      <c r="N149" s="26">
        <f>_xlfn.CONCAT("'",$B149,"'","!","$B$3:$B$22")</f>
      </c>
      <c r="O149" s="26">
        <f>_xlfn.CONCAT("'",$B149,"'","!","$C$2:$K$2")</f>
      </c>
      <c r="P149" s="2"/>
      <c r="Q149" s="2"/>
      <c r="R149" s="2"/>
      <c r="S149" s="2"/>
      <c r="T149" s="2"/>
      <c r="U149" s="2"/>
      <c r="V149" s="2"/>
      <c r="W149" s="2"/>
      <c r="X149" s="2"/>
      <c r="Y149" s="2"/>
    </row>
    <row x14ac:dyDescent="0.25" r="150" customHeight="1" ht="17.25">
      <c r="A150" s="10">
        <v>16</v>
      </c>
      <c r="B150" s="10">
        <v>2022</v>
      </c>
      <c r="C150" s="2" t="s">
        <v>46</v>
      </c>
      <c r="D150" s="34">
        <v>1</v>
      </c>
      <c r="E150" s="1" t="s">
        <v>16</v>
      </c>
      <c r="F150" s="35">
        <v>1.977153</v>
      </c>
      <c r="G150" s="34">
        <v>0</v>
      </c>
      <c r="H150" s="1" t="s">
        <v>16</v>
      </c>
      <c r="I150" s="34">
        <v>0</v>
      </c>
      <c r="J150" s="34">
        <v>3</v>
      </c>
      <c r="K150" s="35">
        <v>17.08691194</v>
      </c>
      <c r="L150" s="35">
        <v>19.06406494</v>
      </c>
      <c r="M150" s="26">
        <f>_xlfn.CONCAT("'",$B150,"'","!","$C$3:$K$23")</f>
      </c>
      <c r="N150" s="26">
        <f>_xlfn.CONCAT("'",$B150,"'","!","$B$3:$B$22")</f>
      </c>
      <c r="O150" s="26">
        <f>_xlfn.CONCAT("'",$B150,"'","!","$C$2:$K$2")</f>
      </c>
      <c r="P150" s="2"/>
      <c r="Q150" s="2"/>
      <c r="R150" s="2"/>
      <c r="S150" s="2"/>
      <c r="T150" s="2"/>
      <c r="U150" s="2"/>
      <c r="V150" s="2"/>
      <c r="W150" s="2"/>
      <c r="X150" s="2"/>
      <c r="Y150" s="2"/>
    </row>
    <row x14ac:dyDescent="0.25" r="151" customHeight="1" ht="17.25">
      <c r="A151" s="10">
        <v>17</v>
      </c>
      <c r="B151" s="10">
        <v>2022</v>
      </c>
      <c r="C151" s="2" t="s">
        <v>48</v>
      </c>
      <c r="D151" s="34">
        <v>1</v>
      </c>
      <c r="E151" s="1" t="s">
        <v>16</v>
      </c>
      <c r="F151" s="35">
        <v>0.2</v>
      </c>
      <c r="G151" s="34">
        <v>1</v>
      </c>
      <c r="H151" s="1" t="s">
        <v>16</v>
      </c>
      <c r="I151" s="35">
        <v>0.15</v>
      </c>
      <c r="J151" s="34">
        <v>11</v>
      </c>
      <c r="K151" s="35">
        <v>3.49962623</v>
      </c>
      <c r="L151" s="35">
        <v>3.84962623</v>
      </c>
      <c r="M151" s="26">
        <f>_xlfn.CONCAT("'",$B151,"'","!","$C$3:$K$23")</f>
      </c>
      <c r="N151" s="26">
        <f>_xlfn.CONCAT("'",$B151,"'","!","$B$3:$B$22")</f>
      </c>
      <c r="O151" s="26">
        <f>_xlfn.CONCAT("'",$B151,"'","!","$C$2:$K$2")</f>
      </c>
      <c r="P151" s="2"/>
      <c r="Q151" s="2"/>
      <c r="R151" s="2"/>
      <c r="S151" s="2"/>
      <c r="T151" s="2"/>
      <c r="U151" s="2"/>
      <c r="V151" s="2"/>
      <c r="W151" s="2"/>
      <c r="X151" s="2"/>
      <c r="Y151" s="2"/>
    </row>
    <row x14ac:dyDescent="0.25" r="152" customHeight="1" ht="17.25">
      <c r="A152" s="10">
        <v>18</v>
      </c>
      <c r="B152" s="10">
        <v>2022</v>
      </c>
      <c r="C152" s="2" t="s">
        <v>50</v>
      </c>
      <c r="D152" s="34">
        <v>8</v>
      </c>
      <c r="E152" s="1" t="s">
        <v>16</v>
      </c>
      <c r="F152" s="35">
        <v>29.199856</v>
      </c>
      <c r="G152" s="34">
        <v>1</v>
      </c>
      <c r="H152" s="1" t="s">
        <v>16</v>
      </c>
      <c r="I152" s="35">
        <v>24.68776</v>
      </c>
      <c r="J152" s="34">
        <v>13</v>
      </c>
      <c r="K152" s="35">
        <v>3.8131179499999996</v>
      </c>
      <c r="L152" s="35">
        <v>57.70073395</v>
      </c>
      <c r="M152" s="26">
        <f>_xlfn.CONCAT("'",$B152,"'","!","$C$3:$K$23")</f>
      </c>
      <c r="N152" s="26">
        <f>_xlfn.CONCAT("'",$B152,"'","!","$B$3:$B$22")</f>
      </c>
      <c r="O152" s="26">
        <f>_xlfn.CONCAT("'",$B152,"'","!","$C$2:$K$2")</f>
      </c>
      <c r="P152" s="2"/>
      <c r="Q152" s="2"/>
      <c r="R152" s="2"/>
      <c r="S152" s="2"/>
      <c r="T152" s="2"/>
      <c r="U152" s="2"/>
      <c r="V152" s="2"/>
      <c r="W152" s="2"/>
      <c r="X152" s="2"/>
      <c r="Y152" s="2"/>
    </row>
    <row x14ac:dyDescent="0.25" r="153" customHeight="1" ht="17.25">
      <c r="A153" s="10">
        <v>19</v>
      </c>
      <c r="B153" s="10">
        <v>2022</v>
      </c>
      <c r="C153" s="2" t="s">
        <v>52</v>
      </c>
      <c r="D153" s="34">
        <v>0</v>
      </c>
      <c r="E153" s="1" t="s">
        <v>16</v>
      </c>
      <c r="F153" s="34">
        <v>0</v>
      </c>
      <c r="G153" s="34">
        <v>0</v>
      </c>
      <c r="H153" s="1" t="s">
        <v>16</v>
      </c>
      <c r="I153" s="34">
        <v>0</v>
      </c>
      <c r="J153" s="34">
        <v>1</v>
      </c>
      <c r="K153" s="35">
        <v>0.54912562</v>
      </c>
      <c r="L153" s="35">
        <v>0.54912562</v>
      </c>
      <c r="M153" s="26">
        <f>_xlfn.CONCAT("'",$B153,"'","!","$C$3:$K$23")</f>
      </c>
      <c r="N153" s="26">
        <f>_xlfn.CONCAT("'",$B153,"'","!","$B$3:$B$22")</f>
      </c>
      <c r="O153" s="26">
        <f>_xlfn.CONCAT("'",$B153,"'","!","$C$2:$K$2")</f>
      </c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x14ac:dyDescent="0.25" r="154" customHeight="1" ht="17.25">
      <c r="A154" s="10">
        <v>1</v>
      </c>
      <c r="B154" s="10">
        <v>2023</v>
      </c>
      <c r="C154" s="2" t="s">
        <v>15</v>
      </c>
      <c r="D154" s="34">
        <v>1075</v>
      </c>
      <c r="E154" s="1" t="s">
        <v>16</v>
      </c>
      <c r="F154" s="35">
        <v>15850.065404339999</v>
      </c>
      <c r="G154" s="34">
        <v>691</v>
      </c>
      <c r="H154" s="1" t="s">
        <v>16</v>
      </c>
      <c r="I154" s="35">
        <v>6116.813420719061</v>
      </c>
      <c r="J154" s="34">
        <v>529</v>
      </c>
      <c r="K154" s="35">
        <v>1538.101506879999</v>
      </c>
      <c r="L154" s="35">
        <v>23504.98033193906</v>
      </c>
      <c r="M154" s="26">
        <f>_xlfn.CONCAT("'",$B154,"'","!","$C$3:$K$23")</f>
      </c>
      <c r="N154" s="26">
        <f>_xlfn.CONCAT("'",$B154,"'","!","$B$3:$B$22")</f>
      </c>
      <c r="O154" s="26">
        <f>_xlfn.CONCAT("'",$B154,"'","!","$C$2:$K$2")</f>
      </c>
      <c r="P154" s="2"/>
      <c r="Q154" s="2"/>
      <c r="R154" s="2"/>
      <c r="S154" s="2"/>
      <c r="T154" s="2"/>
      <c r="U154" s="2"/>
      <c r="V154" s="2"/>
      <c r="W154" s="2"/>
      <c r="X154" s="2"/>
      <c r="Y154" s="2"/>
    </row>
    <row x14ac:dyDescent="0.25" r="155" customHeight="1" ht="17.25">
      <c r="A155" s="10">
        <v>2</v>
      </c>
      <c r="B155" s="10">
        <v>2023</v>
      </c>
      <c r="C155" s="2" t="s">
        <v>18</v>
      </c>
      <c r="D155" s="34">
        <v>12</v>
      </c>
      <c r="E155" s="1" t="s">
        <v>16</v>
      </c>
      <c r="F155" s="35">
        <v>2090.9405841099997</v>
      </c>
      <c r="G155" s="34">
        <v>1</v>
      </c>
      <c r="H155" s="1" t="s">
        <v>16</v>
      </c>
      <c r="I155" s="35">
        <v>179.795984</v>
      </c>
      <c r="J155" s="34">
        <v>9</v>
      </c>
      <c r="K155" s="35">
        <v>102.68474255</v>
      </c>
      <c r="L155" s="35">
        <v>2373.4213106599996</v>
      </c>
      <c r="M155" s="26">
        <f>_xlfn.CONCAT("'",$B155,"'","!","$C$3:$K$23")</f>
      </c>
      <c r="N155" s="26">
        <f>_xlfn.CONCAT("'",$B155,"'","!","$B$3:$B$22")</f>
      </c>
      <c r="O155" s="26">
        <f>_xlfn.CONCAT("'",$B155,"'","!","$C$2:$K$2")</f>
      </c>
      <c r="P155" s="2"/>
      <c r="Q155" s="2"/>
      <c r="R155" s="2"/>
      <c r="S155" s="2"/>
      <c r="T155" s="2"/>
      <c r="U155" s="2"/>
      <c r="V155" s="2"/>
      <c r="W155" s="2"/>
      <c r="X155" s="2"/>
      <c r="Y155" s="2"/>
    </row>
    <row x14ac:dyDescent="0.25" r="156" customHeight="1" ht="17.25">
      <c r="A156" s="10">
        <v>3</v>
      </c>
      <c r="B156" s="10">
        <v>2023</v>
      </c>
      <c r="C156" s="2" t="s">
        <v>20</v>
      </c>
      <c r="D156" s="34">
        <v>68</v>
      </c>
      <c r="E156" s="1" t="s">
        <v>16</v>
      </c>
      <c r="F156" s="35">
        <v>982.23831002</v>
      </c>
      <c r="G156" s="34">
        <v>45</v>
      </c>
      <c r="H156" s="1" t="s">
        <v>16</v>
      </c>
      <c r="I156" s="35">
        <v>528.1548554043655</v>
      </c>
      <c r="J156" s="34">
        <v>102</v>
      </c>
      <c r="K156" s="35">
        <v>3155.362373157978</v>
      </c>
      <c r="L156" s="35">
        <v>4665.755538582343</v>
      </c>
      <c r="M156" s="26">
        <f>_xlfn.CONCAT("'",$B156,"'","!","$C$3:$K$23")</f>
      </c>
      <c r="N156" s="26">
        <f>_xlfn.CONCAT("'",$B156,"'","!","$B$3:$B$22")</f>
      </c>
      <c r="O156" s="26">
        <f>_xlfn.CONCAT("'",$B156,"'","!","$C$2:$K$2")</f>
      </c>
      <c r="P156" s="2"/>
      <c r="Q156" s="2"/>
      <c r="R156" s="2"/>
      <c r="S156" s="2"/>
      <c r="T156" s="2"/>
      <c r="U156" s="2"/>
      <c r="V156" s="2"/>
      <c r="W156" s="2"/>
      <c r="X156" s="2"/>
      <c r="Y156" s="2"/>
    </row>
    <row x14ac:dyDescent="0.25" r="157" customHeight="1" ht="17.25">
      <c r="A157" s="10">
        <v>4</v>
      </c>
      <c r="B157" s="10">
        <v>2023</v>
      </c>
      <c r="C157" s="2" t="s">
        <v>22</v>
      </c>
      <c r="D157" s="34">
        <v>40</v>
      </c>
      <c r="E157" s="1" t="s">
        <v>16</v>
      </c>
      <c r="F157" s="35">
        <v>74.50138623000001</v>
      </c>
      <c r="G157" s="34">
        <v>47</v>
      </c>
      <c r="H157" s="1" t="s">
        <v>16</v>
      </c>
      <c r="I157" s="35">
        <v>192.405338640625</v>
      </c>
      <c r="J157" s="34">
        <v>53</v>
      </c>
      <c r="K157" s="35">
        <v>22.453812110000005</v>
      </c>
      <c r="L157" s="35">
        <v>289.360536980625</v>
      </c>
      <c r="M157" s="26">
        <f>_xlfn.CONCAT("'",$B157,"'","!","$C$3:$K$23")</f>
      </c>
      <c r="N157" s="26">
        <f>_xlfn.CONCAT("'",$B157,"'","!","$B$3:$B$22")</f>
      </c>
      <c r="O157" s="26">
        <f>_xlfn.CONCAT("'",$B157,"'","!","$C$2:$K$2")</f>
      </c>
      <c r="P157" s="2"/>
      <c r="Q157" s="2"/>
      <c r="R157" s="2"/>
      <c r="S157" s="2"/>
      <c r="T157" s="2"/>
      <c r="U157" s="2"/>
      <c r="V157" s="2"/>
      <c r="W157" s="2"/>
      <c r="X157" s="2"/>
      <c r="Y157" s="2"/>
    </row>
    <row x14ac:dyDescent="0.25" r="158" customHeight="1" ht="17.25">
      <c r="A158" s="10">
        <v>5</v>
      </c>
      <c r="B158" s="10">
        <v>2023</v>
      </c>
      <c r="C158" s="2" t="s">
        <v>24</v>
      </c>
      <c r="D158" s="34">
        <v>942</v>
      </c>
      <c r="E158" s="1" t="s">
        <v>16</v>
      </c>
      <c r="F158" s="35">
        <v>439.1911476100001</v>
      </c>
      <c r="G158" s="34">
        <v>205</v>
      </c>
      <c r="H158" s="1" t="s">
        <v>16</v>
      </c>
      <c r="I158" s="35">
        <v>218.04426457617188</v>
      </c>
      <c r="J158" s="34">
        <v>1433</v>
      </c>
      <c r="K158" s="35">
        <v>604.7170422499992</v>
      </c>
      <c r="L158" s="35">
        <v>1261.9524544361711</v>
      </c>
      <c r="M158" s="26">
        <f>_xlfn.CONCAT("'",$B158,"'","!","$C$3:$K$23")</f>
      </c>
      <c r="N158" s="26">
        <f>_xlfn.CONCAT("'",$B158,"'","!","$B$3:$B$22")</f>
      </c>
      <c r="O158" s="26">
        <f>_xlfn.CONCAT("'",$B158,"'","!","$C$2:$K$2")</f>
      </c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x14ac:dyDescent="0.25" r="159" customHeight="1" ht="17.25">
      <c r="A159" s="10">
        <v>6</v>
      </c>
      <c r="B159" s="10">
        <v>2023</v>
      </c>
      <c r="C159" s="2" t="s">
        <v>26</v>
      </c>
      <c r="D159" s="34">
        <v>19</v>
      </c>
      <c r="E159" s="1" t="s">
        <v>16</v>
      </c>
      <c r="F159" s="35">
        <v>48.34362139999998</v>
      </c>
      <c r="G159" s="34">
        <v>10</v>
      </c>
      <c r="H159" s="1" t="s">
        <v>16</v>
      </c>
      <c r="I159" s="35">
        <v>2.7987714499999883</v>
      </c>
      <c r="J159" s="34">
        <v>18</v>
      </c>
      <c r="K159" s="35">
        <v>10.83676869</v>
      </c>
      <c r="L159" s="35">
        <v>61.97916153999997</v>
      </c>
      <c r="M159" s="26">
        <f>_xlfn.CONCAT("'",$B159,"'","!","$C$3:$K$23")</f>
      </c>
      <c r="N159" s="26">
        <f>_xlfn.CONCAT("'",$B159,"'","!","$B$3:$B$22")</f>
      </c>
      <c r="O159" s="26">
        <f>_xlfn.CONCAT("'",$B159,"'","!","$C$2:$K$2")</f>
      </c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x14ac:dyDescent="0.25" r="160" customHeight="1" ht="17.25">
      <c r="A160" s="10">
        <v>7</v>
      </c>
      <c r="B160" s="10">
        <v>2023</v>
      </c>
      <c r="C160" s="2" t="s">
        <v>28</v>
      </c>
      <c r="D160" s="34">
        <v>403</v>
      </c>
      <c r="E160" s="1" t="s">
        <v>16</v>
      </c>
      <c r="F160" s="35">
        <v>179.64483942</v>
      </c>
      <c r="G160" s="34">
        <v>103</v>
      </c>
      <c r="H160" s="1" t="s">
        <v>16</v>
      </c>
      <c r="I160" s="35">
        <v>332.62458846875</v>
      </c>
      <c r="J160" s="34">
        <v>531</v>
      </c>
      <c r="K160" s="35">
        <v>772.7283716700002</v>
      </c>
      <c r="L160" s="35">
        <v>1284.99779955875</v>
      </c>
      <c r="M160" s="26">
        <f>_xlfn.CONCAT("'",$B160,"'","!","$C$3:$K$23")</f>
      </c>
      <c r="N160" s="26">
        <f>_xlfn.CONCAT("'",$B160,"'","!","$B$3:$B$22")</f>
      </c>
      <c r="O160" s="26">
        <f>_xlfn.CONCAT("'",$B160,"'","!","$C$2:$K$2")</f>
      </c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x14ac:dyDescent="0.25" r="161" customHeight="1" ht="17.25">
      <c r="A161" s="10">
        <v>8</v>
      </c>
      <c r="B161" s="10">
        <v>2023</v>
      </c>
      <c r="C161" s="2" t="s">
        <v>30</v>
      </c>
      <c r="D161" s="34">
        <v>117</v>
      </c>
      <c r="E161" s="1" t="s">
        <v>16</v>
      </c>
      <c r="F161" s="35">
        <v>220.66831485999998</v>
      </c>
      <c r="G161" s="34">
        <v>37</v>
      </c>
      <c r="H161" s="1" t="s">
        <v>16</v>
      </c>
      <c r="I161" s="35">
        <v>92.7144380703125</v>
      </c>
      <c r="J161" s="34">
        <v>138</v>
      </c>
      <c r="K161" s="35">
        <v>150.39830835</v>
      </c>
      <c r="L161" s="35">
        <v>463.78106128031243</v>
      </c>
      <c r="M161" s="26">
        <f>_xlfn.CONCAT("'",$B161,"'","!","$C$3:$K$23")</f>
      </c>
      <c r="N161" s="26">
        <f>_xlfn.CONCAT("'",$B161,"'","!","$B$3:$B$22")</f>
      </c>
      <c r="O161" s="26">
        <f>_xlfn.CONCAT("'",$B161,"'","!","$C$2:$K$2")</f>
      </c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x14ac:dyDescent="0.25" r="162" customHeight="1" ht="17.25">
      <c r="A162" s="10">
        <v>9</v>
      </c>
      <c r="B162" s="10">
        <v>2023</v>
      </c>
      <c r="C162" s="2" t="s">
        <v>32</v>
      </c>
      <c r="D162" s="34">
        <v>62</v>
      </c>
      <c r="E162" s="1" t="s">
        <v>16</v>
      </c>
      <c r="F162" s="35">
        <v>30.76110995</v>
      </c>
      <c r="G162" s="34">
        <v>19</v>
      </c>
      <c r="H162" s="1" t="s">
        <v>16</v>
      </c>
      <c r="I162" s="35">
        <v>8.9401307109375</v>
      </c>
      <c r="J162" s="34">
        <v>188</v>
      </c>
      <c r="K162" s="35">
        <v>44.333561060000015</v>
      </c>
      <c r="L162" s="35">
        <v>84.03480172093751</v>
      </c>
      <c r="M162" s="26">
        <f>_xlfn.CONCAT("'",$B162,"'","!","$C$3:$K$23")</f>
      </c>
      <c r="N162" s="26">
        <f>_xlfn.CONCAT("'",$B162,"'","!","$B$3:$B$22")</f>
      </c>
      <c r="O162" s="26">
        <f>_xlfn.CONCAT("'",$B162,"'","!","$C$2:$K$2")</f>
      </c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x14ac:dyDescent="0.25" r="163" customHeight="1" ht="17.25">
      <c r="A163" s="10">
        <v>10</v>
      </c>
      <c r="B163" s="10">
        <v>2023</v>
      </c>
      <c r="C163" s="2" t="s">
        <v>34</v>
      </c>
      <c r="D163" s="34">
        <v>291</v>
      </c>
      <c r="E163" s="1" t="s">
        <v>16</v>
      </c>
      <c r="F163" s="35">
        <v>51.2928645</v>
      </c>
      <c r="G163" s="34">
        <v>73</v>
      </c>
      <c r="H163" s="1" t="s">
        <v>16</v>
      </c>
      <c r="I163" s="35">
        <v>176.00148515625</v>
      </c>
      <c r="J163" s="34">
        <v>265</v>
      </c>
      <c r="K163" s="35">
        <v>189.25332861999993</v>
      </c>
      <c r="L163" s="35">
        <v>416.54767827624994</v>
      </c>
      <c r="M163" s="26">
        <f>_xlfn.CONCAT("'",$B163,"'","!","$C$3:$K$23")</f>
      </c>
      <c r="N163" s="26">
        <f>_xlfn.CONCAT("'",$B163,"'","!","$B$3:$B$22")</f>
      </c>
      <c r="O163" s="26">
        <f>_xlfn.CONCAT("'",$B163,"'","!","$C$2:$K$2")</f>
      </c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x14ac:dyDescent="0.25" r="164" customHeight="1" ht="17.25">
      <c r="A164" s="10">
        <v>11</v>
      </c>
      <c r="B164" s="10">
        <v>2023</v>
      </c>
      <c r="C164" s="2" t="s">
        <v>36</v>
      </c>
      <c r="D164" s="34">
        <v>59</v>
      </c>
      <c r="E164" s="1" t="s">
        <v>16</v>
      </c>
      <c r="F164" s="35">
        <v>23.156375280000002</v>
      </c>
      <c r="G164" s="34">
        <v>13</v>
      </c>
      <c r="H164" s="1" t="s">
        <v>16</v>
      </c>
      <c r="I164" s="35">
        <v>5.469830578125</v>
      </c>
      <c r="J164" s="34">
        <v>89</v>
      </c>
      <c r="K164" s="35">
        <v>29.98623604999999</v>
      </c>
      <c r="L164" s="35">
        <v>58.61244190812499</v>
      </c>
      <c r="M164" s="26">
        <f>_xlfn.CONCAT("'",$B164,"'","!","$C$3:$K$23")</f>
      </c>
      <c r="N164" s="26">
        <f>_xlfn.CONCAT("'",$B164,"'","!","$B$3:$B$22")</f>
      </c>
      <c r="O164" s="26">
        <f>_xlfn.CONCAT("'",$B164,"'","!","$C$2:$K$2")</f>
      </c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x14ac:dyDescent="0.25" r="165" customHeight="1" ht="17.25">
      <c r="A165" s="10">
        <v>12</v>
      </c>
      <c r="B165" s="10">
        <v>2023</v>
      </c>
      <c r="C165" s="2" t="s">
        <v>38</v>
      </c>
      <c r="D165" s="34">
        <v>8</v>
      </c>
      <c r="E165" s="1" t="s">
        <v>16</v>
      </c>
      <c r="F165" s="35">
        <v>43.870513</v>
      </c>
      <c r="G165" s="34">
        <v>2</v>
      </c>
      <c r="H165" s="1" t="s">
        <v>16</v>
      </c>
      <c r="I165" s="35">
        <v>0.195</v>
      </c>
      <c r="J165" s="34">
        <v>15</v>
      </c>
      <c r="K165" s="35">
        <v>1.5176263700000001</v>
      </c>
      <c r="L165" s="35">
        <v>45.583139370000005</v>
      </c>
      <c r="M165" s="26">
        <f>_xlfn.CONCAT("'",$B165,"'","!","$C$3:$K$23")</f>
      </c>
      <c r="N165" s="26">
        <f>_xlfn.CONCAT("'",$B165,"'","!","$B$3:$B$22")</f>
      </c>
      <c r="O165" s="26">
        <f>_xlfn.CONCAT("'",$B165,"'","!","$C$2:$K$2")</f>
      </c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x14ac:dyDescent="0.25" r="166" customHeight="1" ht="17.25">
      <c r="A166" s="10">
        <v>13</v>
      </c>
      <c r="B166" s="10">
        <v>2023</v>
      </c>
      <c r="C166" s="2" t="s">
        <v>40</v>
      </c>
      <c r="D166" s="34">
        <v>69</v>
      </c>
      <c r="E166" s="1" t="s">
        <v>16</v>
      </c>
      <c r="F166" s="35">
        <v>13.18250683</v>
      </c>
      <c r="G166" s="34">
        <v>10</v>
      </c>
      <c r="H166" s="1" t="s">
        <v>16</v>
      </c>
      <c r="I166" s="35">
        <v>18.76443365625</v>
      </c>
      <c r="J166" s="34">
        <v>32</v>
      </c>
      <c r="K166" s="35">
        <v>15.563057580000002</v>
      </c>
      <c r="L166" s="35">
        <v>47.509998066250006</v>
      </c>
      <c r="M166" s="26">
        <f>_xlfn.CONCAT("'",$B166,"'","!","$C$3:$K$23")</f>
      </c>
      <c r="N166" s="26">
        <f>_xlfn.CONCAT("'",$B166,"'","!","$B$3:$B$22")</f>
      </c>
      <c r="O166" s="26">
        <f>_xlfn.CONCAT("'",$B166,"'","!","$C$2:$K$2")</f>
      </c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x14ac:dyDescent="0.25" r="167" customHeight="1" ht="17.25">
      <c r="A167" s="10">
        <v>14</v>
      </c>
      <c r="B167" s="10">
        <v>2023</v>
      </c>
      <c r="C167" s="2" t="s">
        <v>42</v>
      </c>
      <c r="D167" s="34">
        <v>3</v>
      </c>
      <c r="E167" s="1" t="s">
        <v>16</v>
      </c>
      <c r="F167" s="35">
        <v>115.750417</v>
      </c>
      <c r="G167" s="34">
        <v>0</v>
      </c>
      <c r="H167" s="1" t="s">
        <v>16</v>
      </c>
      <c r="I167" s="34">
        <v>0</v>
      </c>
      <c r="J167" s="34">
        <v>3</v>
      </c>
      <c r="K167" s="35">
        <v>0.42789475</v>
      </c>
      <c r="L167" s="35">
        <v>116.17831174999999</v>
      </c>
      <c r="M167" s="26">
        <f>_xlfn.CONCAT("'",$B167,"'","!","$C$3:$K$23")</f>
      </c>
      <c r="N167" s="26">
        <f>_xlfn.CONCAT("'",$B167,"'","!","$B$3:$B$22")</f>
      </c>
      <c r="O167" s="26">
        <f>_xlfn.CONCAT("'",$B167,"'","!","$C$2:$K$2")</f>
      </c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x14ac:dyDescent="0.25" r="168" customHeight="1" ht="17.25">
      <c r="A168" s="10">
        <v>15</v>
      </c>
      <c r="B168" s="10">
        <v>2023</v>
      </c>
      <c r="C168" s="2" t="s">
        <v>44</v>
      </c>
      <c r="D168" s="34">
        <v>4</v>
      </c>
      <c r="E168" s="1" t="s">
        <v>16</v>
      </c>
      <c r="F168" s="35">
        <v>7.05</v>
      </c>
      <c r="G168" s="34">
        <v>6</v>
      </c>
      <c r="H168" s="1" t="s">
        <v>16</v>
      </c>
      <c r="I168" s="35">
        <v>8.047007</v>
      </c>
      <c r="J168" s="34">
        <v>11</v>
      </c>
      <c r="K168" s="35">
        <v>347.29642608</v>
      </c>
      <c r="L168" s="35">
        <v>362.39343308</v>
      </c>
      <c r="M168" s="26">
        <f>_xlfn.CONCAT("'",$B168,"'","!","$C$3:$K$23")</f>
      </c>
      <c r="N168" s="26">
        <f>_xlfn.CONCAT("'",$B168,"'","!","$B$3:$B$22")</f>
      </c>
      <c r="O168" s="26">
        <f>_xlfn.CONCAT("'",$B168,"'","!","$C$2:$K$2")</f>
      </c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x14ac:dyDescent="0.25" r="169" customHeight="1" ht="17.25">
      <c r="A169" s="10">
        <v>16</v>
      </c>
      <c r="B169" s="10">
        <v>2023</v>
      </c>
      <c r="C169" s="2" t="s">
        <v>46</v>
      </c>
      <c r="D169" s="34">
        <v>0</v>
      </c>
      <c r="E169" s="1" t="s">
        <v>16</v>
      </c>
      <c r="F169" s="34">
        <v>0</v>
      </c>
      <c r="G169" s="34">
        <v>0</v>
      </c>
      <c r="H169" s="1" t="s">
        <v>16</v>
      </c>
      <c r="I169" s="34">
        <v>0</v>
      </c>
      <c r="J169" s="34">
        <v>3</v>
      </c>
      <c r="K169" s="35">
        <v>1.02872326</v>
      </c>
      <c r="L169" s="35">
        <v>1.02872326</v>
      </c>
      <c r="M169" s="26">
        <f>_xlfn.CONCAT("'",$B169,"'","!","$C$3:$K$23")</f>
      </c>
      <c r="N169" s="26">
        <f>_xlfn.CONCAT("'",$B169,"'","!","$B$3:$B$22")</f>
      </c>
      <c r="O169" s="26">
        <f>_xlfn.CONCAT("'",$B169,"'","!","$C$2:$K$2")</f>
      </c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x14ac:dyDescent="0.25" r="170" customHeight="1" ht="17.25">
      <c r="A170" s="10">
        <v>17</v>
      </c>
      <c r="B170" s="10">
        <v>2023</v>
      </c>
      <c r="C170" s="2" t="s">
        <v>48</v>
      </c>
      <c r="D170" s="34">
        <v>5</v>
      </c>
      <c r="E170" s="1" t="s">
        <v>16</v>
      </c>
      <c r="F170" s="35">
        <v>7.38571067</v>
      </c>
      <c r="G170" s="34">
        <v>0</v>
      </c>
      <c r="H170" s="1" t="s">
        <v>16</v>
      </c>
      <c r="I170" s="34">
        <v>0</v>
      </c>
      <c r="J170" s="34">
        <v>10</v>
      </c>
      <c r="K170" s="35">
        <v>6.2367835</v>
      </c>
      <c r="L170" s="35">
        <v>13.62249417</v>
      </c>
      <c r="M170" s="26">
        <f>_xlfn.CONCAT("'",$B170,"'","!","$C$3:$K$23")</f>
      </c>
      <c r="N170" s="26">
        <f>_xlfn.CONCAT("'",$B170,"'","!","$B$3:$B$22")</f>
      </c>
      <c r="O170" s="26">
        <f>_xlfn.CONCAT("'",$B170,"'","!","$C$2:$K$2")</f>
      </c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x14ac:dyDescent="0.25" r="171" customHeight="1" ht="17.25">
      <c r="A171" s="10">
        <v>18</v>
      </c>
      <c r="B171" s="10">
        <v>2023</v>
      </c>
      <c r="C171" s="2" t="s">
        <v>50</v>
      </c>
      <c r="D171" s="34">
        <v>11</v>
      </c>
      <c r="E171" s="1" t="s">
        <v>16</v>
      </c>
      <c r="F171" s="35">
        <v>7.579575</v>
      </c>
      <c r="G171" s="34">
        <v>0</v>
      </c>
      <c r="H171" s="1" t="s">
        <v>16</v>
      </c>
      <c r="I171" s="34">
        <v>0</v>
      </c>
      <c r="J171" s="34">
        <v>22</v>
      </c>
      <c r="K171" s="35">
        <v>1548.30815325</v>
      </c>
      <c r="L171" s="35">
        <v>1555.88772825</v>
      </c>
      <c r="M171" s="26">
        <f>_xlfn.CONCAT("'",$B171,"'","!","$C$3:$K$23")</f>
      </c>
      <c r="N171" s="26">
        <f>_xlfn.CONCAT("'",$B171,"'","!","$B$3:$B$22")</f>
      </c>
      <c r="O171" s="26">
        <f>_xlfn.CONCAT("'",$B171,"'","!","$C$2:$K$2")</f>
      </c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x14ac:dyDescent="0.25" r="172" customHeight="1" ht="17.25">
      <c r="A172" s="10">
        <v>19</v>
      </c>
      <c r="B172" s="10">
        <v>2023</v>
      </c>
      <c r="C172" s="2" t="s">
        <v>52</v>
      </c>
      <c r="D172" s="36" t="s">
        <v>16</v>
      </c>
      <c r="E172" s="1" t="s">
        <v>16</v>
      </c>
      <c r="F172" s="37" t="s">
        <v>16</v>
      </c>
      <c r="G172" s="36" t="s">
        <v>16</v>
      </c>
      <c r="H172" s="1" t="s">
        <v>16</v>
      </c>
      <c r="I172" s="37" t="s">
        <v>16</v>
      </c>
      <c r="J172" s="36" t="s">
        <v>16</v>
      </c>
      <c r="K172" s="37" t="s">
        <v>16</v>
      </c>
      <c r="L172" s="37" t="s">
        <v>16</v>
      </c>
      <c r="M172" s="26">
        <f>_xlfn.CONCAT("'",$B172,"'","!","$C$3:$K$23")</f>
      </c>
      <c r="N172" s="26">
        <f>_xlfn.CONCAT("'",$B172,"'","!","$B$3:$B$22")</f>
      </c>
      <c r="O172" s="26">
        <f>_xlfn.CONCAT("'",$B172,"'","!","$C$2:$K$2")</f>
      </c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x14ac:dyDescent="0.25" r="173" customHeight="1" ht="17.25">
      <c r="A173" s="10">
        <v>1</v>
      </c>
      <c r="B173" s="10">
        <v>2024</v>
      </c>
      <c r="C173" s="2" t="s">
        <v>15</v>
      </c>
      <c r="D173" s="34">
        <v>541</v>
      </c>
      <c r="E173" s="1" t="s">
        <v>16</v>
      </c>
      <c r="F173" s="35">
        <v>6826.00565272</v>
      </c>
      <c r="G173" s="34">
        <v>390</v>
      </c>
      <c r="H173" s="1" t="s">
        <v>16</v>
      </c>
      <c r="I173" s="35">
        <v>3539.99417840625</v>
      </c>
      <c r="J173" s="34">
        <v>190</v>
      </c>
      <c r="K173" s="35">
        <v>323.14804267999995</v>
      </c>
      <c r="L173" s="35">
        <v>10689.14787380625</v>
      </c>
      <c r="M173" s="26">
        <f>_xlfn.CONCAT("'",$B173,"'","!","$C$3:$K$23")</f>
      </c>
      <c r="N173" s="26">
        <f>_xlfn.CONCAT("'",$B173,"'","!","$B$3:$B$22")</f>
      </c>
      <c r="O173" s="26">
        <f>_xlfn.CONCAT("'",$B173,"'","!","$C$2:$K$2")</f>
      </c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x14ac:dyDescent="0.25" r="174" customHeight="1" ht="17.25">
      <c r="A174" s="10">
        <v>2</v>
      </c>
      <c r="B174" s="10">
        <v>2024</v>
      </c>
      <c r="C174" s="2" t="s">
        <v>18</v>
      </c>
      <c r="D174" s="34">
        <v>2</v>
      </c>
      <c r="E174" s="1" t="s">
        <v>16</v>
      </c>
      <c r="F174" s="35">
        <v>118.00064751000001</v>
      </c>
      <c r="G174" s="34">
        <v>0</v>
      </c>
      <c r="H174" s="1" t="s">
        <v>16</v>
      </c>
      <c r="I174" s="34">
        <v>0</v>
      </c>
      <c r="J174" s="34">
        <v>5</v>
      </c>
      <c r="K174" s="35">
        <v>30.778100379869564</v>
      </c>
      <c r="L174" s="35">
        <v>148.77874788986958</v>
      </c>
      <c r="M174" s="26">
        <f>_xlfn.CONCAT("'",$B174,"'","!","$C$3:$K$23")</f>
      </c>
      <c r="N174" s="26">
        <f>_xlfn.CONCAT("'",$B174,"'","!","$B$3:$B$22")</f>
      </c>
      <c r="O174" s="26">
        <f>_xlfn.CONCAT("'",$B174,"'","!","$C$2:$K$2")</f>
      </c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x14ac:dyDescent="0.25" r="175" customHeight="1" ht="17.25">
      <c r="A175" s="10">
        <v>3</v>
      </c>
      <c r="B175" s="10">
        <v>2024</v>
      </c>
      <c r="C175" s="2" t="s">
        <v>20</v>
      </c>
      <c r="D175" s="34">
        <v>37</v>
      </c>
      <c r="E175" s="1" t="s">
        <v>16</v>
      </c>
      <c r="F175" s="35">
        <v>1893.10590241</v>
      </c>
      <c r="G175" s="34">
        <v>20</v>
      </c>
      <c r="H175" s="1" t="s">
        <v>16</v>
      </c>
      <c r="I175" s="35">
        <v>98.135739</v>
      </c>
      <c r="J175" s="34">
        <v>31</v>
      </c>
      <c r="K175" s="35">
        <v>480.29133308999997</v>
      </c>
      <c r="L175" s="35">
        <v>2471.5329745</v>
      </c>
      <c r="M175" s="26">
        <f>_xlfn.CONCAT("'",$B175,"'","!","$C$3:$K$23")</f>
      </c>
      <c r="N175" s="26">
        <f>_xlfn.CONCAT("'",$B175,"'","!","$B$3:$B$22")</f>
      </c>
      <c r="O175" s="26">
        <f>_xlfn.CONCAT("'",$B175,"'","!","$C$2:$K$2")</f>
      </c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x14ac:dyDescent="0.25" r="176" customHeight="1" ht="17.25">
      <c r="A176" s="10">
        <v>4</v>
      </c>
      <c r="B176" s="10">
        <v>2024</v>
      </c>
      <c r="C176" s="2" t="s">
        <v>22</v>
      </c>
      <c r="D176" s="34">
        <v>25</v>
      </c>
      <c r="E176" s="1" t="s">
        <v>16</v>
      </c>
      <c r="F176" s="35">
        <v>10.181926</v>
      </c>
      <c r="G176" s="34">
        <v>17</v>
      </c>
      <c r="H176" s="1" t="s">
        <v>16</v>
      </c>
      <c r="I176" s="35">
        <v>16.666286171875</v>
      </c>
      <c r="J176" s="34">
        <v>32</v>
      </c>
      <c r="K176" s="35">
        <v>16.64878243</v>
      </c>
      <c r="L176" s="35">
        <v>43.496994601875</v>
      </c>
      <c r="M176" s="26">
        <f>_xlfn.CONCAT("'",$B176,"'","!","$C$3:$K$23")</f>
      </c>
      <c r="N176" s="26">
        <f>_xlfn.CONCAT("'",$B176,"'","!","$B$3:$B$22")</f>
      </c>
      <c r="O176" s="26">
        <f>_xlfn.CONCAT("'",$B176,"'","!","$C$2:$K$2")</f>
      </c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x14ac:dyDescent="0.25" r="177" customHeight="1" ht="17.25">
      <c r="A177" s="10">
        <v>5</v>
      </c>
      <c r="B177" s="10">
        <v>2024</v>
      </c>
      <c r="C177" s="2" t="s">
        <v>24</v>
      </c>
      <c r="D177" s="34">
        <v>539</v>
      </c>
      <c r="E177" s="1" t="s">
        <v>16</v>
      </c>
      <c r="F177" s="35">
        <v>375.3376435100001</v>
      </c>
      <c r="G177" s="34">
        <v>71</v>
      </c>
      <c r="H177" s="1" t="s">
        <v>16</v>
      </c>
      <c r="I177" s="35">
        <v>67.91844071875</v>
      </c>
      <c r="J177" s="34">
        <v>617</v>
      </c>
      <c r="K177" s="35">
        <v>170.32377357000001</v>
      </c>
      <c r="L177" s="35">
        <v>613.57985779875</v>
      </c>
      <c r="M177" s="26">
        <f>_xlfn.CONCAT("'",$B177,"'","!","$C$3:$K$23")</f>
      </c>
      <c r="N177" s="26">
        <f>_xlfn.CONCAT("'",$B177,"'","!","$B$3:$B$22")</f>
      </c>
      <c r="O177" s="26">
        <f>_xlfn.CONCAT("'",$B177,"'","!","$C$2:$K$2")</f>
      </c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x14ac:dyDescent="0.25" r="178" customHeight="1" ht="17.25">
      <c r="A178" s="10">
        <v>6</v>
      </c>
      <c r="B178" s="10">
        <v>2024</v>
      </c>
      <c r="C178" s="2" t="s">
        <v>26</v>
      </c>
      <c r="D178" s="34">
        <v>4</v>
      </c>
      <c r="E178" s="1" t="s">
        <v>16</v>
      </c>
      <c r="F178" s="35">
        <v>18.07375639</v>
      </c>
      <c r="G178" s="34">
        <v>3</v>
      </c>
      <c r="H178" s="1" t="s">
        <v>16</v>
      </c>
      <c r="I178" s="35">
        <v>33.994564</v>
      </c>
      <c r="J178" s="34">
        <v>6</v>
      </c>
      <c r="K178" s="35">
        <v>2.30824207</v>
      </c>
      <c r="L178" s="35">
        <v>54.376562459999995</v>
      </c>
      <c r="M178" s="26">
        <f>_xlfn.CONCAT("'",$B178,"'","!","$C$3:$K$23")</f>
      </c>
      <c r="N178" s="26">
        <f>_xlfn.CONCAT("'",$B178,"'","!","$B$3:$B$22")</f>
      </c>
      <c r="O178" s="26">
        <f>_xlfn.CONCAT("'",$B178,"'","!","$C$2:$K$2")</f>
      </c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x14ac:dyDescent="0.25" r="179" customHeight="1" ht="17.25">
      <c r="A179" s="10">
        <v>7</v>
      </c>
      <c r="B179" s="10">
        <v>2024</v>
      </c>
      <c r="C179" s="2" t="s">
        <v>28</v>
      </c>
      <c r="D179" s="34">
        <v>161</v>
      </c>
      <c r="E179" s="1" t="s">
        <v>16</v>
      </c>
      <c r="F179" s="35">
        <v>52.61286934</v>
      </c>
      <c r="G179" s="34">
        <v>31</v>
      </c>
      <c r="H179" s="1" t="s">
        <v>16</v>
      </c>
      <c r="I179" s="35">
        <v>75.10086652062499</v>
      </c>
      <c r="J179" s="34">
        <v>220</v>
      </c>
      <c r="K179" s="35">
        <v>324.69714139000007</v>
      </c>
      <c r="L179" s="35">
        <v>452.41087725062505</v>
      </c>
      <c r="M179" s="26">
        <f>_xlfn.CONCAT("'",$B179,"'","!","$C$3:$K$23")</f>
      </c>
      <c r="N179" s="26">
        <f>_xlfn.CONCAT("'",$B179,"'","!","$B$3:$B$22")</f>
      </c>
      <c r="O179" s="26">
        <f>_xlfn.CONCAT("'",$B179,"'","!","$C$2:$K$2")</f>
      </c>
      <c r="P179" s="2"/>
      <c r="Q179" s="2"/>
      <c r="R179" s="2"/>
      <c r="S179" s="2"/>
      <c r="T179" s="2"/>
      <c r="U179" s="2"/>
      <c r="V179" s="2"/>
      <c r="W179" s="2"/>
      <c r="X179" s="2"/>
      <c r="Y179" s="2"/>
    </row>
    <row x14ac:dyDescent="0.25" r="180" customHeight="1" ht="17.25">
      <c r="A180" s="10">
        <v>8</v>
      </c>
      <c r="B180" s="10">
        <v>2024</v>
      </c>
      <c r="C180" s="2" t="s">
        <v>30</v>
      </c>
      <c r="D180" s="34">
        <v>42</v>
      </c>
      <c r="E180" s="1" t="s">
        <v>16</v>
      </c>
      <c r="F180" s="35">
        <v>161.983947</v>
      </c>
      <c r="G180" s="34">
        <v>5</v>
      </c>
      <c r="H180" s="1" t="s">
        <v>16</v>
      </c>
      <c r="I180" s="35">
        <v>16.872689</v>
      </c>
      <c r="J180" s="34">
        <v>59</v>
      </c>
      <c r="K180" s="35">
        <v>203.61474425999998</v>
      </c>
      <c r="L180" s="35">
        <v>382.47138026</v>
      </c>
      <c r="M180" s="26">
        <f>_xlfn.CONCAT("'",$B180,"'","!","$C$3:$K$23")</f>
      </c>
      <c r="N180" s="26">
        <f>_xlfn.CONCAT("'",$B180,"'","!","$B$3:$B$22")</f>
      </c>
      <c r="O180" s="26">
        <f>_xlfn.CONCAT("'",$B180,"'","!","$C$2:$K$2")</f>
      </c>
      <c r="P180" s="2"/>
      <c r="Q180" s="2"/>
      <c r="R180" s="2"/>
      <c r="S180" s="2"/>
      <c r="T180" s="2"/>
      <c r="U180" s="2"/>
      <c r="V180" s="2"/>
      <c r="W180" s="2"/>
      <c r="X180" s="2"/>
      <c r="Y180" s="2"/>
    </row>
    <row x14ac:dyDescent="0.25" r="181" customHeight="1" ht="17.25">
      <c r="A181" s="10">
        <v>9</v>
      </c>
      <c r="B181" s="10">
        <v>2024</v>
      </c>
      <c r="C181" s="2" t="s">
        <v>32</v>
      </c>
      <c r="D181" s="34">
        <v>18</v>
      </c>
      <c r="E181" s="1" t="s">
        <v>16</v>
      </c>
      <c r="F181" s="35">
        <v>16.602468</v>
      </c>
      <c r="G181" s="34">
        <v>10</v>
      </c>
      <c r="H181" s="1" t="s">
        <v>16</v>
      </c>
      <c r="I181" s="35">
        <v>15.892573689941406</v>
      </c>
      <c r="J181" s="34">
        <v>76</v>
      </c>
      <c r="K181" s="35">
        <v>24.12975467</v>
      </c>
      <c r="L181" s="35">
        <v>56.6247963599414</v>
      </c>
      <c r="M181" s="26">
        <f>_xlfn.CONCAT("'",$B181,"'","!","$C$3:$K$23")</f>
      </c>
      <c r="N181" s="26">
        <f>_xlfn.CONCAT("'",$B181,"'","!","$B$3:$B$22")</f>
      </c>
      <c r="O181" s="26">
        <f>_xlfn.CONCAT("'",$B181,"'","!","$C$2:$K$2")</f>
      </c>
      <c r="P181" s="2"/>
      <c r="Q181" s="2"/>
      <c r="R181" s="2"/>
      <c r="S181" s="2"/>
      <c r="T181" s="2"/>
      <c r="U181" s="2"/>
      <c r="V181" s="2"/>
      <c r="W181" s="2"/>
      <c r="X181" s="2"/>
      <c r="Y181" s="2"/>
    </row>
    <row x14ac:dyDescent="0.25" r="182" customHeight="1" ht="17.25">
      <c r="A182" s="10">
        <v>10</v>
      </c>
      <c r="B182" s="10">
        <v>2024</v>
      </c>
      <c r="C182" s="2" t="s">
        <v>34</v>
      </c>
      <c r="D182" s="34">
        <v>106</v>
      </c>
      <c r="E182" s="1" t="s">
        <v>16</v>
      </c>
      <c r="F182" s="35">
        <v>21.54454192</v>
      </c>
      <c r="G182" s="34">
        <v>24</v>
      </c>
      <c r="H182" s="1" t="s">
        <v>16</v>
      </c>
      <c r="I182" s="35">
        <v>28.031444125</v>
      </c>
      <c r="J182" s="34">
        <v>113</v>
      </c>
      <c r="K182" s="35">
        <v>23.065518329999996</v>
      </c>
      <c r="L182" s="35">
        <v>72.641504375</v>
      </c>
      <c r="M182" s="26">
        <f>_xlfn.CONCAT("'",$B182,"'","!","$C$3:$K$23")</f>
      </c>
      <c r="N182" s="26">
        <f>_xlfn.CONCAT("'",$B182,"'","!","$B$3:$B$22")</f>
      </c>
      <c r="O182" s="26">
        <f>_xlfn.CONCAT("'",$B182,"'","!","$C$2:$K$2")</f>
      </c>
      <c r="P182" s="2"/>
      <c r="Q182" s="2"/>
      <c r="R182" s="2"/>
      <c r="S182" s="2"/>
      <c r="T182" s="2"/>
      <c r="U182" s="2"/>
      <c r="V182" s="2"/>
      <c r="W182" s="2"/>
      <c r="X182" s="2"/>
      <c r="Y182" s="2"/>
    </row>
    <row x14ac:dyDescent="0.25" r="183" customHeight="1" ht="17.25">
      <c r="A183" s="10">
        <v>11</v>
      </c>
      <c r="B183" s="10">
        <v>2024</v>
      </c>
      <c r="C183" s="2" t="s">
        <v>36</v>
      </c>
      <c r="D183" s="34">
        <v>35</v>
      </c>
      <c r="E183" s="1" t="s">
        <v>16</v>
      </c>
      <c r="F183" s="35">
        <v>16.934717329999998</v>
      </c>
      <c r="G183" s="34">
        <v>9</v>
      </c>
      <c r="H183" s="1" t="s">
        <v>16</v>
      </c>
      <c r="I183" s="35">
        <v>2.847406</v>
      </c>
      <c r="J183" s="34">
        <v>29</v>
      </c>
      <c r="K183" s="35">
        <v>42.37566248</v>
      </c>
      <c r="L183" s="35">
        <v>62.15778581</v>
      </c>
      <c r="M183" s="26">
        <f>_xlfn.CONCAT("'",$B183,"'","!","$C$3:$K$23")</f>
      </c>
      <c r="N183" s="26">
        <f>_xlfn.CONCAT("'",$B183,"'","!","$B$3:$B$22")</f>
      </c>
      <c r="O183" s="26">
        <f>_xlfn.CONCAT("'",$B183,"'","!","$C$2:$K$2")</f>
      </c>
      <c r="P183" s="2"/>
      <c r="Q183" s="2"/>
      <c r="R183" s="2"/>
      <c r="S183" s="2"/>
      <c r="T183" s="2"/>
      <c r="U183" s="2"/>
      <c r="V183" s="2"/>
      <c r="W183" s="2"/>
      <c r="X183" s="2"/>
      <c r="Y183" s="2"/>
    </row>
    <row x14ac:dyDescent="0.25" r="184" customHeight="1" ht="17.25">
      <c r="A184" s="10">
        <v>12</v>
      </c>
      <c r="B184" s="10">
        <v>2024</v>
      </c>
      <c r="C184" s="2" t="s">
        <v>38</v>
      </c>
      <c r="D184" s="34">
        <v>2</v>
      </c>
      <c r="E184" s="1" t="s">
        <v>16</v>
      </c>
      <c r="F184" s="35">
        <v>0.275</v>
      </c>
      <c r="G184" s="34">
        <v>2</v>
      </c>
      <c r="H184" s="1" t="s">
        <v>16</v>
      </c>
      <c r="I184" s="34">
        <v>160</v>
      </c>
      <c r="J184" s="34">
        <v>6</v>
      </c>
      <c r="K184" s="35">
        <v>0.53486009</v>
      </c>
      <c r="L184" s="35">
        <v>160.80986009</v>
      </c>
      <c r="M184" s="26">
        <f>_xlfn.CONCAT("'",$B184,"'","!","$C$3:$K$23")</f>
      </c>
      <c r="N184" s="26">
        <f>_xlfn.CONCAT("'",$B184,"'","!","$B$3:$B$22")</f>
      </c>
      <c r="O184" s="26">
        <f>_xlfn.CONCAT("'",$B184,"'","!","$C$2:$K$2")</f>
      </c>
      <c r="P184" s="2"/>
      <c r="Q184" s="2"/>
      <c r="R184" s="2"/>
      <c r="S184" s="2"/>
      <c r="T184" s="2"/>
      <c r="U184" s="2"/>
      <c r="V184" s="2"/>
      <c r="W184" s="2"/>
      <c r="X184" s="2"/>
      <c r="Y184" s="2"/>
    </row>
    <row x14ac:dyDescent="0.25" r="185" customHeight="1" ht="17.25">
      <c r="A185" s="10">
        <v>13</v>
      </c>
      <c r="B185" s="10">
        <v>2024</v>
      </c>
      <c r="C185" s="2" t="s">
        <v>40</v>
      </c>
      <c r="D185" s="34">
        <v>19</v>
      </c>
      <c r="E185" s="1" t="s">
        <v>16</v>
      </c>
      <c r="F185" s="35">
        <v>18.3862329</v>
      </c>
      <c r="G185" s="34">
        <v>4</v>
      </c>
      <c r="H185" s="1" t="s">
        <v>16</v>
      </c>
      <c r="I185" s="35">
        <v>2.9141695</v>
      </c>
      <c r="J185" s="34">
        <v>15</v>
      </c>
      <c r="K185" s="35">
        <v>2.290695599999999</v>
      </c>
      <c r="L185" s="35">
        <v>23.591098</v>
      </c>
      <c r="M185" s="26">
        <f>_xlfn.CONCAT("'",$B185,"'","!","$C$3:$K$23")</f>
      </c>
      <c r="N185" s="26">
        <f>_xlfn.CONCAT("'",$B185,"'","!","$B$3:$B$22")</f>
      </c>
      <c r="O185" s="26">
        <f>_xlfn.CONCAT("'",$B185,"'","!","$C$2:$K$2")</f>
      </c>
      <c r="P185" s="2"/>
      <c r="Q185" s="2"/>
      <c r="R185" s="2"/>
      <c r="S185" s="2"/>
      <c r="T185" s="2"/>
      <c r="U185" s="2"/>
      <c r="V185" s="2"/>
      <c r="W185" s="2"/>
      <c r="X185" s="2"/>
      <c r="Y185" s="2"/>
    </row>
    <row x14ac:dyDescent="0.25" r="186" customHeight="1" ht="17.25">
      <c r="A186" s="10">
        <v>14</v>
      </c>
      <c r="B186" s="10">
        <v>2024</v>
      </c>
      <c r="C186" s="2" t="s">
        <v>42</v>
      </c>
      <c r="D186" s="34">
        <v>1</v>
      </c>
      <c r="E186" s="1" t="s">
        <v>16</v>
      </c>
      <c r="F186" s="35">
        <v>0.024679</v>
      </c>
      <c r="G186" s="34">
        <v>2</v>
      </c>
      <c r="H186" s="1" t="s">
        <v>16</v>
      </c>
      <c r="I186" s="35">
        <v>-109.061249</v>
      </c>
      <c r="J186" s="34">
        <v>1</v>
      </c>
      <c r="K186" s="35">
        <v>2.5</v>
      </c>
      <c r="L186" s="35">
        <v>-106.53657</v>
      </c>
      <c r="M186" s="26">
        <f>_xlfn.CONCAT("'",$B186,"'","!","$C$3:$K$23")</f>
      </c>
      <c r="N186" s="26">
        <f>_xlfn.CONCAT("'",$B186,"'","!","$B$3:$B$22")</f>
      </c>
      <c r="O186" s="26">
        <f>_xlfn.CONCAT("'",$B186,"'","!","$C$2:$K$2")</f>
      </c>
      <c r="P186" s="2"/>
      <c r="Q186" s="2"/>
      <c r="R186" s="2"/>
      <c r="S186" s="2"/>
      <c r="T186" s="2"/>
      <c r="U186" s="2"/>
      <c r="V186" s="2"/>
      <c r="W186" s="2"/>
      <c r="X186" s="2"/>
      <c r="Y186" s="2"/>
    </row>
    <row x14ac:dyDescent="0.25" r="187" customHeight="1" ht="17.25">
      <c r="A187" s="10">
        <v>15</v>
      </c>
      <c r="B187" s="10">
        <v>2024</v>
      </c>
      <c r="C187" s="2" t="s">
        <v>44</v>
      </c>
      <c r="D187" s="34">
        <v>0</v>
      </c>
      <c r="E187" s="1" t="s">
        <v>16</v>
      </c>
      <c r="F187" s="34">
        <v>0</v>
      </c>
      <c r="G187" s="34">
        <v>2</v>
      </c>
      <c r="H187" s="1" t="s">
        <v>16</v>
      </c>
      <c r="I187" s="35">
        <v>0.758621</v>
      </c>
      <c r="J187" s="34">
        <v>8</v>
      </c>
      <c r="K187" s="35">
        <v>18.310070900000003</v>
      </c>
      <c r="L187" s="35">
        <v>19.068691900000005</v>
      </c>
      <c r="M187" s="26">
        <f>_xlfn.CONCAT("'",$B187,"'","!","$C$3:$K$23")</f>
      </c>
      <c r="N187" s="26">
        <f>_xlfn.CONCAT("'",$B187,"'","!","$B$3:$B$22")</f>
      </c>
      <c r="O187" s="26">
        <f>_xlfn.CONCAT("'",$B187,"'","!","$C$2:$K$2")</f>
      </c>
      <c r="P187" s="2"/>
      <c r="Q187" s="2"/>
      <c r="R187" s="2"/>
      <c r="S187" s="2"/>
      <c r="T187" s="2"/>
      <c r="U187" s="2"/>
      <c r="V187" s="2"/>
      <c r="W187" s="2"/>
      <c r="X187" s="2"/>
      <c r="Y187" s="2"/>
    </row>
    <row x14ac:dyDescent="0.25" r="188" customHeight="1" ht="17.25">
      <c r="A188" s="10">
        <v>16</v>
      </c>
      <c r="B188" s="10">
        <v>2024</v>
      </c>
      <c r="C188" s="2" t="s">
        <v>46</v>
      </c>
      <c r="D188" s="34">
        <v>0</v>
      </c>
      <c r="E188" s="1" t="s">
        <v>16</v>
      </c>
      <c r="F188" s="34">
        <v>0</v>
      </c>
      <c r="G188" s="34">
        <v>1</v>
      </c>
      <c r="H188" s="1" t="s">
        <v>16</v>
      </c>
      <c r="I188" s="35">
        <v>0.225</v>
      </c>
      <c r="J188" s="34">
        <v>1</v>
      </c>
      <c r="K188" s="35">
        <v>0.54999</v>
      </c>
      <c r="L188" s="35">
        <v>0.77499</v>
      </c>
      <c r="M188" s="26">
        <f>_xlfn.CONCAT("'",$B188,"'","!","$C$3:$K$23")</f>
      </c>
      <c r="N188" s="26">
        <f>_xlfn.CONCAT("'",$B188,"'","!","$B$3:$B$22")</f>
      </c>
      <c r="O188" s="26">
        <f>_xlfn.CONCAT("'",$B188,"'","!","$C$2:$K$2")</f>
      </c>
      <c r="P188" s="2"/>
      <c r="Q188" s="2"/>
      <c r="R188" s="2"/>
      <c r="S188" s="2"/>
      <c r="T188" s="2"/>
      <c r="U188" s="2"/>
      <c r="V188" s="2"/>
      <c r="W188" s="2"/>
      <c r="X188" s="2"/>
      <c r="Y188" s="2"/>
    </row>
    <row x14ac:dyDescent="0.25" r="189" customHeight="1" ht="17.25">
      <c r="A189" s="10">
        <v>17</v>
      </c>
      <c r="B189" s="10">
        <v>2024</v>
      </c>
      <c r="C189" s="2" t="s">
        <v>48</v>
      </c>
      <c r="D189" s="34">
        <v>3</v>
      </c>
      <c r="E189" s="1" t="s">
        <v>16</v>
      </c>
      <c r="F189" s="35">
        <v>5.697476119999999</v>
      </c>
      <c r="G189" s="34">
        <v>0</v>
      </c>
      <c r="H189" s="1" t="s">
        <v>16</v>
      </c>
      <c r="I189" s="34">
        <v>0</v>
      </c>
      <c r="J189" s="34">
        <v>3</v>
      </c>
      <c r="K189" s="35">
        <v>0.586163</v>
      </c>
      <c r="L189" s="35">
        <v>6.283639119999999</v>
      </c>
      <c r="M189" s="26">
        <f>_xlfn.CONCAT("'",$B189,"'","!","$C$3:$K$23")</f>
      </c>
      <c r="N189" s="26">
        <f>_xlfn.CONCAT("'",$B189,"'","!","$B$3:$B$22")</f>
      </c>
      <c r="O189" s="26">
        <f>_xlfn.CONCAT("'",$B189,"'","!","$C$2:$K$2")</f>
      </c>
      <c r="P189" s="2"/>
      <c r="Q189" s="2"/>
      <c r="R189" s="2"/>
      <c r="S189" s="2"/>
      <c r="T189" s="2"/>
      <c r="U189" s="2"/>
      <c r="V189" s="2"/>
      <c r="W189" s="2"/>
      <c r="X189" s="2"/>
      <c r="Y189" s="2"/>
    </row>
    <row x14ac:dyDescent="0.25" r="190" customHeight="1" ht="17.25">
      <c r="A190" s="10">
        <v>18</v>
      </c>
      <c r="B190" s="10">
        <v>2024</v>
      </c>
      <c r="C190" s="2" t="s">
        <v>50</v>
      </c>
      <c r="D190" s="34">
        <v>3</v>
      </c>
      <c r="E190" s="1" t="s">
        <v>16</v>
      </c>
      <c r="F190" s="35">
        <v>1.986645</v>
      </c>
      <c r="G190" s="34">
        <v>1</v>
      </c>
      <c r="H190" s="1" t="s">
        <v>16</v>
      </c>
      <c r="I190" s="35">
        <v>0.06</v>
      </c>
      <c r="J190" s="34">
        <v>8</v>
      </c>
      <c r="K190" s="35">
        <v>31.960474630000004</v>
      </c>
      <c r="L190" s="35">
        <v>34.007119630000005</v>
      </c>
      <c r="M190" s="26">
        <f>_xlfn.CONCAT("'",$B190,"'","!","$C$3:$K$23")</f>
      </c>
      <c r="N190" s="26">
        <f>_xlfn.CONCAT("'",$B190,"'","!","$B$3:$B$22")</f>
      </c>
      <c r="O190" s="26">
        <f>_xlfn.CONCAT("'",$B190,"'","!","$C$2:$K$2")</f>
      </c>
      <c r="P190" s="2"/>
      <c r="Q190" s="2"/>
      <c r="R190" s="2"/>
      <c r="S190" s="2"/>
      <c r="T190" s="2"/>
      <c r="U190" s="2"/>
      <c r="V190" s="2"/>
      <c r="W190" s="2"/>
      <c r="X190" s="2"/>
      <c r="Y190" s="2"/>
    </row>
    <row x14ac:dyDescent="0.25" r="191" customHeight="1" ht="17.25">
      <c r="A191" s="10">
        <v>19</v>
      </c>
      <c r="B191" s="10">
        <v>2024</v>
      </c>
      <c r="C191" s="2" t="s">
        <v>52</v>
      </c>
      <c r="D191" s="36" t="s">
        <v>16</v>
      </c>
      <c r="E191" s="1" t="s">
        <v>16</v>
      </c>
      <c r="F191" s="37" t="s">
        <v>16</v>
      </c>
      <c r="G191" s="36" t="s">
        <v>16</v>
      </c>
      <c r="H191" s="1" t="s">
        <v>16</v>
      </c>
      <c r="I191" s="37" t="s">
        <v>16</v>
      </c>
      <c r="J191" s="36" t="s">
        <v>16</v>
      </c>
      <c r="K191" s="37" t="s">
        <v>16</v>
      </c>
      <c r="L191" s="37" t="s">
        <v>16</v>
      </c>
      <c r="M191" s="26">
        <f>_xlfn.CONCAT("'",$B191,"'","!","$C$3:$K$23")</f>
      </c>
      <c r="N191" s="26">
        <f>_xlfn.CONCAT("'",$B191,"'","!","$B$3:$B$22")</f>
      </c>
      <c r="O191" s="26">
        <f>_xlfn.CONCAT("'",$B191,"'","!","$C$2:$K$2")</f>
      </c>
      <c r="P191" s="2"/>
      <c r="Q191" s="2"/>
      <c r="R191" s="2"/>
      <c r="S191" s="2"/>
      <c r="T191" s="2"/>
      <c r="U191" s="2"/>
      <c r="V191" s="2"/>
      <c r="W191" s="2"/>
      <c r="X191" s="2"/>
      <c r="Y191" s="2"/>
    </row>
    <row x14ac:dyDescent="0.25" r="192" customHeight="1" ht="17.25">
      <c r="A192" s="3"/>
      <c r="B192" s="3"/>
      <c r="C192" s="2"/>
      <c r="D192" s="3"/>
      <c r="E192" s="3"/>
      <c r="F192" s="4"/>
      <c r="G192" s="3"/>
      <c r="H192" s="3"/>
      <c r="I192" s="4"/>
      <c r="J192" s="3"/>
      <c r="K192" s="4"/>
      <c r="L192" s="4"/>
      <c r="M192" s="26">
        <f>_xlfn.CONCAT("'",$B192,"'","!","$C$3:$K$23")</f>
      </c>
      <c r="N192" s="26">
        <f>_xlfn.CONCAT("'",$B192,"'","!","$B$3:$B$22")</f>
      </c>
      <c r="O192" s="26">
        <f>_xlfn.CONCAT("'",$B192,"'","!","$C$2:$K$2")</f>
      </c>
      <c r="P192" s="2"/>
      <c r="Q192" s="2"/>
      <c r="R192" s="2"/>
      <c r="S192" s="2"/>
      <c r="T192" s="2"/>
      <c r="U192" s="2"/>
      <c r="V192" s="2"/>
      <c r="W192" s="2"/>
      <c r="X192" s="2"/>
      <c r="Y192" s="2"/>
    </row>
    <row x14ac:dyDescent="0.25" r="193" customHeight="1" ht="17.25">
      <c r="A193" s="3"/>
      <c r="B193" s="3"/>
      <c r="C193" s="2"/>
      <c r="D193" s="3"/>
      <c r="E193" s="3"/>
      <c r="F193" s="4"/>
      <c r="G193" s="3"/>
      <c r="H193" s="3"/>
      <c r="I193" s="4"/>
      <c r="J193" s="3"/>
      <c r="K193" s="4"/>
      <c r="L193" s="4"/>
      <c r="M193" s="26">
        <f>_xlfn.CONCAT("'",$B193,"'","!","$C$3:$K$23")</f>
      </c>
      <c r="N193" s="26">
        <f>_xlfn.CONCAT("'",$B193,"'","!","$B$3:$B$22")</f>
      </c>
      <c r="O193" s="26">
        <f>_xlfn.CONCAT("'",$B193,"'","!","$C$2:$K$2")</f>
      </c>
      <c r="P193" s="2"/>
      <c r="Q193" s="2"/>
      <c r="R193" s="2"/>
      <c r="S193" s="2"/>
      <c r="T193" s="2"/>
      <c r="U193" s="2"/>
      <c r="V193" s="2"/>
      <c r="W193" s="2"/>
      <c r="X193" s="2"/>
      <c r="Y193" s="2"/>
    </row>
    <row x14ac:dyDescent="0.25" r="194" customHeight="1" ht="17.25">
      <c r="A194" s="3"/>
      <c r="B194" s="3"/>
      <c r="C194" s="2"/>
      <c r="D194" s="3"/>
      <c r="E194" s="3"/>
      <c r="F194" s="4"/>
      <c r="G194" s="3"/>
      <c r="H194" s="3"/>
      <c r="I194" s="4"/>
      <c r="J194" s="3"/>
      <c r="K194" s="4"/>
      <c r="L194" s="4"/>
      <c r="M194" s="26">
        <f>_xlfn.CONCAT("'",$B194,"'","!","$C$3:$K$23")</f>
      </c>
      <c r="N194" s="26">
        <f>_xlfn.CONCAT("'",$B194,"'","!","$B$3:$B$22")</f>
      </c>
      <c r="O194" s="26">
        <f>_xlfn.CONCAT("'",$B194,"'","!","$C$2:$K$2")</f>
      </c>
      <c r="P194" s="2"/>
      <c r="Q194" s="2"/>
      <c r="R194" s="2"/>
      <c r="S194" s="2"/>
      <c r="T194" s="2"/>
      <c r="U194" s="2"/>
      <c r="V194" s="2"/>
      <c r="W194" s="2"/>
      <c r="X194" s="2"/>
      <c r="Y194" s="2"/>
    </row>
    <row x14ac:dyDescent="0.25" r="195" customHeight="1" ht="17.25">
      <c r="A195" s="3"/>
      <c r="B195" s="3"/>
      <c r="C195" s="2"/>
      <c r="D195" s="3"/>
      <c r="E195" s="3"/>
      <c r="F195" s="4"/>
      <c r="G195" s="3"/>
      <c r="H195" s="3"/>
      <c r="I195" s="4"/>
      <c r="J195" s="3"/>
      <c r="K195" s="4"/>
      <c r="L195" s="4"/>
      <c r="M195" s="26">
        <f>_xlfn.CONCAT("'",$B195,"'","!","$C$3:$K$23")</f>
      </c>
      <c r="N195" s="26">
        <f>_xlfn.CONCAT("'",$B195,"'","!","$B$3:$B$22")</f>
      </c>
      <c r="O195" s="26">
        <f>_xlfn.CONCAT("'",$B195,"'","!","$C$2:$K$2")</f>
      </c>
      <c r="P195" s="2"/>
      <c r="Q195" s="2"/>
      <c r="R195" s="2"/>
      <c r="S195" s="2"/>
      <c r="T195" s="2"/>
      <c r="U195" s="2"/>
      <c r="V195" s="2"/>
      <c r="W195" s="2"/>
      <c r="X195" s="2"/>
      <c r="Y195" s="2"/>
    </row>
    <row x14ac:dyDescent="0.25" r="196" customHeight="1" ht="17.25">
      <c r="A196" s="3"/>
      <c r="B196" s="3"/>
      <c r="C196" s="2"/>
      <c r="D196" s="3"/>
      <c r="E196" s="3"/>
      <c r="F196" s="4"/>
      <c r="G196" s="3"/>
      <c r="H196" s="3"/>
      <c r="I196" s="4"/>
      <c r="J196" s="3"/>
      <c r="K196" s="4"/>
      <c r="L196" s="4"/>
      <c r="M196" s="26">
        <f>_xlfn.CONCAT("'",$B196,"'","!","$C$3:$K$23")</f>
      </c>
      <c r="N196" s="26">
        <f>_xlfn.CONCAT("'",$B196,"'","!","$B$3:$B$22")</f>
      </c>
      <c r="O196" s="26">
        <f>_xlfn.CONCAT("'",$B196,"'","!","$C$2:$K$2")</f>
      </c>
      <c r="P196" s="2"/>
      <c r="Q196" s="2"/>
      <c r="R196" s="2"/>
      <c r="S196" s="2"/>
      <c r="T196" s="2"/>
      <c r="U196" s="2"/>
      <c r="V196" s="2"/>
      <c r="W196" s="2"/>
      <c r="X196" s="2"/>
      <c r="Y196" s="2"/>
    </row>
    <row x14ac:dyDescent="0.25" r="197" customHeight="1" ht="17.25">
      <c r="A197" s="3"/>
      <c r="B197" s="3"/>
      <c r="C197" s="2"/>
      <c r="D197" s="3"/>
      <c r="E197" s="3"/>
      <c r="F197" s="4"/>
      <c r="G197" s="3"/>
      <c r="H197" s="3"/>
      <c r="I197" s="4"/>
      <c r="J197" s="3"/>
      <c r="K197" s="4"/>
      <c r="L197" s="4"/>
      <c r="M197" s="26">
        <f>_xlfn.CONCAT("'",$B197,"'","!","$C$3:$K$23")</f>
      </c>
      <c r="N197" s="26">
        <f>_xlfn.CONCAT("'",$B197,"'","!","$B$3:$B$22")</f>
      </c>
      <c r="O197" s="26">
        <f>_xlfn.CONCAT("'",$B197,"'","!","$C$2:$K$2")</f>
      </c>
      <c r="P197" s="2"/>
      <c r="Q197" s="2"/>
      <c r="R197" s="2"/>
      <c r="S197" s="2"/>
      <c r="T197" s="2"/>
      <c r="U197" s="2"/>
      <c r="V197" s="2"/>
      <c r="W197" s="2"/>
      <c r="X197" s="2"/>
      <c r="Y197" s="2"/>
    </row>
    <row x14ac:dyDescent="0.25" r="198" customHeight="1" ht="17.25">
      <c r="A198" s="3"/>
      <c r="B198" s="3"/>
      <c r="C198" s="2"/>
      <c r="D198" s="3"/>
      <c r="E198" s="3"/>
      <c r="F198" s="4"/>
      <c r="G198" s="3"/>
      <c r="H198" s="3"/>
      <c r="I198" s="4"/>
      <c r="J198" s="3"/>
      <c r="K198" s="4"/>
      <c r="L198" s="4"/>
      <c r="M198" s="26">
        <f>_xlfn.CONCAT("'",$B198,"'","!","$C$3:$K$23")</f>
      </c>
      <c r="N198" s="26">
        <f>_xlfn.CONCAT("'",$B198,"'","!","$B$3:$B$22")</f>
      </c>
      <c r="O198" s="26">
        <f>_xlfn.CONCAT("'",$B198,"'","!","$C$2:$K$2")</f>
      </c>
      <c r="P198" s="2"/>
      <c r="Q198" s="2"/>
      <c r="R198" s="2"/>
      <c r="S198" s="2"/>
      <c r="T198" s="2"/>
      <c r="U198" s="2"/>
      <c r="V198" s="2"/>
      <c r="W198" s="2"/>
      <c r="X198" s="2"/>
      <c r="Y198" s="2"/>
    </row>
    <row x14ac:dyDescent="0.25" r="199" customHeight="1" ht="17.25">
      <c r="A199" s="3"/>
      <c r="B199" s="3"/>
      <c r="C199" s="2"/>
      <c r="D199" s="3"/>
      <c r="E199" s="3"/>
      <c r="F199" s="4"/>
      <c r="G199" s="3"/>
      <c r="H199" s="3"/>
      <c r="I199" s="4"/>
      <c r="J199" s="3"/>
      <c r="K199" s="4"/>
      <c r="L199" s="4"/>
      <c r="M199" s="26">
        <f>_xlfn.CONCAT("'",$B199,"'","!","$C$3:$K$23")</f>
      </c>
      <c r="N199" s="26">
        <f>_xlfn.CONCAT("'",$B199,"'","!","$B$3:$B$22")</f>
      </c>
      <c r="O199" s="26">
        <f>_xlfn.CONCAT("'",$B199,"'","!","$C$2:$K$2")</f>
      </c>
      <c r="P199" s="2"/>
      <c r="Q199" s="2"/>
      <c r="R199" s="2"/>
      <c r="S199" s="2"/>
      <c r="T199" s="2"/>
      <c r="U199" s="2"/>
      <c r="V199" s="2"/>
      <c r="W199" s="2"/>
      <c r="X199" s="2"/>
      <c r="Y199" s="2"/>
    </row>
    <row x14ac:dyDescent="0.25" r="200" customHeight="1" ht="17.25">
      <c r="A200" s="3"/>
      <c r="B200" s="3"/>
      <c r="C200" s="2"/>
      <c r="D200" s="3"/>
      <c r="E200" s="3"/>
      <c r="F200" s="4"/>
      <c r="G200" s="3"/>
      <c r="H200" s="3"/>
      <c r="I200" s="4"/>
      <c r="J200" s="3"/>
      <c r="K200" s="4"/>
      <c r="L200" s="4"/>
      <c r="M200" s="26">
        <f>_xlfn.CONCAT("'",$B200,"'","!","$C$3:$K$23")</f>
      </c>
      <c r="N200" s="26">
        <f>_xlfn.CONCAT("'",$B200,"'","!","$B$3:$B$22")</f>
      </c>
      <c r="O200" s="26">
        <f>_xlfn.CONCAT("'",$B200,"'","!","$C$2:$K$2")</f>
      </c>
      <c r="P200" s="2"/>
      <c r="Q200" s="2"/>
      <c r="R200" s="2"/>
      <c r="S200" s="2"/>
      <c r="T200" s="2"/>
      <c r="U200" s="2"/>
      <c r="V200" s="2"/>
      <c r="W200" s="2"/>
      <c r="X200" s="2"/>
      <c r="Y200" s="2"/>
    </row>
    <row x14ac:dyDescent="0.25" r="201" customHeight="1" ht="17.25">
      <c r="A201" s="3"/>
      <c r="B201" s="3"/>
      <c r="C201" s="2"/>
      <c r="D201" s="3"/>
      <c r="E201" s="3"/>
      <c r="F201" s="4"/>
      <c r="G201" s="3"/>
      <c r="H201" s="3"/>
      <c r="I201" s="4"/>
      <c r="J201" s="3"/>
      <c r="K201" s="4"/>
      <c r="L201" s="4"/>
      <c r="M201" s="26">
        <f>_xlfn.CONCAT("'",$B201,"'","!","$C$3:$K$23")</f>
      </c>
      <c r="N201" s="26">
        <f>_xlfn.CONCAT("'",$B201,"'","!","$B$3:$B$22")</f>
      </c>
      <c r="O201" s="26">
        <f>_xlfn.CONCAT("'",$B201,"'","!","$C$2:$K$2")</f>
      </c>
      <c r="P201" s="2"/>
      <c r="Q201" s="2"/>
      <c r="R201" s="2"/>
      <c r="S201" s="2"/>
      <c r="T201" s="2"/>
      <c r="U201" s="2"/>
      <c r="V201" s="2"/>
      <c r="W201" s="2"/>
      <c r="X201" s="2"/>
      <c r="Y201" s="2"/>
    </row>
    <row x14ac:dyDescent="0.25" r="202" customHeight="1" ht="17.25">
      <c r="A202" s="3"/>
      <c r="B202" s="3"/>
      <c r="C202" s="2"/>
      <c r="D202" s="3"/>
      <c r="E202" s="3"/>
      <c r="F202" s="4"/>
      <c r="G202" s="3"/>
      <c r="H202" s="3"/>
      <c r="I202" s="4"/>
      <c r="J202" s="3"/>
      <c r="K202" s="4"/>
      <c r="L202" s="4"/>
      <c r="M202" s="26">
        <f>_xlfn.CONCAT("'",$B202,"'","!","$C$3:$K$23")</f>
      </c>
      <c r="N202" s="26">
        <f>_xlfn.CONCAT("'",$B202,"'","!","$B$3:$B$22")</f>
      </c>
      <c r="O202" s="26">
        <f>_xlfn.CONCAT("'",$B202,"'","!","$C$2:$K$2")</f>
      </c>
      <c r="P202" s="2"/>
      <c r="Q202" s="2"/>
      <c r="R202" s="2"/>
      <c r="S202" s="2"/>
      <c r="T202" s="2"/>
      <c r="U202" s="2"/>
      <c r="V202" s="2"/>
      <c r="W202" s="2"/>
      <c r="X202" s="2"/>
      <c r="Y202" s="2"/>
    </row>
    <row x14ac:dyDescent="0.25" r="203" customHeight="1" ht="17.25">
      <c r="A203" s="3"/>
      <c r="B203" s="3"/>
      <c r="C203" s="2"/>
      <c r="D203" s="3"/>
      <c r="E203" s="3"/>
      <c r="F203" s="4"/>
      <c r="G203" s="3"/>
      <c r="H203" s="3"/>
      <c r="I203" s="4"/>
      <c r="J203" s="3"/>
      <c r="K203" s="4"/>
      <c r="L203" s="4"/>
      <c r="M203" s="26">
        <f>_xlfn.CONCAT("'",$B203,"'","!","$C$3:$K$23")</f>
      </c>
      <c r="N203" s="26">
        <f>_xlfn.CONCAT("'",$B203,"'","!","$B$3:$B$22")</f>
      </c>
      <c r="O203" s="26">
        <f>_xlfn.CONCAT("'",$B203,"'","!","$C$2:$K$2")</f>
      </c>
      <c r="P203" s="2"/>
      <c r="Q203" s="2"/>
      <c r="R203" s="2"/>
      <c r="S203" s="2"/>
      <c r="T203" s="2"/>
      <c r="U203" s="2"/>
      <c r="V203" s="2"/>
      <c r="W203" s="2"/>
      <c r="X203" s="2"/>
      <c r="Y203" s="2"/>
    </row>
    <row x14ac:dyDescent="0.25" r="204" customHeight="1" ht="17.25">
      <c r="A204" s="3"/>
      <c r="B204" s="3"/>
      <c r="C204" s="2"/>
      <c r="D204" s="3"/>
      <c r="E204" s="3"/>
      <c r="F204" s="4"/>
      <c r="G204" s="3"/>
      <c r="H204" s="3"/>
      <c r="I204" s="4"/>
      <c r="J204" s="3"/>
      <c r="K204" s="4"/>
      <c r="L204" s="4"/>
      <c r="M204" s="26">
        <f>_xlfn.CONCAT("'",$B204,"'","!","$C$3:$K$23")</f>
      </c>
      <c r="N204" s="26">
        <f>_xlfn.CONCAT("'",$B204,"'","!","$B$3:$B$22")</f>
      </c>
      <c r="O204" s="26">
        <f>_xlfn.CONCAT("'",$B204,"'","!","$C$2:$K$2")</f>
      </c>
      <c r="P204" s="2"/>
      <c r="Q204" s="2"/>
      <c r="R204" s="2"/>
      <c r="S204" s="2"/>
      <c r="T204" s="2"/>
      <c r="U204" s="2"/>
      <c r="V204" s="2"/>
      <c r="W204" s="2"/>
      <c r="X204" s="2"/>
      <c r="Y204" s="2"/>
    </row>
    <row x14ac:dyDescent="0.25" r="205" customHeight="1" ht="17.25">
      <c r="A205" s="3"/>
      <c r="B205" s="3"/>
      <c r="C205" s="2"/>
      <c r="D205" s="3"/>
      <c r="E205" s="3"/>
      <c r="F205" s="4"/>
      <c r="G205" s="3"/>
      <c r="H205" s="3"/>
      <c r="I205" s="4"/>
      <c r="J205" s="3"/>
      <c r="K205" s="4"/>
      <c r="L205" s="4"/>
      <c r="M205" s="26">
        <f>_xlfn.CONCAT("'",$B205,"'","!","$C$3:$K$23")</f>
      </c>
      <c r="N205" s="26">
        <f>_xlfn.CONCAT("'",$B205,"'","!","$B$3:$B$22")</f>
      </c>
      <c r="O205" s="26">
        <f>_xlfn.CONCAT("'",$B205,"'","!","$C$2:$K$2")</f>
      </c>
      <c r="P205" s="2"/>
      <c r="Q205" s="2"/>
      <c r="R205" s="2"/>
      <c r="S205" s="2"/>
      <c r="T205" s="2"/>
      <c r="U205" s="2"/>
      <c r="V205" s="2"/>
      <c r="W205" s="2"/>
      <c r="X205" s="2"/>
      <c r="Y205" s="2"/>
    </row>
    <row x14ac:dyDescent="0.25" r="206" customHeight="1" ht="17.25">
      <c r="A206" s="3"/>
      <c r="B206" s="3"/>
      <c r="C206" s="2"/>
      <c r="D206" s="3"/>
      <c r="E206" s="3"/>
      <c r="F206" s="4"/>
      <c r="G206" s="3"/>
      <c r="H206" s="3"/>
      <c r="I206" s="4"/>
      <c r="J206" s="3"/>
      <c r="K206" s="4"/>
      <c r="L206" s="4"/>
      <c r="M206" s="26">
        <f>_xlfn.CONCAT("'",$B206,"'","!","$C$3:$K$23")</f>
      </c>
      <c r="N206" s="26">
        <f>_xlfn.CONCAT("'",$B206,"'","!","$B$3:$B$22")</f>
      </c>
      <c r="O206" s="26">
        <f>_xlfn.CONCAT("'",$B206,"'","!","$C$2:$K$2")</f>
      </c>
      <c r="P206" s="2"/>
      <c r="Q206" s="2"/>
      <c r="R206" s="2"/>
      <c r="S206" s="2"/>
      <c r="T206" s="2"/>
      <c r="U206" s="2"/>
      <c r="V206" s="2"/>
      <c r="W206" s="2"/>
      <c r="X206" s="2"/>
      <c r="Y206" s="2"/>
    </row>
    <row x14ac:dyDescent="0.25" r="207" customHeight="1" ht="17.25">
      <c r="A207" s="3"/>
      <c r="B207" s="3"/>
      <c r="C207" s="2"/>
      <c r="D207" s="3"/>
      <c r="E207" s="3"/>
      <c r="F207" s="4"/>
      <c r="G207" s="3"/>
      <c r="H207" s="3"/>
      <c r="I207" s="4"/>
      <c r="J207" s="3"/>
      <c r="K207" s="4"/>
      <c r="L207" s="4"/>
      <c r="M207" s="26">
        <f>_xlfn.CONCAT("'",$B207,"'","!","$C$3:$K$23")</f>
      </c>
      <c r="N207" s="26">
        <f>_xlfn.CONCAT("'",$B207,"'","!","$B$3:$B$22")</f>
      </c>
      <c r="O207" s="26">
        <f>_xlfn.CONCAT("'",$B207,"'","!","$C$2:$K$2")</f>
      </c>
      <c r="P207" s="2"/>
      <c r="Q207" s="2"/>
      <c r="R207" s="2"/>
      <c r="S207" s="2"/>
      <c r="T207" s="2"/>
      <c r="U207" s="2"/>
      <c r="V207" s="2"/>
      <c r="W207" s="2"/>
      <c r="X207" s="2"/>
      <c r="Y207" s="2"/>
    </row>
    <row x14ac:dyDescent="0.25" r="208" customHeight="1" ht="17.25">
      <c r="A208" s="3"/>
      <c r="B208" s="3"/>
      <c r="C208" s="2"/>
      <c r="D208" s="3"/>
      <c r="E208" s="3"/>
      <c r="F208" s="4"/>
      <c r="G208" s="3"/>
      <c r="H208" s="3"/>
      <c r="I208" s="4"/>
      <c r="J208" s="3"/>
      <c r="K208" s="4"/>
      <c r="L208" s="4"/>
      <c r="M208" s="26">
        <f>_xlfn.CONCAT("'",$B208,"'","!","$C$3:$K$23")</f>
      </c>
      <c r="N208" s="26">
        <f>_xlfn.CONCAT("'",$B208,"'","!","$B$3:$B$22")</f>
      </c>
      <c r="O208" s="26">
        <f>_xlfn.CONCAT("'",$B208,"'","!","$C$2:$K$2")</f>
      </c>
      <c r="P208" s="2"/>
      <c r="Q208" s="2"/>
      <c r="R208" s="2"/>
      <c r="S208" s="2"/>
      <c r="T208" s="2"/>
      <c r="U208" s="2"/>
      <c r="V208" s="2"/>
      <c r="W208" s="2"/>
      <c r="X208" s="2"/>
      <c r="Y208" s="2"/>
    </row>
    <row x14ac:dyDescent="0.25" r="209" customHeight="1" ht="17.25">
      <c r="A209" s="3"/>
      <c r="B209" s="3"/>
      <c r="C209" s="2"/>
      <c r="D209" s="3"/>
      <c r="E209" s="3"/>
      <c r="F209" s="4"/>
      <c r="G209" s="3"/>
      <c r="H209" s="3"/>
      <c r="I209" s="4"/>
      <c r="J209" s="3"/>
      <c r="K209" s="4"/>
      <c r="L209" s="4"/>
      <c r="M209" s="26">
        <f>_xlfn.CONCAT("'",$B209,"'","!","$C$3:$K$23")</f>
      </c>
      <c r="N209" s="26">
        <f>_xlfn.CONCAT("'",$B209,"'","!","$B$3:$B$22")</f>
      </c>
      <c r="O209" s="26">
        <f>_xlfn.CONCAT("'",$B209,"'","!","$C$2:$K$2")</f>
      </c>
      <c r="P209" s="2"/>
      <c r="Q209" s="2"/>
      <c r="R209" s="2"/>
      <c r="S209" s="2"/>
      <c r="T209" s="2"/>
      <c r="U209" s="2"/>
      <c r="V209" s="2"/>
      <c r="W209" s="2"/>
      <c r="X209" s="2"/>
      <c r="Y209" s="2"/>
    </row>
    <row x14ac:dyDescent="0.25" r="210" customHeight="1" ht="17.25">
      <c r="A210" s="3"/>
      <c r="B210" s="3"/>
      <c r="C210" s="2"/>
      <c r="D210" s="3"/>
      <c r="E210" s="3"/>
      <c r="F210" s="4"/>
      <c r="G210" s="3"/>
      <c r="H210" s="3"/>
      <c r="I210" s="4"/>
      <c r="J210" s="3"/>
      <c r="K210" s="4"/>
      <c r="L210" s="4"/>
      <c r="M210" s="26">
        <f>_xlfn.CONCAT("'",$B210,"'","!","$C$3:$K$23")</f>
      </c>
      <c r="N210" s="26">
        <f>_xlfn.CONCAT("'",$B210,"'","!","$B$3:$B$22")</f>
      </c>
      <c r="O210" s="26">
        <f>_xlfn.CONCAT("'",$B210,"'","!","$C$2:$K$2")</f>
      </c>
      <c r="P210" s="2"/>
      <c r="Q210" s="2"/>
      <c r="R210" s="2"/>
      <c r="S210" s="2"/>
      <c r="T210" s="2"/>
      <c r="U210" s="2"/>
      <c r="V210" s="2"/>
      <c r="W210" s="2"/>
      <c r="X210" s="2"/>
      <c r="Y210" s="2"/>
    </row>
    <row x14ac:dyDescent="0.25" r="211" customHeight="1" ht="17.25">
      <c r="A211" s="3"/>
      <c r="B211" s="3"/>
      <c r="C211" s="2"/>
      <c r="D211" s="3"/>
      <c r="E211" s="3"/>
      <c r="F211" s="4"/>
      <c r="G211" s="3"/>
      <c r="H211" s="3"/>
      <c r="I211" s="4"/>
      <c r="J211" s="3"/>
      <c r="K211" s="4"/>
      <c r="L211" s="4"/>
      <c r="M211" s="26">
        <f>_xlfn.CONCAT("'",$B211,"'","!","$C$3:$K$23")</f>
      </c>
      <c r="N211" s="26">
        <f>_xlfn.CONCAT("'",$B211,"'","!","$B$3:$B$22")</f>
      </c>
      <c r="O211" s="26">
        <f>_xlfn.CONCAT("'",$B211,"'","!","$C$2:$K$2")</f>
      </c>
      <c r="P211" s="2"/>
      <c r="Q211" s="2"/>
      <c r="R211" s="2"/>
      <c r="S211" s="2"/>
      <c r="T211" s="2"/>
      <c r="U211" s="2"/>
      <c r="V211" s="2"/>
      <c r="W211" s="2"/>
      <c r="X211" s="2"/>
      <c r="Y211" s="2"/>
    </row>
    <row x14ac:dyDescent="0.25" r="212" customHeight="1" ht="17.25">
      <c r="A212" s="3"/>
      <c r="B212" s="3"/>
      <c r="C212" s="2"/>
      <c r="D212" s="3"/>
      <c r="E212" s="3"/>
      <c r="F212" s="4"/>
      <c r="G212" s="3"/>
      <c r="H212" s="3"/>
      <c r="I212" s="4"/>
      <c r="J212" s="3"/>
      <c r="K212" s="4"/>
      <c r="L212" s="4"/>
      <c r="M212" s="26">
        <f>_xlfn.CONCAT("'",$B212,"'","!","$C$3:$K$23")</f>
      </c>
      <c r="N212" s="26">
        <f>_xlfn.CONCAT("'",$B212,"'","!","$B$3:$B$22")</f>
      </c>
      <c r="O212" s="26">
        <f>_xlfn.CONCAT("'",$B212,"'","!","$C$2:$K$2")</f>
      </c>
      <c r="P212" s="2"/>
      <c r="Q212" s="2"/>
      <c r="R212" s="2"/>
      <c r="S212" s="2"/>
      <c r="T212" s="2"/>
      <c r="U212" s="2"/>
      <c r="V212" s="2"/>
      <c r="W212" s="2"/>
      <c r="X212" s="2"/>
      <c r="Y212" s="2"/>
    </row>
    <row x14ac:dyDescent="0.25" r="213" customHeight="1" ht="17.25">
      <c r="A213" s="3"/>
      <c r="B213" s="3"/>
      <c r="C213" s="2"/>
      <c r="D213" s="3"/>
      <c r="E213" s="3"/>
      <c r="F213" s="4"/>
      <c r="G213" s="3"/>
      <c r="H213" s="3"/>
      <c r="I213" s="4"/>
      <c r="J213" s="3"/>
      <c r="K213" s="4"/>
      <c r="L213" s="4"/>
      <c r="M213" s="26">
        <f>_xlfn.CONCAT("'",$B213,"'","!","$C$3:$K$23")</f>
      </c>
      <c r="N213" s="26">
        <f>_xlfn.CONCAT("'",$B213,"'","!","$B$3:$B$22")</f>
      </c>
      <c r="O213" s="26">
        <f>_xlfn.CONCAT("'",$B213,"'","!","$C$2:$K$2")</f>
      </c>
      <c r="P213" s="2"/>
      <c r="Q213" s="2"/>
      <c r="R213" s="2"/>
      <c r="S213" s="2"/>
      <c r="T213" s="2"/>
      <c r="U213" s="2"/>
      <c r="V213" s="2"/>
      <c r="W213" s="2"/>
      <c r="X213" s="2"/>
      <c r="Y213" s="2"/>
    </row>
    <row x14ac:dyDescent="0.25" r="214" customHeight="1" ht="17.25">
      <c r="A214" s="3"/>
      <c r="B214" s="3"/>
      <c r="C214" s="2"/>
      <c r="D214" s="3"/>
      <c r="E214" s="3"/>
      <c r="F214" s="4"/>
      <c r="G214" s="3"/>
      <c r="H214" s="3"/>
      <c r="I214" s="4"/>
      <c r="J214" s="3"/>
      <c r="K214" s="4"/>
      <c r="L214" s="4"/>
      <c r="M214" s="26">
        <f>_xlfn.CONCAT("'",$B214,"'","!","$C$3:$K$23")</f>
      </c>
      <c r="N214" s="26">
        <f>_xlfn.CONCAT("'",$B214,"'","!","$B$3:$B$22")</f>
      </c>
      <c r="O214" s="26">
        <f>_xlfn.CONCAT("'",$B214,"'","!","$C$2:$K$2")</f>
      </c>
      <c r="P214" s="2"/>
      <c r="Q214" s="2"/>
      <c r="R214" s="2"/>
      <c r="S214" s="2"/>
      <c r="T214" s="2"/>
      <c r="U214" s="2"/>
      <c r="V214" s="2"/>
      <c r="W214" s="2"/>
      <c r="X214" s="2"/>
      <c r="Y214" s="2"/>
    </row>
    <row x14ac:dyDescent="0.25" r="215" customHeight="1" ht="17.25">
      <c r="A215" s="3"/>
      <c r="B215" s="3"/>
      <c r="C215" s="2"/>
      <c r="D215" s="3"/>
      <c r="E215" s="3"/>
      <c r="F215" s="4"/>
      <c r="G215" s="3"/>
      <c r="H215" s="3"/>
      <c r="I215" s="4"/>
      <c r="J215" s="3"/>
      <c r="K215" s="4"/>
      <c r="L215" s="4"/>
      <c r="M215" s="26">
        <f>_xlfn.CONCAT("'",$B215,"'","!","$C$3:$K$23")</f>
      </c>
      <c r="N215" s="26">
        <f>_xlfn.CONCAT("'",$B215,"'","!","$B$3:$B$22")</f>
      </c>
      <c r="O215" s="26">
        <f>_xlfn.CONCAT("'",$B215,"'","!","$C$2:$K$2")</f>
      </c>
      <c r="P215" s="2"/>
      <c r="Q215" s="2"/>
      <c r="R215" s="2"/>
      <c r="S215" s="2"/>
      <c r="T215" s="2"/>
      <c r="U215" s="2"/>
      <c r="V215" s="2"/>
      <c r="W215" s="2"/>
      <c r="X215" s="2"/>
      <c r="Y215" s="2"/>
    </row>
    <row x14ac:dyDescent="0.25" r="216" customHeight="1" ht="17.25">
      <c r="A216" s="3"/>
      <c r="B216" s="3"/>
      <c r="C216" s="2"/>
      <c r="D216" s="3"/>
      <c r="E216" s="3"/>
      <c r="F216" s="4"/>
      <c r="G216" s="3"/>
      <c r="H216" s="3"/>
      <c r="I216" s="4"/>
      <c r="J216" s="3"/>
      <c r="K216" s="4"/>
      <c r="L216" s="4"/>
      <c r="M216" s="26">
        <f>_xlfn.CONCAT("'",$B216,"'","!","$C$3:$K$23")</f>
      </c>
      <c r="N216" s="26">
        <f>_xlfn.CONCAT("'",$B216,"'","!","$B$3:$B$22")</f>
      </c>
      <c r="O216" s="26">
        <f>_xlfn.CONCAT("'",$B216,"'","!","$C$2:$K$2")</f>
      </c>
      <c r="P216" s="2"/>
      <c r="Q216" s="2"/>
      <c r="R216" s="2"/>
      <c r="S216" s="2"/>
      <c r="T216" s="2"/>
      <c r="U216" s="2"/>
      <c r="V216" s="2"/>
      <c r="W216" s="2"/>
      <c r="X216" s="2"/>
      <c r="Y216" s="2"/>
    </row>
    <row x14ac:dyDescent="0.25" r="217" customHeight="1" ht="17.25">
      <c r="A217" s="3"/>
      <c r="B217" s="3"/>
      <c r="C217" s="2"/>
      <c r="D217" s="3"/>
      <c r="E217" s="3"/>
      <c r="F217" s="4"/>
      <c r="G217" s="3"/>
      <c r="H217" s="3"/>
      <c r="I217" s="4"/>
      <c r="J217" s="3"/>
      <c r="K217" s="4"/>
      <c r="L217" s="4"/>
      <c r="M217" s="26">
        <f>_xlfn.CONCAT("'",$B217,"'","!","$C$3:$K$23")</f>
      </c>
      <c r="N217" s="26">
        <f>_xlfn.CONCAT("'",$B217,"'","!","$B$3:$B$22")</f>
      </c>
      <c r="O217" s="26">
        <f>_xlfn.CONCAT("'",$B217,"'","!","$C$2:$K$2")</f>
      </c>
      <c r="P217" s="2"/>
      <c r="Q217" s="2"/>
      <c r="R217" s="2"/>
      <c r="S217" s="2"/>
      <c r="T217" s="2"/>
      <c r="U217" s="2"/>
      <c r="V217" s="2"/>
      <c r="W217" s="2"/>
      <c r="X217" s="2"/>
      <c r="Y217" s="2"/>
    </row>
    <row x14ac:dyDescent="0.25" r="218" customHeight="1" ht="17.25">
      <c r="A218" s="3"/>
      <c r="B218" s="3"/>
      <c r="C218" s="2"/>
      <c r="D218" s="3"/>
      <c r="E218" s="3"/>
      <c r="F218" s="4"/>
      <c r="G218" s="3"/>
      <c r="H218" s="3"/>
      <c r="I218" s="4"/>
      <c r="J218" s="3"/>
      <c r="K218" s="4"/>
      <c r="L218" s="4"/>
      <c r="M218" s="26">
        <f>_xlfn.CONCAT("'",$B218,"'","!","$C$3:$K$23")</f>
      </c>
      <c r="N218" s="26">
        <f>_xlfn.CONCAT("'",$B218,"'","!","$B$3:$B$22")</f>
      </c>
      <c r="O218" s="26">
        <f>_xlfn.CONCAT("'",$B218,"'","!","$C$2:$K$2")</f>
      </c>
      <c r="P218" s="2"/>
      <c r="Q218" s="2"/>
      <c r="R218" s="2"/>
      <c r="S218" s="2"/>
      <c r="T218" s="2"/>
      <c r="U218" s="2"/>
      <c r="V218" s="2"/>
      <c r="W218" s="2"/>
      <c r="X218" s="2"/>
      <c r="Y218" s="2"/>
    </row>
    <row x14ac:dyDescent="0.25" r="219" customHeight="1" ht="17.25">
      <c r="A219" s="3"/>
      <c r="B219" s="3"/>
      <c r="C219" s="2"/>
      <c r="D219" s="3"/>
      <c r="E219" s="3"/>
      <c r="F219" s="4"/>
      <c r="G219" s="3"/>
      <c r="H219" s="3"/>
      <c r="I219" s="4"/>
      <c r="J219" s="3"/>
      <c r="K219" s="4"/>
      <c r="L219" s="4"/>
      <c r="M219" s="26">
        <f>_xlfn.CONCAT("'",$B219,"'","!","$C$3:$K$23")</f>
      </c>
      <c r="N219" s="26">
        <f>_xlfn.CONCAT("'",$B219,"'","!","$B$3:$B$22")</f>
      </c>
      <c r="O219" s="26">
        <f>_xlfn.CONCAT("'",$B219,"'","!","$C$2:$K$2")</f>
      </c>
      <c r="P219" s="2"/>
      <c r="Q219" s="2"/>
      <c r="R219" s="2"/>
      <c r="S219" s="2"/>
      <c r="T219" s="2"/>
      <c r="U219" s="2"/>
      <c r="V219" s="2"/>
      <c r="W219" s="2"/>
      <c r="X219" s="2"/>
      <c r="Y219" s="2"/>
    </row>
    <row x14ac:dyDescent="0.25" r="220" customHeight="1" ht="17.25">
      <c r="A220" s="3"/>
      <c r="B220" s="3"/>
      <c r="C220" s="2"/>
      <c r="D220" s="3"/>
      <c r="E220" s="3"/>
      <c r="F220" s="4"/>
      <c r="G220" s="3"/>
      <c r="H220" s="3"/>
      <c r="I220" s="4"/>
      <c r="J220" s="3"/>
      <c r="K220" s="4"/>
      <c r="L220" s="4"/>
      <c r="M220" s="26">
        <f>_xlfn.CONCAT("'",$B220,"'","!","$C$3:$K$23")</f>
      </c>
      <c r="N220" s="26">
        <f>_xlfn.CONCAT("'",$B220,"'","!","$B$3:$B$22")</f>
      </c>
      <c r="O220" s="26">
        <f>_xlfn.CONCAT("'",$B220,"'","!","$C$2:$K$2")</f>
      </c>
      <c r="P220" s="2"/>
      <c r="Q220" s="2"/>
      <c r="R220" s="2"/>
      <c r="S220" s="2"/>
      <c r="T220" s="2"/>
      <c r="U220" s="2"/>
      <c r="V220" s="2"/>
      <c r="W220" s="2"/>
      <c r="X220" s="2"/>
      <c r="Y220" s="2"/>
    </row>
    <row x14ac:dyDescent="0.25" r="221" customHeight="1" ht="17.25">
      <c r="A221" s="3"/>
      <c r="B221" s="3"/>
      <c r="C221" s="2"/>
      <c r="D221" s="3"/>
      <c r="E221" s="3"/>
      <c r="F221" s="4"/>
      <c r="G221" s="3"/>
      <c r="H221" s="3"/>
      <c r="I221" s="4"/>
      <c r="J221" s="3"/>
      <c r="K221" s="4"/>
      <c r="L221" s="4"/>
      <c r="M221" s="26">
        <f>_xlfn.CONCAT("'",$B221,"'","!","$C$3:$K$23")</f>
      </c>
      <c r="N221" s="26">
        <f>_xlfn.CONCAT("'",$B221,"'","!","$B$3:$B$22")</f>
      </c>
      <c r="O221" s="26">
        <f>_xlfn.CONCAT("'",$B221,"'","!","$C$2:$K$2")</f>
      </c>
      <c r="P221" s="2"/>
      <c r="Q221" s="2"/>
      <c r="R221" s="2"/>
      <c r="S221" s="2"/>
      <c r="T221" s="2"/>
      <c r="U221" s="2"/>
      <c r="V221" s="2"/>
      <c r="W221" s="2"/>
      <c r="X221" s="2"/>
      <c r="Y221" s="2"/>
    </row>
    <row x14ac:dyDescent="0.25" r="222" customHeight="1" ht="17.25">
      <c r="A222" s="3"/>
      <c r="B222" s="3"/>
      <c r="C222" s="2"/>
      <c r="D222" s="3"/>
      <c r="E222" s="3"/>
      <c r="F222" s="4"/>
      <c r="G222" s="3"/>
      <c r="H222" s="3"/>
      <c r="I222" s="4"/>
      <c r="J222" s="3"/>
      <c r="K222" s="4"/>
      <c r="L222" s="4"/>
      <c r="M222" s="26">
        <f>_xlfn.CONCAT("'",$B222,"'","!","$C$3:$K$23")</f>
      </c>
      <c r="N222" s="26">
        <f>_xlfn.CONCAT("'",$B222,"'","!","$B$3:$B$22")</f>
      </c>
      <c r="O222" s="26">
        <f>_xlfn.CONCAT("'",$B222,"'","!","$C$2:$K$2")</f>
      </c>
      <c r="P222" s="2"/>
      <c r="Q222" s="2"/>
      <c r="R222" s="2"/>
      <c r="S222" s="2"/>
      <c r="T222" s="2"/>
      <c r="U222" s="2"/>
      <c r="V222" s="2"/>
      <c r="W222" s="2"/>
      <c r="X222" s="2"/>
      <c r="Y222" s="2"/>
    </row>
    <row x14ac:dyDescent="0.25" r="223" customHeight="1" ht="17.25">
      <c r="A223" s="3"/>
      <c r="B223" s="3"/>
      <c r="C223" s="2"/>
      <c r="D223" s="3"/>
      <c r="E223" s="3"/>
      <c r="F223" s="4"/>
      <c r="G223" s="3"/>
      <c r="H223" s="3"/>
      <c r="I223" s="4"/>
      <c r="J223" s="3"/>
      <c r="K223" s="4"/>
      <c r="L223" s="4"/>
      <c r="M223" s="26">
        <f>_xlfn.CONCAT("'",$B223,"'","!","$C$3:$K$23")</f>
      </c>
      <c r="N223" s="26">
        <f>_xlfn.CONCAT("'",$B223,"'","!","$B$3:$B$22")</f>
      </c>
      <c r="O223" s="26">
        <f>_xlfn.CONCAT("'",$B223,"'","!","$C$2:$K$2")</f>
      </c>
      <c r="P223" s="2"/>
      <c r="Q223" s="2"/>
      <c r="R223" s="2"/>
      <c r="S223" s="2"/>
      <c r="T223" s="2"/>
      <c r="U223" s="2"/>
      <c r="V223" s="2"/>
      <c r="W223" s="2"/>
      <c r="X223" s="2"/>
      <c r="Y223" s="2"/>
    </row>
    <row x14ac:dyDescent="0.25" r="224" customHeight="1" ht="17.25">
      <c r="A224" s="3"/>
      <c r="B224" s="3"/>
      <c r="C224" s="2"/>
      <c r="D224" s="3"/>
      <c r="E224" s="3"/>
      <c r="F224" s="4"/>
      <c r="G224" s="3"/>
      <c r="H224" s="3"/>
      <c r="I224" s="4"/>
      <c r="J224" s="3"/>
      <c r="K224" s="4"/>
      <c r="L224" s="4"/>
      <c r="M224" s="26">
        <f>_xlfn.CONCAT("'",$B224,"'","!","$C$3:$K$23")</f>
      </c>
      <c r="N224" s="26">
        <f>_xlfn.CONCAT("'",$B224,"'","!","$B$3:$B$22")</f>
      </c>
      <c r="O224" s="26">
        <f>_xlfn.CONCAT("'",$B224,"'","!","$C$2:$K$2")</f>
      </c>
      <c r="P224" s="2"/>
      <c r="Q224" s="2"/>
      <c r="R224" s="2"/>
      <c r="S224" s="2"/>
      <c r="T224" s="2"/>
      <c r="U224" s="2"/>
      <c r="V224" s="2"/>
      <c r="W224" s="2"/>
      <c r="X224" s="2"/>
      <c r="Y224" s="2"/>
    </row>
    <row x14ac:dyDescent="0.25" r="225" customHeight="1" ht="17.25">
      <c r="A225" s="3"/>
      <c r="B225" s="3"/>
      <c r="C225" s="2"/>
      <c r="D225" s="3"/>
      <c r="E225" s="3"/>
      <c r="F225" s="4"/>
      <c r="G225" s="3"/>
      <c r="H225" s="3"/>
      <c r="I225" s="4"/>
      <c r="J225" s="3"/>
      <c r="K225" s="4"/>
      <c r="L225" s="4"/>
      <c r="M225" s="26">
        <f>_xlfn.CONCAT("'",$B225,"'","!","$C$3:$K$23")</f>
      </c>
      <c r="N225" s="26">
        <f>_xlfn.CONCAT("'",$B225,"'","!","$B$3:$B$22")</f>
      </c>
      <c r="O225" s="26">
        <f>_xlfn.CONCAT("'",$B225,"'","!","$C$2:$K$2")</f>
      </c>
      <c r="P225" s="2"/>
      <c r="Q225" s="2"/>
      <c r="R225" s="2"/>
      <c r="S225" s="2"/>
      <c r="T225" s="2"/>
      <c r="U225" s="2"/>
      <c r="V225" s="2"/>
      <c r="W225" s="2"/>
      <c r="X225" s="2"/>
      <c r="Y225" s="2"/>
    </row>
    <row x14ac:dyDescent="0.25" r="226" customHeight="1" ht="17.25">
      <c r="A226" s="3"/>
      <c r="B226" s="3"/>
      <c r="C226" s="2"/>
      <c r="D226" s="3"/>
      <c r="E226" s="3"/>
      <c r="F226" s="4"/>
      <c r="G226" s="3"/>
      <c r="H226" s="3"/>
      <c r="I226" s="4"/>
      <c r="J226" s="3"/>
      <c r="K226" s="4"/>
      <c r="L226" s="4"/>
      <c r="M226" s="26">
        <f>_xlfn.CONCAT("'",$B226,"'","!","$C$3:$K$23")</f>
      </c>
      <c r="N226" s="26">
        <f>_xlfn.CONCAT("'",$B226,"'","!","$B$3:$B$22")</f>
      </c>
      <c r="O226" s="26">
        <f>_xlfn.CONCAT("'",$B226,"'","!","$C$2:$K$2")</f>
      </c>
      <c r="P226" s="2"/>
      <c r="Q226" s="2"/>
      <c r="R226" s="2"/>
      <c r="S226" s="2"/>
      <c r="T226" s="2"/>
      <c r="U226" s="2"/>
      <c r="V226" s="2"/>
      <c r="W226" s="2"/>
      <c r="X226" s="2"/>
      <c r="Y226" s="2"/>
    </row>
    <row x14ac:dyDescent="0.25" r="227" customHeight="1" ht="17.25">
      <c r="A227" s="3"/>
      <c r="B227" s="3"/>
      <c r="C227" s="2"/>
      <c r="D227" s="3"/>
      <c r="E227" s="3"/>
      <c r="F227" s="4"/>
      <c r="G227" s="3"/>
      <c r="H227" s="3"/>
      <c r="I227" s="4"/>
      <c r="J227" s="3"/>
      <c r="K227" s="4"/>
      <c r="L227" s="4"/>
      <c r="M227" s="26">
        <f>_xlfn.CONCAT("'",$B227,"'","!","$C$3:$K$23")</f>
      </c>
      <c r="N227" s="26">
        <f>_xlfn.CONCAT("'",$B227,"'","!","$B$3:$B$22")</f>
      </c>
      <c r="O227" s="26">
        <f>_xlfn.CONCAT("'",$B227,"'","!","$C$2:$K$2")</f>
      </c>
      <c r="P227" s="2"/>
      <c r="Q227" s="2"/>
      <c r="R227" s="2"/>
      <c r="S227" s="2"/>
      <c r="T227" s="2"/>
      <c r="U227" s="2"/>
      <c r="V227" s="2"/>
      <c r="W227" s="2"/>
      <c r="X227" s="2"/>
      <c r="Y227" s="2"/>
    </row>
    <row x14ac:dyDescent="0.25" r="228" customHeight="1" ht="17.25">
      <c r="A228" s="3"/>
      <c r="B228" s="3"/>
      <c r="C228" s="2"/>
      <c r="D228" s="3"/>
      <c r="E228" s="3"/>
      <c r="F228" s="4"/>
      <c r="G228" s="3"/>
      <c r="H228" s="3"/>
      <c r="I228" s="4"/>
      <c r="J228" s="3"/>
      <c r="K228" s="4"/>
      <c r="L228" s="4"/>
      <c r="M228" s="26">
        <f>_xlfn.CONCAT("'",$B228,"'","!","$C$3:$K$23")</f>
      </c>
      <c r="N228" s="26">
        <f>_xlfn.CONCAT("'",$B228,"'","!","$B$3:$B$22")</f>
      </c>
      <c r="O228" s="26">
        <f>_xlfn.CONCAT("'",$B228,"'","!","$C$2:$K$2")</f>
      </c>
      <c r="P228" s="2"/>
      <c r="Q228" s="2"/>
      <c r="R228" s="2"/>
      <c r="S228" s="2"/>
      <c r="T228" s="2"/>
      <c r="U228" s="2"/>
      <c r="V228" s="2"/>
      <c r="W228" s="2"/>
      <c r="X228" s="2"/>
      <c r="Y228" s="2"/>
    </row>
    <row x14ac:dyDescent="0.25" r="229" customHeight="1" ht="17.25">
      <c r="A229" s="3"/>
      <c r="B229" s="3"/>
      <c r="C229" s="2"/>
      <c r="D229" s="3"/>
      <c r="E229" s="3"/>
      <c r="F229" s="4"/>
      <c r="G229" s="3"/>
      <c r="H229" s="3"/>
      <c r="I229" s="4"/>
      <c r="J229" s="3"/>
      <c r="K229" s="4"/>
      <c r="L229" s="4"/>
      <c r="M229" s="26">
        <f>_xlfn.CONCAT("'",$B229,"'","!","$C$3:$K$23")</f>
      </c>
      <c r="N229" s="26">
        <f>_xlfn.CONCAT("'",$B229,"'","!","$B$3:$B$22")</f>
      </c>
      <c r="O229" s="26">
        <f>_xlfn.CONCAT("'",$B229,"'","!","$C$2:$K$2")</f>
      </c>
      <c r="P229" s="2"/>
      <c r="Q229" s="2"/>
      <c r="R229" s="2"/>
      <c r="S229" s="2"/>
      <c r="T229" s="2"/>
      <c r="U229" s="2"/>
      <c r="V229" s="2"/>
      <c r="W229" s="2"/>
      <c r="X229" s="2"/>
      <c r="Y229" s="2"/>
    </row>
    <row x14ac:dyDescent="0.25" r="230" customHeight="1" ht="17.25">
      <c r="A230" s="3"/>
      <c r="B230" s="3"/>
      <c r="C230" s="2"/>
      <c r="D230" s="3"/>
      <c r="E230" s="3"/>
      <c r="F230" s="4"/>
      <c r="G230" s="3"/>
      <c r="H230" s="3"/>
      <c r="I230" s="4"/>
      <c r="J230" s="3"/>
      <c r="K230" s="4"/>
      <c r="L230" s="4"/>
      <c r="M230" s="26">
        <f>_xlfn.CONCAT("'",$B230,"'","!","$C$3:$K$23")</f>
      </c>
      <c r="N230" s="26">
        <f>_xlfn.CONCAT("'",$B230,"'","!","$B$3:$B$22")</f>
      </c>
      <c r="O230" s="26">
        <f>_xlfn.CONCAT("'",$B230,"'","!","$C$2:$K$2")</f>
      </c>
      <c r="P230" s="2"/>
      <c r="Q230" s="2"/>
      <c r="R230" s="2"/>
      <c r="S230" s="2"/>
      <c r="T230" s="2"/>
      <c r="U230" s="2"/>
      <c r="V230" s="2"/>
      <c r="W230" s="2"/>
      <c r="X230" s="2"/>
      <c r="Y230" s="2"/>
    </row>
    <row x14ac:dyDescent="0.25" r="231" customHeight="1" ht="17.25">
      <c r="A231" s="3"/>
      <c r="B231" s="3"/>
      <c r="C231" s="2"/>
      <c r="D231" s="3"/>
      <c r="E231" s="3"/>
      <c r="F231" s="4"/>
      <c r="G231" s="3"/>
      <c r="H231" s="3"/>
      <c r="I231" s="4"/>
      <c r="J231" s="3"/>
      <c r="K231" s="4"/>
      <c r="L231" s="4"/>
      <c r="M231" s="26">
        <f>_xlfn.CONCAT("'",$B231,"'","!","$C$3:$K$23")</f>
      </c>
      <c r="N231" s="26">
        <f>_xlfn.CONCAT("'",$B231,"'","!","$B$3:$B$22")</f>
      </c>
      <c r="O231" s="26">
        <f>_xlfn.CONCAT("'",$B231,"'","!","$C$2:$K$2")</f>
      </c>
      <c r="P231" s="2"/>
      <c r="Q231" s="2"/>
      <c r="R231" s="2"/>
      <c r="S231" s="2"/>
      <c r="T231" s="2"/>
      <c r="U231" s="2"/>
      <c r="V231" s="2"/>
      <c r="W231" s="2"/>
      <c r="X231" s="2"/>
      <c r="Y231" s="2"/>
    </row>
    <row x14ac:dyDescent="0.25" r="232" customHeight="1" ht="17.25">
      <c r="A232" s="3"/>
      <c r="B232" s="3"/>
      <c r="C232" s="2"/>
      <c r="D232" s="3"/>
      <c r="E232" s="3"/>
      <c r="F232" s="4"/>
      <c r="G232" s="3"/>
      <c r="H232" s="3"/>
      <c r="I232" s="4"/>
      <c r="J232" s="3"/>
      <c r="K232" s="4"/>
      <c r="L232" s="4"/>
      <c r="M232" s="26">
        <f>_xlfn.CONCAT("'",$B232,"'","!","$C$3:$K$23")</f>
      </c>
      <c r="N232" s="26">
        <f>_xlfn.CONCAT("'",$B232,"'","!","$B$3:$B$22")</f>
      </c>
      <c r="O232" s="26">
        <f>_xlfn.CONCAT("'",$B232,"'","!","$C$2:$K$2")</f>
      </c>
      <c r="P232" s="2"/>
      <c r="Q232" s="2"/>
      <c r="R232" s="2"/>
      <c r="S232" s="2"/>
      <c r="T232" s="2"/>
      <c r="U232" s="2"/>
      <c r="V232" s="2"/>
      <c r="W232" s="2"/>
      <c r="X232" s="2"/>
      <c r="Y232" s="2"/>
    </row>
    <row x14ac:dyDescent="0.25" r="233" customHeight="1" ht="17.25">
      <c r="A233" s="3"/>
      <c r="B233" s="3"/>
      <c r="C233" s="2"/>
      <c r="D233" s="3"/>
      <c r="E233" s="3"/>
      <c r="F233" s="4"/>
      <c r="G233" s="3"/>
      <c r="H233" s="3"/>
      <c r="I233" s="4"/>
      <c r="J233" s="3"/>
      <c r="K233" s="4"/>
      <c r="L233" s="4"/>
      <c r="M233" s="26">
        <f>_xlfn.CONCAT("'",$B233,"'","!","$C$3:$K$23")</f>
      </c>
      <c r="N233" s="26">
        <f>_xlfn.CONCAT("'",$B233,"'","!","$B$3:$B$22")</f>
      </c>
      <c r="O233" s="26">
        <f>_xlfn.CONCAT("'",$B233,"'","!","$C$2:$K$2")</f>
      </c>
      <c r="P233" s="2"/>
      <c r="Q233" s="2"/>
      <c r="R233" s="2"/>
      <c r="S233" s="2"/>
      <c r="T233" s="2"/>
      <c r="U233" s="2"/>
      <c r="V233" s="2"/>
      <c r="W233" s="2"/>
      <c r="X233" s="2"/>
      <c r="Y233" s="2"/>
    </row>
    <row x14ac:dyDescent="0.25" r="234" customHeight="1" ht="17.25">
      <c r="A234" s="3"/>
      <c r="B234" s="3"/>
      <c r="C234" s="2"/>
      <c r="D234" s="3"/>
      <c r="E234" s="3"/>
      <c r="F234" s="4"/>
      <c r="G234" s="3"/>
      <c r="H234" s="3"/>
      <c r="I234" s="4"/>
      <c r="J234" s="3"/>
      <c r="K234" s="4"/>
      <c r="L234" s="4"/>
      <c r="M234" s="26">
        <f>_xlfn.CONCAT("'",$B234,"'","!","$C$3:$K$23")</f>
      </c>
      <c r="N234" s="26">
        <f>_xlfn.CONCAT("'",$B234,"'","!","$B$3:$B$22")</f>
      </c>
      <c r="O234" s="26">
        <f>_xlfn.CONCAT("'",$B234,"'","!","$C$2:$K$2")</f>
      </c>
      <c r="P234" s="2"/>
      <c r="Q234" s="2"/>
      <c r="R234" s="2"/>
      <c r="S234" s="2"/>
      <c r="T234" s="2"/>
      <c r="U234" s="2"/>
      <c r="V234" s="2"/>
      <c r="W234" s="2"/>
      <c r="X234" s="2"/>
      <c r="Y234" s="2"/>
    </row>
    <row x14ac:dyDescent="0.25" r="235" customHeight="1" ht="17.25">
      <c r="A235" s="3"/>
      <c r="B235" s="3"/>
      <c r="C235" s="2"/>
      <c r="D235" s="3"/>
      <c r="E235" s="3"/>
      <c r="F235" s="4"/>
      <c r="G235" s="3"/>
      <c r="H235" s="3"/>
      <c r="I235" s="4"/>
      <c r="J235" s="3"/>
      <c r="K235" s="4"/>
      <c r="L235" s="4"/>
      <c r="M235" s="26">
        <f>_xlfn.CONCAT("'",$B235,"'","!","$C$3:$K$23")</f>
      </c>
      <c r="N235" s="26">
        <f>_xlfn.CONCAT("'",$B235,"'","!","$B$3:$B$22")</f>
      </c>
      <c r="O235" s="26">
        <f>_xlfn.CONCAT("'",$B235,"'","!","$C$2:$K$2")</f>
      </c>
      <c r="P235" s="2"/>
      <c r="Q235" s="2"/>
      <c r="R235" s="2"/>
      <c r="S235" s="2"/>
      <c r="T235" s="2"/>
      <c r="U235" s="2"/>
      <c r="V235" s="2"/>
      <c r="W235" s="2"/>
      <c r="X235" s="2"/>
      <c r="Y235" s="2"/>
    </row>
    <row x14ac:dyDescent="0.25" r="236" customHeight="1" ht="17.25">
      <c r="A236" s="3"/>
      <c r="B236" s="3"/>
      <c r="C236" s="2"/>
      <c r="D236" s="3"/>
      <c r="E236" s="3"/>
      <c r="F236" s="4"/>
      <c r="G236" s="3"/>
      <c r="H236" s="3"/>
      <c r="I236" s="4"/>
      <c r="J236" s="3"/>
      <c r="K236" s="4"/>
      <c r="L236" s="4"/>
      <c r="M236" s="26">
        <f>_xlfn.CONCAT("'",$B236,"'","!","$C$3:$K$23")</f>
      </c>
      <c r="N236" s="26">
        <f>_xlfn.CONCAT("'",$B236,"'","!","$B$3:$B$22")</f>
      </c>
      <c r="O236" s="26">
        <f>_xlfn.CONCAT("'",$B236,"'","!","$C$2:$K$2")</f>
      </c>
      <c r="P236" s="2"/>
      <c r="Q236" s="2"/>
      <c r="R236" s="2"/>
      <c r="S236" s="2"/>
      <c r="T236" s="2"/>
      <c r="U236" s="2"/>
      <c r="V236" s="2"/>
      <c r="W236" s="2"/>
      <c r="X236" s="2"/>
      <c r="Y236" s="2"/>
    </row>
    <row x14ac:dyDescent="0.25" r="237" customHeight="1" ht="17.25">
      <c r="A237" s="3"/>
      <c r="B237" s="3"/>
      <c r="C237" s="2"/>
      <c r="D237" s="3"/>
      <c r="E237" s="3"/>
      <c r="F237" s="4"/>
      <c r="G237" s="3"/>
      <c r="H237" s="3"/>
      <c r="I237" s="4"/>
      <c r="J237" s="3"/>
      <c r="K237" s="4"/>
      <c r="L237" s="4"/>
      <c r="M237" s="26">
        <f>_xlfn.CONCAT("'",$B237,"'","!","$C$3:$K$23")</f>
      </c>
      <c r="N237" s="26">
        <f>_xlfn.CONCAT("'",$B237,"'","!","$B$3:$B$22")</f>
      </c>
      <c r="O237" s="26">
        <f>_xlfn.CONCAT("'",$B237,"'","!","$C$2:$K$2")</f>
      </c>
      <c r="P237" s="2"/>
      <c r="Q237" s="2"/>
      <c r="R237" s="2"/>
      <c r="S237" s="2"/>
      <c r="T237" s="2"/>
      <c r="U237" s="2"/>
      <c r="V237" s="2"/>
      <c r="W237" s="2"/>
      <c r="X237" s="2"/>
      <c r="Y237" s="2"/>
    </row>
    <row x14ac:dyDescent="0.25" r="238" customHeight="1" ht="17.25">
      <c r="A238" s="3"/>
      <c r="B238" s="3"/>
      <c r="C238" s="2"/>
      <c r="D238" s="3"/>
      <c r="E238" s="3"/>
      <c r="F238" s="4"/>
      <c r="G238" s="3"/>
      <c r="H238" s="3"/>
      <c r="I238" s="4"/>
      <c r="J238" s="3"/>
      <c r="K238" s="4"/>
      <c r="L238" s="4"/>
      <c r="M238" s="26">
        <f>_xlfn.CONCAT("'",$B238,"'","!","$C$3:$K$23")</f>
      </c>
      <c r="N238" s="26">
        <f>_xlfn.CONCAT("'",$B238,"'","!","$B$3:$B$22")</f>
      </c>
      <c r="O238" s="26">
        <f>_xlfn.CONCAT("'",$B238,"'","!","$C$2:$K$2")</f>
      </c>
      <c r="P238" s="2"/>
      <c r="Q238" s="2"/>
      <c r="R238" s="2"/>
      <c r="S238" s="2"/>
      <c r="T238" s="2"/>
      <c r="U238" s="2"/>
      <c r="V238" s="2"/>
      <c r="W238" s="2"/>
      <c r="X238" s="2"/>
      <c r="Y238" s="2"/>
    </row>
    <row x14ac:dyDescent="0.25" r="239" customHeight="1" ht="17.25">
      <c r="A239" s="3"/>
      <c r="B239" s="3"/>
      <c r="C239" s="2"/>
      <c r="D239" s="3"/>
      <c r="E239" s="3"/>
      <c r="F239" s="4"/>
      <c r="G239" s="3"/>
      <c r="H239" s="3"/>
      <c r="I239" s="4"/>
      <c r="J239" s="3"/>
      <c r="K239" s="4"/>
      <c r="L239" s="4"/>
      <c r="M239" s="26">
        <f>_xlfn.CONCAT("'",$B239,"'","!","$C$3:$K$23")</f>
      </c>
      <c r="N239" s="26">
        <f>_xlfn.CONCAT("'",$B239,"'","!","$B$3:$B$22")</f>
      </c>
      <c r="O239" s="26">
        <f>_xlfn.CONCAT("'",$B239,"'","!","$C$2:$K$2")</f>
      </c>
      <c r="P239" s="2"/>
      <c r="Q239" s="2"/>
      <c r="R239" s="2"/>
      <c r="S239" s="2"/>
      <c r="T239" s="2"/>
      <c r="U239" s="2"/>
      <c r="V239" s="2"/>
      <c r="W239" s="2"/>
      <c r="X239" s="2"/>
      <c r="Y239" s="2"/>
    </row>
    <row x14ac:dyDescent="0.25" r="240" customHeight="1" ht="17.25">
      <c r="A240" s="3"/>
      <c r="B240" s="3"/>
      <c r="C240" s="2"/>
      <c r="D240" s="3"/>
      <c r="E240" s="3"/>
      <c r="F240" s="4"/>
      <c r="G240" s="3"/>
      <c r="H240" s="3"/>
      <c r="I240" s="4"/>
      <c r="J240" s="3"/>
      <c r="K240" s="4"/>
      <c r="L240" s="4"/>
      <c r="M240" s="26">
        <f>_xlfn.CONCAT("'",$B240,"'","!","$C$3:$K$23")</f>
      </c>
      <c r="N240" s="26">
        <f>_xlfn.CONCAT("'",$B240,"'","!","$B$3:$B$22")</f>
      </c>
      <c r="O240" s="26">
        <f>_xlfn.CONCAT("'",$B240,"'","!","$C$2:$K$2")</f>
      </c>
      <c r="P240" s="2"/>
      <c r="Q240" s="2"/>
      <c r="R240" s="2"/>
      <c r="S240" s="2"/>
      <c r="T240" s="2"/>
      <c r="U240" s="2"/>
      <c r="V240" s="2"/>
      <c r="W240" s="2"/>
      <c r="X240" s="2"/>
      <c r="Y240" s="2"/>
    </row>
    <row x14ac:dyDescent="0.25" r="241" customHeight="1" ht="17.25">
      <c r="A241" s="3"/>
      <c r="B241" s="3"/>
      <c r="C241" s="2"/>
      <c r="D241" s="3"/>
      <c r="E241" s="3"/>
      <c r="F241" s="4"/>
      <c r="G241" s="3"/>
      <c r="H241" s="3"/>
      <c r="I241" s="4"/>
      <c r="J241" s="3"/>
      <c r="K241" s="4"/>
      <c r="L241" s="4"/>
      <c r="M241" s="26">
        <f>_xlfn.CONCAT("'",$B241,"'","!","$C$3:$K$23")</f>
      </c>
      <c r="N241" s="26">
        <f>_xlfn.CONCAT("'",$B241,"'","!","$B$3:$B$22")</f>
      </c>
      <c r="O241" s="26">
        <f>_xlfn.CONCAT("'",$B241,"'","!","$C$2:$K$2")</f>
      </c>
      <c r="P241" s="2"/>
      <c r="Q241" s="2"/>
      <c r="R241" s="2"/>
      <c r="S241" s="2"/>
      <c r="T241" s="2"/>
      <c r="U241" s="2"/>
      <c r="V241" s="2"/>
      <c r="W241" s="2"/>
      <c r="X241" s="2"/>
      <c r="Y241" s="2"/>
    </row>
    <row x14ac:dyDescent="0.25" r="242" customHeight="1" ht="17.25">
      <c r="A242" s="3"/>
      <c r="B242" s="3"/>
      <c r="C242" s="2"/>
      <c r="D242" s="3"/>
      <c r="E242" s="3"/>
      <c r="F242" s="4"/>
      <c r="G242" s="3"/>
      <c r="H242" s="3"/>
      <c r="I242" s="4"/>
      <c r="J242" s="3"/>
      <c r="K242" s="4"/>
      <c r="L242" s="4"/>
      <c r="M242" s="26">
        <f>_xlfn.CONCAT("'",$B242,"'","!","$C$3:$K$23")</f>
      </c>
      <c r="N242" s="26">
        <f>_xlfn.CONCAT("'",$B242,"'","!","$B$3:$B$22")</f>
      </c>
      <c r="O242" s="26">
        <f>_xlfn.CONCAT("'",$B242,"'","!","$C$2:$K$2")</f>
      </c>
      <c r="P242" s="2"/>
      <c r="Q242" s="2"/>
      <c r="R242" s="2"/>
      <c r="S242" s="2"/>
      <c r="T242" s="2"/>
      <c r="U242" s="2"/>
      <c r="V242" s="2"/>
      <c r="W242" s="2"/>
      <c r="X242" s="2"/>
      <c r="Y242" s="2"/>
    </row>
    <row x14ac:dyDescent="0.25" r="243" customHeight="1" ht="17.25">
      <c r="A243" s="3"/>
      <c r="B243" s="3"/>
      <c r="C243" s="2"/>
      <c r="D243" s="3"/>
      <c r="E243" s="3"/>
      <c r="F243" s="4"/>
      <c r="G243" s="3"/>
      <c r="H243" s="3"/>
      <c r="I243" s="4"/>
      <c r="J243" s="3"/>
      <c r="K243" s="4"/>
      <c r="L243" s="4"/>
      <c r="M243" s="26">
        <f>_xlfn.CONCAT("'",$B243,"'","!","$C$3:$K$23")</f>
      </c>
      <c r="N243" s="26">
        <f>_xlfn.CONCAT("'",$B243,"'","!","$B$3:$B$22")</f>
      </c>
      <c r="O243" s="26">
        <f>_xlfn.CONCAT("'",$B243,"'","!","$C$2:$K$2")</f>
      </c>
      <c r="P243" s="2"/>
      <c r="Q243" s="2"/>
      <c r="R243" s="2"/>
      <c r="S243" s="2"/>
      <c r="T243" s="2"/>
      <c r="U243" s="2"/>
      <c r="V243" s="2"/>
      <c r="W243" s="2"/>
      <c r="X243" s="2"/>
      <c r="Y243" s="2"/>
    </row>
    <row x14ac:dyDescent="0.25" r="244" customHeight="1" ht="17.25">
      <c r="A244" s="3"/>
      <c r="B244" s="3"/>
      <c r="C244" s="2"/>
      <c r="D244" s="3"/>
      <c r="E244" s="3"/>
      <c r="F244" s="4"/>
      <c r="G244" s="3"/>
      <c r="H244" s="3"/>
      <c r="I244" s="4"/>
      <c r="J244" s="3"/>
      <c r="K244" s="4"/>
      <c r="L244" s="4"/>
      <c r="M244" s="26">
        <f>_xlfn.CONCAT("'",$B244,"'","!","$C$3:$K$23")</f>
      </c>
      <c r="N244" s="26">
        <f>_xlfn.CONCAT("'",$B244,"'","!","$B$3:$B$22")</f>
      </c>
      <c r="O244" s="26">
        <f>_xlfn.CONCAT("'",$B244,"'","!","$C$2:$K$2")</f>
      </c>
      <c r="P244" s="2"/>
      <c r="Q244" s="2"/>
      <c r="R244" s="2"/>
      <c r="S244" s="2"/>
      <c r="T244" s="2"/>
      <c r="U244" s="2"/>
      <c r="V244" s="2"/>
      <c r="W244" s="2"/>
      <c r="X244" s="2"/>
      <c r="Y244" s="2"/>
    </row>
    <row x14ac:dyDescent="0.25" r="245" customHeight="1" ht="17.25">
      <c r="A245" s="3"/>
      <c r="B245" s="3"/>
      <c r="C245" s="2"/>
      <c r="D245" s="3"/>
      <c r="E245" s="3"/>
      <c r="F245" s="4"/>
      <c r="G245" s="3"/>
      <c r="H245" s="3"/>
      <c r="I245" s="4"/>
      <c r="J245" s="3"/>
      <c r="K245" s="4"/>
      <c r="L245" s="4"/>
      <c r="M245" s="26">
        <f>_xlfn.CONCAT("'",$B245,"'","!","$C$3:$K$23")</f>
      </c>
      <c r="N245" s="26">
        <f>_xlfn.CONCAT("'",$B245,"'","!","$B$3:$B$22")</f>
      </c>
      <c r="O245" s="26">
        <f>_xlfn.CONCAT("'",$B245,"'","!","$C$2:$K$2")</f>
      </c>
      <c r="P245" s="2"/>
      <c r="Q245" s="2"/>
      <c r="R245" s="2"/>
      <c r="S245" s="2"/>
      <c r="T245" s="2"/>
      <c r="U245" s="2"/>
      <c r="V245" s="2"/>
      <c r="W245" s="2"/>
      <c r="X245" s="2"/>
      <c r="Y245" s="2"/>
    </row>
    <row x14ac:dyDescent="0.25" r="246" customHeight="1" ht="17.25">
      <c r="A246" s="3"/>
      <c r="B246" s="3"/>
      <c r="C246" s="2"/>
      <c r="D246" s="3"/>
      <c r="E246" s="3"/>
      <c r="F246" s="4"/>
      <c r="G246" s="3"/>
      <c r="H246" s="3"/>
      <c r="I246" s="4"/>
      <c r="J246" s="3"/>
      <c r="K246" s="4"/>
      <c r="L246" s="4"/>
      <c r="M246" s="26">
        <f>_xlfn.CONCAT("'",$B246,"'","!","$C$3:$K$23")</f>
      </c>
      <c r="N246" s="26">
        <f>_xlfn.CONCAT("'",$B246,"'","!","$B$3:$B$22")</f>
      </c>
      <c r="O246" s="26">
        <f>_xlfn.CONCAT("'",$B246,"'","!","$C$2:$K$2")</f>
      </c>
      <c r="P246" s="2"/>
      <c r="Q246" s="2"/>
      <c r="R246" s="2"/>
      <c r="S246" s="2"/>
      <c r="T246" s="2"/>
      <c r="U246" s="2"/>
      <c r="V246" s="2"/>
      <c r="W246" s="2"/>
      <c r="X246" s="2"/>
      <c r="Y246" s="2"/>
    </row>
    <row x14ac:dyDescent="0.25" r="247" customHeight="1" ht="17.25">
      <c r="A247" s="3"/>
      <c r="B247" s="3"/>
      <c r="C247" s="2"/>
      <c r="D247" s="3"/>
      <c r="E247" s="3"/>
      <c r="F247" s="4"/>
      <c r="G247" s="3"/>
      <c r="H247" s="3"/>
      <c r="I247" s="4"/>
      <c r="J247" s="3"/>
      <c r="K247" s="4"/>
      <c r="L247" s="4"/>
      <c r="M247" s="26">
        <f>_xlfn.CONCAT("'",$B247,"'","!","$C$3:$K$23")</f>
      </c>
      <c r="N247" s="26">
        <f>_xlfn.CONCAT("'",$B247,"'","!","$B$3:$B$22")</f>
      </c>
      <c r="O247" s="26">
        <f>_xlfn.CONCAT("'",$B247,"'","!","$C$2:$K$2")</f>
      </c>
      <c r="P247" s="2"/>
      <c r="Q247" s="2"/>
      <c r="R247" s="2"/>
      <c r="S247" s="2"/>
      <c r="T247" s="2"/>
      <c r="U247" s="2"/>
      <c r="V247" s="2"/>
      <c r="W247" s="2"/>
      <c r="X247" s="2"/>
      <c r="Y247" s="2"/>
    </row>
    <row x14ac:dyDescent="0.25" r="248" customHeight="1" ht="17.25">
      <c r="A248" s="3"/>
      <c r="B248" s="3"/>
      <c r="C248" s="2"/>
      <c r="D248" s="3"/>
      <c r="E248" s="3"/>
      <c r="F248" s="4"/>
      <c r="G248" s="3"/>
      <c r="H248" s="3"/>
      <c r="I248" s="4"/>
      <c r="J248" s="3"/>
      <c r="K248" s="4"/>
      <c r="L248" s="4"/>
      <c r="M248" s="26">
        <f>_xlfn.CONCAT("'",$B248,"'","!","$C$3:$K$23")</f>
      </c>
      <c r="N248" s="26">
        <f>_xlfn.CONCAT("'",$B248,"'","!","$B$3:$B$22")</f>
      </c>
      <c r="O248" s="26">
        <f>_xlfn.CONCAT("'",$B248,"'","!","$C$2:$K$2")</f>
      </c>
      <c r="P248" s="2"/>
      <c r="Q248" s="2"/>
      <c r="R248" s="2"/>
      <c r="S248" s="2"/>
      <c r="T248" s="2"/>
      <c r="U248" s="2"/>
      <c r="V248" s="2"/>
      <c r="W248" s="2"/>
      <c r="X248" s="2"/>
      <c r="Y248" s="2"/>
    </row>
    <row x14ac:dyDescent="0.25" r="249" customHeight="1" ht="17.25">
      <c r="A249" s="3"/>
      <c r="B249" s="3"/>
      <c r="C249" s="2"/>
      <c r="D249" s="3"/>
      <c r="E249" s="3"/>
      <c r="F249" s="4"/>
      <c r="G249" s="3"/>
      <c r="H249" s="3"/>
      <c r="I249" s="4"/>
      <c r="J249" s="3"/>
      <c r="K249" s="4"/>
      <c r="L249" s="4"/>
      <c r="M249" s="26">
        <f>_xlfn.CONCAT("'",$B249,"'","!","$C$3:$K$23")</f>
      </c>
      <c r="N249" s="26">
        <f>_xlfn.CONCAT("'",$B249,"'","!","$B$3:$B$22")</f>
      </c>
      <c r="O249" s="26">
        <f>_xlfn.CONCAT("'",$B249,"'","!","$C$2:$K$2")</f>
      </c>
      <c r="P249" s="2"/>
      <c r="Q249" s="2"/>
      <c r="R249" s="2"/>
      <c r="S249" s="2"/>
      <c r="T249" s="2"/>
      <c r="U249" s="2"/>
      <c r="V249" s="2"/>
      <c r="W249" s="2"/>
      <c r="X249" s="2"/>
      <c r="Y249" s="2"/>
    </row>
    <row x14ac:dyDescent="0.25" r="250" customHeight="1" ht="17.25">
      <c r="A250" s="3"/>
      <c r="B250" s="3"/>
      <c r="C250" s="2"/>
      <c r="D250" s="3"/>
      <c r="E250" s="3"/>
      <c r="F250" s="4"/>
      <c r="G250" s="3"/>
      <c r="H250" s="3"/>
      <c r="I250" s="4"/>
      <c r="J250" s="3"/>
      <c r="K250" s="4"/>
      <c r="L250" s="4"/>
      <c r="M250" s="26">
        <f>_xlfn.CONCAT("'",$B250,"'","!","$C$3:$K$23")</f>
      </c>
      <c r="N250" s="26">
        <f>_xlfn.CONCAT("'",$B250,"'","!","$B$3:$B$22")</f>
      </c>
      <c r="O250" s="26">
        <f>_xlfn.CONCAT("'",$B250,"'","!","$C$2:$K$2")</f>
      </c>
      <c r="P250" s="2"/>
      <c r="Q250" s="2"/>
      <c r="R250" s="2"/>
      <c r="S250" s="2"/>
      <c r="T250" s="2"/>
      <c r="U250" s="2"/>
      <c r="V250" s="2"/>
      <c r="W250" s="2"/>
      <c r="X250" s="2"/>
      <c r="Y250" s="2"/>
    </row>
    <row x14ac:dyDescent="0.25" r="251" customHeight="1" ht="17.25">
      <c r="A251" s="3"/>
      <c r="B251" s="3"/>
      <c r="C251" s="2"/>
      <c r="D251" s="3"/>
      <c r="E251" s="3"/>
      <c r="F251" s="4"/>
      <c r="G251" s="3"/>
      <c r="H251" s="3"/>
      <c r="I251" s="4"/>
      <c r="J251" s="3"/>
      <c r="K251" s="4"/>
      <c r="L251" s="4"/>
      <c r="M251" s="26">
        <f>_xlfn.CONCAT("'",$B251,"'","!","$C$3:$K$23")</f>
      </c>
      <c r="N251" s="26">
        <f>_xlfn.CONCAT("'",$B251,"'","!","$B$3:$B$22")</f>
      </c>
      <c r="O251" s="26">
        <f>_xlfn.CONCAT("'",$B251,"'","!","$C$2:$K$2")</f>
      </c>
      <c r="P251" s="2"/>
      <c r="Q251" s="2"/>
      <c r="R251" s="2"/>
      <c r="S251" s="2"/>
      <c r="T251" s="2"/>
      <c r="U251" s="2"/>
      <c r="V251" s="2"/>
      <c r="W251" s="2"/>
      <c r="X251" s="2"/>
      <c r="Y251" s="2"/>
    </row>
    <row x14ac:dyDescent="0.25" r="252" customHeight="1" ht="17.25">
      <c r="A252" s="3"/>
      <c r="B252" s="3"/>
      <c r="C252" s="2"/>
      <c r="D252" s="3"/>
      <c r="E252" s="3"/>
      <c r="F252" s="4"/>
      <c r="G252" s="3"/>
      <c r="H252" s="3"/>
      <c r="I252" s="4"/>
      <c r="J252" s="3"/>
      <c r="K252" s="4"/>
      <c r="L252" s="4"/>
      <c r="M252" s="26">
        <f>_xlfn.CONCAT("'",$B252,"'","!","$C$3:$K$23")</f>
      </c>
      <c r="N252" s="26">
        <f>_xlfn.CONCAT("'",$B252,"'","!","$B$3:$B$22")</f>
      </c>
      <c r="O252" s="26">
        <f>_xlfn.CONCAT("'",$B252,"'","!","$C$2:$K$2")</f>
      </c>
      <c r="P252" s="2"/>
      <c r="Q252" s="2"/>
      <c r="R252" s="2"/>
      <c r="S252" s="2"/>
      <c r="T252" s="2"/>
      <c r="U252" s="2"/>
      <c r="V252" s="2"/>
      <c r="W252" s="2"/>
      <c r="X252" s="2"/>
      <c r="Y252" s="2"/>
    </row>
    <row x14ac:dyDescent="0.25" r="253" customHeight="1" ht="17.25">
      <c r="A253" s="3"/>
      <c r="B253" s="3"/>
      <c r="C253" s="2"/>
      <c r="D253" s="3"/>
      <c r="E253" s="3"/>
      <c r="F253" s="4"/>
      <c r="G253" s="3"/>
      <c r="H253" s="3"/>
      <c r="I253" s="4"/>
      <c r="J253" s="3"/>
      <c r="K253" s="4"/>
      <c r="L253" s="4"/>
      <c r="M253" s="26">
        <f>_xlfn.CONCAT("'",$B253,"'","!","$C$3:$K$23")</f>
      </c>
      <c r="N253" s="26">
        <f>_xlfn.CONCAT("'",$B253,"'","!","$B$3:$B$22")</f>
      </c>
      <c r="O253" s="26">
        <f>_xlfn.CONCAT("'",$B253,"'","!","$C$2:$K$2")</f>
      </c>
      <c r="P253" s="2"/>
      <c r="Q253" s="2"/>
      <c r="R253" s="2"/>
      <c r="S253" s="2"/>
      <c r="T253" s="2"/>
      <c r="U253" s="2"/>
      <c r="V253" s="2"/>
      <c r="W253" s="2"/>
      <c r="X253" s="2"/>
      <c r="Y253" s="2"/>
    </row>
    <row x14ac:dyDescent="0.25" r="254" customHeight="1" ht="17.25">
      <c r="A254" s="3"/>
      <c r="B254" s="3"/>
      <c r="C254" s="2"/>
      <c r="D254" s="3"/>
      <c r="E254" s="3"/>
      <c r="F254" s="4"/>
      <c r="G254" s="3"/>
      <c r="H254" s="3"/>
      <c r="I254" s="4"/>
      <c r="J254" s="3"/>
      <c r="K254" s="4"/>
      <c r="L254" s="4"/>
      <c r="M254" s="26">
        <f>_xlfn.CONCAT("'",$B254,"'","!","$C$3:$K$23")</f>
      </c>
      <c r="N254" s="26">
        <f>_xlfn.CONCAT("'",$B254,"'","!","$B$3:$B$22")</f>
      </c>
      <c r="O254" s="26">
        <f>_xlfn.CONCAT("'",$B254,"'","!","$C$2:$K$2")</f>
      </c>
      <c r="P254" s="2"/>
      <c r="Q254" s="2"/>
      <c r="R254" s="2"/>
      <c r="S254" s="2"/>
      <c r="T254" s="2"/>
      <c r="U254" s="2"/>
      <c r="V254" s="2"/>
      <c r="W254" s="2"/>
      <c r="X254" s="2"/>
      <c r="Y254" s="2"/>
    </row>
    <row x14ac:dyDescent="0.25" r="255" customHeight="1" ht="17.25">
      <c r="A255" s="3"/>
      <c r="B255" s="3"/>
      <c r="C255" s="2"/>
      <c r="D255" s="3"/>
      <c r="E255" s="3"/>
      <c r="F255" s="4"/>
      <c r="G255" s="3"/>
      <c r="H255" s="3"/>
      <c r="I255" s="4"/>
      <c r="J255" s="3"/>
      <c r="K255" s="4"/>
      <c r="L255" s="4"/>
      <c r="M255" s="26">
        <f>_xlfn.CONCAT("'",$B255,"'","!","$C$3:$K$23")</f>
      </c>
      <c r="N255" s="26">
        <f>_xlfn.CONCAT("'",$B255,"'","!","$B$3:$B$22")</f>
      </c>
      <c r="O255" s="26">
        <f>_xlfn.CONCAT("'",$B255,"'","!","$C$2:$K$2")</f>
      </c>
      <c r="P255" s="2"/>
      <c r="Q255" s="2"/>
      <c r="R255" s="2"/>
      <c r="S255" s="2"/>
      <c r="T255" s="2"/>
      <c r="U255" s="2"/>
      <c r="V255" s="2"/>
      <c r="W255" s="2"/>
      <c r="X255" s="2"/>
      <c r="Y255" s="2"/>
    </row>
    <row x14ac:dyDescent="0.25" r="256" customHeight="1" ht="17.25">
      <c r="A256" s="3"/>
      <c r="B256" s="3"/>
      <c r="C256" s="2"/>
      <c r="D256" s="3"/>
      <c r="E256" s="3"/>
      <c r="F256" s="4"/>
      <c r="G256" s="3"/>
      <c r="H256" s="3"/>
      <c r="I256" s="4"/>
      <c r="J256" s="3"/>
      <c r="K256" s="4"/>
      <c r="L256" s="4"/>
      <c r="M256" s="26">
        <f>_xlfn.CONCAT("'",$B256,"'","!","$C$3:$K$23")</f>
      </c>
      <c r="N256" s="26">
        <f>_xlfn.CONCAT("'",$B256,"'","!","$B$3:$B$22")</f>
      </c>
      <c r="O256" s="26">
        <f>_xlfn.CONCAT("'",$B256,"'","!","$C$2:$K$2")</f>
      </c>
      <c r="P256" s="2"/>
      <c r="Q256" s="2"/>
      <c r="R256" s="2"/>
      <c r="S256" s="2"/>
      <c r="T256" s="2"/>
      <c r="U256" s="2"/>
      <c r="V256" s="2"/>
      <c r="W256" s="2"/>
      <c r="X256" s="2"/>
      <c r="Y256" s="2"/>
    </row>
    <row x14ac:dyDescent="0.25" r="257" customHeight="1" ht="17.25">
      <c r="A257" s="3"/>
      <c r="B257" s="3"/>
      <c r="C257" s="2"/>
      <c r="D257" s="3"/>
      <c r="E257" s="3"/>
      <c r="F257" s="4"/>
      <c r="G257" s="3"/>
      <c r="H257" s="3"/>
      <c r="I257" s="4"/>
      <c r="J257" s="3"/>
      <c r="K257" s="4"/>
      <c r="L257" s="4"/>
      <c r="M257" s="26">
        <f>_xlfn.CONCAT("'",$B257,"'","!","$C$3:$K$23")</f>
      </c>
      <c r="N257" s="26">
        <f>_xlfn.CONCAT("'",$B257,"'","!","$B$3:$B$22")</f>
      </c>
      <c r="O257" s="26">
        <f>_xlfn.CONCAT("'",$B257,"'","!","$C$2:$K$2")</f>
      </c>
      <c r="P257" s="2"/>
      <c r="Q257" s="2"/>
      <c r="R257" s="2"/>
      <c r="S257" s="2"/>
      <c r="T257" s="2"/>
      <c r="U257" s="2"/>
      <c r="V257" s="2"/>
      <c r="W257" s="2"/>
      <c r="X257" s="2"/>
      <c r="Y257" s="2"/>
    </row>
    <row x14ac:dyDescent="0.25" r="258" customHeight="1" ht="17.25">
      <c r="A258" s="3"/>
      <c r="B258" s="3"/>
      <c r="C258" s="2"/>
      <c r="D258" s="3"/>
      <c r="E258" s="3"/>
      <c r="F258" s="4"/>
      <c r="G258" s="3"/>
      <c r="H258" s="3"/>
      <c r="I258" s="4"/>
      <c r="J258" s="3"/>
      <c r="K258" s="4"/>
      <c r="L258" s="4"/>
      <c r="M258" s="26">
        <f>_xlfn.CONCAT("'",$B258,"'","!","$C$3:$K$23")</f>
      </c>
      <c r="N258" s="26">
        <f>_xlfn.CONCAT("'",$B258,"'","!","$B$3:$B$22")</f>
      </c>
      <c r="O258" s="26">
        <f>_xlfn.CONCAT("'",$B258,"'","!","$C$2:$K$2")</f>
      </c>
      <c r="P258" s="2"/>
      <c r="Q258" s="2"/>
      <c r="R258" s="2"/>
      <c r="S258" s="2"/>
      <c r="T258" s="2"/>
      <c r="U258" s="2"/>
      <c r="V258" s="2"/>
      <c r="W258" s="2"/>
      <c r="X258" s="2"/>
      <c r="Y258" s="2"/>
    </row>
    <row x14ac:dyDescent="0.25" r="259" customHeight="1" ht="17.25">
      <c r="A259" s="3"/>
      <c r="B259" s="3"/>
      <c r="C259" s="2"/>
      <c r="D259" s="3"/>
      <c r="E259" s="3"/>
      <c r="F259" s="4"/>
      <c r="G259" s="3"/>
      <c r="H259" s="3"/>
      <c r="I259" s="4"/>
      <c r="J259" s="3"/>
      <c r="K259" s="4"/>
      <c r="L259" s="4"/>
      <c r="M259" s="26">
        <f>_xlfn.CONCAT("'",$B259,"'","!","$C$3:$K$23")</f>
      </c>
      <c r="N259" s="26">
        <f>_xlfn.CONCAT("'",$B259,"'","!","$B$3:$B$22")</f>
      </c>
      <c r="O259" s="26">
        <f>_xlfn.CONCAT("'",$B259,"'","!","$C$2:$K$2")</f>
      </c>
      <c r="P259" s="2"/>
      <c r="Q259" s="2"/>
      <c r="R259" s="2"/>
      <c r="S259" s="2"/>
      <c r="T259" s="2"/>
      <c r="U259" s="2"/>
      <c r="V259" s="2"/>
      <c r="W259" s="2"/>
      <c r="X259" s="2"/>
      <c r="Y259" s="2"/>
    </row>
    <row x14ac:dyDescent="0.25" r="260" customHeight="1" ht="17.25">
      <c r="A260" s="3"/>
      <c r="B260" s="3"/>
      <c r="C260" s="2"/>
      <c r="D260" s="3"/>
      <c r="E260" s="3"/>
      <c r="F260" s="4"/>
      <c r="G260" s="3"/>
      <c r="H260" s="3"/>
      <c r="I260" s="4"/>
      <c r="J260" s="3"/>
      <c r="K260" s="4"/>
      <c r="L260" s="4"/>
      <c r="M260" s="26">
        <f>_xlfn.CONCAT("'",$B260,"'","!","$C$3:$K$23")</f>
      </c>
      <c r="N260" s="26">
        <f>_xlfn.CONCAT("'",$B260,"'","!","$B$3:$B$22")</f>
      </c>
      <c r="O260" s="26">
        <f>_xlfn.CONCAT("'",$B260,"'","!","$C$2:$K$2")</f>
      </c>
      <c r="P260" s="2"/>
      <c r="Q260" s="2"/>
      <c r="R260" s="2"/>
      <c r="S260" s="2"/>
      <c r="T260" s="2"/>
      <c r="U260" s="2"/>
      <c r="V260" s="2"/>
      <c r="W260" s="2"/>
      <c r="X260" s="2"/>
      <c r="Y260" s="2"/>
    </row>
    <row x14ac:dyDescent="0.25" r="261" customHeight="1" ht="17.25">
      <c r="A261" s="3"/>
      <c r="B261" s="3"/>
      <c r="C261" s="2"/>
      <c r="D261" s="3"/>
      <c r="E261" s="3"/>
      <c r="F261" s="4"/>
      <c r="G261" s="3"/>
      <c r="H261" s="3"/>
      <c r="I261" s="4"/>
      <c r="J261" s="3"/>
      <c r="K261" s="4"/>
      <c r="L261" s="4"/>
      <c r="M261" s="26">
        <f>_xlfn.CONCAT("'",$B261,"'","!","$C$3:$K$23")</f>
      </c>
      <c r="N261" s="26">
        <f>_xlfn.CONCAT("'",$B261,"'","!","$B$3:$B$22")</f>
      </c>
      <c r="O261" s="26">
        <f>_xlfn.CONCAT("'",$B261,"'","!","$C$2:$K$2")</f>
      </c>
      <c r="P261" s="2"/>
      <c r="Q261" s="2"/>
      <c r="R261" s="2"/>
      <c r="S261" s="2"/>
      <c r="T261" s="2"/>
      <c r="U261" s="2"/>
      <c r="V261" s="2"/>
      <c r="W261" s="2"/>
      <c r="X261" s="2"/>
      <c r="Y261" s="2"/>
    </row>
    <row x14ac:dyDescent="0.25" r="262" customHeight="1" ht="17.25">
      <c r="A262" s="3"/>
      <c r="B262" s="3"/>
      <c r="C262" s="2"/>
      <c r="D262" s="3"/>
      <c r="E262" s="3"/>
      <c r="F262" s="4"/>
      <c r="G262" s="3"/>
      <c r="H262" s="3"/>
      <c r="I262" s="4"/>
      <c r="J262" s="3"/>
      <c r="K262" s="4"/>
      <c r="L262" s="4"/>
      <c r="M262" s="26">
        <f>_xlfn.CONCAT("'",$B262,"'","!","$C$3:$K$23")</f>
      </c>
      <c r="N262" s="26">
        <f>_xlfn.CONCAT("'",$B262,"'","!","$B$3:$B$22")</f>
      </c>
      <c r="O262" s="26">
        <f>_xlfn.CONCAT("'",$B262,"'","!","$C$2:$K$2")</f>
      </c>
      <c r="P262" s="2"/>
      <c r="Q262" s="2"/>
      <c r="R262" s="2"/>
      <c r="S262" s="2"/>
      <c r="T262" s="2"/>
      <c r="U262" s="2"/>
      <c r="V262" s="2"/>
      <c r="W262" s="2"/>
      <c r="X262" s="2"/>
      <c r="Y262" s="2"/>
    </row>
    <row x14ac:dyDescent="0.25" r="263" customHeight="1" ht="17.25">
      <c r="A263" s="3"/>
      <c r="B263" s="3"/>
      <c r="C263" s="2"/>
      <c r="D263" s="3"/>
      <c r="E263" s="3"/>
      <c r="F263" s="4"/>
      <c r="G263" s="3"/>
      <c r="H263" s="3"/>
      <c r="I263" s="4"/>
      <c r="J263" s="3"/>
      <c r="K263" s="4"/>
      <c r="L263" s="4"/>
      <c r="M263" s="26">
        <f>_xlfn.CONCAT("'",$B263,"'","!","$C$3:$K$23")</f>
      </c>
      <c r="N263" s="26">
        <f>_xlfn.CONCAT("'",$B263,"'","!","$B$3:$B$22")</f>
      </c>
      <c r="O263" s="26">
        <f>_xlfn.CONCAT("'",$B263,"'","!","$C$2:$K$2")</f>
      </c>
      <c r="P263" s="2"/>
      <c r="Q263" s="2"/>
      <c r="R263" s="2"/>
      <c r="S263" s="2"/>
      <c r="T263" s="2"/>
      <c r="U263" s="2"/>
      <c r="V263" s="2"/>
      <c r="W263" s="2"/>
      <c r="X263" s="2"/>
      <c r="Y263" s="2"/>
    </row>
    <row x14ac:dyDescent="0.25" r="264" customHeight="1" ht="17.25">
      <c r="A264" s="3"/>
      <c r="B264" s="3"/>
      <c r="C264" s="2"/>
      <c r="D264" s="3"/>
      <c r="E264" s="3"/>
      <c r="F264" s="4"/>
      <c r="G264" s="3"/>
      <c r="H264" s="3"/>
      <c r="I264" s="4"/>
      <c r="J264" s="3"/>
      <c r="K264" s="4"/>
      <c r="L264" s="4"/>
      <c r="M264" s="26">
        <f>_xlfn.CONCAT("'",$B264,"'","!","$C$3:$K$23")</f>
      </c>
      <c r="N264" s="26">
        <f>_xlfn.CONCAT("'",$B264,"'","!","$B$3:$B$22")</f>
      </c>
      <c r="O264" s="26">
        <f>_xlfn.CONCAT("'",$B264,"'","!","$C$2:$K$2")</f>
      </c>
      <c r="P264" s="2"/>
      <c r="Q264" s="2"/>
      <c r="R264" s="2"/>
      <c r="S264" s="2"/>
      <c r="T264" s="2"/>
      <c r="U264" s="2"/>
      <c r="V264" s="2"/>
      <c r="W264" s="2"/>
      <c r="X264" s="2"/>
      <c r="Y264" s="2"/>
    </row>
    <row x14ac:dyDescent="0.25" r="265" customHeight="1" ht="17.25">
      <c r="A265" s="3"/>
      <c r="B265" s="3"/>
      <c r="C265" s="2"/>
      <c r="D265" s="3"/>
      <c r="E265" s="3"/>
      <c r="F265" s="4"/>
      <c r="G265" s="3"/>
      <c r="H265" s="3"/>
      <c r="I265" s="4"/>
      <c r="J265" s="3"/>
      <c r="K265" s="4"/>
      <c r="L265" s="4"/>
      <c r="M265" s="26">
        <f>_xlfn.CONCAT("'",$B265,"'","!","$C$3:$K$23")</f>
      </c>
      <c r="N265" s="26">
        <f>_xlfn.CONCAT("'",$B265,"'","!","$B$3:$B$22")</f>
      </c>
      <c r="O265" s="26">
        <f>_xlfn.CONCAT("'",$B265,"'","!","$C$2:$K$2")</f>
      </c>
      <c r="P265" s="2"/>
      <c r="Q265" s="2"/>
      <c r="R265" s="2"/>
      <c r="S265" s="2"/>
      <c r="T265" s="2"/>
      <c r="U265" s="2"/>
      <c r="V265" s="2"/>
      <c r="W265" s="2"/>
      <c r="X265" s="2"/>
      <c r="Y265" s="2"/>
    </row>
    <row x14ac:dyDescent="0.25" r="266" customHeight="1" ht="17.25">
      <c r="A266" s="3"/>
      <c r="B266" s="3"/>
      <c r="C266" s="2"/>
      <c r="D266" s="3"/>
      <c r="E266" s="3"/>
      <c r="F266" s="4"/>
      <c r="G266" s="3"/>
      <c r="H266" s="3"/>
      <c r="I266" s="4"/>
      <c r="J266" s="3"/>
      <c r="K266" s="4"/>
      <c r="L266" s="4"/>
      <c r="M266" s="26">
        <f>_xlfn.CONCAT("'",$B266,"'","!","$C$3:$K$23")</f>
      </c>
      <c r="N266" s="26">
        <f>_xlfn.CONCAT("'",$B266,"'","!","$B$3:$B$22")</f>
      </c>
      <c r="O266" s="26">
        <f>_xlfn.CONCAT("'",$B266,"'","!","$C$2:$K$2")</f>
      </c>
      <c r="P266" s="2"/>
      <c r="Q266" s="2"/>
      <c r="R266" s="2"/>
      <c r="S266" s="2"/>
      <c r="T266" s="2"/>
      <c r="U266" s="2"/>
      <c r="V266" s="2"/>
      <c r="W266" s="2"/>
      <c r="X266" s="2"/>
      <c r="Y266" s="2"/>
    </row>
    <row x14ac:dyDescent="0.25" r="267" customHeight="1" ht="17.25">
      <c r="A267" s="3"/>
      <c r="B267" s="3"/>
      <c r="C267" s="2"/>
      <c r="D267" s="3"/>
      <c r="E267" s="3"/>
      <c r="F267" s="4"/>
      <c r="G267" s="3"/>
      <c r="H267" s="3"/>
      <c r="I267" s="4"/>
      <c r="J267" s="3"/>
      <c r="K267" s="4"/>
      <c r="L267" s="4"/>
      <c r="M267" s="26">
        <f>_xlfn.CONCAT("'",$B267,"'","!","$C$3:$K$23")</f>
      </c>
      <c r="N267" s="26">
        <f>_xlfn.CONCAT("'",$B267,"'","!","$B$3:$B$22")</f>
      </c>
      <c r="O267" s="26">
        <f>_xlfn.CONCAT("'",$B267,"'","!","$C$2:$K$2")</f>
      </c>
      <c r="P267" s="2"/>
      <c r="Q267" s="2"/>
      <c r="R267" s="2"/>
      <c r="S267" s="2"/>
      <c r="T267" s="2"/>
      <c r="U267" s="2"/>
      <c r="V267" s="2"/>
      <c r="W267" s="2"/>
      <c r="X267" s="2"/>
      <c r="Y267" s="2"/>
    </row>
    <row x14ac:dyDescent="0.25" r="268" customHeight="1" ht="17.25">
      <c r="A268" s="3"/>
      <c r="B268" s="3"/>
      <c r="C268" s="2"/>
      <c r="D268" s="3"/>
      <c r="E268" s="3"/>
      <c r="F268" s="4"/>
      <c r="G268" s="3"/>
      <c r="H268" s="3"/>
      <c r="I268" s="4"/>
      <c r="J268" s="3"/>
      <c r="K268" s="4"/>
      <c r="L268" s="4"/>
      <c r="M268" s="26">
        <f>_xlfn.CONCAT("'",$B268,"'","!","$C$3:$K$23")</f>
      </c>
      <c r="N268" s="26">
        <f>_xlfn.CONCAT("'",$B268,"'","!","$B$3:$B$22")</f>
      </c>
      <c r="O268" s="26">
        <f>_xlfn.CONCAT("'",$B268,"'","!","$C$2:$K$2")</f>
      </c>
      <c r="P268" s="2"/>
      <c r="Q268" s="2"/>
      <c r="R268" s="2"/>
      <c r="S268" s="2"/>
      <c r="T268" s="2"/>
      <c r="U268" s="2"/>
      <c r="V268" s="2"/>
      <c r="W268" s="2"/>
      <c r="X268" s="2"/>
      <c r="Y268" s="2"/>
    </row>
    <row x14ac:dyDescent="0.25" r="269" customHeight="1" ht="17.25">
      <c r="A269" s="3"/>
      <c r="B269" s="3"/>
      <c r="C269" s="2"/>
      <c r="D269" s="3"/>
      <c r="E269" s="3"/>
      <c r="F269" s="4"/>
      <c r="G269" s="3"/>
      <c r="H269" s="3"/>
      <c r="I269" s="4"/>
      <c r="J269" s="3"/>
      <c r="K269" s="4"/>
      <c r="L269" s="4"/>
      <c r="M269" s="26">
        <f>_xlfn.CONCAT("'",$B269,"'","!","$C$3:$K$23")</f>
      </c>
      <c r="N269" s="26">
        <f>_xlfn.CONCAT("'",$B269,"'","!","$B$3:$B$22")</f>
      </c>
      <c r="O269" s="26">
        <f>_xlfn.CONCAT("'",$B269,"'","!","$C$2:$K$2")</f>
      </c>
      <c r="P269" s="2"/>
      <c r="Q269" s="2"/>
      <c r="R269" s="2"/>
      <c r="S269" s="2"/>
      <c r="T269" s="2"/>
      <c r="U269" s="2"/>
      <c r="V269" s="2"/>
      <c r="W269" s="2"/>
      <c r="X269" s="2"/>
      <c r="Y269" s="2"/>
    </row>
    <row x14ac:dyDescent="0.25" r="270" customHeight="1" ht="17.25">
      <c r="A270" s="3"/>
      <c r="B270" s="3"/>
      <c r="C270" s="2"/>
      <c r="D270" s="3"/>
      <c r="E270" s="3"/>
      <c r="F270" s="4"/>
      <c r="G270" s="3"/>
      <c r="H270" s="3"/>
      <c r="I270" s="4"/>
      <c r="J270" s="3"/>
      <c r="K270" s="4"/>
      <c r="L270" s="4"/>
      <c r="M270" s="26">
        <f>_xlfn.CONCAT("'",$B270,"'","!","$C$3:$K$23")</f>
      </c>
      <c r="N270" s="26">
        <f>_xlfn.CONCAT("'",$B270,"'","!","$B$3:$B$22")</f>
      </c>
      <c r="O270" s="26">
        <f>_xlfn.CONCAT("'",$B270,"'","!","$C$2:$K$2")</f>
      </c>
      <c r="P270" s="2"/>
      <c r="Q270" s="2"/>
      <c r="R270" s="2"/>
      <c r="S270" s="2"/>
      <c r="T270" s="2"/>
      <c r="U270" s="2"/>
      <c r="V270" s="2"/>
      <c r="W270" s="2"/>
      <c r="X270" s="2"/>
      <c r="Y270" s="2"/>
    </row>
    <row x14ac:dyDescent="0.25" r="271" customHeight="1" ht="17.25">
      <c r="A271" s="3"/>
      <c r="B271" s="3"/>
      <c r="C271" s="2"/>
      <c r="D271" s="3"/>
      <c r="E271" s="3"/>
      <c r="F271" s="4"/>
      <c r="G271" s="3"/>
      <c r="H271" s="3"/>
      <c r="I271" s="4"/>
      <c r="J271" s="3"/>
      <c r="K271" s="4"/>
      <c r="L271" s="4"/>
      <c r="M271" s="26">
        <f>_xlfn.CONCAT("'",$B271,"'","!","$C$3:$K$23")</f>
      </c>
      <c r="N271" s="26">
        <f>_xlfn.CONCAT("'",$B271,"'","!","$B$3:$B$22")</f>
      </c>
      <c r="O271" s="26">
        <f>_xlfn.CONCAT("'",$B271,"'","!","$C$2:$K$2")</f>
      </c>
      <c r="P271" s="2"/>
      <c r="Q271" s="2"/>
      <c r="R271" s="2"/>
      <c r="S271" s="2"/>
      <c r="T271" s="2"/>
      <c r="U271" s="2"/>
      <c r="V271" s="2"/>
      <c r="W271" s="2"/>
      <c r="X271" s="2"/>
      <c r="Y271" s="2"/>
    </row>
    <row x14ac:dyDescent="0.25" r="272" customHeight="1" ht="17.25">
      <c r="A272" s="3"/>
      <c r="B272" s="3"/>
      <c r="C272" s="2"/>
      <c r="D272" s="3"/>
      <c r="E272" s="3"/>
      <c r="F272" s="4"/>
      <c r="G272" s="3"/>
      <c r="H272" s="3"/>
      <c r="I272" s="4"/>
      <c r="J272" s="3"/>
      <c r="K272" s="4"/>
      <c r="L272" s="4"/>
      <c r="M272" s="26">
        <f>_xlfn.CONCAT("'",$B272,"'","!","$C$3:$K$23")</f>
      </c>
      <c r="N272" s="26">
        <f>_xlfn.CONCAT("'",$B272,"'","!","$B$3:$B$22")</f>
      </c>
      <c r="O272" s="26">
        <f>_xlfn.CONCAT("'",$B272,"'","!","$C$2:$K$2")</f>
      </c>
      <c r="P272" s="2"/>
      <c r="Q272" s="2"/>
      <c r="R272" s="2"/>
      <c r="S272" s="2"/>
      <c r="T272" s="2"/>
      <c r="U272" s="2"/>
      <c r="V272" s="2"/>
      <c r="W272" s="2"/>
      <c r="X272" s="2"/>
      <c r="Y272" s="2"/>
    </row>
    <row x14ac:dyDescent="0.25" r="273" customHeight="1" ht="17.25">
      <c r="A273" s="3"/>
      <c r="B273" s="3"/>
      <c r="C273" s="2"/>
      <c r="D273" s="3"/>
      <c r="E273" s="3"/>
      <c r="F273" s="4"/>
      <c r="G273" s="3"/>
      <c r="H273" s="3"/>
      <c r="I273" s="4"/>
      <c r="J273" s="3"/>
      <c r="K273" s="4"/>
      <c r="L273" s="4"/>
      <c r="M273" s="26">
        <f>_xlfn.CONCAT("'",$B273,"'","!","$C$3:$K$23")</f>
      </c>
      <c r="N273" s="26">
        <f>_xlfn.CONCAT("'",$B273,"'","!","$B$3:$B$22")</f>
      </c>
      <c r="O273" s="26">
        <f>_xlfn.CONCAT("'",$B273,"'","!","$C$2:$K$2")</f>
      </c>
      <c r="P273" s="2"/>
      <c r="Q273" s="2"/>
      <c r="R273" s="2"/>
      <c r="S273" s="2"/>
      <c r="T273" s="2"/>
      <c r="U273" s="2"/>
      <c r="V273" s="2"/>
      <c r="W273" s="2"/>
      <c r="X273" s="2"/>
      <c r="Y273" s="2"/>
    </row>
    <row x14ac:dyDescent="0.25" r="274" customHeight="1" ht="17.25">
      <c r="A274" s="3"/>
      <c r="B274" s="3"/>
      <c r="C274" s="2"/>
      <c r="D274" s="3"/>
      <c r="E274" s="3"/>
      <c r="F274" s="4"/>
      <c r="G274" s="3"/>
      <c r="H274" s="3"/>
      <c r="I274" s="4"/>
      <c r="J274" s="3"/>
      <c r="K274" s="4"/>
      <c r="L274" s="4"/>
      <c r="M274" s="26">
        <f>_xlfn.CONCAT("'",$B274,"'","!","$C$3:$K$23")</f>
      </c>
      <c r="N274" s="26">
        <f>_xlfn.CONCAT("'",$B274,"'","!","$B$3:$B$22")</f>
      </c>
      <c r="O274" s="26">
        <f>_xlfn.CONCAT("'",$B274,"'","!","$C$2:$K$2")</f>
      </c>
      <c r="P274" s="2"/>
      <c r="Q274" s="2"/>
      <c r="R274" s="2"/>
      <c r="S274" s="2"/>
      <c r="T274" s="2"/>
      <c r="U274" s="2"/>
      <c r="V274" s="2"/>
      <c r="W274" s="2"/>
      <c r="X274" s="2"/>
      <c r="Y274" s="2"/>
    </row>
    <row x14ac:dyDescent="0.25" r="275" customHeight="1" ht="17.25">
      <c r="A275" s="3"/>
      <c r="B275" s="3"/>
      <c r="C275" s="2"/>
      <c r="D275" s="3"/>
      <c r="E275" s="3"/>
      <c r="F275" s="4"/>
      <c r="G275" s="3"/>
      <c r="H275" s="3"/>
      <c r="I275" s="4"/>
      <c r="J275" s="3"/>
      <c r="K275" s="4"/>
      <c r="L275" s="4"/>
      <c r="M275" s="26">
        <f>_xlfn.CONCAT("'",$B275,"'","!","$C$3:$K$23")</f>
      </c>
      <c r="N275" s="26">
        <f>_xlfn.CONCAT("'",$B275,"'","!","$B$3:$B$22")</f>
      </c>
      <c r="O275" s="26">
        <f>_xlfn.CONCAT("'",$B275,"'","!","$C$2:$K$2")</f>
      </c>
      <c r="P275" s="2"/>
      <c r="Q275" s="2"/>
      <c r="R275" s="2"/>
      <c r="S275" s="2"/>
      <c r="T275" s="2"/>
      <c r="U275" s="2"/>
      <c r="V275" s="2"/>
      <c r="W275" s="2"/>
      <c r="X275" s="2"/>
      <c r="Y275" s="2"/>
    </row>
    <row x14ac:dyDescent="0.25" r="276" customHeight="1" ht="17.25">
      <c r="A276" s="3"/>
      <c r="B276" s="3"/>
      <c r="C276" s="2"/>
      <c r="D276" s="3"/>
      <c r="E276" s="3"/>
      <c r="F276" s="4"/>
      <c r="G276" s="3"/>
      <c r="H276" s="3"/>
      <c r="I276" s="4"/>
      <c r="J276" s="3"/>
      <c r="K276" s="4"/>
      <c r="L276" s="4"/>
      <c r="M276" s="26">
        <f>_xlfn.CONCAT("'",$B276,"'","!","$C$3:$K$23")</f>
      </c>
      <c r="N276" s="26">
        <f>_xlfn.CONCAT("'",$B276,"'","!","$B$3:$B$22")</f>
      </c>
      <c r="O276" s="26">
        <f>_xlfn.CONCAT("'",$B276,"'","!","$C$2:$K$2")</f>
      </c>
      <c r="P276" s="2"/>
      <c r="Q276" s="2"/>
      <c r="R276" s="2"/>
      <c r="S276" s="2"/>
      <c r="T276" s="2"/>
      <c r="U276" s="2"/>
      <c r="V276" s="2"/>
      <c r="W276" s="2"/>
      <c r="X276" s="2"/>
      <c r="Y276" s="2"/>
    </row>
    <row x14ac:dyDescent="0.25" r="277" customHeight="1" ht="17.25">
      <c r="A277" s="3"/>
      <c r="B277" s="3"/>
      <c r="C277" s="2"/>
      <c r="D277" s="3"/>
      <c r="E277" s="3"/>
      <c r="F277" s="4"/>
      <c r="G277" s="3"/>
      <c r="H277" s="3"/>
      <c r="I277" s="4"/>
      <c r="J277" s="3"/>
      <c r="K277" s="4"/>
      <c r="L277" s="4"/>
      <c r="M277" s="26">
        <f>_xlfn.CONCAT("'",$B277,"'","!","$C$3:$K$23")</f>
      </c>
      <c r="N277" s="26">
        <f>_xlfn.CONCAT("'",$B277,"'","!","$B$3:$B$22")</f>
      </c>
      <c r="O277" s="26">
        <f>_xlfn.CONCAT("'",$B277,"'","!","$C$2:$K$2")</f>
      </c>
      <c r="P277" s="2"/>
      <c r="Q277" s="2"/>
      <c r="R277" s="2"/>
      <c r="S277" s="2"/>
      <c r="T277" s="2"/>
      <c r="U277" s="2"/>
      <c r="V277" s="2"/>
      <c r="W277" s="2"/>
      <c r="X277" s="2"/>
      <c r="Y277" s="2"/>
    </row>
    <row x14ac:dyDescent="0.25" r="278" customHeight="1" ht="17.25">
      <c r="A278" s="3"/>
      <c r="B278" s="3"/>
      <c r="C278" s="2"/>
      <c r="D278" s="3"/>
      <c r="E278" s="3"/>
      <c r="F278" s="4"/>
      <c r="G278" s="3"/>
      <c r="H278" s="3"/>
      <c r="I278" s="4"/>
      <c r="J278" s="3"/>
      <c r="K278" s="4"/>
      <c r="L278" s="4"/>
      <c r="M278" s="26">
        <f>_xlfn.CONCAT("'",$B278,"'","!","$C$3:$K$23")</f>
      </c>
      <c r="N278" s="26">
        <f>_xlfn.CONCAT("'",$B278,"'","!","$B$3:$B$22")</f>
      </c>
      <c r="O278" s="26">
        <f>_xlfn.CONCAT("'",$B278,"'","!","$C$2:$K$2")</f>
      </c>
      <c r="P278" s="2"/>
      <c r="Q278" s="2"/>
      <c r="R278" s="2"/>
      <c r="S278" s="2"/>
      <c r="T278" s="2"/>
      <c r="U278" s="2"/>
      <c r="V278" s="2"/>
      <c r="W278" s="2"/>
      <c r="X278" s="2"/>
      <c r="Y278" s="2"/>
    </row>
    <row x14ac:dyDescent="0.25" r="279" customHeight="1" ht="17.25">
      <c r="A279" s="3"/>
      <c r="B279" s="3"/>
      <c r="C279" s="2"/>
      <c r="D279" s="3"/>
      <c r="E279" s="3"/>
      <c r="F279" s="4"/>
      <c r="G279" s="3"/>
      <c r="H279" s="3"/>
      <c r="I279" s="4"/>
      <c r="J279" s="3"/>
      <c r="K279" s="4"/>
      <c r="L279" s="4"/>
      <c r="M279" s="26">
        <f>_xlfn.CONCAT("'",$B279,"'","!","$C$3:$K$23")</f>
      </c>
      <c r="N279" s="26">
        <f>_xlfn.CONCAT("'",$B279,"'","!","$B$3:$B$22")</f>
      </c>
      <c r="O279" s="26">
        <f>_xlfn.CONCAT("'",$B279,"'","!","$C$2:$K$2")</f>
      </c>
      <c r="P279" s="2"/>
      <c r="Q279" s="2"/>
      <c r="R279" s="2"/>
      <c r="S279" s="2"/>
      <c r="T279" s="2"/>
      <c r="U279" s="2"/>
      <c r="V279" s="2"/>
      <c r="W279" s="2"/>
      <c r="X279" s="2"/>
      <c r="Y279" s="2"/>
    </row>
    <row x14ac:dyDescent="0.25" r="280" customHeight="1" ht="17.25">
      <c r="A280" s="3"/>
      <c r="B280" s="3"/>
      <c r="C280" s="2"/>
      <c r="D280" s="3"/>
      <c r="E280" s="3"/>
      <c r="F280" s="4"/>
      <c r="G280" s="3"/>
      <c r="H280" s="3"/>
      <c r="I280" s="4"/>
      <c r="J280" s="3"/>
      <c r="K280" s="4"/>
      <c r="L280" s="4"/>
      <c r="M280" s="26">
        <f>_xlfn.CONCAT("'",$B280,"'","!","$C$3:$K$23")</f>
      </c>
      <c r="N280" s="26">
        <f>_xlfn.CONCAT("'",$B280,"'","!","$B$3:$B$22")</f>
      </c>
      <c r="O280" s="26">
        <f>_xlfn.CONCAT("'",$B280,"'","!","$C$2:$K$2")</f>
      </c>
      <c r="P280" s="2"/>
      <c r="Q280" s="2"/>
      <c r="R280" s="2"/>
      <c r="S280" s="2"/>
      <c r="T280" s="2"/>
      <c r="U280" s="2"/>
      <c r="V280" s="2"/>
      <c r="W280" s="2"/>
      <c r="X280" s="2"/>
      <c r="Y280" s="2"/>
    </row>
    <row x14ac:dyDescent="0.25" r="281" customHeight="1" ht="17.25">
      <c r="A281" s="3"/>
      <c r="B281" s="3"/>
      <c r="C281" s="2"/>
      <c r="D281" s="3"/>
      <c r="E281" s="3"/>
      <c r="F281" s="4"/>
      <c r="G281" s="3"/>
      <c r="H281" s="3"/>
      <c r="I281" s="4"/>
      <c r="J281" s="3"/>
      <c r="K281" s="4"/>
      <c r="L281" s="4"/>
      <c r="M281" s="26">
        <f>_xlfn.CONCAT("'",$B281,"'","!","$C$3:$K$23")</f>
      </c>
      <c r="N281" s="26">
        <f>_xlfn.CONCAT("'",$B281,"'","!","$B$3:$B$22")</f>
      </c>
      <c r="O281" s="26">
        <f>_xlfn.CONCAT("'",$B281,"'","!","$C$2:$K$2")</f>
      </c>
      <c r="P281" s="2"/>
      <c r="Q281" s="2"/>
      <c r="R281" s="2"/>
      <c r="S281" s="2"/>
      <c r="T281" s="2"/>
      <c r="U281" s="2"/>
      <c r="V281" s="2"/>
      <c r="W281" s="2"/>
      <c r="X281" s="2"/>
      <c r="Y281" s="2"/>
    </row>
    <row x14ac:dyDescent="0.25" r="282" customHeight="1" ht="17.25">
      <c r="A282" s="3"/>
      <c r="B282" s="3"/>
      <c r="C282" s="2"/>
      <c r="D282" s="3"/>
      <c r="E282" s="3"/>
      <c r="F282" s="4"/>
      <c r="G282" s="3"/>
      <c r="H282" s="3"/>
      <c r="I282" s="4"/>
      <c r="J282" s="3"/>
      <c r="K282" s="4"/>
      <c r="L282" s="4"/>
      <c r="M282" s="26">
        <f>_xlfn.CONCAT("'",$B282,"'","!","$C$3:$K$23")</f>
      </c>
      <c r="N282" s="26">
        <f>_xlfn.CONCAT("'",$B282,"'","!","$B$3:$B$22")</f>
      </c>
      <c r="O282" s="26">
        <f>_xlfn.CONCAT("'",$B282,"'","!","$C$2:$K$2")</f>
      </c>
      <c r="P282" s="2"/>
      <c r="Q282" s="2"/>
      <c r="R282" s="2"/>
      <c r="S282" s="2"/>
      <c r="T282" s="2"/>
      <c r="U282" s="2"/>
      <c r="V282" s="2"/>
      <c r="W282" s="2"/>
      <c r="X282" s="2"/>
      <c r="Y282" s="2"/>
    </row>
    <row x14ac:dyDescent="0.25" r="283" customHeight="1" ht="17.25">
      <c r="A283" s="3"/>
      <c r="B283" s="3"/>
      <c r="C283" s="2"/>
      <c r="D283" s="3"/>
      <c r="E283" s="3"/>
      <c r="F283" s="4"/>
      <c r="G283" s="3"/>
      <c r="H283" s="3"/>
      <c r="I283" s="4"/>
      <c r="J283" s="3"/>
      <c r="K283" s="4"/>
      <c r="L283" s="4"/>
      <c r="M283" s="26">
        <f>_xlfn.CONCAT("'",$B283,"'","!","$C$3:$K$23")</f>
      </c>
      <c r="N283" s="26">
        <f>_xlfn.CONCAT("'",$B283,"'","!","$B$3:$B$22")</f>
      </c>
      <c r="O283" s="26">
        <f>_xlfn.CONCAT("'",$B283,"'","!","$C$2:$K$2")</f>
      </c>
      <c r="P283" s="2"/>
      <c r="Q283" s="2"/>
      <c r="R283" s="2"/>
      <c r="S283" s="2"/>
      <c r="T283" s="2"/>
      <c r="U283" s="2"/>
      <c r="V283" s="2"/>
      <c r="W283" s="2"/>
      <c r="X283" s="2"/>
      <c r="Y283" s="2"/>
    </row>
    <row x14ac:dyDescent="0.25" r="284" customHeight="1" ht="17.25">
      <c r="A284" s="3"/>
      <c r="B284" s="3"/>
      <c r="C284" s="2"/>
      <c r="D284" s="3"/>
      <c r="E284" s="3"/>
      <c r="F284" s="4"/>
      <c r="G284" s="3"/>
      <c r="H284" s="3"/>
      <c r="I284" s="4"/>
      <c r="J284" s="3"/>
      <c r="K284" s="4"/>
      <c r="L284" s="4"/>
      <c r="M284" s="26">
        <f>_xlfn.CONCAT("'",$B284,"'","!","$C$3:$K$23")</f>
      </c>
      <c r="N284" s="26">
        <f>_xlfn.CONCAT("'",$B284,"'","!","$B$3:$B$22")</f>
      </c>
      <c r="O284" s="26">
        <f>_xlfn.CONCAT("'",$B284,"'","!","$C$2:$K$2")</f>
      </c>
      <c r="P284" s="2"/>
      <c r="Q284" s="2"/>
      <c r="R284" s="2"/>
      <c r="S284" s="2"/>
      <c r="T284" s="2"/>
      <c r="U284" s="2"/>
      <c r="V284" s="2"/>
      <c r="W284" s="2"/>
      <c r="X284" s="2"/>
      <c r="Y284" s="2"/>
    </row>
    <row x14ac:dyDescent="0.25" r="285" customHeight="1" ht="17.25">
      <c r="A285" s="3"/>
      <c r="B285" s="3"/>
      <c r="C285" s="2"/>
      <c r="D285" s="3"/>
      <c r="E285" s="3"/>
      <c r="F285" s="4"/>
      <c r="G285" s="3"/>
      <c r="H285" s="3"/>
      <c r="I285" s="4"/>
      <c r="J285" s="3"/>
      <c r="K285" s="4"/>
      <c r="L285" s="4"/>
      <c r="M285" s="26">
        <f>_xlfn.CONCAT("'",$B285,"'","!","$C$3:$K$23")</f>
      </c>
      <c r="N285" s="26">
        <f>_xlfn.CONCAT("'",$B285,"'","!","$B$3:$B$22")</f>
      </c>
      <c r="O285" s="26">
        <f>_xlfn.CONCAT("'",$B285,"'","!","$C$2:$K$2")</f>
      </c>
      <c r="P285" s="2"/>
      <c r="Q285" s="2"/>
      <c r="R285" s="2"/>
      <c r="S285" s="2"/>
      <c r="T285" s="2"/>
      <c r="U285" s="2"/>
      <c r="V285" s="2"/>
      <c r="W285" s="2"/>
      <c r="X285" s="2"/>
      <c r="Y285" s="2"/>
    </row>
    <row x14ac:dyDescent="0.25" r="286" customHeight="1" ht="17.25">
      <c r="A286" s="3"/>
      <c r="B286" s="3"/>
      <c r="C286" s="2"/>
      <c r="D286" s="3"/>
      <c r="E286" s="3"/>
      <c r="F286" s="4"/>
      <c r="G286" s="3"/>
      <c r="H286" s="3"/>
      <c r="I286" s="4"/>
      <c r="J286" s="3"/>
      <c r="K286" s="4"/>
      <c r="L286" s="4"/>
      <c r="M286" s="26">
        <f>_xlfn.CONCAT("'",$B286,"'","!","$C$3:$K$23")</f>
      </c>
      <c r="N286" s="26">
        <f>_xlfn.CONCAT("'",$B286,"'","!","$B$3:$B$22")</f>
      </c>
      <c r="O286" s="26">
        <f>_xlfn.CONCAT("'",$B286,"'","!","$C$2:$K$2")</f>
      </c>
      <c r="P286" s="2"/>
      <c r="Q286" s="2"/>
      <c r="R286" s="2"/>
      <c r="S286" s="2"/>
      <c r="T286" s="2"/>
      <c r="U286" s="2"/>
      <c r="V286" s="2"/>
      <c r="W286" s="2"/>
      <c r="X286" s="2"/>
      <c r="Y286" s="2"/>
    </row>
    <row x14ac:dyDescent="0.25" r="287" customHeight="1" ht="17.25">
      <c r="A287" s="3"/>
      <c r="B287" s="3"/>
      <c r="C287" s="2"/>
      <c r="D287" s="3"/>
      <c r="E287" s="3"/>
      <c r="F287" s="4"/>
      <c r="G287" s="3"/>
      <c r="H287" s="3"/>
      <c r="I287" s="4"/>
      <c r="J287" s="3"/>
      <c r="K287" s="4"/>
      <c r="L287" s="4"/>
      <c r="M287" s="26">
        <f>_xlfn.CONCAT("'",$B287,"'","!","$C$3:$K$23")</f>
      </c>
      <c r="N287" s="26">
        <f>_xlfn.CONCAT("'",$B287,"'","!","$B$3:$B$22")</f>
      </c>
      <c r="O287" s="26">
        <f>_xlfn.CONCAT("'",$B287,"'","!","$C$2:$K$2")</f>
      </c>
      <c r="P287" s="2"/>
      <c r="Q287" s="2"/>
      <c r="R287" s="2"/>
      <c r="S287" s="2"/>
      <c r="T287" s="2"/>
      <c r="U287" s="2"/>
      <c r="V287" s="2"/>
      <c r="W287" s="2"/>
      <c r="X287" s="2"/>
      <c r="Y287" s="2"/>
    </row>
    <row x14ac:dyDescent="0.25" r="288" customHeight="1" ht="17.25">
      <c r="A288" s="3"/>
      <c r="B288" s="3"/>
      <c r="C288" s="2"/>
      <c r="D288" s="3"/>
      <c r="E288" s="3"/>
      <c r="F288" s="4"/>
      <c r="G288" s="3"/>
      <c r="H288" s="3"/>
      <c r="I288" s="4"/>
      <c r="J288" s="3"/>
      <c r="K288" s="4"/>
      <c r="L288" s="4"/>
      <c r="M288" s="26">
        <f>_xlfn.CONCAT("'",$B288,"'","!","$C$3:$K$23")</f>
      </c>
      <c r="N288" s="26">
        <f>_xlfn.CONCAT("'",$B288,"'","!","$B$3:$B$22")</f>
      </c>
      <c r="O288" s="26">
        <f>_xlfn.CONCAT("'",$B288,"'","!","$C$2:$K$2")</f>
      </c>
      <c r="P288" s="2"/>
      <c r="Q288" s="2"/>
      <c r="R288" s="2"/>
      <c r="S288" s="2"/>
      <c r="T288" s="2"/>
      <c r="U288" s="2"/>
      <c r="V288" s="2"/>
      <c r="W288" s="2"/>
      <c r="X288" s="2"/>
      <c r="Y288" s="2"/>
    </row>
    <row x14ac:dyDescent="0.25" r="289" customHeight="1" ht="17.25">
      <c r="A289" s="3"/>
      <c r="B289" s="3"/>
      <c r="C289" s="2"/>
      <c r="D289" s="3"/>
      <c r="E289" s="3"/>
      <c r="F289" s="4"/>
      <c r="G289" s="3"/>
      <c r="H289" s="3"/>
      <c r="I289" s="4"/>
      <c r="J289" s="3"/>
      <c r="K289" s="4"/>
      <c r="L289" s="4"/>
      <c r="M289" s="26">
        <f>_xlfn.CONCAT("'",$B289,"'","!","$C$3:$K$23")</f>
      </c>
      <c r="N289" s="26">
        <f>_xlfn.CONCAT("'",$B289,"'","!","$B$3:$B$22")</f>
      </c>
      <c r="O289" s="26">
        <f>_xlfn.CONCAT("'",$B289,"'","!","$C$2:$K$2")</f>
      </c>
      <c r="P289" s="2"/>
      <c r="Q289" s="2"/>
      <c r="R289" s="2"/>
      <c r="S289" s="2"/>
      <c r="T289" s="2"/>
      <c r="U289" s="2"/>
      <c r="V289" s="2"/>
      <c r="W289" s="2"/>
      <c r="X289" s="2"/>
      <c r="Y289" s="2"/>
    </row>
    <row x14ac:dyDescent="0.25" r="290" customHeight="1" ht="17.25">
      <c r="A290" s="3"/>
      <c r="B290" s="3"/>
      <c r="C290" s="2"/>
      <c r="D290" s="3"/>
      <c r="E290" s="3"/>
      <c r="F290" s="4"/>
      <c r="G290" s="3"/>
      <c r="H290" s="3"/>
      <c r="I290" s="4"/>
      <c r="J290" s="3"/>
      <c r="K290" s="4"/>
      <c r="L290" s="4"/>
      <c r="M290" s="26">
        <f>_xlfn.CONCAT("'",$B290,"'","!","$C$3:$K$23")</f>
      </c>
      <c r="N290" s="26">
        <f>_xlfn.CONCAT("'",$B290,"'","!","$B$3:$B$22")</f>
      </c>
      <c r="O290" s="26">
        <f>_xlfn.CONCAT("'",$B290,"'","!","$C$2:$K$2")</f>
      </c>
      <c r="P290" s="2"/>
      <c r="Q290" s="2"/>
      <c r="R290" s="2"/>
      <c r="S290" s="2"/>
      <c r="T290" s="2"/>
      <c r="U290" s="2"/>
      <c r="V290" s="2"/>
      <c r="W290" s="2"/>
      <c r="X290" s="2"/>
      <c r="Y290" s="2"/>
    </row>
    <row x14ac:dyDescent="0.25" r="291" customHeight="1" ht="17.25">
      <c r="A291" s="3"/>
      <c r="B291" s="3"/>
      <c r="C291" s="2"/>
      <c r="D291" s="3"/>
      <c r="E291" s="3"/>
      <c r="F291" s="4"/>
      <c r="G291" s="3"/>
      <c r="H291" s="3"/>
      <c r="I291" s="4"/>
      <c r="J291" s="3"/>
      <c r="K291" s="4"/>
      <c r="L291" s="4"/>
      <c r="M291" s="26">
        <f>_xlfn.CONCAT("'",$B291,"'","!","$C$3:$K$23")</f>
      </c>
      <c r="N291" s="26">
        <f>_xlfn.CONCAT("'",$B291,"'","!","$B$3:$B$22")</f>
      </c>
      <c r="O291" s="26">
        <f>_xlfn.CONCAT("'",$B291,"'","!","$C$2:$K$2")</f>
      </c>
      <c r="P291" s="2"/>
      <c r="Q291" s="2"/>
      <c r="R291" s="2"/>
      <c r="S291" s="2"/>
      <c r="T291" s="2"/>
      <c r="U291" s="2"/>
      <c r="V291" s="2"/>
      <c r="W291" s="2"/>
      <c r="X291" s="2"/>
      <c r="Y291" s="2"/>
    </row>
    <row x14ac:dyDescent="0.25" r="292" customHeight="1" ht="17.25">
      <c r="A292" s="3"/>
      <c r="B292" s="3"/>
      <c r="C292" s="2"/>
      <c r="D292" s="3"/>
      <c r="E292" s="3"/>
      <c r="F292" s="4"/>
      <c r="G292" s="3"/>
      <c r="H292" s="3"/>
      <c r="I292" s="4"/>
      <c r="J292" s="3"/>
      <c r="K292" s="4"/>
      <c r="L292" s="4"/>
      <c r="M292" s="26">
        <f>_xlfn.CONCAT("'",$B292,"'","!","$C$3:$K$23")</f>
      </c>
      <c r="N292" s="26">
        <f>_xlfn.CONCAT("'",$B292,"'","!","$B$3:$B$22")</f>
      </c>
      <c r="O292" s="26">
        <f>_xlfn.CONCAT("'",$B292,"'","!","$C$2:$K$2")</f>
      </c>
      <c r="P292" s="2"/>
      <c r="Q292" s="2"/>
      <c r="R292" s="2"/>
      <c r="S292" s="2"/>
      <c r="T292" s="2"/>
      <c r="U292" s="2"/>
      <c r="V292" s="2"/>
      <c r="W292" s="2"/>
      <c r="X292" s="2"/>
      <c r="Y292" s="2"/>
    </row>
    <row x14ac:dyDescent="0.25" r="293" customHeight="1" ht="17.25">
      <c r="A293" s="3"/>
      <c r="B293" s="3"/>
      <c r="C293" s="2"/>
      <c r="D293" s="3"/>
      <c r="E293" s="3"/>
      <c r="F293" s="4"/>
      <c r="G293" s="3"/>
      <c r="H293" s="3"/>
      <c r="I293" s="4"/>
      <c r="J293" s="3"/>
      <c r="K293" s="4"/>
      <c r="L293" s="4"/>
      <c r="M293" s="26">
        <f>_xlfn.CONCAT("'",$B293,"'","!","$C$3:$K$23")</f>
      </c>
      <c r="N293" s="26">
        <f>_xlfn.CONCAT("'",$B293,"'","!","$B$3:$B$22")</f>
      </c>
      <c r="O293" s="26">
        <f>_xlfn.CONCAT("'",$B293,"'","!","$C$2:$K$2")</f>
      </c>
      <c r="P293" s="2"/>
      <c r="Q293" s="2"/>
      <c r="R293" s="2"/>
      <c r="S293" s="2"/>
      <c r="T293" s="2"/>
      <c r="U293" s="2"/>
      <c r="V293" s="2"/>
      <c r="W293" s="2"/>
      <c r="X293" s="2"/>
      <c r="Y293" s="2"/>
    </row>
    <row x14ac:dyDescent="0.25" r="294" customHeight="1" ht="17.25">
      <c r="A294" s="3"/>
      <c r="B294" s="3"/>
      <c r="C294" s="2"/>
      <c r="D294" s="3"/>
      <c r="E294" s="3"/>
      <c r="F294" s="4"/>
      <c r="G294" s="3"/>
      <c r="H294" s="3"/>
      <c r="I294" s="4"/>
      <c r="J294" s="3"/>
      <c r="K294" s="4"/>
      <c r="L294" s="4"/>
      <c r="M294" s="26">
        <f>_xlfn.CONCAT("'",$B294,"'","!","$C$3:$K$23")</f>
      </c>
      <c r="N294" s="26">
        <f>_xlfn.CONCAT("'",$B294,"'","!","$B$3:$B$22")</f>
      </c>
      <c r="O294" s="26">
        <f>_xlfn.CONCAT("'",$B294,"'","!","$C$2:$K$2")</f>
      </c>
      <c r="P294" s="2"/>
      <c r="Q294" s="2"/>
      <c r="R294" s="2"/>
      <c r="S294" s="2"/>
      <c r="T294" s="2"/>
      <c r="U294" s="2"/>
      <c r="V294" s="2"/>
      <c r="W294" s="2"/>
      <c r="X294" s="2"/>
      <c r="Y294" s="2"/>
    </row>
    <row x14ac:dyDescent="0.25" r="295" customHeight="1" ht="17.25">
      <c r="A295" s="3"/>
      <c r="B295" s="3"/>
      <c r="C295" s="2"/>
      <c r="D295" s="3"/>
      <c r="E295" s="3"/>
      <c r="F295" s="4"/>
      <c r="G295" s="3"/>
      <c r="H295" s="3"/>
      <c r="I295" s="4"/>
      <c r="J295" s="3"/>
      <c r="K295" s="4"/>
      <c r="L295" s="4"/>
      <c r="M295" s="26">
        <f>_xlfn.CONCAT("'",$B295,"'","!","$C$3:$K$23")</f>
      </c>
      <c r="N295" s="26">
        <f>_xlfn.CONCAT("'",$B295,"'","!","$B$3:$B$22")</f>
      </c>
      <c r="O295" s="26">
        <f>_xlfn.CONCAT("'",$B295,"'","!","$C$2:$K$2")</f>
      </c>
      <c r="P295" s="2"/>
      <c r="Q295" s="2"/>
      <c r="R295" s="2"/>
      <c r="S295" s="2"/>
      <c r="T295" s="2"/>
      <c r="U295" s="2"/>
      <c r="V295" s="2"/>
      <c r="W295" s="2"/>
      <c r="X295" s="2"/>
      <c r="Y295" s="2"/>
    </row>
    <row x14ac:dyDescent="0.25" r="296" customHeight="1" ht="17.25">
      <c r="A296" s="3"/>
      <c r="B296" s="3"/>
      <c r="C296" s="2"/>
      <c r="D296" s="3"/>
      <c r="E296" s="3"/>
      <c r="F296" s="4"/>
      <c r="G296" s="3"/>
      <c r="H296" s="3"/>
      <c r="I296" s="4"/>
      <c r="J296" s="3"/>
      <c r="K296" s="4"/>
      <c r="L296" s="4"/>
      <c r="M296" s="26">
        <f>_xlfn.CONCAT("'",$B296,"'","!","$C$3:$K$23")</f>
      </c>
      <c r="N296" s="26">
        <f>_xlfn.CONCAT("'",$B296,"'","!","$B$3:$B$22")</f>
      </c>
      <c r="O296" s="26">
        <f>_xlfn.CONCAT("'",$B296,"'","!","$C$2:$K$2")</f>
      </c>
      <c r="P296" s="2"/>
      <c r="Q296" s="2"/>
      <c r="R296" s="2"/>
      <c r="S296" s="2"/>
      <c r="T296" s="2"/>
      <c r="U296" s="2"/>
      <c r="V296" s="2"/>
      <c r="W296" s="2"/>
      <c r="X296" s="2"/>
      <c r="Y296" s="2"/>
    </row>
    <row x14ac:dyDescent="0.25" r="297" customHeight="1" ht="17.25">
      <c r="A297" s="3"/>
      <c r="B297" s="3"/>
      <c r="C297" s="2"/>
      <c r="D297" s="3"/>
      <c r="E297" s="3"/>
      <c r="F297" s="4"/>
      <c r="G297" s="3"/>
      <c r="H297" s="3"/>
      <c r="I297" s="4"/>
      <c r="J297" s="3"/>
      <c r="K297" s="4"/>
      <c r="L297" s="4"/>
      <c r="M297" s="26">
        <f>_xlfn.CONCAT("'",$B297,"'","!","$C$3:$K$23")</f>
      </c>
      <c r="N297" s="26">
        <f>_xlfn.CONCAT("'",$B297,"'","!","$B$3:$B$22")</f>
      </c>
      <c r="O297" s="26">
        <f>_xlfn.CONCAT("'",$B297,"'","!","$C$2:$K$2")</f>
      </c>
      <c r="P297" s="2"/>
      <c r="Q297" s="2"/>
      <c r="R297" s="2"/>
      <c r="S297" s="2"/>
      <c r="T297" s="2"/>
      <c r="U297" s="2"/>
      <c r="V297" s="2"/>
      <c r="W297" s="2"/>
      <c r="X297" s="2"/>
      <c r="Y297" s="2"/>
    </row>
    <row x14ac:dyDescent="0.25" r="298" customHeight="1" ht="17.25">
      <c r="A298" s="3"/>
      <c r="B298" s="3"/>
      <c r="C298" s="2"/>
      <c r="D298" s="3"/>
      <c r="E298" s="3"/>
      <c r="F298" s="4"/>
      <c r="G298" s="3"/>
      <c r="H298" s="3"/>
      <c r="I298" s="4"/>
      <c r="J298" s="3"/>
      <c r="K298" s="4"/>
      <c r="L298" s="4"/>
      <c r="M298" s="26">
        <f>_xlfn.CONCAT("'",$B298,"'","!","$C$3:$K$23")</f>
      </c>
      <c r="N298" s="26">
        <f>_xlfn.CONCAT("'",$B298,"'","!","$B$3:$B$22")</f>
      </c>
      <c r="O298" s="26">
        <f>_xlfn.CONCAT("'",$B298,"'","!","$C$2:$K$2")</f>
      </c>
      <c r="P298" s="2"/>
      <c r="Q298" s="2"/>
      <c r="R298" s="2"/>
      <c r="S298" s="2"/>
      <c r="T298" s="2"/>
      <c r="U298" s="2"/>
      <c r="V298" s="2"/>
      <c r="W298" s="2"/>
      <c r="X298" s="2"/>
      <c r="Y298" s="2"/>
    </row>
    <row x14ac:dyDescent="0.25" r="299" customHeight="1" ht="17.25">
      <c r="A299" s="3"/>
      <c r="B299" s="3"/>
      <c r="C299" s="2"/>
      <c r="D299" s="3"/>
      <c r="E299" s="3"/>
      <c r="F299" s="4"/>
      <c r="G299" s="3"/>
      <c r="H299" s="3"/>
      <c r="I299" s="4"/>
      <c r="J299" s="3"/>
      <c r="K299" s="4"/>
      <c r="L299" s="4"/>
      <c r="M299" s="26">
        <f>_xlfn.CONCAT("'",$B299,"'","!","$C$3:$K$23")</f>
      </c>
      <c r="N299" s="26">
        <f>_xlfn.CONCAT("'",$B299,"'","!","$B$3:$B$22")</f>
      </c>
      <c r="O299" s="26">
        <f>_xlfn.CONCAT("'",$B299,"'","!","$C$2:$K$2")</f>
      </c>
      <c r="P299" s="2"/>
      <c r="Q299" s="2"/>
      <c r="R299" s="2"/>
      <c r="S299" s="2"/>
      <c r="T299" s="2"/>
      <c r="U299" s="2"/>
      <c r="V299" s="2"/>
      <c r="W299" s="2"/>
      <c r="X299" s="2"/>
      <c r="Y299" s="2"/>
    </row>
    <row x14ac:dyDescent="0.25" r="300" customHeight="1" ht="17.25">
      <c r="A300" s="3"/>
      <c r="B300" s="3"/>
      <c r="C300" s="2"/>
      <c r="D300" s="3"/>
      <c r="E300" s="3"/>
      <c r="F300" s="4"/>
      <c r="G300" s="3"/>
      <c r="H300" s="3"/>
      <c r="I300" s="4"/>
      <c r="J300" s="3"/>
      <c r="K300" s="4"/>
      <c r="L300" s="4"/>
      <c r="M300" s="26">
        <f>_xlfn.CONCAT("'",$B300,"'","!","$C$3:$K$23")</f>
      </c>
      <c r="N300" s="26">
        <f>_xlfn.CONCAT("'",$B300,"'","!","$B$3:$B$22")</f>
      </c>
      <c r="O300" s="26">
        <f>_xlfn.CONCAT("'",$B300,"'","!","$C$2:$K$2")</f>
      </c>
      <c r="P300" s="2"/>
      <c r="Q300" s="2"/>
      <c r="R300" s="2"/>
      <c r="S300" s="2"/>
      <c r="T300" s="2"/>
      <c r="U300" s="2"/>
      <c r="V300" s="2"/>
      <c r="W300" s="2"/>
      <c r="X300" s="2"/>
      <c r="Y300" s="2"/>
    </row>
    <row x14ac:dyDescent="0.25" r="301" customHeight="1" ht="17.25">
      <c r="A301" s="3"/>
      <c r="B301" s="3"/>
      <c r="C301" s="2"/>
      <c r="D301" s="3"/>
      <c r="E301" s="3"/>
      <c r="F301" s="4"/>
      <c r="G301" s="3"/>
      <c r="H301" s="3"/>
      <c r="I301" s="4"/>
      <c r="J301" s="3"/>
      <c r="K301" s="4"/>
      <c r="L301" s="4"/>
      <c r="M301" s="26">
        <f>_xlfn.CONCAT("'",$B301,"'","!","$C$3:$K$23")</f>
      </c>
      <c r="N301" s="26">
        <f>_xlfn.CONCAT("'",$B301,"'","!","$B$3:$B$22")</f>
      </c>
      <c r="O301" s="26">
        <f>_xlfn.CONCAT("'",$B301,"'","!","$C$2:$K$2")</f>
      </c>
      <c r="P301" s="2"/>
      <c r="Q301" s="2"/>
      <c r="R301" s="2"/>
      <c r="S301" s="2"/>
      <c r="T301" s="2"/>
      <c r="U301" s="2"/>
      <c r="V301" s="2"/>
      <c r="W301" s="2"/>
      <c r="X301" s="2"/>
      <c r="Y301" s="2"/>
    </row>
    <row x14ac:dyDescent="0.25" r="302" customHeight="1" ht="17.25">
      <c r="A302" s="3"/>
      <c r="B302" s="3"/>
      <c r="C302" s="2"/>
      <c r="D302" s="3"/>
      <c r="E302" s="3"/>
      <c r="F302" s="4"/>
      <c r="G302" s="3"/>
      <c r="H302" s="3"/>
      <c r="I302" s="4"/>
      <c r="J302" s="3"/>
      <c r="K302" s="4"/>
      <c r="L302" s="4"/>
      <c r="M302" s="26">
        <f>_xlfn.CONCAT("'",$B302,"'","!","$C$3:$K$23")</f>
      </c>
      <c r="N302" s="26">
        <f>_xlfn.CONCAT("'",$B302,"'","!","$B$3:$B$22")</f>
      </c>
      <c r="O302" s="26">
        <f>_xlfn.CONCAT("'",$B302,"'","!","$C$2:$K$2")</f>
      </c>
      <c r="P302" s="2"/>
      <c r="Q302" s="2"/>
      <c r="R302" s="2"/>
      <c r="S302" s="2"/>
      <c r="T302" s="2"/>
      <c r="U302" s="2"/>
      <c r="V302" s="2"/>
      <c r="W302" s="2"/>
      <c r="X302" s="2"/>
      <c r="Y302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Y632"/>
  <sheetViews>
    <sheetView workbookViewId="0" tabSelected="1">
      <pane state="frozen" activePane="bottomLeft" topLeftCell="A3" ySplit="2" xSplit="0"/>
    </sheetView>
  </sheetViews>
  <sheetFormatPr defaultRowHeight="15" x14ac:dyDescent="0.25"/>
  <cols>
    <col min="1" max="1" style="15" width="12.576428571428572" customWidth="1" bestFit="1"/>
    <col min="2" max="2" style="15" width="7.719285714285714" customWidth="1" bestFit="1"/>
    <col min="3" max="3" style="13" width="14.719285714285713" customWidth="1" bestFit="1"/>
    <col min="4" max="4" style="15" width="15.290714285714287" customWidth="1" bestFit="1"/>
    <col min="5" max="5" style="15" width="23.290714285714284" customWidth="1" bestFit="1"/>
    <col min="6" max="6" style="16" width="27.719285714285714" customWidth="1" bestFit="1"/>
    <col min="7" max="7" style="15" width="21.14785714285714" customWidth="1" bestFit="1"/>
    <col min="8" max="8" style="15" width="25.14785714285714" customWidth="1" bestFit="1"/>
    <col min="9" max="9" style="16" width="29.005" customWidth="1" bestFit="1"/>
    <col min="10" max="10" style="15" width="24.719285714285714" customWidth="1" bestFit="1"/>
    <col min="11" max="11" style="16" width="34.14785714285715" customWidth="1" bestFit="1"/>
    <col min="12" max="12" style="16" width="53.57642857142857" customWidth="1" bestFit="1"/>
    <col min="13" max="13" style="31" width="12.147857142857141" customWidth="1" bestFit="1"/>
    <col min="14" max="14" style="31" width="12.147857142857141" customWidth="1" bestFit="1"/>
    <col min="15" max="15" style="31" width="16.005" customWidth="1" bestFit="1"/>
    <col min="16" max="16" style="13" width="12.576428571428572" customWidth="1" bestFit="1"/>
    <col min="17" max="17" style="13" width="12.576428571428572" customWidth="1" bestFit="1"/>
    <col min="18" max="18" style="13" width="12.576428571428572" customWidth="1" bestFit="1"/>
    <col min="19" max="19" style="13" width="12.576428571428572" customWidth="1" bestFit="1"/>
    <col min="20" max="20" style="13" width="12.576428571428572" customWidth="1" bestFit="1"/>
    <col min="21" max="21" style="13" width="12.576428571428572" customWidth="1" bestFit="1"/>
    <col min="22" max="22" style="13" width="12.576428571428572" customWidth="1" bestFit="1"/>
    <col min="23" max="23" style="13" width="12.576428571428572" customWidth="1" bestFit="1"/>
    <col min="24" max="24" style="13" width="10.719285714285713" customWidth="1" bestFit="1"/>
    <col min="25" max="25" style="13" width="35.29071428571429" customWidth="1" bestFit="1"/>
  </cols>
  <sheetData>
    <row x14ac:dyDescent="0.25" r="1" customHeight="1" ht="17.25">
      <c r="A1" s="6"/>
      <c r="B1" s="6"/>
      <c r="C1" s="2"/>
      <c r="D1" s="17" t="s">
        <v>2</v>
      </c>
      <c r="E1" s="6"/>
      <c r="F1" s="7"/>
      <c r="G1" s="17" t="s">
        <v>3</v>
      </c>
      <c r="H1" s="6"/>
      <c r="I1" s="7"/>
      <c r="J1" s="18" t="s">
        <v>4</v>
      </c>
      <c r="K1" s="7"/>
      <c r="L1" s="7"/>
      <c r="M1" s="19"/>
      <c r="N1" s="19"/>
      <c r="O1" s="19"/>
      <c r="P1" s="2"/>
      <c r="Q1" s="2"/>
      <c r="R1" s="2"/>
      <c r="S1" s="2"/>
      <c r="T1" s="2"/>
      <c r="U1" s="2"/>
      <c r="V1" s="2"/>
      <c r="W1" s="2"/>
      <c r="X1" s="2"/>
      <c r="Y1" s="2"/>
    </row>
    <row x14ac:dyDescent="0.25" r="2" customHeight="1" ht="17.25">
      <c r="A2" s="18" t="s">
        <v>0</v>
      </c>
      <c r="B2" s="18" t="s">
        <v>100</v>
      </c>
      <c r="C2" s="20" t="s">
        <v>14</v>
      </c>
      <c r="D2" s="17" t="s">
        <v>6</v>
      </c>
      <c r="E2" s="18" t="s">
        <v>7</v>
      </c>
      <c r="F2" s="21" t="s">
        <v>8</v>
      </c>
      <c r="G2" s="17" t="s">
        <v>9</v>
      </c>
      <c r="H2" s="18" t="s">
        <v>10</v>
      </c>
      <c r="I2" s="21" t="s">
        <v>11</v>
      </c>
      <c r="J2" s="18" t="s">
        <v>12</v>
      </c>
      <c r="K2" s="21" t="s">
        <v>13</v>
      </c>
      <c r="L2" s="21" t="s">
        <v>5</v>
      </c>
      <c r="M2" s="22" t="s">
        <v>101</v>
      </c>
      <c r="N2" s="22" t="s">
        <v>102</v>
      </c>
      <c r="O2" s="22" t="s">
        <v>103</v>
      </c>
      <c r="P2" s="2"/>
      <c r="Q2" s="2"/>
      <c r="R2" s="2"/>
      <c r="S2" s="2"/>
      <c r="T2" s="2"/>
      <c r="U2" s="2"/>
      <c r="V2" s="2"/>
      <c r="W2" s="2"/>
      <c r="X2" s="2"/>
      <c r="Y2" s="2"/>
    </row>
    <row x14ac:dyDescent="0.25" r="3" customHeight="1" ht="19.5">
      <c r="A3" s="10">
        <v>1</v>
      </c>
      <c r="B3" s="10">
        <v>2015</v>
      </c>
      <c r="C3" s="2" t="s">
        <v>104</v>
      </c>
      <c r="D3" s="23">
        <v>50</v>
      </c>
      <c r="E3" s="10">
        <v>654164626</v>
      </c>
      <c r="F3" s="24">
        <v>654.164626</v>
      </c>
      <c r="G3" s="23">
        <v>38</v>
      </c>
      <c r="H3" s="10">
        <v>248564520</v>
      </c>
      <c r="I3" s="24">
        <v>248.56452</v>
      </c>
      <c r="J3" s="5" t="s">
        <v>16</v>
      </c>
      <c r="K3" s="25" t="s">
        <v>16</v>
      </c>
      <c r="L3" s="24">
        <v>902.729146</v>
      </c>
      <c r="M3" s="26">
        <f>_xlfn.CONCAT("'",$B3,"'","!","$N$3:$V$80")</f>
      </c>
      <c r="N3" s="26">
        <f>_xlfn.CONCAT("'",$B3,"'","!","$M$2:$M$80")</f>
      </c>
      <c r="O3" s="26">
        <f>_xlfn.CONCAT("'",$B3,"'","!","$N$2:$W$2")</f>
      </c>
      <c r="P3" s="2"/>
      <c r="Q3" s="2"/>
      <c r="R3" s="2"/>
      <c r="S3" s="2"/>
      <c r="T3" s="2"/>
      <c r="U3" s="2"/>
      <c r="V3" s="27"/>
      <c r="W3" s="2"/>
      <c r="X3" s="2"/>
      <c r="Y3" s="2"/>
    </row>
    <row x14ac:dyDescent="0.25" r="4" customHeight="1" ht="19.5">
      <c r="A4" s="10">
        <v>2</v>
      </c>
      <c r="B4" s="10">
        <v>2015</v>
      </c>
      <c r="C4" s="2" t="s">
        <v>105</v>
      </c>
      <c r="D4" s="23">
        <v>136</v>
      </c>
      <c r="E4" s="10">
        <v>150582243</v>
      </c>
      <c r="F4" s="24">
        <v>150.582243</v>
      </c>
      <c r="G4" s="23">
        <v>107</v>
      </c>
      <c r="H4" s="10">
        <v>3512455324</v>
      </c>
      <c r="I4" s="24">
        <v>3512.455324</v>
      </c>
      <c r="J4" s="5" t="s">
        <v>16</v>
      </c>
      <c r="K4" s="25" t="s">
        <v>16</v>
      </c>
      <c r="L4" s="24">
        <v>3663.037567</v>
      </c>
      <c r="M4" s="26">
        <f>_xlfn.CONCAT("'",$B4,"'","!","$N$3:$V$80")</f>
      </c>
      <c r="N4" s="26">
        <f>_xlfn.CONCAT("'",$B4,"'","!","$M$2:$M$80")</f>
      </c>
      <c r="O4" s="26">
        <f>_xlfn.CONCAT("'",$B4,"'","!","$N$2:$W$2")</f>
      </c>
      <c r="P4" s="2"/>
      <c r="Q4" s="2"/>
      <c r="R4" s="2"/>
      <c r="S4" s="2"/>
      <c r="T4" s="2"/>
      <c r="U4" s="2"/>
      <c r="V4" s="28"/>
      <c r="W4" s="2"/>
      <c r="X4" s="2"/>
      <c r="Y4" s="2"/>
    </row>
    <row x14ac:dyDescent="0.25" r="5" customHeight="1" ht="19.5">
      <c r="A5" s="10">
        <v>3</v>
      </c>
      <c r="B5" s="10">
        <v>2015</v>
      </c>
      <c r="C5" s="2" t="s">
        <v>106</v>
      </c>
      <c r="D5" s="23">
        <v>2</v>
      </c>
      <c r="E5" s="10">
        <v>2526800000</v>
      </c>
      <c r="F5" s="24">
        <v>2526.8</v>
      </c>
      <c r="G5" s="23">
        <v>0</v>
      </c>
      <c r="H5" s="10">
        <v>0</v>
      </c>
      <c r="I5" s="23">
        <v>0</v>
      </c>
      <c r="J5" s="5" t="s">
        <v>16</v>
      </c>
      <c r="K5" s="25" t="s">
        <v>16</v>
      </c>
      <c r="L5" s="24">
        <v>2526.8</v>
      </c>
      <c r="M5" s="29" t="s">
        <v>107</v>
      </c>
      <c r="N5" s="26">
        <f>_xlfn.CONCAT("'",$B5,"'","!","$M$2:$M$80")</f>
      </c>
      <c r="O5" s="26">
        <f>_xlfn.CONCAT("'",$B5,"'","!","$N$2:$W$2")</f>
      </c>
      <c r="P5" s="2"/>
      <c r="Q5" s="2"/>
      <c r="R5" s="2"/>
      <c r="S5" s="2"/>
      <c r="T5" s="2"/>
      <c r="U5" s="2"/>
      <c r="V5" s="28"/>
      <c r="W5" s="2"/>
      <c r="X5" s="2"/>
      <c r="Y5" s="2"/>
    </row>
    <row x14ac:dyDescent="0.25" r="6" customHeight="1" ht="46.5">
      <c r="A6" s="10">
        <v>4</v>
      </c>
      <c r="B6" s="10">
        <v>2015</v>
      </c>
      <c r="C6" s="2" t="s">
        <v>108</v>
      </c>
      <c r="D6" s="23">
        <v>364</v>
      </c>
      <c r="E6" s="11">
        <v>943160678.24</v>
      </c>
      <c r="F6" s="24">
        <v>943.16067824</v>
      </c>
      <c r="G6" s="23">
        <v>77</v>
      </c>
      <c r="H6" s="10">
        <v>183712309</v>
      </c>
      <c r="I6" s="24">
        <v>183.712309</v>
      </c>
      <c r="J6" s="5" t="s">
        <v>16</v>
      </c>
      <c r="K6" s="25" t="s">
        <v>16</v>
      </c>
      <c r="L6" s="24">
        <v>1126.87298724</v>
      </c>
      <c r="M6" s="26">
        <f>INDEX(INDIRECT($M637),
       MATCH(TRIM($C637), TRIM(INDIRECT($N637)), 0),
       MATCH(TRIM(X$2), TRIM(INDIRECT($O637)), 0))</f>
      </c>
      <c r="N6" s="26">
        <f>_xlfn.CONCAT("'",$B6,"'","!","$M$2:$M$80")</f>
      </c>
      <c r="O6" s="26">
        <f>_xlfn.CONCAT("'",$B6,"'","!","$N$2:$W$2")</f>
      </c>
      <c r="P6" s="2"/>
      <c r="Q6" s="2"/>
      <c r="R6" s="2"/>
      <c r="S6" s="2"/>
      <c r="T6" s="2"/>
      <c r="U6" s="2"/>
      <c r="V6" s="28"/>
      <c r="W6" s="2"/>
      <c r="X6" s="2"/>
      <c r="Y6" s="2"/>
    </row>
    <row x14ac:dyDescent="0.25" r="7" customHeight="1" ht="46.5">
      <c r="A7" s="10">
        <v>5</v>
      </c>
      <c r="B7" s="10">
        <v>2015</v>
      </c>
      <c r="C7" s="2" t="s">
        <v>109</v>
      </c>
      <c r="D7" s="23">
        <v>212</v>
      </c>
      <c r="E7" s="10">
        <v>2635591980</v>
      </c>
      <c r="F7" s="24">
        <v>2635.59198</v>
      </c>
      <c r="G7" s="23">
        <v>105</v>
      </c>
      <c r="H7" s="10">
        <v>493054604</v>
      </c>
      <c r="I7" s="24">
        <v>493.054604</v>
      </c>
      <c r="J7" s="5" t="s">
        <v>16</v>
      </c>
      <c r="K7" s="25" t="s">
        <v>16</v>
      </c>
      <c r="L7" s="24">
        <v>3128.646584</v>
      </c>
      <c r="M7" s="26">
        <f>INDEX(INDIRECT($M638),
       MATCH(TRIM($C638), TRIM(INDIRECT($N638)), 0),
       MATCH(TRIM(X$2), TRIM(INDIRECT($O638)), 0))</f>
      </c>
      <c r="N7" s="26">
        <f>_xlfn.CONCAT("'",$B7,"'","!","$M$2:$M$80")</f>
      </c>
      <c r="O7" s="26">
        <f>_xlfn.CONCAT("'",$B7,"'","!","$N$2:$W$2")</f>
      </c>
      <c r="P7" s="2"/>
      <c r="Q7" s="2"/>
      <c r="R7" s="2"/>
      <c r="S7" s="2"/>
      <c r="T7" s="2"/>
      <c r="U7" s="2"/>
      <c r="V7" s="2"/>
      <c r="W7" s="2"/>
      <c r="X7" s="2"/>
      <c r="Y7" s="2"/>
    </row>
    <row x14ac:dyDescent="0.25" r="8" customHeight="1" ht="46.5">
      <c r="A8" s="10">
        <v>6</v>
      </c>
      <c r="B8" s="10">
        <v>2015</v>
      </c>
      <c r="C8" s="2" t="s">
        <v>110</v>
      </c>
      <c r="D8" s="23">
        <v>14</v>
      </c>
      <c r="E8" s="10">
        <v>327610000</v>
      </c>
      <c r="F8" s="24">
        <v>327.61</v>
      </c>
      <c r="G8" s="23">
        <v>22</v>
      </c>
      <c r="H8" s="10">
        <v>432099000</v>
      </c>
      <c r="I8" s="24">
        <v>432.099</v>
      </c>
      <c r="J8" s="5" t="s">
        <v>16</v>
      </c>
      <c r="K8" s="25" t="s">
        <v>16</v>
      </c>
      <c r="L8" s="24">
        <v>759.7090000000001</v>
      </c>
      <c r="M8" s="26">
        <f>INDEX(INDIRECT($M639),
       MATCH(TRIM($C639), TRIM(INDIRECT($N639)), 0),
       MATCH(TRIM(X$2), TRIM(INDIRECT($O639)), 0))</f>
      </c>
      <c r="N8" s="26">
        <f>_xlfn.CONCAT("'",$B8,"'","!","$M$2:$M$80")</f>
      </c>
      <c r="O8" s="26">
        <f>_xlfn.CONCAT("'",$B8,"'","!","$N$2:$W$2")</f>
      </c>
      <c r="P8" s="2"/>
      <c r="Q8" s="2"/>
      <c r="R8" s="2"/>
      <c r="S8" s="2"/>
      <c r="T8" s="2"/>
      <c r="U8" s="2"/>
      <c r="V8" s="2"/>
      <c r="W8" s="2"/>
      <c r="X8" s="2"/>
      <c r="Y8" s="2"/>
    </row>
    <row x14ac:dyDescent="0.25" r="9" customHeight="1" ht="46.5">
      <c r="A9" s="10">
        <v>7</v>
      </c>
      <c r="B9" s="10">
        <v>2015</v>
      </c>
      <c r="C9" s="2" t="s">
        <v>111</v>
      </c>
      <c r="D9" s="23">
        <v>57</v>
      </c>
      <c r="E9" s="10">
        <v>264571571</v>
      </c>
      <c r="F9" s="24">
        <v>264.571571</v>
      </c>
      <c r="G9" s="23">
        <v>24</v>
      </c>
      <c r="H9" s="10">
        <v>182891176</v>
      </c>
      <c r="I9" s="24">
        <v>182.891176</v>
      </c>
      <c r="J9" s="5" t="s">
        <v>16</v>
      </c>
      <c r="K9" s="25" t="s">
        <v>16</v>
      </c>
      <c r="L9" s="24">
        <v>447.46274700000004</v>
      </c>
      <c r="M9" s="26">
        <f>INDEX(INDIRECT($M640),
       MATCH(TRIM($C640), TRIM(INDIRECT($N640)), 0),
       MATCH(TRIM(X$2), TRIM(INDIRECT($O640)), 0))</f>
      </c>
      <c r="N9" s="26">
        <f>_xlfn.CONCAT("'",$B9,"'","!","$M$2:$M$80")</f>
      </c>
      <c r="O9" s="26">
        <f>_xlfn.CONCAT("'",$B9,"'","!","$N$2:$W$2")</f>
      </c>
      <c r="P9" s="2"/>
      <c r="Q9" s="2"/>
      <c r="R9" s="2"/>
      <c r="S9" s="2"/>
      <c r="T9" s="2"/>
      <c r="U9" s="2"/>
      <c r="V9" s="2"/>
      <c r="W9" s="2"/>
      <c r="X9" s="2"/>
      <c r="Y9" s="2"/>
    </row>
    <row x14ac:dyDescent="0.25" r="10" customHeight="1" ht="46.5">
      <c r="A10" s="10">
        <v>8</v>
      </c>
      <c r="B10" s="10">
        <v>2015</v>
      </c>
      <c r="C10" s="2" t="s">
        <v>112</v>
      </c>
      <c r="D10" s="23">
        <v>11</v>
      </c>
      <c r="E10" s="10">
        <v>373938400</v>
      </c>
      <c r="F10" s="24">
        <v>373.9384</v>
      </c>
      <c r="G10" s="23">
        <v>6</v>
      </c>
      <c r="H10" s="10">
        <v>64952229</v>
      </c>
      <c r="I10" s="24">
        <v>64.952229</v>
      </c>
      <c r="J10" s="5" t="s">
        <v>16</v>
      </c>
      <c r="K10" s="25" t="s">
        <v>16</v>
      </c>
      <c r="L10" s="24">
        <v>438.890629</v>
      </c>
      <c r="M10" s="26">
        <f>INDEX(INDIRECT($M641),
       MATCH(TRIM($C641), TRIM(INDIRECT($N641)), 0),
       MATCH(TRIM(X$2), TRIM(INDIRECT($O641)), 0))</f>
      </c>
      <c r="N10" s="26">
        <f>_xlfn.CONCAT("'",$B10,"'","!","$M$2:$M$80")</f>
      </c>
      <c r="O10" s="26">
        <f>_xlfn.CONCAT("'",$B10,"'","!","$N$2:$W$2")</f>
      </c>
      <c r="P10" s="2"/>
      <c r="Q10" s="2"/>
      <c r="R10" s="2"/>
      <c r="S10" s="2"/>
      <c r="T10" s="2"/>
      <c r="U10" s="2"/>
      <c r="V10" s="2"/>
      <c r="W10" s="2"/>
      <c r="X10" s="2"/>
      <c r="Y10" s="2"/>
    </row>
    <row x14ac:dyDescent="0.25" r="11" customHeight="1" ht="46.5">
      <c r="A11" s="10">
        <v>9</v>
      </c>
      <c r="B11" s="10">
        <v>2015</v>
      </c>
      <c r="C11" s="2" t="s">
        <v>113</v>
      </c>
      <c r="D11" s="23">
        <v>126</v>
      </c>
      <c r="E11" s="10">
        <v>383484907</v>
      </c>
      <c r="F11" s="24">
        <v>383.484907</v>
      </c>
      <c r="G11" s="23">
        <v>47</v>
      </c>
      <c r="H11" s="10">
        <v>268356416</v>
      </c>
      <c r="I11" s="24">
        <v>268.356416</v>
      </c>
      <c r="J11" s="5" t="s">
        <v>16</v>
      </c>
      <c r="K11" s="25" t="s">
        <v>16</v>
      </c>
      <c r="L11" s="24">
        <v>651.8413230000001</v>
      </c>
      <c r="M11" s="26">
        <f>INDEX(INDIRECT($M642),
       MATCH(TRIM($C642), TRIM(INDIRECT($N642)), 0),
       MATCH(TRIM(X$2), TRIM(INDIRECT($O642)), 0))</f>
      </c>
      <c r="N11" s="26">
        <f>_xlfn.CONCAT("'",$B11,"'","!","$M$2:$M$80")</f>
      </c>
      <c r="O11" s="26">
        <f>_xlfn.CONCAT("'",$B11,"'","!","$N$2:$W$2")</f>
      </c>
      <c r="P11" s="2"/>
      <c r="Q11" s="2"/>
      <c r="R11" s="2"/>
      <c r="S11" s="2"/>
      <c r="T11" s="2"/>
      <c r="U11" s="2"/>
      <c r="V11" s="2"/>
      <c r="W11" s="2"/>
      <c r="X11" s="2"/>
      <c r="Y11" s="2"/>
    </row>
    <row x14ac:dyDescent="0.25" r="12" customHeight="1" ht="46.5">
      <c r="A12" s="10">
        <v>10</v>
      </c>
      <c r="B12" s="10">
        <v>2015</v>
      </c>
      <c r="C12" s="2" t="s">
        <v>114</v>
      </c>
      <c r="D12" s="23">
        <v>34</v>
      </c>
      <c r="E12" s="10">
        <v>270078933</v>
      </c>
      <c r="F12" s="24">
        <v>270.078933</v>
      </c>
      <c r="G12" s="23">
        <v>24</v>
      </c>
      <c r="H12" s="10">
        <v>59552420</v>
      </c>
      <c r="I12" s="24">
        <v>59.55242</v>
      </c>
      <c r="J12" s="5" t="s">
        <v>16</v>
      </c>
      <c r="K12" s="25" t="s">
        <v>16</v>
      </c>
      <c r="L12" s="24">
        <v>329.631353</v>
      </c>
      <c r="M12" s="26">
        <f>INDEX(INDIRECT($M643),
       MATCH(TRIM($C643), TRIM(INDIRECT($N643)), 0),
       MATCH(TRIM(X$2), TRIM(INDIRECT($O643)), 0))</f>
      </c>
      <c r="N12" s="26">
        <f>_xlfn.CONCAT("'",$B12,"'","!","$M$2:$M$80")</f>
      </c>
      <c r="O12" s="26">
        <f>_xlfn.CONCAT("'",$B12,"'","!","$N$2:$W$2")</f>
      </c>
      <c r="P12" s="2"/>
      <c r="Q12" s="2"/>
      <c r="R12" s="2"/>
      <c r="S12" s="2"/>
      <c r="T12" s="2"/>
      <c r="U12" s="2"/>
      <c r="V12" s="2"/>
      <c r="W12" s="2"/>
      <c r="X12" s="2"/>
      <c r="Y12" s="2"/>
    </row>
    <row x14ac:dyDescent="0.25" r="13" customHeight="1" ht="46.5">
      <c r="A13" s="10">
        <v>11</v>
      </c>
      <c r="B13" s="10">
        <v>2015</v>
      </c>
      <c r="C13" s="2" t="s">
        <v>115</v>
      </c>
      <c r="D13" s="23">
        <v>17</v>
      </c>
      <c r="E13" s="10">
        <v>515280000</v>
      </c>
      <c r="F13" s="24">
        <v>515.28</v>
      </c>
      <c r="G13" s="23">
        <v>8</v>
      </c>
      <c r="H13" s="10">
        <v>25299000</v>
      </c>
      <c r="I13" s="24">
        <v>25.299</v>
      </c>
      <c r="J13" s="5" t="s">
        <v>16</v>
      </c>
      <c r="K13" s="25" t="s">
        <v>16</v>
      </c>
      <c r="L13" s="24">
        <v>540.579</v>
      </c>
      <c r="M13" s="26">
        <f>INDEX(INDIRECT($M644),
       MATCH(TRIM($C644), TRIM(INDIRECT($N644)), 0),
       MATCH(TRIM(X$2), TRIM(INDIRECT($O644)), 0))</f>
      </c>
      <c r="N13" s="26">
        <f>_xlfn.CONCAT("'",$B13,"'","!","$M$2:$M$80")</f>
      </c>
      <c r="O13" s="26">
        <f>_xlfn.CONCAT("'",$B13,"'","!","$N$2:$W$2")</f>
      </c>
      <c r="P13" s="2"/>
      <c r="Q13" s="2"/>
      <c r="R13" s="2"/>
      <c r="S13" s="2"/>
      <c r="T13" s="2"/>
      <c r="U13" s="2"/>
      <c r="V13" s="27"/>
      <c r="W13" s="28"/>
      <c r="X13" s="28"/>
      <c r="Y13" s="28"/>
    </row>
    <row x14ac:dyDescent="0.25" r="14" customHeight="1" ht="46.5">
      <c r="A14" s="10">
        <v>12</v>
      </c>
      <c r="B14" s="10">
        <v>2015</v>
      </c>
      <c r="C14" s="2" t="s">
        <v>116</v>
      </c>
      <c r="D14" s="23">
        <v>35</v>
      </c>
      <c r="E14" s="10">
        <v>275246605</v>
      </c>
      <c r="F14" s="24">
        <v>275.246605</v>
      </c>
      <c r="G14" s="23">
        <v>23</v>
      </c>
      <c r="H14" s="10">
        <v>104380000</v>
      </c>
      <c r="I14" s="24">
        <v>104.38</v>
      </c>
      <c r="J14" s="5" t="s">
        <v>16</v>
      </c>
      <c r="K14" s="25" t="s">
        <v>16</v>
      </c>
      <c r="L14" s="24">
        <v>379.626605</v>
      </c>
      <c r="M14" s="26">
        <f>INDEX(INDIRECT($M645),
       MATCH(TRIM($C645), TRIM(INDIRECT($N645)), 0),
       MATCH(TRIM(X$2), TRIM(INDIRECT($O645)), 0))</f>
      </c>
      <c r="N14" s="26">
        <f>_xlfn.CONCAT("'",$B14,"'","!","$M$2:$M$80")</f>
      </c>
      <c r="O14" s="26">
        <f>_xlfn.CONCAT("'",$B14,"'","!","$N$2:$W$2")</f>
      </c>
      <c r="P14" s="2"/>
      <c r="Q14" s="2"/>
      <c r="R14" s="2"/>
      <c r="S14" s="2"/>
      <c r="T14" s="2"/>
      <c r="U14" s="2"/>
      <c r="V14" s="2"/>
      <c r="W14" s="2"/>
      <c r="X14" s="2"/>
      <c r="Y14" s="2"/>
    </row>
    <row x14ac:dyDescent="0.25" r="15" customHeight="1" ht="46.5">
      <c r="A15" s="10">
        <v>13</v>
      </c>
      <c r="B15" s="10">
        <v>2015</v>
      </c>
      <c r="C15" s="2" t="s">
        <v>117</v>
      </c>
      <c r="D15" s="23">
        <v>15</v>
      </c>
      <c r="E15" s="10">
        <v>196463000</v>
      </c>
      <c r="F15" s="24">
        <v>196.463</v>
      </c>
      <c r="G15" s="23">
        <v>2</v>
      </c>
      <c r="H15" s="10">
        <v>9826320</v>
      </c>
      <c r="I15" s="24">
        <v>9.82632</v>
      </c>
      <c r="J15" s="5" t="s">
        <v>16</v>
      </c>
      <c r="K15" s="25" t="s">
        <v>16</v>
      </c>
      <c r="L15" s="24">
        <v>206.28932</v>
      </c>
      <c r="M15" s="26">
        <f>INDEX(INDIRECT($M646),
       MATCH(TRIM($C646), TRIM(INDIRECT($N646)), 0),
       MATCH(TRIM(X$2), TRIM(INDIRECT($O646)), 0))</f>
      </c>
      <c r="N15" s="26">
        <f>_xlfn.CONCAT("'",$B15,"'","!","$M$2:$M$80")</f>
      </c>
      <c r="O15" s="26">
        <f>_xlfn.CONCAT("'",$B15,"'","!","$N$2:$W$2")</f>
      </c>
      <c r="P15" s="2"/>
      <c r="Q15" s="2"/>
      <c r="R15" s="2"/>
      <c r="S15" s="2"/>
      <c r="T15" s="2"/>
      <c r="U15" s="2"/>
      <c r="V15" s="2"/>
      <c r="W15" s="2"/>
      <c r="X15" s="2"/>
      <c r="Y15" s="2"/>
    </row>
    <row x14ac:dyDescent="0.25" r="16" customHeight="1" ht="46.5">
      <c r="A16" s="10">
        <v>14</v>
      </c>
      <c r="B16" s="10">
        <v>2015</v>
      </c>
      <c r="C16" s="2" t="s">
        <v>118</v>
      </c>
      <c r="D16" s="23">
        <v>36</v>
      </c>
      <c r="E16" s="10">
        <v>304863564</v>
      </c>
      <c r="F16" s="24">
        <v>304.863564</v>
      </c>
      <c r="G16" s="23">
        <v>19</v>
      </c>
      <c r="H16" s="10">
        <v>50377950</v>
      </c>
      <c r="I16" s="24">
        <v>50.37795</v>
      </c>
      <c r="J16" s="5" t="s">
        <v>16</v>
      </c>
      <c r="K16" s="25" t="s">
        <v>16</v>
      </c>
      <c r="L16" s="24">
        <v>355.241514</v>
      </c>
      <c r="M16" s="26">
        <f>INDEX(INDIRECT($M647),
       MATCH(TRIM($C647), TRIM(INDIRECT($N647)), 0),
       MATCH(TRIM(X$2), TRIM(INDIRECT($O647)), 0))</f>
      </c>
      <c r="N16" s="26">
        <f>_xlfn.CONCAT("'",$B16,"'","!","$M$2:$M$80")</f>
      </c>
      <c r="O16" s="26">
        <f>_xlfn.CONCAT("'",$B16,"'","!","$N$2:$W$2")</f>
      </c>
      <c r="P16" s="2"/>
      <c r="Q16" s="2"/>
      <c r="R16" s="2"/>
      <c r="S16" s="2"/>
      <c r="T16" s="2"/>
      <c r="U16" s="2"/>
      <c r="V16" s="2"/>
      <c r="W16" s="2"/>
      <c r="X16" s="2"/>
      <c r="Y16" s="2"/>
    </row>
    <row x14ac:dyDescent="0.25" r="17" customHeight="1" ht="46.5">
      <c r="A17" s="10">
        <v>15</v>
      </c>
      <c r="B17" s="10">
        <v>2015</v>
      </c>
      <c r="C17" s="2" t="s">
        <v>119</v>
      </c>
      <c r="D17" s="23">
        <v>7</v>
      </c>
      <c r="E17" s="10">
        <v>43975742</v>
      </c>
      <c r="F17" s="24">
        <v>43.975742</v>
      </c>
      <c r="G17" s="23">
        <v>0</v>
      </c>
      <c r="H17" s="10">
        <v>0</v>
      </c>
      <c r="I17" s="23">
        <v>0</v>
      </c>
      <c r="J17" s="5" t="s">
        <v>16</v>
      </c>
      <c r="K17" s="25" t="s">
        <v>16</v>
      </c>
      <c r="L17" s="24">
        <v>43.975742</v>
      </c>
      <c r="M17" s="26">
        <f>INDEX(INDIRECT($M648),
       MATCH(TRIM($C648), TRIM(INDIRECT($N648)), 0),
       MATCH(TRIM(X$2), TRIM(INDIRECT($O648)), 0))</f>
      </c>
      <c r="N17" s="26">
        <f>_xlfn.CONCAT("'",$B17,"'","!","$M$2:$M$80")</f>
      </c>
      <c r="O17" s="26">
        <f>_xlfn.CONCAT("'",$B17,"'","!","$N$2:$W$2")</f>
      </c>
      <c r="P17" s="2"/>
      <c r="Q17" s="2"/>
      <c r="R17" s="2"/>
      <c r="S17" s="2"/>
      <c r="T17" s="2"/>
      <c r="U17" s="2"/>
      <c r="V17" s="2"/>
      <c r="W17" s="2"/>
      <c r="X17" s="2"/>
      <c r="Y17" s="2"/>
    </row>
    <row x14ac:dyDescent="0.25" r="18" customHeight="1" ht="46.5">
      <c r="A18" s="10">
        <v>16</v>
      </c>
      <c r="B18" s="10">
        <v>2015</v>
      </c>
      <c r="C18" s="2" t="s">
        <v>120</v>
      </c>
      <c r="D18" s="23">
        <v>24</v>
      </c>
      <c r="E18" s="10">
        <v>95872000</v>
      </c>
      <c r="F18" s="24">
        <v>95.872</v>
      </c>
      <c r="G18" s="23">
        <v>20</v>
      </c>
      <c r="H18" s="10">
        <v>164387466</v>
      </c>
      <c r="I18" s="24">
        <v>164.387466</v>
      </c>
      <c r="J18" s="5" t="s">
        <v>16</v>
      </c>
      <c r="K18" s="25" t="s">
        <v>16</v>
      </c>
      <c r="L18" s="24">
        <v>260.259466</v>
      </c>
      <c r="M18" s="26">
        <f>INDEX(INDIRECT($M649),
       MATCH(TRIM($C649), TRIM(INDIRECT($N649)), 0),
       MATCH(TRIM(X$2), TRIM(INDIRECT($O649)), 0))</f>
      </c>
      <c r="N18" s="26">
        <f>_xlfn.CONCAT("'",$B18,"'","!","$M$2:$M$80")</f>
      </c>
      <c r="O18" s="26">
        <f>_xlfn.CONCAT("'",$B18,"'","!","$N$2:$W$2")</f>
      </c>
      <c r="P18" s="2"/>
      <c r="Q18" s="2"/>
      <c r="R18" s="2"/>
      <c r="S18" s="2"/>
      <c r="T18" s="2"/>
      <c r="U18" s="2"/>
      <c r="V18" s="2"/>
      <c r="W18" s="2"/>
      <c r="X18" s="2"/>
      <c r="Y18" s="2"/>
    </row>
    <row x14ac:dyDescent="0.25" r="19" customHeight="1" ht="46.5">
      <c r="A19" s="10">
        <v>17</v>
      </c>
      <c r="B19" s="10">
        <v>2015</v>
      </c>
      <c r="C19" s="2" t="s">
        <v>121</v>
      </c>
      <c r="D19" s="23">
        <v>18</v>
      </c>
      <c r="E19" s="10">
        <v>178859228</v>
      </c>
      <c r="F19" s="24">
        <v>178.859228</v>
      </c>
      <c r="G19" s="23">
        <v>7</v>
      </c>
      <c r="H19" s="10">
        <v>77349940</v>
      </c>
      <c r="I19" s="24">
        <v>77.34994</v>
      </c>
      <c r="J19" s="5" t="s">
        <v>16</v>
      </c>
      <c r="K19" s="25" t="s">
        <v>16</v>
      </c>
      <c r="L19" s="24">
        <v>256.209168</v>
      </c>
      <c r="M19" s="26">
        <f>INDEX(INDIRECT($M650),
       MATCH(TRIM($C650), TRIM(INDIRECT($N650)), 0),
       MATCH(TRIM(X$2), TRIM(INDIRECT($O650)), 0))</f>
      </c>
      <c r="N19" s="26">
        <f>_xlfn.CONCAT("'",$B19,"'","!","$M$2:$M$80")</f>
      </c>
      <c r="O19" s="26">
        <f>_xlfn.CONCAT("'",$B19,"'","!","$N$2:$W$2")</f>
      </c>
      <c r="P19" s="2"/>
      <c r="Q19" s="2"/>
      <c r="R19" s="2"/>
      <c r="S19" s="2"/>
      <c r="T19" s="2"/>
      <c r="U19" s="2"/>
      <c r="V19" s="2"/>
      <c r="W19" s="2"/>
      <c r="X19" s="2"/>
      <c r="Y19" s="2"/>
    </row>
    <row x14ac:dyDescent="0.25" r="20" customHeight="1" ht="46.5">
      <c r="A20" s="10">
        <v>18</v>
      </c>
      <c r="B20" s="10">
        <v>2015</v>
      </c>
      <c r="C20" s="2" t="s">
        <v>122</v>
      </c>
      <c r="D20" s="23">
        <v>2</v>
      </c>
      <c r="E20" s="10">
        <v>64304155</v>
      </c>
      <c r="F20" s="24">
        <v>64.304155</v>
      </c>
      <c r="G20" s="23">
        <v>4</v>
      </c>
      <c r="H20" s="10">
        <v>26500000</v>
      </c>
      <c r="I20" s="24">
        <v>26.5</v>
      </c>
      <c r="J20" s="5" t="s">
        <v>16</v>
      </c>
      <c r="K20" s="25" t="s">
        <v>16</v>
      </c>
      <c r="L20" s="24">
        <v>90.804155</v>
      </c>
      <c r="M20" s="26">
        <f>INDEX(INDIRECT($M651),
       MATCH(TRIM($C651), TRIM(INDIRECT($N651)), 0),
       MATCH(TRIM(X$2), TRIM(INDIRECT($O651)), 0))</f>
      </c>
      <c r="N20" s="26">
        <f>_xlfn.CONCAT("'",$B20,"'","!","$M$2:$M$80")</f>
      </c>
      <c r="O20" s="26">
        <f>_xlfn.CONCAT("'",$B20,"'","!","$N$2:$W$2")</f>
      </c>
      <c r="P20" s="2"/>
      <c r="Q20" s="2"/>
      <c r="R20" s="2"/>
      <c r="S20" s="2"/>
      <c r="T20" s="2"/>
      <c r="U20" s="2"/>
      <c r="V20" s="2"/>
      <c r="W20" s="2"/>
      <c r="X20" s="2"/>
      <c r="Y20" s="2"/>
    </row>
    <row x14ac:dyDescent="0.25" r="21" customHeight="1" ht="46.5">
      <c r="A21" s="10">
        <v>19</v>
      </c>
      <c r="B21" s="10">
        <v>2015</v>
      </c>
      <c r="C21" s="2" t="s">
        <v>123</v>
      </c>
      <c r="D21" s="23">
        <v>8</v>
      </c>
      <c r="E21" s="10">
        <v>38054545</v>
      </c>
      <c r="F21" s="24">
        <v>38.054545</v>
      </c>
      <c r="G21" s="23">
        <v>5</v>
      </c>
      <c r="H21" s="10">
        <v>5423794</v>
      </c>
      <c r="I21" s="24">
        <v>5.423794</v>
      </c>
      <c r="J21" s="5" t="s">
        <v>16</v>
      </c>
      <c r="K21" s="25" t="s">
        <v>16</v>
      </c>
      <c r="L21" s="24">
        <v>43.478339</v>
      </c>
      <c r="M21" s="26">
        <f>INDEX(INDIRECT($M652),
       MATCH(TRIM($C652), TRIM(INDIRECT($N652)), 0),
       MATCH(TRIM(X$2), TRIM(INDIRECT($O652)), 0))</f>
      </c>
      <c r="N21" s="26">
        <f>_xlfn.CONCAT("'",$B21,"'","!","$M$2:$M$80")</f>
      </c>
      <c r="O21" s="26">
        <f>_xlfn.CONCAT("'",$B21,"'","!","$N$2:$W$2")</f>
      </c>
      <c r="P21" s="2"/>
      <c r="Q21" s="2"/>
      <c r="R21" s="2"/>
      <c r="S21" s="2"/>
      <c r="T21" s="2"/>
      <c r="U21" s="2"/>
      <c r="V21" s="2"/>
      <c r="W21" s="2"/>
      <c r="X21" s="2"/>
      <c r="Y21" s="2"/>
    </row>
    <row x14ac:dyDescent="0.25" r="22" customHeight="1" ht="46.5">
      <c r="A22" s="10">
        <v>20</v>
      </c>
      <c r="B22" s="10">
        <v>2015</v>
      </c>
      <c r="C22" s="2" t="s">
        <v>124</v>
      </c>
      <c r="D22" s="23">
        <v>9</v>
      </c>
      <c r="E22" s="10">
        <v>92226205</v>
      </c>
      <c r="F22" s="24">
        <v>92.226205</v>
      </c>
      <c r="G22" s="23">
        <v>1</v>
      </c>
      <c r="H22" s="10">
        <v>1600000</v>
      </c>
      <c r="I22" s="24">
        <v>1.6</v>
      </c>
      <c r="J22" s="5" t="s">
        <v>16</v>
      </c>
      <c r="K22" s="25" t="s">
        <v>16</v>
      </c>
      <c r="L22" s="24">
        <v>93.82620499999999</v>
      </c>
      <c r="M22" s="26">
        <f>INDEX(INDIRECT($M653),
       MATCH(TRIM($C653), TRIM(INDIRECT($N653)), 0),
       MATCH(TRIM(X$2), TRIM(INDIRECT($O653)), 0))</f>
      </c>
      <c r="N22" s="26">
        <f>_xlfn.CONCAT("'",$B22,"'","!","$M$2:$M$80")</f>
      </c>
      <c r="O22" s="26">
        <f>_xlfn.CONCAT("'",$B22,"'","!","$N$2:$W$2")</f>
      </c>
      <c r="P22" s="2"/>
      <c r="Q22" s="2"/>
      <c r="R22" s="2"/>
      <c r="S22" s="2"/>
      <c r="T22" s="2"/>
      <c r="U22" s="2"/>
      <c r="V22" s="2"/>
      <c r="W22" s="2"/>
      <c r="X22" s="2"/>
      <c r="Y22" s="2"/>
    </row>
    <row x14ac:dyDescent="0.25" r="23" customHeight="1" ht="17.25">
      <c r="A23" s="10">
        <v>21</v>
      </c>
      <c r="B23" s="10">
        <v>2015</v>
      </c>
      <c r="C23" s="2" t="s">
        <v>125</v>
      </c>
      <c r="D23" s="23">
        <v>15</v>
      </c>
      <c r="E23" s="10">
        <v>104660000</v>
      </c>
      <c r="F23" s="24">
        <v>104.66</v>
      </c>
      <c r="G23" s="23">
        <v>2</v>
      </c>
      <c r="H23" s="10">
        <v>11000000</v>
      </c>
      <c r="I23" s="23">
        <v>11</v>
      </c>
      <c r="J23" s="5" t="s">
        <v>16</v>
      </c>
      <c r="K23" s="25" t="s">
        <v>16</v>
      </c>
      <c r="L23" s="24">
        <v>115.66</v>
      </c>
      <c r="M23" s="26">
        <f>INDEX(INDIRECT($M654),
       MATCH(TRIM($C654), TRIM(INDIRECT($N654)), 0),
       MATCH(TRIM(X$2), TRIM(INDIRECT($O654)), 0))</f>
      </c>
      <c r="N23" s="26">
        <f>_xlfn.CONCAT("'",$B23,"'","!","$M$2:$M$80")</f>
      </c>
      <c r="O23" s="26">
        <f>_xlfn.CONCAT("'",$B23,"'","!","$N$2:$W$2")</f>
      </c>
      <c r="P23" s="2"/>
      <c r="Q23" s="2"/>
      <c r="R23" s="2"/>
      <c r="S23" s="2"/>
      <c r="T23" s="2"/>
      <c r="U23" s="2"/>
      <c r="V23" s="2"/>
      <c r="W23" s="2"/>
      <c r="X23" s="2"/>
      <c r="Y23" s="2"/>
    </row>
    <row x14ac:dyDescent="0.25" r="24" customHeight="1" ht="17.25">
      <c r="A24" s="10">
        <v>22</v>
      </c>
      <c r="B24" s="10">
        <v>2015</v>
      </c>
      <c r="C24" s="2" t="s">
        <v>126</v>
      </c>
      <c r="D24" s="23">
        <v>2</v>
      </c>
      <c r="E24" s="10">
        <v>157432000</v>
      </c>
      <c r="F24" s="24">
        <v>157.432</v>
      </c>
      <c r="G24" s="23">
        <v>4</v>
      </c>
      <c r="H24" s="10">
        <v>16200000</v>
      </c>
      <c r="I24" s="24">
        <v>16.2</v>
      </c>
      <c r="J24" s="5" t="s">
        <v>16</v>
      </c>
      <c r="K24" s="25" t="s">
        <v>16</v>
      </c>
      <c r="L24" s="24">
        <v>173.63199999999998</v>
      </c>
      <c r="M24" s="26">
        <f>INDEX(INDIRECT($M655),
       MATCH(TRIM($C655), TRIM(INDIRECT($N655)), 0),
       MATCH(TRIM(X$2), TRIM(INDIRECT($O655)), 0))</f>
      </c>
      <c r="N24" s="26">
        <f>_xlfn.CONCAT("'",$B24,"'","!","$M$2:$M$80")</f>
      </c>
      <c r="O24" s="26">
        <f>_xlfn.CONCAT("'",$B24,"'","!","$N$2:$W$2")</f>
      </c>
      <c r="P24" s="2"/>
      <c r="Q24" s="2"/>
      <c r="R24" s="2"/>
      <c r="S24" s="2"/>
      <c r="T24" s="2"/>
      <c r="U24" s="2"/>
      <c r="V24" s="2"/>
      <c r="W24" s="2"/>
      <c r="X24" s="2"/>
      <c r="Y24" s="2"/>
    </row>
    <row x14ac:dyDescent="0.25" r="25" customHeight="1" ht="17.25">
      <c r="A25" s="10">
        <v>23</v>
      </c>
      <c r="B25" s="10">
        <v>2015</v>
      </c>
      <c r="C25" s="2" t="s">
        <v>127</v>
      </c>
      <c r="D25" s="23">
        <v>28</v>
      </c>
      <c r="E25" s="10">
        <v>269901340</v>
      </c>
      <c r="F25" s="24">
        <v>269.90134</v>
      </c>
      <c r="G25" s="23">
        <v>23</v>
      </c>
      <c r="H25" s="10">
        <v>137282641</v>
      </c>
      <c r="I25" s="24">
        <v>137.282641</v>
      </c>
      <c r="J25" s="5" t="s">
        <v>16</v>
      </c>
      <c r="K25" s="25" t="s">
        <v>16</v>
      </c>
      <c r="L25" s="24">
        <v>407.183981</v>
      </c>
      <c r="M25" s="26">
        <f>INDEX(INDIRECT($M656),
       MATCH(TRIM($C656), TRIM(INDIRECT($N656)), 0),
       MATCH(TRIM(X$2), TRIM(INDIRECT($O656)), 0))</f>
      </c>
      <c r="N25" s="26">
        <f>_xlfn.CONCAT("'",$B25,"'","!","$M$2:$M$80")</f>
      </c>
      <c r="O25" s="26">
        <f>_xlfn.CONCAT("'",$B25,"'","!","$N$2:$W$2")</f>
      </c>
      <c r="P25" s="2"/>
      <c r="Q25" s="2"/>
      <c r="R25" s="2"/>
      <c r="S25" s="2"/>
      <c r="T25" s="2"/>
      <c r="U25" s="2"/>
      <c r="V25" s="2"/>
      <c r="W25" s="2"/>
      <c r="X25" s="2"/>
      <c r="Y25" s="2"/>
    </row>
    <row x14ac:dyDescent="0.25" r="26" customHeight="1" ht="17.25">
      <c r="A26" s="10">
        <v>24</v>
      </c>
      <c r="B26" s="10">
        <v>2015</v>
      </c>
      <c r="C26" s="2" t="s">
        <v>128</v>
      </c>
      <c r="D26" s="23">
        <v>2</v>
      </c>
      <c r="E26" s="10">
        <v>33000000</v>
      </c>
      <c r="F26" s="23">
        <v>33</v>
      </c>
      <c r="G26" s="23">
        <v>0</v>
      </c>
      <c r="H26" s="10">
        <v>0</v>
      </c>
      <c r="I26" s="23">
        <v>0</v>
      </c>
      <c r="J26" s="5" t="s">
        <v>16</v>
      </c>
      <c r="K26" s="25" t="s">
        <v>16</v>
      </c>
      <c r="L26" s="23">
        <v>33</v>
      </c>
      <c r="M26" s="26">
        <f>INDEX(INDIRECT($M657),
       MATCH(TRIM($C657), TRIM(INDIRECT($N657)), 0),
       MATCH(TRIM(X$2), TRIM(INDIRECT($O657)), 0))</f>
      </c>
      <c r="N26" s="26">
        <f>_xlfn.CONCAT("'",$B26,"'","!","$M$2:$M$80")</f>
      </c>
      <c r="O26" s="26">
        <f>_xlfn.CONCAT("'",$B26,"'","!","$N$2:$W$2")</f>
      </c>
      <c r="P26" s="2"/>
      <c r="Q26" s="2"/>
      <c r="R26" s="2"/>
      <c r="S26" s="2"/>
      <c r="T26" s="2"/>
      <c r="U26" s="2"/>
      <c r="V26" s="2"/>
      <c r="W26" s="2"/>
      <c r="X26" s="2"/>
      <c r="Y26" s="2"/>
    </row>
    <row x14ac:dyDescent="0.25" r="27" customHeight="1" ht="17.25">
      <c r="A27" s="10">
        <v>25</v>
      </c>
      <c r="B27" s="10">
        <v>2015</v>
      </c>
      <c r="C27" s="2" t="s">
        <v>129</v>
      </c>
      <c r="D27" s="23">
        <v>8</v>
      </c>
      <c r="E27" s="10">
        <v>49638220</v>
      </c>
      <c r="F27" s="24">
        <v>49.63822</v>
      </c>
      <c r="G27" s="23">
        <v>0</v>
      </c>
      <c r="H27" s="10">
        <v>0</v>
      </c>
      <c r="I27" s="23">
        <v>0</v>
      </c>
      <c r="J27" s="5" t="s">
        <v>16</v>
      </c>
      <c r="K27" s="25" t="s">
        <v>16</v>
      </c>
      <c r="L27" s="24">
        <v>49.63822</v>
      </c>
      <c r="M27" s="26">
        <f>INDEX(INDIRECT($M658),
       MATCH(TRIM($C658), TRIM(INDIRECT($N658)), 0),
       MATCH(TRIM(X$2), TRIM(INDIRECT($O658)), 0))</f>
      </c>
      <c r="N27" s="26">
        <f>_xlfn.CONCAT("'",$B27,"'","!","$M$2:$M$80")</f>
      </c>
      <c r="O27" s="26">
        <f>_xlfn.CONCAT("'",$B27,"'","!","$N$2:$W$2")</f>
      </c>
      <c r="P27" s="2"/>
      <c r="Q27" s="2"/>
      <c r="R27" s="2"/>
      <c r="S27" s="2"/>
      <c r="T27" s="2"/>
      <c r="U27" s="2"/>
      <c r="V27" s="2"/>
      <c r="W27" s="2"/>
      <c r="X27" s="2"/>
      <c r="Y27" s="2"/>
    </row>
    <row x14ac:dyDescent="0.25" r="28" customHeight="1" ht="17.25">
      <c r="A28" s="10">
        <v>26</v>
      </c>
      <c r="B28" s="10">
        <v>2015</v>
      </c>
      <c r="C28" s="2" t="s">
        <v>130</v>
      </c>
      <c r="D28" s="23">
        <v>26</v>
      </c>
      <c r="E28" s="10">
        <v>203850281</v>
      </c>
      <c r="F28" s="24">
        <v>203.850281</v>
      </c>
      <c r="G28" s="23">
        <v>9</v>
      </c>
      <c r="H28" s="10">
        <v>22276455</v>
      </c>
      <c r="I28" s="24">
        <v>22.276455</v>
      </c>
      <c r="J28" s="5" t="s">
        <v>16</v>
      </c>
      <c r="K28" s="25" t="s">
        <v>16</v>
      </c>
      <c r="L28" s="24">
        <v>226.126736</v>
      </c>
      <c r="M28" s="26">
        <f>INDEX(INDIRECT($M659),
       MATCH(TRIM($C659), TRIM(INDIRECT($N659)), 0),
       MATCH(TRIM(X$2), TRIM(INDIRECT($O659)), 0))</f>
      </c>
      <c r="N28" s="26">
        <f>_xlfn.CONCAT("'",$B28,"'","!","$M$2:$M$80")</f>
      </c>
      <c r="O28" s="26">
        <f>_xlfn.CONCAT("'",$B28,"'","!","$N$2:$W$2")</f>
      </c>
      <c r="P28" s="2"/>
      <c r="Q28" s="2"/>
      <c r="R28" s="2"/>
      <c r="S28" s="2"/>
      <c r="T28" s="2"/>
      <c r="U28" s="2"/>
      <c r="V28" s="2"/>
      <c r="W28" s="2"/>
      <c r="X28" s="2"/>
      <c r="Y28" s="2"/>
    </row>
    <row x14ac:dyDescent="0.25" r="29" customHeight="1" ht="17.25">
      <c r="A29" s="10">
        <v>27</v>
      </c>
      <c r="B29" s="10">
        <v>2015</v>
      </c>
      <c r="C29" s="2" t="s">
        <v>131</v>
      </c>
      <c r="D29" s="23">
        <v>2</v>
      </c>
      <c r="E29" s="10">
        <v>78700000</v>
      </c>
      <c r="F29" s="24">
        <v>78.7</v>
      </c>
      <c r="G29" s="23">
        <v>0</v>
      </c>
      <c r="H29" s="10">
        <v>0</v>
      </c>
      <c r="I29" s="23">
        <v>0</v>
      </c>
      <c r="J29" s="5" t="s">
        <v>16</v>
      </c>
      <c r="K29" s="25" t="s">
        <v>16</v>
      </c>
      <c r="L29" s="24">
        <v>78.7</v>
      </c>
      <c r="M29" s="26">
        <f>INDEX(INDIRECT($M660),
       MATCH(TRIM($C660), TRIM(INDIRECT($N660)), 0),
       MATCH(TRIM(X$2), TRIM(INDIRECT($O660)), 0))</f>
      </c>
      <c r="N29" s="26">
        <f>_xlfn.CONCAT("'",$B29,"'","!","$M$2:$M$80")</f>
      </c>
      <c r="O29" s="26">
        <f>_xlfn.CONCAT("'",$B29,"'","!","$N$2:$W$2")</f>
      </c>
      <c r="P29" s="2"/>
      <c r="Q29" s="2"/>
      <c r="R29" s="2"/>
      <c r="S29" s="2"/>
      <c r="T29" s="2"/>
      <c r="U29" s="2"/>
      <c r="V29" s="2"/>
      <c r="W29" s="2"/>
      <c r="X29" s="2"/>
      <c r="Y29" s="2"/>
    </row>
    <row x14ac:dyDescent="0.25" r="30" customHeight="1" ht="17.25">
      <c r="A30" s="10">
        <v>28</v>
      </c>
      <c r="B30" s="10">
        <v>2015</v>
      </c>
      <c r="C30" s="2" t="s">
        <v>132</v>
      </c>
      <c r="D30" s="23">
        <v>1</v>
      </c>
      <c r="E30" s="10">
        <v>190381</v>
      </c>
      <c r="F30" s="24">
        <v>0.190381</v>
      </c>
      <c r="G30" s="23">
        <v>2</v>
      </c>
      <c r="H30" s="10">
        <v>10237676</v>
      </c>
      <c r="I30" s="24">
        <v>10.237676</v>
      </c>
      <c r="J30" s="5" t="s">
        <v>16</v>
      </c>
      <c r="K30" s="25" t="s">
        <v>16</v>
      </c>
      <c r="L30" s="24">
        <v>10.428057</v>
      </c>
      <c r="M30" s="26">
        <f>INDEX(INDIRECT($M661),
       MATCH(TRIM($C661), TRIM(INDIRECT($N661)), 0),
       MATCH(TRIM(X$2), TRIM(INDIRECT($O661)), 0))</f>
      </c>
      <c r="N30" s="26">
        <f>_xlfn.CONCAT("'",$B30,"'","!","$M$2:$M$80")</f>
      </c>
      <c r="O30" s="26">
        <f>_xlfn.CONCAT("'",$B30,"'","!","$N$2:$W$2")</f>
      </c>
      <c r="P30" s="2"/>
      <c r="Q30" s="2"/>
      <c r="R30" s="2"/>
      <c r="S30" s="2"/>
      <c r="T30" s="2"/>
      <c r="U30" s="2"/>
      <c r="V30" s="2"/>
      <c r="W30" s="2"/>
      <c r="X30" s="2"/>
      <c r="Y30" s="2"/>
    </row>
    <row x14ac:dyDescent="0.25" r="31" customHeight="1" ht="17.25">
      <c r="A31" s="10">
        <v>29</v>
      </c>
      <c r="B31" s="10">
        <v>2015</v>
      </c>
      <c r="C31" s="2" t="s">
        <v>133</v>
      </c>
      <c r="D31" s="23">
        <v>4</v>
      </c>
      <c r="E31" s="10">
        <v>49985714</v>
      </c>
      <c r="F31" s="24">
        <v>49.985714</v>
      </c>
      <c r="G31" s="23">
        <v>3</v>
      </c>
      <c r="H31" s="10">
        <v>-10000000</v>
      </c>
      <c r="I31" s="23">
        <v>-10</v>
      </c>
      <c r="J31" s="5" t="s">
        <v>16</v>
      </c>
      <c r="K31" s="25" t="s">
        <v>16</v>
      </c>
      <c r="L31" s="24">
        <v>39.985714</v>
      </c>
      <c r="M31" s="26">
        <f>INDEX(INDIRECT($M662),
       MATCH(TRIM($C662), TRIM(INDIRECT($N662)), 0),
       MATCH(TRIM(X$2), TRIM(INDIRECT($O662)), 0))</f>
      </c>
      <c r="N31" s="26">
        <f>_xlfn.CONCAT("'",$B31,"'","!","$M$2:$M$80")</f>
      </c>
      <c r="O31" s="26">
        <f>_xlfn.CONCAT("'",$B31,"'","!","$N$2:$W$2")</f>
      </c>
      <c r="P31" s="2"/>
      <c r="Q31" s="2"/>
      <c r="R31" s="2"/>
      <c r="S31" s="2"/>
      <c r="T31" s="2"/>
      <c r="U31" s="2"/>
      <c r="V31" s="2"/>
      <c r="W31" s="2"/>
      <c r="X31" s="2"/>
      <c r="Y31" s="2"/>
    </row>
    <row x14ac:dyDescent="0.25" r="32" customHeight="1" ht="17.25">
      <c r="A32" s="10">
        <v>30</v>
      </c>
      <c r="B32" s="10">
        <v>2015</v>
      </c>
      <c r="C32" s="2" t="s">
        <v>134</v>
      </c>
      <c r="D32" s="23">
        <v>5</v>
      </c>
      <c r="E32" s="10">
        <v>17901809</v>
      </c>
      <c r="F32" s="24">
        <v>17.901809</v>
      </c>
      <c r="G32" s="23">
        <v>0</v>
      </c>
      <c r="H32" s="10">
        <v>0</v>
      </c>
      <c r="I32" s="23">
        <v>0</v>
      </c>
      <c r="J32" s="5" t="s">
        <v>16</v>
      </c>
      <c r="K32" s="25" t="s">
        <v>16</v>
      </c>
      <c r="L32" s="24">
        <v>17.901809</v>
      </c>
      <c r="M32" s="26">
        <f>INDEX(INDIRECT($M663),
       MATCH(TRIM($C663), TRIM(INDIRECT($N663)), 0),
       MATCH(TRIM(X$2), TRIM(INDIRECT($O663)), 0))</f>
      </c>
      <c r="N32" s="26">
        <f>_xlfn.CONCAT("'",$B32,"'","!","$M$2:$M$80")</f>
      </c>
      <c r="O32" s="26">
        <f>_xlfn.CONCAT("'",$B32,"'","!","$N$2:$W$2")</f>
      </c>
      <c r="P32" s="2"/>
      <c r="Q32" s="2"/>
      <c r="R32" s="2"/>
      <c r="S32" s="2"/>
      <c r="T32" s="2"/>
      <c r="U32" s="2"/>
      <c r="V32" s="2"/>
      <c r="W32" s="2"/>
      <c r="X32" s="2"/>
      <c r="Y32" s="2"/>
    </row>
    <row x14ac:dyDescent="0.25" r="33" customHeight="1" ht="17.25">
      <c r="A33" s="10">
        <v>31</v>
      </c>
      <c r="B33" s="10">
        <v>2015</v>
      </c>
      <c r="C33" s="2" t="s">
        <v>135</v>
      </c>
      <c r="D33" s="23">
        <v>2</v>
      </c>
      <c r="E33" s="10">
        <v>298321</v>
      </c>
      <c r="F33" s="24">
        <v>0.298321</v>
      </c>
      <c r="G33" s="23">
        <v>0</v>
      </c>
      <c r="H33" s="10">
        <v>0</v>
      </c>
      <c r="I33" s="23">
        <v>0</v>
      </c>
      <c r="J33" s="5" t="s">
        <v>16</v>
      </c>
      <c r="K33" s="25" t="s">
        <v>16</v>
      </c>
      <c r="L33" s="24">
        <v>0.298321</v>
      </c>
      <c r="M33" s="26">
        <f>INDEX(INDIRECT($M664),
       MATCH(TRIM($C664), TRIM(INDIRECT($N664)), 0),
       MATCH(TRIM(X$2), TRIM(INDIRECT($O664)), 0))</f>
      </c>
      <c r="N33" s="26">
        <f>_xlfn.CONCAT("'",$B33,"'","!","$M$2:$M$80")</f>
      </c>
      <c r="O33" s="26">
        <f>_xlfn.CONCAT("'",$B33,"'","!","$N$2:$W$2")</f>
      </c>
      <c r="P33" s="2"/>
      <c r="Q33" s="2"/>
      <c r="R33" s="2"/>
      <c r="S33" s="2"/>
      <c r="T33" s="2"/>
      <c r="U33" s="2"/>
      <c r="V33" s="2"/>
      <c r="W33" s="2"/>
      <c r="X33" s="2"/>
      <c r="Y33" s="2"/>
    </row>
    <row x14ac:dyDescent="0.25" r="34" customHeight="1" ht="17.25">
      <c r="A34" s="10">
        <v>32</v>
      </c>
      <c r="B34" s="10">
        <v>2015</v>
      </c>
      <c r="C34" s="2" t="s">
        <v>136</v>
      </c>
      <c r="D34" s="23">
        <v>0</v>
      </c>
      <c r="E34" s="10">
        <v>0</v>
      </c>
      <c r="F34" s="23">
        <v>0</v>
      </c>
      <c r="G34" s="23">
        <v>2</v>
      </c>
      <c r="H34" s="10">
        <v>5399905</v>
      </c>
      <c r="I34" s="24">
        <v>5.399905</v>
      </c>
      <c r="J34" s="5" t="s">
        <v>16</v>
      </c>
      <c r="K34" s="25" t="s">
        <v>16</v>
      </c>
      <c r="L34" s="24">
        <v>5.399905</v>
      </c>
      <c r="M34" s="26">
        <f>INDEX(INDIRECT($M665),
       MATCH(TRIM($C665), TRIM(INDIRECT($N665)), 0),
       MATCH(TRIM(X$2), TRIM(INDIRECT($O665)), 0))</f>
      </c>
      <c r="N34" s="26">
        <f>_xlfn.CONCAT("'",$B34,"'","!","$M$2:$M$80")</f>
      </c>
      <c r="O34" s="26">
        <f>_xlfn.CONCAT("'",$B34,"'","!","$N$2:$W$2")</f>
      </c>
      <c r="P34" s="2"/>
      <c r="Q34" s="2"/>
      <c r="R34" s="2"/>
      <c r="S34" s="2"/>
      <c r="T34" s="2"/>
      <c r="U34" s="2"/>
      <c r="V34" s="2"/>
      <c r="W34" s="2"/>
      <c r="X34" s="2"/>
      <c r="Y34" s="2"/>
    </row>
    <row x14ac:dyDescent="0.25" r="35" customHeight="1" ht="17.25">
      <c r="A35" s="10">
        <v>33</v>
      </c>
      <c r="B35" s="10">
        <v>2015</v>
      </c>
      <c r="C35" s="2" t="s">
        <v>137</v>
      </c>
      <c r="D35" s="23">
        <v>4</v>
      </c>
      <c r="E35" s="10">
        <v>12821500</v>
      </c>
      <c r="F35" s="24">
        <v>12.8215</v>
      </c>
      <c r="G35" s="23">
        <v>0</v>
      </c>
      <c r="H35" s="10">
        <v>0</v>
      </c>
      <c r="I35" s="23">
        <v>0</v>
      </c>
      <c r="J35" s="5" t="s">
        <v>16</v>
      </c>
      <c r="K35" s="25" t="s">
        <v>16</v>
      </c>
      <c r="L35" s="24">
        <v>12.8215</v>
      </c>
      <c r="M35" s="26">
        <f>INDEX(INDIRECT($M666),
       MATCH(TRIM($C666), TRIM(INDIRECT($N666)), 0),
       MATCH(TRIM(X$2), TRIM(INDIRECT($O666)), 0))</f>
      </c>
      <c r="N35" s="26">
        <f>_xlfn.CONCAT("'",$B35,"'","!","$M$2:$M$80")</f>
      </c>
      <c r="O35" s="26">
        <f>_xlfn.CONCAT("'",$B35,"'","!","$N$2:$W$2")</f>
      </c>
      <c r="P35" s="2"/>
      <c r="Q35" s="2"/>
      <c r="R35" s="2"/>
      <c r="S35" s="2"/>
      <c r="T35" s="2"/>
      <c r="U35" s="2"/>
      <c r="V35" s="2"/>
      <c r="W35" s="2"/>
      <c r="X35" s="2"/>
      <c r="Y35" s="2"/>
    </row>
    <row x14ac:dyDescent="0.25" r="36" customHeight="1" ht="17.25">
      <c r="A36" s="10">
        <v>34</v>
      </c>
      <c r="B36" s="10">
        <v>2015</v>
      </c>
      <c r="C36" s="2" t="s">
        <v>138</v>
      </c>
      <c r="D36" s="23">
        <v>104</v>
      </c>
      <c r="E36" s="10">
        <v>1472213761</v>
      </c>
      <c r="F36" s="24">
        <v>1472.213761</v>
      </c>
      <c r="G36" s="23">
        <v>92</v>
      </c>
      <c r="H36" s="10">
        <v>332922524</v>
      </c>
      <c r="I36" s="24">
        <v>332.922524</v>
      </c>
      <c r="J36" s="5" t="s">
        <v>16</v>
      </c>
      <c r="K36" s="25" t="s">
        <v>16</v>
      </c>
      <c r="L36" s="24">
        <v>1805.136285</v>
      </c>
      <c r="M36" s="26">
        <f>INDEX(INDIRECT($M667),
       MATCH(TRIM($C667), TRIM(INDIRECT($N667)), 0),
       MATCH(TRIM(X$2), TRIM(INDIRECT($O667)), 0))</f>
      </c>
      <c r="N36" s="26">
        <f>_xlfn.CONCAT("'",$B36,"'","!","$M$2:$M$80")</f>
      </c>
      <c r="O36" s="26">
        <f>_xlfn.CONCAT("'",$B36,"'","!","$N$2:$W$2")</f>
      </c>
      <c r="P36" s="2"/>
      <c r="Q36" s="2"/>
      <c r="R36" s="2"/>
      <c r="S36" s="2"/>
      <c r="T36" s="2"/>
      <c r="U36" s="2"/>
      <c r="V36" s="2"/>
      <c r="W36" s="2"/>
      <c r="X36" s="2"/>
      <c r="Y36" s="2"/>
    </row>
    <row x14ac:dyDescent="0.25" r="37" customHeight="1" ht="17.25">
      <c r="A37" s="10">
        <v>35</v>
      </c>
      <c r="B37" s="10">
        <v>2015</v>
      </c>
      <c r="C37" s="2" t="s">
        <v>139</v>
      </c>
      <c r="D37" s="23">
        <v>6</v>
      </c>
      <c r="E37" s="10">
        <v>53608857</v>
      </c>
      <c r="F37" s="24">
        <v>53.608857</v>
      </c>
      <c r="G37" s="23">
        <v>2</v>
      </c>
      <c r="H37" s="10">
        <v>2050000</v>
      </c>
      <c r="I37" s="24">
        <v>2.05</v>
      </c>
      <c r="J37" s="5" t="s">
        <v>16</v>
      </c>
      <c r="K37" s="25" t="s">
        <v>16</v>
      </c>
      <c r="L37" s="24">
        <v>55.658857</v>
      </c>
      <c r="M37" s="29" t="s">
        <v>107</v>
      </c>
      <c r="N37" s="26">
        <f>_xlfn.CONCAT("'",$B37,"'","!","$M$2:$M$80")</f>
      </c>
      <c r="O37" s="26">
        <f>_xlfn.CONCAT("'",$B37,"'","!","$N$2:$W$2")</f>
      </c>
      <c r="P37" s="2"/>
      <c r="Q37" s="2"/>
      <c r="R37" s="2"/>
      <c r="S37" s="2"/>
      <c r="T37" s="2"/>
      <c r="U37" s="2"/>
      <c r="V37" s="2"/>
      <c r="W37" s="2"/>
      <c r="X37" s="2"/>
      <c r="Y37" s="2"/>
    </row>
    <row x14ac:dyDescent="0.25" r="38" customHeight="1" ht="17.25">
      <c r="A38" s="10">
        <v>36</v>
      </c>
      <c r="B38" s="10">
        <v>2015</v>
      </c>
      <c r="C38" s="2" t="s">
        <v>140</v>
      </c>
      <c r="D38" s="30" t="s">
        <v>16</v>
      </c>
      <c r="E38" s="5" t="s">
        <v>16</v>
      </c>
      <c r="F38" s="25" t="s">
        <v>16</v>
      </c>
      <c r="G38" s="30" t="s">
        <v>16</v>
      </c>
      <c r="H38" s="5" t="s">
        <v>16</v>
      </c>
      <c r="I38" s="25" t="s">
        <v>16</v>
      </c>
      <c r="J38" s="5" t="s">
        <v>16</v>
      </c>
      <c r="K38" s="25" t="s">
        <v>16</v>
      </c>
      <c r="L38" s="25" t="s">
        <v>16</v>
      </c>
      <c r="M38" s="26">
        <f>INDEX(INDIRECT($M669),
       MATCH(TRIM($C669), TRIM(INDIRECT($N669)), 0),
       MATCH(TRIM(X$2), TRIM(INDIRECT($O669)), 0))</f>
      </c>
      <c r="N38" s="26">
        <f>_xlfn.CONCAT("'",$B38,"'","!","$M$2:$M$80")</f>
      </c>
      <c r="O38" s="26">
        <f>_xlfn.CONCAT("'",$B38,"'","!","$N$2:$W$2")</f>
      </c>
      <c r="P38" s="2"/>
      <c r="Q38" s="2"/>
      <c r="R38" s="2"/>
      <c r="S38" s="2"/>
      <c r="T38" s="2"/>
      <c r="U38" s="2"/>
      <c r="V38" s="2"/>
      <c r="W38" s="2"/>
      <c r="X38" s="2"/>
      <c r="Y38" s="2"/>
    </row>
    <row x14ac:dyDescent="0.25" r="39" customHeight="1" ht="17.25">
      <c r="A39" s="10">
        <v>37</v>
      </c>
      <c r="B39" s="10">
        <v>2015</v>
      </c>
      <c r="C39" s="2" t="s">
        <v>141</v>
      </c>
      <c r="D39" s="23">
        <v>6</v>
      </c>
      <c r="E39" s="10">
        <v>24100000</v>
      </c>
      <c r="F39" s="24">
        <v>24.1</v>
      </c>
      <c r="G39" s="23">
        <v>0</v>
      </c>
      <c r="H39" s="10">
        <v>0</v>
      </c>
      <c r="I39" s="23">
        <v>0</v>
      </c>
      <c r="J39" s="5" t="s">
        <v>16</v>
      </c>
      <c r="K39" s="25" t="s">
        <v>16</v>
      </c>
      <c r="L39" s="24">
        <v>24.1</v>
      </c>
      <c r="M39" s="26">
        <f>INDEX(INDIRECT($M670),
       MATCH(TRIM($C670), TRIM(INDIRECT($N670)), 0),
       MATCH(TRIM(X$2), TRIM(INDIRECT($O670)), 0))</f>
      </c>
      <c r="N39" s="26">
        <f>_xlfn.CONCAT("'",$B39,"'","!","$M$2:$M$80")</f>
      </c>
      <c r="O39" s="26">
        <f>_xlfn.CONCAT("'",$B39,"'","!","$N$2:$W$2")</f>
      </c>
      <c r="P39" s="2"/>
      <c r="Q39" s="2"/>
      <c r="R39" s="2"/>
      <c r="S39" s="2"/>
      <c r="T39" s="2"/>
      <c r="U39" s="2"/>
      <c r="V39" s="2"/>
      <c r="W39" s="2"/>
      <c r="X39" s="2"/>
      <c r="Y39" s="2"/>
    </row>
    <row x14ac:dyDescent="0.25" r="40" customHeight="1" ht="17.25">
      <c r="A40" s="10">
        <v>38</v>
      </c>
      <c r="B40" s="10">
        <v>2015</v>
      </c>
      <c r="C40" s="2" t="s">
        <v>142</v>
      </c>
      <c r="D40" s="23">
        <v>2</v>
      </c>
      <c r="E40" s="10">
        <v>1225000</v>
      </c>
      <c r="F40" s="24">
        <v>1.225</v>
      </c>
      <c r="G40" s="23">
        <v>1</v>
      </c>
      <c r="H40" s="10">
        <v>15377541</v>
      </c>
      <c r="I40" s="24">
        <v>15.377541</v>
      </c>
      <c r="J40" s="5" t="s">
        <v>16</v>
      </c>
      <c r="K40" s="25" t="s">
        <v>16</v>
      </c>
      <c r="L40" s="24">
        <v>16.602541000000002</v>
      </c>
      <c r="M40" s="26">
        <f>INDEX(INDIRECT($M671),
       MATCH(TRIM($C671), TRIM(INDIRECT($N671)), 0),
       MATCH(TRIM(X$2), TRIM(INDIRECT($O671)), 0))</f>
      </c>
      <c r="N40" s="26">
        <f>_xlfn.CONCAT("'",$B40,"'","!","$M$2:$M$80")</f>
      </c>
      <c r="O40" s="26">
        <f>_xlfn.CONCAT("'",$B40,"'","!","$N$2:$W$2")</f>
      </c>
      <c r="P40" s="2"/>
      <c r="Q40" s="2"/>
      <c r="R40" s="2"/>
      <c r="S40" s="2"/>
      <c r="T40" s="2"/>
      <c r="U40" s="2"/>
      <c r="V40" s="2"/>
      <c r="W40" s="2"/>
      <c r="X40" s="2"/>
      <c r="Y40" s="2"/>
    </row>
    <row x14ac:dyDescent="0.25" r="41" customHeight="1" ht="17.25">
      <c r="A41" s="10">
        <v>39</v>
      </c>
      <c r="B41" s="10">
        <v>2015</v>
      </c>
      <c r="C41" s="2" t="s">
        <v>143</v>
      </c>
      <c r="D41" s="23">
        <v>59</v>
      </c>
      <c r="E41" s="10">
        <v>52587792</v>
      </c>
      <c r="F41" s="24">
        <v>52.587792</v>
      </c>
      <c r="G41" s="23">
        <v>17</v>
      </c>
      <c r="H41" s="10">
        <v>-8305598</v>
      </c>
      <c r="I41" s="24">
        <v>-8.305598</v>
      </c>
      <c r="J41" s="5" t="s">
        <v>16</v>
      </c>
      <c r="K41" s="25" t="s">
        <v>16</v>
      </c>
      <c r="L41" s="24">
        <v>44.282194000000004</v>
      </c>
      <c r="M41" s="26">
        <f>INDEX(INDIRECT($M672),
       MATCH(TRIM($C672), TRIM(INDIRECT($N672)), 0),
       MATCH(TRIM(X$2), TRIM(INDIRECT($O672)), 0))</f>
      </c>
      <c r="N41" s="26">
        <f>_xlfn.CONCAT("'",$B41,"'","!","$M$2:$M$80")</f>
      </c>
      <c r="O41" s="26">
        <f>_xlfn.CONCAT("'",$B41,"'","!","$N$2:$W$2")</f>
      </c>
      <c r="P41" s="2"/>
      <c r="Q41" s="2"/>
      <c r="R41" s="2"/>
      <c r="S41" s="2"/>
      <c r="T41" s="2"/>
      <c r="U41" s="2"/>
      <c r="V41" s="2"/>
      <c r="W41" s="2"/>
      <c r="X41" s="2"/>
      <c r="Y41" s="2"/>
    </row>
    <row x14ac:dyDescent="0.25" r="42" customHeight="1" ht="17.25">
      <c r="A42" s="10">
        <v>40</v>
      </c>
      <c r="B42" s="10">
        <v>2015</v>
      </c>
      <c r="C42" s="2" t="s">
        <v>144</v>
      </c>
      <c r="D42" s="23">
        <v>6</v>
      </c>
      <c r="E42" s="10">
        <v>55096000</v>
      </c>
      <c r="F42" s="24">
        <v>55.096</v>
      </c>
      <c r="G42" s="23">
        <v>6</v>
      </c>
      <c r="H42" s="10">
        <v>37014893</v>
      </c>
      <c r="I42" s="24">
        <v>37.014893</v>
      </c>
      <c r="J42" s="5" t="s">
        <v>16</v>
      </c>
      <c r="K42" s="25" t="s">
        <v>16</v>
      </c>
      <c r="L42" s="24">
        <v>92.110893</v>
      </c>
      <c r="M42" s="26">
        <f>INDEX(INDIRECT($M673),
       MATCH(TRIM($C673), TRIM(INDIRECT($N673)), 0),
       MATCH(TRIM(X$2), TRIM(INDIRECT($O673)), 0))</f>
      </c>
      <c r="N42" s="26">
        <f>_xlfn.CONCAT("'",$B42,"'","!","$M$2:$M$80")</f>
      </c>
      <c r="O42" s="26">
        <f>_xlfn.CONCAT("'",$B42,"'","!","$N$2:$W$2")</f>
      </c>
      <c r="P42" s="2"/>
      <c r="Q42" s="2"/>
      <c r="R42" s="2"/>
      <c r="S42" s="2"/>
      <c r="T42" s="2"/>
      <c r="U42" s="2"/>
      <c r="V42" s="2"/>
      <c r="W42" s="2"/>
      <c r="X42" s="2"/>
      <c r="Y42" s="2"/>
    </row>
    <row x14ac:dyDescent="0.25" r="43" customHeight="1" ht="17.25">
      <c r="A43" s="10">
        <v>41</v>
      </c>
      <c r="B43" s="10">
        <v>2015</v>
      </c>
      <c r="C43" s="2" t="s">
        <v>145</v>
      </c>
      <c r="D43" s="23">
        <v>13</v>
      </c>
      <c r="E43" s="10">
        <v>89076000</v>
      </c>
      <c r="F43" s="24">
        <v>89.076</v>
      </c>
      <c r="G43" s="23">
        <v>5</v>
      </c>
      <c r="H43" s="10">
        <v>5913000</v>
      </c>
      <c r="I43" s="24">
        <v>5.913</v>
      </c>
      <c r="J43" s="5" t="s">
        <v>16</v>
      </c>
      <c r="K43" s="25" t="s">
        <v>16</v>
      </c>
      <c r="L43" s="24">
        <v>94.98899999999999</v>
      </c>
      <c r="M43" s="26">
        <f>INDEX(INDIRECT($M674),
       MATCH(TRIM($C674), TRIM(INDIRECT($N674)), 0),
       MATCH(TRIM(X$2), TRIM(INDIRECT($O674)), 0))</f>
      </c>
      <c r="N43" s="26">
        <f>_xlfn.CONCAT("'",$B43,"'","!","$M$2:$M$80")</f>
      </c>
      <c r="O43" s="26">
        <f>_xlfn.CONCAT("'",$B43,"'","!","$N$2:$W$2")</f>
      </c>
      <c r="P43" s="2"/>
      <c r="Q43" s="2"/>
      <c r="R43" s="2"/>
      <c r="S43" s="2"/>
      <c r="T43" s="2"/>
      <c r="U43" s="2"/>
      <c r="V43" s="2"/>
      <c r="W43" s="2"/>
      <c r="X43" s="2"/>
      <c r="Y43" s="2"/>
    </row>
    <row x14ac:dyDescent="0.25" r="44" customHeight="1" ht="17.25">
      <c r="A44" s="10">
        <v>42</v>
      </c>
      <c r="B44" s="10">
        <v>2015</v>
      </c>
      <c r="C44" s="2" t="s">
        <v>146</v>
      </c>
      <c r="D44" s="23">
        <v>10</v>
      </c>
      <c r="E44" s="10">
        <v>120958789</v>
      </c>
      <c r="F44" s="24">
        <v>120.958789</v>
      </c>
      <c r="G44" s="23">
        <v>1</v>
      </c>
      <c r="H44" s="10">
        <v>41276965</v>
      </c>
      <c r="I44" s="24">
        <v>41.276965</v>
      </c>
      <c r="J44" s="5" t="s">
        <v>16</v>
      </c>
      <c r="K44" s="25" t="s">
        <v>16</v>
      </c>
      <c r="L44" s="24">
        <v>162.235754</v>
      </c>
      <c r="M44" s="26">
        <f>INDEX(INDIRECT($M675),
       MATCH(TRIM($C675), TRIM(INDIRECT($N675)), 0),
       MATCH(TRIM(X$2), TRIM(INDIRECT($O675)), 0))</f>
      </c>
      <c r="N44" s="26">
        <f>_xlfn.CONCAT("'",$B44,"'","!","$M$2:$M$80")</f>
      </c>
      <c r="O44" s="26">
        <f>_xlfn.CONCAT("'",$B44,"'","!","$N$2:$W$2")</f>
      </c>
      <c r="P44" s="2"/>
      <c r="Q44" s="2"/>
      <c r="R44" s="2"/>
      <c r="S44" s="2"/>
      <c r="T44" s="2"/>
      <c r="U44" s="2"/>
      <c r="V44" s="2"/>
      <c r="W44" s="2"/>
      <c r="X44" s="2"/>
      <c r="Y44" s="2"/>
    </row>
    <row x14ac:dyDescent="0.25" r="45" customHeight="1" ht="17.25">
      <c r="A45" s="10">
        <v>43</v>
      </c>
      <c r="B45" s="10">
        <v>2015</v>
      </c>
      <c r="C45" s="2" t="s">
        <v>147</v>
      </c>
      <c r="D45" s="23">
        <v>8</v>
      </c>
      <c r="E45" s="10">
        <v>78560943</v>
      </c>
      <c r="F45" s="24">
        <v>78.560943</v>
      </c>
      <c r="G45" s="23">
        <v>3</v>
      </c>
      <c r="H45" s="10">
        <v>61948781</v>
      </c>
      <c r="I45" s="24">
        <v>61.948781</v>
      </c>
      <c r="J45" s="5" t="s">
        <v>16</v>
      </c>
      <c r="K45" s="25" t="s">
        <v>16</v>
      </c>
      <c r="L45" s="24">
        <v>140.509724</v>
      </c>
      <c r="M45" s="26">
        <f>INDEX(INDIRECT($M676),
       MATCH(TRIM($C676), TRIM(INDIRECT($N676)), 0),
       MATCH(TRIM(X$2), TRIM(INDIRECT($O676)), 0))</f>
      </c>
      <c r="N45" s="26">
        <f>_xlfn.CONCAT("'",$B45,"'","!","$M$2:$M$80")</f>
      </c>
      <c r="O45" s="26">
        <f>_xlfn.CONCAT("'",$B45,"'","!","$N$2:$W$2")</f>
      </c>
      <c r="P45" s="2"/>
      <c r="Q45" s="2"/>
      <c r="R45" s="2"/>
      <c r="S45" s="2"/>
      <c r="T45" s="2"/>
      <c r="U45" s="2"/>
      <c r="V45" s="2"/>
      <c r="W45" s="2"/>
      <c r="X45" s="2"/>
      <c r="Y45" s="2"/>
    </row>
    <row x14ac:dyDescent="0.25" r="46" customHeight="1" ht="17.25">
      <c r="A46" s="10">
        <v>44</v>
      </c>
      <c r="B46" s="10">
        <v>2015</v>
      </c>
      <c r="C46" s="2" t="s">
        <v>148</v>
      </c>
      <c r="D46" s="23">
        <v>0</v>
      </c>
      <c r="E46" s="10">
        <v>0</v>
      </c>
      <c r="F46" s="23">
        <v>0</v>
      </c>
      <c r="G46" s="23">
        <v>3</v>
      </c>
      <c r="H46" s="10">
        <v>5691000</v>
      </c>
      <c r="I46" s="24">
        <v>5.691</v>
      </c>
      <c r="J46" s="5" t="s">
        <v>16</v>
      </c>
      <c r="K46" s="25" t="s">
        <v>16</v>
      </c>
      <c r="L46" s="24">
        <v>5.691</v>
      </c>
      <c r="M46" s="26">
        <f>INDEX(INDIRECT($M677),
       MATCH(TRIM($C677), TRIM(INDIRECT($N677)), 0),
       MATCH(TRIM(X$2), TRIM(INDIRECT($O677)), 0))</f>
      </c>
      <c r="N46" s="26">
        <f>_xlfn.CONCAT("'",$B46,"'","!","$M$2:$M$80")</f>
      </c>
      <c r="O46" s="26">
        <f>_xlfn.CONCAT("'",$B46,"'","!","$N$2:$W$2")</f>
      </c>
      <c r="P46" s="2"/>
      <c r="Q46" s="2"/>
      <c r="R46" s="2"/>
      <c r="S46" s="2"/>
      <c r="T46" s="2"/>
      <c r="U46" s="2"/>
      <c r="V46" s="2"/>
      <c r="W46" s="2"/>
      <c r="X46" s="2"/>
      <c r="Y46" s="2"/>
    </row>
    <row x14ac:dyDescent="0.25" r="47" customHeight="1" ht="17.25">
      <c r="A47" s="10">
        <v>45</v>
      </c>
      <c r="B47" s="10">
        <v>2015</v>
      </c>
      <c r="C47" s="2" t="s">
        <v>149</v>
      </c>
      <c r="D47" s="23">
        <v>3</v>
      </c>
      <c r="E47" s="10">
        <v>20750000</v>
      </c>
      <c r="F47" s="24">
        <v>20.75</v>
      </c>
      <c r="G47" s="23">
        <v>1</v>
      </c>
      <c r="H47" s="10">
        <v>10000000</v>
      </c>
      <c r="I47" s="23">
        <v>10</v>
      </c>
      <c r="J47" s="5" t="s">
        <v>16</v>
      </c>
      <c r="K47" s="25" t="s">
        <v>16</v>
      </c>
      <c r="L47" s="24">
        <v>30.75</v>
      </c>
      <c r="M47" s="26">
        <f>INDEX(INDIRECT($M678),
       MATCH(TRIM($C678), TRIM(INDIRECT($N678)), 0),
       MATCH(TRIM(X$2), TRIM(INDIRECT($O678)), 0))</f>
      </c>
      <c r="N47" s="26">
        <f>_xlfn.CONCAT("'",$B47,"'","!","$M$2:$M$80")</f>
      </c>
      <c r="O47" s="26">
        <f>_xlfn.CONCAT("'",$B47,"'","!","$N$2:$W$2")</f>
      </c>
      <c r="P47" s="2"/>
      <c r="Q47" s="2"/>
      <c r="R47" s="2"/>
      <c r="S47" s="2"/>
      <c r="T47" s="2"/>
      <c r="U47" s="2"/>
      <c r="V47" s="2"/>
      <c r="W47" s="2"/>
      <c r="X47" s="2"/>
      <c r="Y47" s="2"/>
    </row>
    <row x14ac:dyDescent="0.25" r="48" customHeight="1" ht="17.25">
      <c r="A48" s="10">
        <v>46</v>
      </c>
      <c r="B48" s="10">
        <v>2015</v>
      </c>
      <c r="C48" s="2" t="s">
        <v>150</v>
      </c>
      <c r="D48" s="23">
        <v>1</v>
      </c>
      <c r="E48" s="10">
        <v>10000</v>
      </c>
      <c r="F48" s="24">
        <v>0.01</v>
      </c>
      <c r="G48" s="23">
        <v>1</v>
      </c>
      <c r="H48" s="10">
        <v>598540</v>
      </c>
      <c r="I48" s="24">
        <v>0.59854</v>
      </c>
      <c r="J48" s="5" t="s">
        <v>16</v>
      </c>
      <c r="K48" s="25" t="s">
        <v>16</v>
      </c>
      <c r="L48" s="24">
        <v>0.60854</v>
      </c>
      <c r="M48" s="26">
        <f>INDEX(INDIRECT($M679),
       MATCH(TRIM($C679), TRIM(INDIRECT($N679)), 0),
       MATCH(TRIM(X$2), TRIM(INDIRECT($O679)), 0))</f>
      </c>
      <c r="N48" s="26">
        <f>_xlfn.CONCAT("'",$B48,"'","!","$M$2:$M$80")</f>
      </c>
      <c r="O48" s="26">
        <f>_xlfn.CONCAT("'",$B48,"'","!","$N$2:$W$2")</f>
      </c>
      <c r="P48" s="2"/>
      <c r="Q48" s="2"/>
      <c r="R48" s="2"/>
      <c r="S48" s="2"/>
      <c r="T48" s="2"/>
      <c r="U48" s="2"/>
      <c r="V48" s="2"/>
      <c r="W48" s="2"/>
      <c r="X48" s="2"/>
      <c r="Y48" s="2"/>
    </row>
    <row x14ac:dyDescent="0.25" r="49" customHeight="1" ht="17.25">
      <c r="A49" s="10">
        <v>47</v>
      </c>
      <c r="B49" s="10">
        <v>2015</v>
      </c>
      <c r="C49" s="2" t="s">
        <v>151</v>
      </c>
      <c r="D49" s="23">
        <v>5</v>
      </c>
      <c r="E49" s="10">
        <v>3000003</v>
      </c>
      <c r="F49" s="24">
        <v>3.000003</v>
      </c>
      <c r="G49" s="23">
        <v>0</v>
      </c>
      <c r="H49" s="10">
        <v>0</v>
      </c>
      <c r="I49" s="23">
        <v>0</v>
      </c>
      <c r="J49" s="5" t="s">
        <v>16</v>
      </c>
      <c r="K49" s="25" t="s">
        <v>16</v>
      </c>
      <c r="L49" s="24">
        <v>3.000003</v>
      </c>
      <c r="M49" s="26">
        <f>INDEX(INDIRECT($M680),
       MATCH(TRIM($C680), TRIM(INDIRECT($N680)), 0),
       MATCH(TRIM(X$2), TRIM(INDIRECT($O680)), 0))</f>
      </c>
      <c r="N49" s="26">
        <f>_xlfn.CONCAT("'",$B49,"'","!","$M$2:$M$80")</f>
      </c>
      <c r="O49" s="26">
        <f>_xlfn.CONCAT("'",$B49,"'","!","$N$2:$W$2")</f>
      </c>
      <c r="P49" s="2"/>
      <c r="Q49" s="2"/>
      <c r="R49" s="2"/>
      <c r="S49" s="2"/>
      <c r="T49" s="2"/>
      <c r="U49" s="2"/>
      <c r="V49" s="2"/>
      <c r="W49" s="2"/>
      <c r="X49" s="2"/>
      <c r="Y49" s="2"/>
    </row>
    <row x14ac:dyDescent="0.25" r="50" customHeight="1" ht="17.25">
      <c r="A50" s="10">
        <v>48</v>
      </c>
      <c r="B50" s="10">
        <v>2015</v>
      </c>
      <c r="C50" s="2" t="s">
        <v>152</v>
      </c>
      <c r="D50" s="23">
        <v>5</v>
      </c>
      <c r="E50" s="10">
        <v>7615094</v>
      </c>
      <c r="F50" s="24">
        <v>7.615094</v>
      </c>
      <c r="G50" s="23">
        <v>4</v>
      </c>
      <c r="H50" s="10">
        <v>2500000</v>
      </c>
      <c r="I50" s="24">
        <v>2.5</v>
      </c>
      <c r="J50" s="5" t="s">
        <v>16</v>
      </c>
      <c r="K50" s="25" t="s">
        <v>16</v>
      </c>
      <c r="L50" s="24">
        <v>10.115094</v>
      </c>
      <c r="M50" s="26">
        <f>INDEX(INDIRECT($M681),
       MATCH(TRIM($C681), TRIM(INDIRECT($N681)), 0),
       MATCH(TRIM(X$2), TRIM(INDIRECT($O681)), 0))</f>
      </c>
      <c r="N50" s="26">
        <f>_xlfn.CONCAT("'",$B50,"'","!","$M$2:$M$80")</f>
      </c>
      <c r="O50" s="26">
        <f>_xlfn.CONCAT("'",$B50,"'","!","$N$2:$W$2")</f>
      </c>
      <c r="P50" s="2"/>
      <c r="Q50" s="2"/>
      <c r="R50" s="2"/>
      <c r="S50" s="2"/>
      <c r="T50" s="2"/>
      <c r="U50" s="2"/>
      <c r="V50" s="2"/>
      <c r="W50" s="2"/>
      <c r="X50" s="2"/>
      <c r="Y50" s="2"/>
    </row>
    <row x14ac:dyDescent="0.25" r="51" customHeight="1" ht="17.25">
      <c r="A51" s="10">
        <v>49</v>
      </c>
      <c r="B51" s="10">
        <v>2015</v>
      </c>
      <c r="C51" s="2" t="s">
        <v>153</v>
      </c>
      <c r="D51" s="23">
        <v>7</v>
      </c>
      <c r="E51" s="10">
        <v>44106853</v>
      </c>
      <c r="F51" s="24">
        <v>44.106853</v>
      </c>
      <c r="G51" s="23">
        <v>5</v>
      </c>
      <c r="H51" s="10">
        <v>14289900</v>
      </c>
      <c r="I51" s="24">
        <v>14.2899</v>
      </c>
      <c r="J51" s="5" t="s">
        <v>16</v>
      </c>
      <c r="K51" s="25" t="s">
        <v>16</v>
      </c>
      <c r="L51" s="24">
        <v>58.396753000000004</v>
      </c>
      <c r="M51" s="26">
        <f>INDEX(INDIRECT($M682),
       MATCH(TRIM($C682), TRIM(INDIRECT($N682)), 0),
       MATCH(TRIM(X$2), TRIM(INDIRECT($O682)), 0))</f>
      </c>
      <c r="N51" s="26">
        <f>_xlfn.CONCAT("'",$B51,"'","!","$M$2:$M$80")</f>
      </c>
      <c r="O51" s="26">
        <f>_xlfn.CONCAT("'",$B51,"'","!","$N$2:$W$2")</f>
      </c>
      <c r="P51" s="2"/>
      <c r="Q51" s="2"/>
      <c r="R51" s="2"/>
      <c r="S51" s="2"/>
      <c r="T51" s="2"/>
      <c r="U51" s="2"/>
      <c r="V51" s="2"/>
      <c r="W51" s="2"/>
      <c r="X51" s="2"/>
      <c r="Y51" s="2"/>
    </row>
    <row x14ac:dyDescent="0.25" r="52" customHeight="1" ht="17.25">
      <c r="A52" s="10">
        <v>50</v>
      </c>
      <c r="B52" s="10">
        <v>2015</v>
      </c>
      <c r="C52" s="2" t="s">
        <v>154</v>
      </c>
      <c r="D52" s="30" t="s">
        <v>16</v>
      </c>
      <c r="E52" s="5" t="s">
        <v>16</v>
      </c>
      <c r="F52" s="25" t="s">
        <v>16</v>
      </c>
      <c r="G52" s="30" t="s">
        <v>16</v>
      </c>
      <c r="H52" s="5" t="s">
        <v>16</v>
      </c>
      <c r="I52" s="25" t="s">
        <v>16</v>
      </c>
      <c r="J52" s="5" t="s">
        <v>16</v>
      </c>
      <c r="K52" s="25" t="s">
        <v>16</v>
      </c>
      <c r="L52" s="25" t="s">
        <v>16</v>
      </c>
      <c r="M52" s="26">
        <f>INDEX(INDIRECT($M683),
       MATCH(TRIM($C683), TRIM(INDIRECT($N683)), 0),
       MATCH(TRIM(X$2), TRIM(INDIRECT($O683)), 0))</f>
      </c>
      <c r="N52" s="26">
        <f>_xlfn.CONCAT("'",$B52,"'","!","$M$2:$M$80")</f>
      </c>
      <c r="O52" s="26">
        <f>_xlfn.CONCAT("'",$B52,"'","!","$N$2:$W$2")</f>
      </c>
      <c r="P52" s="2"/>
      <c r="Q52" s="2"/>
      <c r="R52" s="2"/>
      <c r="S52" s="2"/>
      <c r="T52" s="2"/>
      <c r="U52" s="2"/>
      <c r="V52" s="2"/>
      <c r="W52" s="2"/>
      <c r="X52" s="2"/>
      <c r="Y52" s="2"/>
    </row>
    <row x14ac:dyDescent="0.25" r="53" customHeight="1" ht="17.25">
      <c r="A53" s="10">
        <v>51</v>
      </c>
      <c r="B53" s="10">
        <v>2015</v>
      </c>
      <c r="C53" s="2" t="s">
        <v>155</v>
      </c>
      <c r="D53" s="23">
        <v>2120</v>
      </c>
      <c r="E53" s="11">
        <v>16341042203.24</v>
      </c>
      <c r="F53" s="24">
        <v>16341.042203240004</v>
      </c>
      <c r="G53" s="23">
        <v>918</v>
      </c>
      <c r="H53" s="11">
        <v>7773962973.42</v>
      </c>
      <c r="I53" s="24">
        <v>7773.962973419999</v>
      </c>
      <c r="J53" s="5" t="s">
        <v>16</v>
      </c>
      <c r="K53" s="25" t="s">
        <v>16</v>
      </c>
      <c r="L53" s="24">
        <v>24115.005176660008</v>
      </c>
      <c r="M53" s="26">
        <f>INDEX(INDIRECT($M684),
       MATCH(TRIM($C684), TRIM(INDIRECT($N684)), 0),
       MATCH(TRIM(X$2), TRIM(INDIRECT($O684)), 0))</f>
      </c>
      <c r="N53" s="26">
        <f>_xlfn.CONCAT("'",$B53,"'","!","$M$2:$M$80")</f>
      </c>
      <c r="O53" s="26">
        <f>_xlfn.CONCAT("'",$B53,"'","!","$N$2:$W$2")</f>
      </c>
      <c r="P53" s="2"/>
      <c r="Q53" s="2"/>
      <c r="R53" s="2"/>
      <c r="S53" s="2"/>
      <c r="T53" s="2"/>
      <c r="U53" s="2"/>
      <c r="V53" s="2"/>
      <c r="W53" s="2"/>
      <c r="X53" s="2"/>
      <c r="Y53" s="2"/>
    </row>
    <row x14ac:dyDescent="0.25" r="54" customHeight="1" ht="17.25">
      <c r="A54" s="10">
        <v>52</v>
      </c>
      <c r="B54" s="10">
        <v>2015</v>
      </c>
      <c r="C54" s="2" t="s">
        <v>156</v>
      </c>
      <c r="D54" s="23">
        <v>0</v>
      </c>
      <c r="E54" s="10">
        <v>0</v>
      </c>
      <c r="F54" s="23">
        <v>0</v>
      </c>
      <c r="G54" s="23">
        <v>1</v>
      </c>
      <c r="H54" s="10">
        <v>25000000</v>
      </c>
      <c r="I54" s="23">
        <v>25</v>
      </c>
      <c r="J54" s="5" t="s">
        <v>16</v>
      </c>
      <c r="K54" s="25" t="s">
        <v>16</v>
      </c>
      <c r="L54" s="23">
        <v>25</v>
      </c>
      <c r="M54" s="26">
        <f>INDEX(INDIRECT($M685),
       MATCH(TRIM($C685), TRIM(INDIRECT($N685)), 0),
       MATCH(TRIM(X$2), TRIM(INDIRECT($O685)), 0))</f>
      </c>
      <c r="N54" s="26">
        <f>_xlfn.CONCAT("'",$B54,"'","!","$M$2:$M$80")</f>
      </c>
      <c r="O54" s="26">
        <f>_xlfn.CONCAT("'",$B54,"'","!","$N$2:$W$2")</f>
      </c>
      <c r="P54" s="2"/>
      <c r="Q54" s="2"/>
      <c r="R54" s="2"/>
      <c r="S54" s="2"/>
      <c r="T54" s="2"/>
      <c r="U54" s="2"/>
      <c r="V54" s="2"/>
      <c r="W54" s="2"/>
      <c r="X54" s="2"/>
      <c r="Y54" s="2"/>
    </row>
    <row x14ac:dyDescent="0.25" r="55" customHeight="1" ht="17.25">
      <c r="A55" s="10">
        <v>53</v>
      </c>
      <c r="B55" s="10">
        <v>2015</v>
      </c>
      <c r="C55" s="2" t="s">
        <v>157</v>
      </c>
      <c r="D55" s="30" t="s">
        <v>16</v>
      </c>
      <c r="E55" s="5" t="s">
        <v>16</v>
      </c>
      <c r="F55" s="25" t="s">
        <v>16</v>
      </c>
      <c r="G55" s="30" t="s">
        <v>16</v>
      </c>
      <c r="H55" s="5" t="s">
        <v>16</v>
      </c>
      <c r="I55" s="25" t="s">
        <v>16</v>
      </c>
      <c r="J55" s="5" t="s">
        <v>16</v>
      </c>
      <c r="K55" s="25" t="s">
        <v>16</v>
      </c>
      <c r="L55" s="25" t="s">
        <v>16</v>
      </c>
      <c r="M55" s="26">
        <f>INDEX(INDIRECT($M686),
       MATCH(TRIM($C686), TRIM(INDIRECT($N686)), 0),
       MATCH(TRIM(X$2), TRIM(INDIRECT($O686)), 0))</f>
      </c>
      <c r="N55" s="26">
        <f>_xlfn.CONCAT("'",$B55,"'","!","$M$2:$M$80")</f>
      </c>
      <c r="O55" s="26">
        <f>_xlfn.CONCAT("'",$B55,"'","!","$N$2:$W$2")</f>
      </c>
      <c r="P55" s="2"/>
      <c r="Q55" s="2"/>
      <c r="R55" s="2"/>
      <c r="S55" s="2"/>
      <c r="T55" s="2"/>
      <c r="U55" s="2"/>
      <c r="V55" s="2"/>
      <c r="W55" s="2"/>
      <c r="X55" s="2"/>
      <c r="Y55" s="2"/>
    </row>
    <row x14ac:dyDescent="0.25" r="56" customHeight="1" ht="17.25">
      <c r="A56" s="10">
        <v>54</v>
      </c>
      <c r="B56" s="10">
        <v>2015</v>
      </c>
      <c r="C56" s="2" t="s">
        <v>158</v>
      </c>
      <c r="D56" s="30" t="s">
        <v>16</v>
      </c>
      <c r="E56" s="5" t="s">
        <v>16</v>
      </c>
      <c r="F56" s="25" t="s">
        <v>16</v>
      </c>
      <c r="G56" s="30" t="s">
        <v>16</v>
      </c>
      <c r="H56" s="5" t="s">
        <v>16</v>
      </c>
      <c r="I56" s="25" t="s">
        <v>16</v>
      </c>
      <c r="J56" s="5" t="s">
        <v>16</v>
      </c>
      <c r="K56" s="25" t="s">
        <v>16</v>
      </c>
      <c r="L56" s="25" t="s">
        <v>16</v>
      </c>
      <c r="M56" s="26">
        <f>INDEX(INDIRECT($M687),
       MATCH(TRIM($C687), TRIM(INDIRECT($N687)), 0),
       MATCH(TRIM(X$2), TRIM(INDIRECT($O687)), 0))</f>
      </c>
      <c r="N56" s="26">
        <f>_xlfn.CONCAT("'",$B56,"'","!","$M$2:$M$80")</f>
      </c>
      <c r="O56" s="26">
        <f>_xlfn.CONCAT("'",$B56,"'","!","$N$2:$W$2")</f>
      </c>
      <c r="P56" s="2"/>
      <c r="Q56" s="2"/>
      <c r="R56" s="2"/>
      <c r="S56" s="2"/>
      <c r="T56" s="2"/>
      <c r="U56" s="2"/>
      <c r="V56" s="2"/>
      <c r="W56" s="2"/>
      <c r="X56" s="2"/>
      <c r="Y56" s="2"/>
    </row>
    <row x14ac:dyDescent="0.25" r="57" customHeight="1" ht="17.25">
      <c r="A57" s="10">
        <v>55</v>
      </c>
      <c r="B57" s="10">
        <v>2015</v>
      </c>
      <c r="C57" s="2" t="s">
        <v>159</v>
      </c>
      <c r="D57" s="30" t="s">
        <v>16</v>
      </c>
      <c r="E57" s="5" t="s">
        <v>16</v>
      </c>
      <c r="F57" s="25" t="s">
        <v>16</v>
      </c>
      <c r="G57" s="30" t="s">
        <v>16</v>
      </c>
      <c r="H57" s="5" t="s">
        <v>16</v>
      </c>
      <c r="I57" s="25" t="s">
        <v>16</v>
      </c>
      <c r="J57" s="5" t="s">
        <v>16</v>
      </c>
      <c r="K57" s="25" t="s">
        <v>16</v>
      </c>
      <c r="L57" s="25" t="s">
        <v>16</v>
      </c>
      <c r="M57" s="26">
        <f>INDEX(INDIRECT($M688),
       MATCH(TRIM($C688), TRIM(INDIRECT($N688)), 0),
       MATCH(TRIM(X$2), TRIM(INDIRECT($O688)), 0))</f>
      </c>
      <c r="N57" s="26">
        <f>_xlfn.CONCAT("'",$B57,"'","!","$M$2:$M$80")</f>
      </c>
      <c r="O57" s="26">
        <f>_xlfn.CONCAT("'",$B57,"'","!","$N$2:$W$2")</f>
      </c>
      <c r="P57" s="2"/>
      <c r="Q57" s="2"/>
      <c r="R57" s="2"/>
      <c r="S57" s="2"/>
      <c r="T57" s="2"/>
      <c r="U57" s="2"/>
      <c r="V57" s="2"/>
      <c r="W57" s="2"/>
      <c r="X57" s="2"/>
      <c r="Y57" s="2"/>
    </row>
    <row x14ac:dyDescent="0.25" r="58" customHeight="1" ht="17.25">
      <c r="A58" s="10">
        <v>56</v>
      </c>
      <c r="B58" s="10">
        <v>2015</v>
      </c>
      <c r="C58" s="2" t="s">
        <v>160</v>
      </c>
      <c r="D58" s="23">
        <v>1</v>
      </c>
      <c r="E58" s="10">
        <v>15000000</v>
      </c>
      <c r="F58" s="23">
        <v>15</v>
      </c>
      <c r="G58" s="23">
        <v>0</v>
      </c>
      <c r="H58" s="10">
        <v>0</v>
      </c>
      <c r="I58" s="23">
        <v>0</v>
      </c>
      <c r="J58" s="5" t="s">
        <v>16</v>
      </c>
      <c r="K58" s="25" t="s">
        <v>16</v>
      </c>
      <c r="L58" s="23">
        <v>15</v>
      </c>
      <c r="M58" s="26">
        <f>INDEX(INDIRECT($M689),
       MATCH(TRIM($C689), TRIM(INDIRECT($N689)), 0),
       MATCH(TRIM(X$2), TRIM(INDIRECT($O689)), 0))</f>
      </c>
      <c r="N58" s="26">
        <f>_xlfn.CONCAT("'",$B58,"'","!","$M$2:$M$80")</f>
      </c>
      <c r="O58" s="26">
        <f>_xlfn.CONCAT("'",$B58,"'","!","$N$2:$W$2")</f>
      </c>
      <c r="P58" s="2"/>
      <c r="Q58" s="2"/>
      <c r="R58" s="2"/>
      <c r="S58" s="2"/>
      <c r="T58" s="2"/>
      <c r="U58" s="2"/>
      <c r="V58" s="2"/>
      <c r="W58" s="2"/>
      <c r="X58" s="2"/>
      <c r="Y58" s="2"/>
    </row>
    <row x14ac:dyDescent="0.25" r="59" customHeight="1" ht="17.25">
      <c r="A59" s="10">
        <v>57</v>
      </c>
      <c r="B59" s="10">
        <v>2015</v>
      </c>
      <c r="C59" s="2" t="s">
        <v>161</v>
      </c>
      <c r="D59" s="30" t="s">
        <v>16</v>
      </c>
      <c r="E59" s="5" t="s">
        <v>16</v>
      </c>
      <c r="F59" s="25" t="s">
        <v>16</v>
      </c>
      <c r="G59" s="30" t="s">
        <v>16</v>
      </c>
      <c r="H59" s="5" t="s">
        <v>16</v>
      </c>
      <c r="I59" s="25" t="s">
        <v>16</v>
      </c>
      <c r="J59" s="5" t="s">
        <v>16</v>
      </c>
      <c r="K59" s="25" t="s">
        <v>16</v>
      </c>
      <c r="L59" s="25" t="s">
        <v>16</v>
      </c>
      <c r="M59" s="26">
        <f>INDEX(INDIRECT($M690),
       MATCH(TRIM($C690), TRIM(INDIRECT($N690)), 0),
       MATCH(TRIM(X$2), TRIM(INDIRECT($O690)), 0))</f>
      </c>
      <c r="N59" s="26">
        <f>_xlfn.CONCAT("'",$B59,"'","!","$M$2:$M$80")</f>
      </c>
      <c r="O59" s="26">
        <f>_xlfn.CONCAT("'",$B59,"'","!","$N$2:$W$2")</f>
      </c>
      <c r="P59" s="2"/>
      <c r="Q59" s="2"/>
      <c r="R59" s="2"/>
      <c r="S59" s="2"/>
      <c r="T59" s="2"/>
      <c r="U59" s="2"/>
      <c r="V59" s="2"/>
      <c r="W59" s="2"/>
      <c r="X59" s="2"/>
      <c r="Y59" s="2"/>
    </row>
    <row x14ac:dyDescent="0.25" r="60" customHeight="1" ht="17.25">
      <c r="A60" s="10">
        <v>58</v>
      </c>
      <c r="B60" s="10">
        <v>2015</v>
      </c>
      <c r="C60" s="2" t="s">
        <v>162</v>
      </c>
      <c r="D60" s="30" t="s">
        <v>16</v>
      </c>
      <c r="E60" s="5" t="s">
        <v>16</v>
      </c>
      <c r="F60" s="25" t="s">
        <v>16</v>
      </c>
      <c r="G60" s="30" t="s">
        <v>16</v>
      </c>
      <c r="H60" s="5" t="s">
        <v>16</v>
      </c>
      <c r="I60" s="25" t="s">
        <v>16</v>
      </c>
      <c r="J60" s="5" t="s">
        <v>16</v>
      </c>
      <c r="K60" s="25" t="s">
        <v>16</v>
      </c>
      <c r="L60" s="25" t="s">
        <v>16</v>
      </c>
      <c r="M60" s="26">
        <f>INDEX(INDIRECT($M691),
       MATCH(TRIM($C691), TRIM(INDIRECT($N691)), 0),
       MATCH(TRIM(X$2), TRIM(INDIRECT($O691)), 0))</f>
      </c>
      <c r="N60" s="26">
        <f>_xlfn.CONCAT("'",$B60,"'","!","$M$2:$M$80")</f>
      </c>
      <c r="O60" s="26">
        <f>_xlfn.CONCAT("'",$B60,"'","!","$N$2:$W$2")</f>
      </c>
      <c r="P60" s="2"/>
      <c r="Q60" s="2"/>
      <c r="R60" s="2"/>
      <c r="S60" s="2"/>
      <c r="T60" s="2"/>
      <c r="U60" s="2"/>
      <c r="V60" s="2"/>
      <c r="W60" s="2"/>
      <c r="X60" s="2"/>
      <c r="Y60" s="2"/>
    </row>
    <row x14ac:dyDescent="0.25" r="61" customHeight="1" ht="17.25">
      <c r="A61" s="10">
        <v>59</v>
      </c>
      <c r="B61" s="10">
        <v>2015</v>
      </c>
      <c r="C61" s="2" t="s">
        <v>163</v>
      </c>
      <c r="D61" s="30" t="s">
        <v>16</v>
      </c>
      <c r="E61" s="5" t="s">
        <v>16</v>
      </c>
      <c r="F61" s="25" t="s">
        <v>16</v>
      </c>
      <c r="G61" s="30" t="s">
        <v>16</v>
      </c>
      <c r="H61" s="5" t="s">
        <v>16</v>
      </c>
      <c r="I61" s="25" t="s">
        <v>16</v>
      </c>
      <c r="J61" s="5" t="s">
        <v>16</v>
      </c>
      <c r="K61" s="25" t="s">
        <v>16</v>
      </c>
      <c r="L61" s="25" t="s">
        <v>16</v>
      </c>
      <c r="M61" s="26">
        <f>INDEX(INDIRECT($M692),
       MATCH(TRIM($C692), TRIM(INDIRECT($N692)), 0),
       MATCH(TRIM(X$2), TRIM(INDIRECT($O692)), 0))</f>
      </c>
      <c r="N61" s="26">
        <f>_xlfn.CONCAT("'",$B61,"'","!","$M$2:$M$80")</f>
      </c>
      <c r="O61" s="26">
        <f>_xlfn.CONCAT("'",$B61,"'","!","$N$2:$W$2")</f>
      </c>
      <c r="P61" s="2"/>
      <c r="Q61" s="2"/>
      <c r="R61" s="2"/>
      <c r="S61" s="2"/>
      <c r="T61" s="2"/>
      <c r="U61" s="2"/>
      <c r="V61" s="2"/>
      <c r="W61" s="2"/>
      <c r="X61" s="2"/>
      <c r="Y61" s="2"/>
    </row>
    <row x14ac:dyDescent="0.25" r="62" customHeight="1" ht="17.25">
      <c r="A62" s="10">
        <v>60</v>
      </c>
      <c r="B62" s="10">
        <v>2015</v>
      </c>
      <c r="C62" s="2" t="s">
        <v>164</v>
      </c>
      <c r="D62" s="30" t="s">
        <v>16</v>
      </c>
      <c r="E62" s="5" t="s">
        <v>16</v>
      </c>
      <c r="F62" s="25" t="s">
        <v>16</v>
      </c>
      <c r="G62" s="30" t="s">
        <v>16</v>
      </c>
      <c r="H62" s="5" t="s">
        <v>16</v>
      </c>
      <c r="I62" s="25" t="s">
        <v>16</v>
      </c>
      <c r="J62" s="5" t="s">
        <v>16</v>
      </c>
      <c r="K62" s="25" t="s">
        <v>16</v>
      </c>
      <c r="L62" s="25" t="s">
        <v>16</v>
      </c>
      <c r="M62" s="26">
        <f>INDEX(INDIRECT($M693),
       MATCH(TRIM($C693), TRIM(INDIRECT($N693)), 0),
       MATCH(TRIM(X$2), TRIM(INDIRECT($O693)), 0))</f>
      </c>
      <c r="N62" s="26">
        <f>_xlfn.CONCAT("'",$B62,"'","!","$M$2:$M$80")</f>
      </c>
      <c r="O62" s="26">
        <f>_xlfn.CONCAT("'",$B62,"'","!","$N$2:$W$2")</f>
      </c>
      <c r="P62" s="2"/>
      <c r="Q62" s="2"/>
      <c r="R62" s="2"/>
      <c r="S62" s="2"/>
      <c r="T62" s="2"/>
      <c r="U62" s="2"/>
      <c r="V62" s="2"/>
      <c r="W62" s="2"/>
      <c r="X62" s="2"/>
      <c r="Y62" s="2"/>
    </row>
    <row x14ac:dyDescent="0.25" r="63" customHeight="1" ht="17.25">
      <c r="A63" s="10">
        <v>61</v>
      </c>
      <c r="B63" s="10">
        <v>2015</v>
      </c>
      <c r="C63" s="2" t="s">
        <v>165</v>
      </c>
      <c r="D63" s="30" t="s">
        <v>16</v>
      </c>
      <c r="E63" s="5" t="s">
        <v>16</v>
      </c>
      <c r="F63" s="25" t="s">
        <v>16</v>
      </c>
      <c r="G63" s="30" t="s">
        <v>16</v>
      </c>
      <c r="H63" s="5" t="s">
        <v>16</v>
      </c>
      <c r="I63" s="25" t="s">
        <v>16</v>
      </c>
      <c r="J63" s="5" t="s">
        <v>16</v>
      </c>
      <c r="K63" s="25" t="s">
        <v>16</v>
      </c>
      <c r="L63" s="25" t="s">
        <v>16</v>
      </c>
      <c r="M63" s="26">
        <f>INDEX(INDIRECT($M694),
       MATCH(TRIM($C694), TRIM(INDIRECT($N694)), 0),
       MATCH(TRIM(X$2), TRIM(INDIRECT($O694)), 0))</f>
      </c>
      <c r="N63" s="26">
        <f>_xlfn.CONCAT("'",$B63,"'","!","$M$2:$M$80")</f>
      </c>
      <c r="O63" s="26">
        <f>_xlfn.CONCAT("'",$B63,"'","!","$N$2:$W$2")</f>
      </c>
      <c r="P63" s="2"/>
      <c r="Q63" s="2"/>
      <c r="R63" s="2"/>
      <c r="S63" s="2"/>
      <c r="T63" s="2"/>
      <c r="U63" s="2"/>
      <c r="V63" s="2"/>
      <c r="W63" s="2"/>
      <c r="X63" s="2"/>
      <c r="Y63" s="2"/>
    </row>
    <row x14ac:dyDescent="0.25" r="64" customHeight="1" ht="17.25">
      <c r="A64" s="10">
        <v>62</v>
      </c>
      <c r="B64" s="10">
        <v>2015</v>
      </c>
      <c r="C64" s="2" t="s">
        <v>166</v>
      </c>
      <c r="D64" s="23">
        <v>1</v>
      </c>
      <c r="E64" s="10">
        <v>888889</v>
      </c>
      <c r="F64" s="24">
        <v>0.888889</v>
      </c>
      <c r="G64" s="23">
        <v>0</v>
      </c>
      <c r="H64" s="10">
        <v>0</v>
      </c>
      <c r="I64" s="23">
        <v>0</v>
      </c>
      <c r="J64" s="5" t="s">
        <v>16</v>
      </c>
      <c r="K64" s="25" t="s">
        <v>16</v>
      </c>
      <c r="L64" s="24">
        <v>0.888889</v>
      </c>
      <c r="M64" s="26">
        <f>INDEX(INDIRECT($M695),
       MATCH(TRIM($C695), TRIM(INDIRECT($N695)), 0),
       MATCH(TRIM(X$2), TRIM(INDIRECT($O695)), 0))</f>
      </c>
      <c r="N64" s="26">
        <f>_xlfn.CONCAT("'",$B64,"'","!","$M$2:$M$80")</f>
      </c>
      <c r="O64" s="26">
        <f>_xlfn.CONCAT("'",$B64,"'","!","$N$2:$W$2")</f>
      </c>
      <c r="P64" s="2"/>
      <c r="Q64" s="2"/>
      <c r="R64" s="2"/>
      <c r="S64" s="2"/>
      <c r="T64" s="2"/>
      <c r="U64" s="2"/>
      <c r="V64" s="2"/>
      <c r="W64" s="2"/>
      <c r="X64" s="2"/>
      <c r="Y64" s="2"/>
    </row>
    <row x14ac:dyDescent="0.25" r="65" customHeight="1" ht="17.25">
      <c r="A65" s="10">
        <v>63</v>
      </c>
      <c r="B65" s="10">
        <v>2015</v>
      </c>
      <c r="C65" s="2" t="s">
        <v>167</v>
      </c>
      <c r="D65" s="30" t="s">
        <v>16</v>
      </c>
      <c r="E65" s="5" t="s">
        <v>16</v>
      </c>
      <c r="F65" s="25" t="s">
        <v>16</v>
      </c>
      <c r="G65" s="30" t="s">
        <v>16</v>
      </c>
      <c r="H65" s="5" t="s">
        <v>16</v>
      </c>
      <c r="I65" s="25" t="s">
        <v>16</v>
      </c>
      <c r="J65" s="5" t="s">
        <v>16</v>
      </c>
      <c r="K65" s="25" t="s">
        <v>16</v>
      </c>
      <c r="L65" s="25" t="s">
        <v>16</v>
      </c>
      <c r="M65" s="26">
        <f>INDEX(INDIRECT($M696),
       MATCH(TRIM($C696), TRIM(INDIRECT($N696)), 0),
       MATCH(TRIM(X$2), TRIM(INDIRECT($O696)), 0))</f>
      </c>
      <c r="N65" s="26">
        <f>_xlfn.CONCAT("'",$B65,"'","!","$M$2:$M$80")</f>
      </c>
      <c r="O65" s="26">
        <f>_xlfn.CONCAT("'",$B65,"'","!","$N$2:$W$2")</f>
      </c>
      <c r="P65" s="2"/>
      <c r="Q65" s="2"/>
      <c r="R65" s="2"/>
      <c r="S65" s="2"/>
      <c r="T65" s="2"/>
      <c r="U65" s="2"/>
      <c r="V65" s="2"/>
      <c r="W65" s="2"/>
      <c r="X65" s="2"/>
      <c r="Y65" s="2"/>
    </row>
    <row x14ac:dyDescent="0.25" r="66" customHeight="1" ht="17.25">
      <c r="A66" s="10">
        <v>1</v>
      </c>
      <c r="B66" s="10">
        <v>2016</v>
      </c>
      <c r="C66" s="2" t="s">
        <v>104</v>
      </c>
      <c r="D66" s="23">
        <v>256</v>
      </c>
      <c r="E66" s="10">
        <v>1630516441</v>
      </c>
      <c r="F66" s="24">
        <v>1630.516441</v>
      </c>
      <c r="G66" s="23">
        <v>130</v>
      </c>
      <c r="H66" s="10">
        <v>641974756</v>
      </c>
      <c r="I66" s="24">
        <v>641.974756</v>
      </c>
      <c r="J66" s="10">
        <v>25</v>
      </c>
      <c r="K66" s="24">
        <v>94.71641422222224</v>
      </c>
      <c r="L66" s="24">
        <v>2367.207611222222</v>
      </c>
      <c r="M66" s="26">
        <f>INDEX(INDIRECT($M697),
       MATCH(TRIM($C697), TRIM(INDIRECT($N697)), 0),
       MATCH(TRIM(X$2), TRIM(INDIRECT($O697)), 0))</f>
      </c>
      <c r="N66" s="26">
        <f>_xlfn.CONCAT("'",$B66,"'","!","$M$2:$M$80")</f>
      </c>
      <c r="O66" s="26">
        <f>_xlfn.CONCAT("'",$B66,"'","!","$N$2:$W$2")</f>
      </c>
      <c r="P66" s="2"/>
      <c r="Q66" s="2"/>
      <c r="R66" s="2"/>
      <c r="S66" s="2"/>
      <c r="T66" s="2"/>
      <c r="U66" s="2"/>
      <c r="V66" s="2"/>
      <c r="W66" s="2"/>
      <c r="X66" s="2"/>
      <c r="Y66" s="2"/>
    </row>
    <row x14ac:dyDescent="0.25" r="67" customHeight="1" ht="17.25">
      <c r="A67" s="10">
        <v>2</v>
      </c>
      <c r="B67" s="10">
        <v>2016</v>
      </c>
      <c r="C67" s="2" t="s">
        <v>105</v>
      </c>
      <c r="D67" s="23">
        <v>52</v>
      </c>
      <c r="E67" s="10">
        <v>2464322981</v>
      </c>
      <c r="F67" s="24">
        <v>2464.322981</v>
      </c>
      <c r="G67" s="23">
        <v>38</v>
      </c>
      <c r="H67" s="10">
        <v>429243946</v>
      </c>
      <c r="I67" s="24">
        <v>429.243946</v>
      </c>
      <c r="J67" s="10">
        <v>27</v>
      </c>
      <c r="K67" s="24">
        <v>96.34304985253333</v>
      </c>
      <c r="L67" s="24">
        <v>2989.909976852533</v>
      </c>
      <c r="M67" s="26">
        <f>INDEX(INDIRECT($M698),
       MATCH(TRIM($C698), TRIM(INDIRECT($N698)), 0),
       MATCH(TRIM(X$2), TRIM(INDIRECT($O698)), 0))</f>
      </c>
      <c r="N67" s="26">
        <f>_xlfn.CONCAT("'",$B67,"'","!","$M$2:$M$80")</f>
      </c>
      <c r="O67" s="26">
        <f>_xlfn.CONCAT("'",$B67,"'","!","$N$2:$W$2")</f>
      </c>
      <c r="P67" s="2"/>
      <c r="Q67" s="2"/>
      <c r="R67" s="2"/>
      <c r="S67" s="2"/>
      <c r="T67" s="2"/>
      <c r="U67" s="2"/>
      <c r="V67" s="2"/>
      <c r="W67" s="2"/>
      <c r="X67" s="2"/>
      <c r="Y67" s="2"/>
    </row>
    <row x14ac:dyDescent="0.25" r="68" customHeight="1" ht="17.25">
      <c r="A68" s="10">
        <v>3</v>
      </c>
      <c r="B68" s="10">
        <v>2016</v>
      </c>
      <c r="C68" s="2" t="s">
        <v>106</v>
      </c>
      <c r="D68" s="23">
        <v>91</v>
      </c>
      <c r="E68" s="10">
        <v>1043736196</v>
      </c>
      <c r="F68" s="24">
        <v>1043.736196</v>
      </c>
      <c r="G68" s="23">
        <v>136</v>
      </c>
      <c r="H68" s="11">
        <v>921047472.47</v>
      </c>
      <c r="I68" s="24">
        <v>921.04747247</v>
      </c>
      <c r="J68" s="10">
        <v>55</v>
      </c>
      <c r="K68" s="24">
        <v>273.440880997568</v>
      </c>
      <c r="L68" s="24">
        <v>2238.224549467568</v>
      </c>
      <c r="M68" s="26">
        <f>_xlfn.CONCAT("'",$B68,"'","!","$N$3:$V$80")</f>
      </c>
      <c r="N68" s="26">
        <f>_xlfn.CONCAT("'",$B68,"'","!","$M$2:$M$80")</f>
      </c>
      <c r="O68" s="26">
        <f>_xlfn.CONCAT("'",$B68,"'","!","$N$2:$W$2")</f>
      </c>
      <c r="P68" s="2"/>
      <c r="Q68" s="2"/>
      <c r="R68" s="2"/>
      <c r="S68" s="2"/>
      <c r="T68" s="2"/>
      <c r="U68" s="2"/>
      <c r="V68" s="2"/>
      <c r="W68" s="2"/>
      <c r="X68" s="2"/>
      <c r="Y68" s="2"/>
    </row>
    <row x14ac:dyDescent="0.25" r="69" customHeight="1" ht="17.25">
      <c r="A69" s="10">
        <v>4</v>
      </c>
      <c r="B69" s="10">
        <v>2016</v>
      </c>
      <c r="C69" s="2" t="s">
        <v>108</v>
      </c>
      <c r="D69" s="23">
        <v>53</v>
      </c>
      <c r="E69" s="10">
        <v>937508229</v>
      </c>
      <c r="F69" s="24">
        <v>937.508229</v>
      </c>
      <c r="G69" s="23">
        <v>20</v>
      </c>
      <c r="H69" s="11">
        <v>71063412.1875</v>
      </c>
      <c r="I69" s="24">
        <v>71.0634121875</v>
      </c>
      <c r="J69" s="10">
        <v>10</v>
      </c>
      <c r="K69" s="24">
        <v>1.459111111111111</v>
      </c>
      <c r="L69" s="24">
        <v>1010.0307522986112</v>
      </c>
      <c r="M69" s="26">
        <f>_xlfn.CONCAT("'",$B69,"'","!","$N$3:$V$80")</f>
      </c>
      <c r="N69" s="26">
        <f>_xlfn.CONCAT("'",$B69,"'","!","$M$2:$M$80")</f>
      </c>
      <c r="O69" s="26">
        <f>_xlfn.CONCAT("'",$B69,"'","!","$N$2:$W$2")</f>
      </c>
      <c r="P69" s="2"/>
      <c r="Q69" s="2"/>
      <c r="R69" s="2"/>
      <c r="S69" s="2"/>
      <c r="T69" s="2"/>
      <c r="U69" s="2"/>
      <c r="V69" s="2"/>
      <c r="W69" s="2"/>
      <c r="X69" s="2"/>
      <c r="Y69" s="2"/>
    </row>
    <row x14ac:dyDescent="0.25" r="70" customHeight="1" ht="17.25">
      <c r="A70" s="10">
        <v>5</v>
      </c>
      <c r="B70" s="10">
        <v>2016</v>
      </c>
      <c r="C70" s="2" t="s">
        <v>109</v>
      </c>
      <c r="D70" s="23">
        <v>122</v>
      </c>
      <c r="E70" s="10">
        <v>296851039</v>
      </c>
      <c r="F70" s="24">
        <v>296.851039</v>
      </c>
      <c r="G70" s="23">
        <v>95</v>
      </c>
      <c r="H70" s="10">
        <v>448847553</v>
      </c>
      <c r="I70" s="24">
        <v>448.847553</v>
      </c>
      <c r="J70" s="10">
        <v>32</v>
      </c>
      <c r="K70" s="24">
        <v>77.21484845951112</v>
      </c>
      <c r="L70" s="24">
        <v>822.9134404595111</v>
      </c>
      <c r="M70" s="26">
        <f>_xlfn.CONCAT("'",$B70,"'","!","$N$3:$V$80")</f>
      </c>
      <c r="N70" s="26">
        <f>_xlfn.CONCAT("'",$B70,"'","!","$M$2:$M$80")</f>
      </c>
      <c r="O70" s="26">
        <f>_xlfn.CONCAT("'",$B70,"'","!","$N$2:$W$2")</f>
      </c>
      <c r="P70" s="2"/>
      <c r="Q70" s="2"/>
      <c r="R70" s="2"/>
      <c r="S70" s="2"/>
      <c r="T70" s="2"/>
      <c r="U70" s="2"/>
      <c r="V70" s="2"/>
      <c r="W70" s="2"/>
      <c r="X70" s="2"/>
      <c r="Y70" s="2"/>
    </row>
    <row x14ac:dyDescent="0.25" r="71" customHeight="1" ht="17.25">
      <c r="A71" s="10">
        <v>6</v>
      </c>
      <c r="B71" s="10">
        <v>2016</v>
      </c>
      <c r="C71" s="2" t="s">
        <v>110</v>
      </c>
      <c r="D71" s="23">
        <v>453</v>
      </c>
      <c r="E71" s="11">
        <v>1922761198.6666665</v>
      </c>
      <c r="F71" s="24">
        <v>1922.7611986666666</v>
      </c>
      <c r="G71" s="23">
        <v>159</v>
      </c>
      <c r="H71" s="10">
        <v>504468849</v>
      </c>
      <c r="I71" s="24">
        <v>504.468849</v>
      </c>
      <c r="J71" s="10">
        <v>228</v>
      </c>
      <c r="K71" s="24">
        <v>367.21449842488914</v>
      </c>
      <c r="L71" s="24">
        <v>2794.444546091556</v>
      </c>
      <c r="M71" s="26">
        <f>_xlfn.CONCAT("'",$B71,"'","!","$N$3:$V$80")</f>
      </c>
      <c r="N71" s="26">
        <f>_xlfn.CONCAT("'",$B71,"'","!","$M$2:$M$80")</f>
      </c>
      <c r="O71" s="26">
        <f>_xlfn.CONCAT("'",$B71,"'","!","$N$2:$W$2")</f>
      </c>
      <c r="P71" s="2"/>
      <c r="Q71" s="2"/>
      <c r="R71" s="2"/>
      <c r="S71" s="2"/>
      <c r="T71" s="2"/>
      <c r="U71" s="2"/>
      <c r="V71" s="2"/>
      <c r="W71" s="2"/>
      <c r="X71" s="2"/>
      <c r="Y71" s="2"/>
    </row>
    <row x14ac:dyDescent="0.25" r="72" customHeight="1" ht="17.25">
      <c r="A72" s="10">
        <v>7</v>
      </c>
      <c r="B72" s="10">
        <v>2016</v>
      </c>
      <c r="C72" s="2" t="s">
        <v>111</v>
      </c>
      <c r="D72" s="23">
        <v>2</v>
      </c>
      <c r="E72" s="10">
        <v>159217157</v>
      </c>
      <c r="F72" s="24">
        <v>159.217157</v>
      </c>
      <c r="G72" s="23">
        <v>1</v>
      </c>
      <c r="H72" s="10">
        <v>95500000</v>
      </c>
      <c r="I72" s="24">
        <v>95.5</v>
      </c>
      <c r="J72" s="10">
        <v>4</v>
      </c>
      <c r="K72" s="24">
        <v>307.0564965385778</v>
      </c>
      <c r="L72" s="24">
        <v>561.7736535385777</v>
      </c>
      <c r="M72" s="26">
        <f>_xlfn.CONCAT("'",$B72,"'","!","$N$3:$V$80")</f>
      </c>
      <c r="N72" s="26">
        <f>_xlfn.CONCAT("'",$B72,"'","!","$M$2:$M$80")</f>
      </c>
      <c r="O72" s="26">
        <f>_xlfn.CONCAT("'",$B72,"'","!","$N$2:$W$2")</f>
      </c>
      <c r="P72" s="2"/>
      <c r="Q72" s="2"/>
      <c r="R72" s="2"/>
      <c r="S72" s="2"/>
      <c r="T72" s="2"/>
      <c r="U72" s="2"/>
      <c r="V72" s="2"/>
      <c r="W72" s="2"/>
      <c r="X72" s="2"/>
      <c r="Y72" s="2"/>
    </row>
    <row x14ac:dyDescent="0.25" r="73" customHeight="1" ht="17.25">
      <c r="A73" s="10">
        <v>8</v>
      </c>
      <c r="B73" s="10">
        <v>2016</v>
      </c>
      <c r="C73" s="2" t="s">
        <v>112</v>
      </c>
      <c r="D73" s="23">
        <v>185</v>
      </c>
      <c r="E73" s="10">
        <v>578636698</v>
      </c>
      <c r="F73" s="24">
        <v>578.636698</v>
      </c>
      <c r="G73" s="23">
        <v>130</v>
      </c>
      <c r="H73" s="10">
        <v>271487966</v>
      </c>
      <c r="I73" s="24">
        <v>271.487966</v>
      </c>
      <c r="J73" s="10">
        <v>24</v>
      </c>
      <c r="K73" s="24">
        <v>49.86934346666668</v>
      </c>
      <c r="L73" s="24">
        <v>899.9940074666666</v>
      </c>
      <c r="M73" s="26">
        <f>_xlfn.CONCAT("'",$B73,"'","!","$N$3:$V$80")</f>
      </c>
      <c r="N73" s="26">
        <f>_xlfn.CONCAT("'",$B73,"'","!","$M$2:$M$80")</f>
      </c>
      <c r="O73" s="26">
        <f>_xlfn.CONCAT("'",$B73,"'","!","$N$2:$W$2")</f>
      </c>
      <c r="P73" s="2"/>
      <c r="Q73" s="2"/>
      <c r="R73" s="2"/>
      <c r="S73" s="2"/>
      <c r="T73" s="2"/>
      <c r="U73" s="2"/>
      <c r="V73" s="2"/>
      <c r="W73" s="2"/>
      <c r="X73" s="2"/>
      <c r="Y73" s="2"/>
    </row>
    <row x14ac:dyDescent="0.25" r="74" customHeight="1" ht="17.25">
      <c r="A74" s="10">
        <v>9</v>
      </c>
      <c r="B74" s="10">
        <v>2016</v>
      </c>
      <c r="C74" s="2" t="s">
        <v>113</v>
      </c>
      <c r="D74" s="23">
        <v>29</v>
      </c>
      <c r="E74" s="10">
        <v>129591018</v>
      </c>
      <c r="F74" s="24">
        <v>129.591018</v>
      </c>
      <c r="G74" s="23">
        <v>27</v>
      </c>
      <c r="H74" s="10">
        <v>242152685</v>
      </c>
      <c r="I74" s="24">
        <v>242.152685</v>
      </c>
      <c r="J74" s="10">
        <v>11</v>
      </c>
      <c r="K74" s="24">
        <v>44.01095111111112</v>
      </c>
      <c r="L74" s="24">
        <v>415.7546541111111</v>
      </c>
      <c r="M74" s="26">
        <f>_xlfn.CONCAT("'",$B74,"'","!","$N$3:$V$80")</f>
      </c>
      <c r="N74" s="26">
        <f>_xlfn.CONCAT("'",$B74,"'","!","$M$2:$M$80")</f>
      </c>
      <c r="O74" s="26">
        <f>_xlfn.CONCAT("'",$B74,"'","!","$N$2:$W$2")</f>
      </c>
      <c r="P74" s="2"/>
      <c r="Q74" s="2"/>
      <c r="R74" s="2"/>
      <c r="S74" s="2"/>
      <c r="T74" s="2"/>
      <c r="U74" s="2"/>
      <c r="V74" s="2"/>
      <c r="W74" s="2"/>
      <c r="X74" s="2"/>
      <c r="Y74" s="2"/>
    </row>
    <row x14ac:dyDescent="0.25" r="75" customHeight="1" ht="17.25">
      <c r="A75" s="10">
        <v>10</v>
      </c>
      <c r="B75" s="10">
        <v>2016</v>
      </c>
      <c r="C75" s="2" t="s">
        <v>114</v>
      </c>
      <c r="D75" s="23">
        <v>24</v>
      </c>
      <c r="E75" s="10">
        <v>273866538</v>
      </c>
      <c r="F75" s="24">
        <v>273.866538</v>
      </c>
      <c r="G75" s="23">
        <v>25</v>
      </c>
      <c r="H75" s="10">
        <v>427571970</v>
      </c>
      <c r="I75" s="24">
        <v>427.57197</v>
      </c>
      <c r="J75" s="10">
        <v>0</v>
      </c>
      <c r="K75" s="23">
        <v>0</v>
      </c>
      <c r="L75" s="24">
        <v>701.438508</v>
      </c>
      <c r="M75" s="26">
        <f>_xlfn.CONCAT("'",$B75,"'","!","$N$3:$V$80")</f>
      </c>
      <c r="N75" s="26">
        <f>_xlfn.CONCAT("'",$B75,"'","!","$M$2:$M$80")</f>
      </c>
      <c r="O75" s="26">
        <f>_xlfn.CONCAT("'",$B75,"'","!","$N$2:$W$2")</f>
      </c>
      <c r="P75" s="2"/>
      <c r="Q75" s="2"/>
      <c r="R75" s="2"/>
      <c r="S75" s="2"/>
      <c r="T75" s="2"/>
      <c r="U75" s="2"/>
      <c r="V75" s="2"/>
      <c r="W75" s="2"/>
      <c r="X75" s="2"/>
      <c r="Y75" s="2"/>
    </row>
    <row x14ac:dyDescent="0.25" r="76" customHeight="1" ht="17.25">
      <c r="A76" s="10">
        <v>11</v>
      </c>
      <c r="B76" s="10">
        <v>2016</v>
      </c>
      <c r="C76" s="2" t="s">
        <v>115</v>
      </c>
      <c r="D76" s="23">
        <v>31</v>
      </c>
      <c r="E76" s="10">
        <v>604333365</v>
      </c>
      <c r="F76" s="24">
        <v>604.333365</v>
      </c>
      <c r="G76" s="23">
        <v>29</v>
      </c>
      <c r="H76" s="10">
        <v>100698750</v>
      </c>
      <c r="I76" s="24">
        <v>100.69875</v>
      </c>
      <c r="J76" s="10">
        <v>0</v>
      </c>
      <c r="K76" s="23">
        <v>0</v>
      </c>
      <c r="L76" s="24">
        <v>705.032115</v>
      </c>
      <c r="M76" s="26">
        <f>_xlfn.CONCAT("'",$B76,"'","!","$N$3:$V$80")</f>
      </c>
      <c r="N76" s="26">
        <f>_xlfn.CONCAT("'",$B76,"'","!","$M$2:$M$80")</f>
      </c>
      <c r="O76" s="26">
        <f>_xlfn.CONCAT("'",$B76,"'","!","$N$2:$W$2")</f>
      </c>
      <c r="P76" s="2"/>
      <c r="Q76" s="2"/>
      <c r="R76" s="2"/>
      <c r="S76" s="2"/>
      <c r="T76" s="2"/>
      <c r="U76" s="2"/>
      <c r="V76" s="2"/>
      <c r="W76" s="2"/>
      <c r="X76" s="2"/>
      <c r="Y76" s="2"/>
    </row>
    <row x14ac:dyDescent="0.25" r="77" customHeight="1" ht="17.25">
      <c r="A77" s="10">
        <v>12</v>
      </c>
      <c r="B77" s="10">
        <v>2016</v>
      </c>
      <c r="C77" s="2" t="s">
        <v>116</v>
      </c>
      <c r="D77" s="23">
        <v>14</v>
      </c>
      <c r="E77" s="10">
        <v>388483218</v>
      </c>
      <c r="F77" s="24">
        <v>388.483218</v>
      </c>
      <c r="G77" s="23">
        <v>10</v>
      </c>
      <c r="H77" s="10">
        <v>24996748</v>
      </c>
      <c r="I77" s="24">
        <v>24.996748</v>
      </c>
      <c r="J77" s="10">
        <v>3</v>
      </c>
      <c r="K77" s="24">
        <v>1.0515555555555556</v>
      </c>
      <c r="L77" s="24">
        <v>414.5315215555556</v>
      </c>
      <c r="M77" s="26">
        <f>_xlfn.CONCAT("'",$B77,"'","!","$N$3:$V$80")</f>
      </c>
      <c r="N77" s="26">
        <f>_xlfn.CONCAT("'",$B77,"'","!","$M$2:$M$80")</f>
      </c>
      <c r="O77" s="26">
        <f>_xlfn.CONCAT("'",$B77,"'","!","$N$2:$W$2")</f>
      </c>
      <c r="P77" s="2"/>
      <c r="Q77" s="2"/>
      <c r="R77" s="2"/>
      <c r="S77" s="2"/>
      <c r="T77" s="2"/>
      <c r="U77" s="2"/>
      <c r="V77" s="2"/>
      <c r="W77" s="2"/>
      <c r="X77" s="2"/>
      <c r="Y77" s="2"/>
    </row>
    <row x14ac:dyDescent="0.25" r="78" customHeight="1" ht="17.25">
      <c r="A78" s="10">
        <v>13</v>
      </c>
      <c r="B78" s="10">
        <v>2016</v>
      </c>
      <c r="C78" s="2" t="s">
        <v>117</v>
      </c>
      <c r="D78" s="23">
        <v>7</v>
      </c>
      <c r="E78" s="10">
        <v>136661537</v>
      </c>
      <c r="F78" s="24">
        <v>136.661537</v>
      </c>
      <c r="G78" s="23">
        <v>3</v>
      </c>
      <c r="H78" s="10">
        <v>6300000</v>
      </c>
      <c r="I78" s="24">
        <v>6.3</v>
      </c>
      <c r="J78" s="10">
        <v>0</v>
      </c>
      <c r="K78" s="23">
        <v>0</v>
      </c>
      <c r="L78" s="24">
        <v>142.96153700000002</v>
      </c>
      <c r="M78" s="26">
        <f>_xlfn.CONCAT("'",$B78,"'","!","$N$3:$V$80")</f>
      </c>
      <c r="N78" s="26">
        <f>_xlfn.CONCAT("'",$B78,"'","!","$M$2:$M$80")</f>
      </c>
      <c r="O78" s="26">
        <f>_xlfn.CONCAT("'",$B78,"'","!","$N$2:$W$2")</f>
      </c>
      <c r="P78" s="2"/>
      <c r="Q78" s="2"/>
      <c r="R78" s="2"/>
      <c r="S78" s="2"/>
      <c r="T78" s="2"/>
      <c r="U78" s="2"/>
      <c r="V78" s="2"/>
      <c r="W78" s="2"/>
      <c r="X78" s="2"/>
      <c r="Y78" s="2"/>
    </row>
    <row x14ac:dyDescent="0.25" r="79" customHeight="1" ht="17.25">
      <c r="A79" s="10">
        <v>14</v>
      </c>
      <c r="B79" s="10">
        <v>2016</v>
      </c>
      <c r="C79" s="2" t="s">
        <v>118</v>
      </c>
      <c r="D79" s="23">
        <v>14</v>
      </c>
      <c r="E79" s="10">
        <v>259147300</v>
      </c>
      <c r="F79" s="24">
        <v>259.1473</v>
      </c>
      <c r="G79" s="23">
        <v>12</v>
      </c>
      <c r="H79" s="10">
        <v>23223318</v>
      </c>
      <c r="I79" s="24">
        <v>23.223318</v>
      </c>
      <c r="J79" s="10">
        <v>4</v>
      </c>
      <c r="K79" s="24">
        <v>21.983022222222225</v>
      </c>
      <c r="L79" s="24">
        <v>304.3536402222222</v>
      </c>
      <c r="M79" s="26">
        <f>_xlfn.CONCAT("'",$B79,"'","!","$N$3:$V$80")</f>
      </c>
      <c r="N79" s="26">
        <f>_xlfn.CONCAT("'",$B79,"'","!","$M$2:$M$80")</f>
      </c>
      <c r="O79" s="26">
        <f>_xlfn.CONCAT("'",$B79,"'","!","$N$2:$W$2")</f>
      </c>
      <c r="P79" s="2"/>
      <c r="Q79" s="2"/>
      <c r="R79" s="2"/>
      <c r="S79" s="2"/>
      <c r="T79" s="2"/>
      <c r="U79" s="2"/>
      <c r="V79" s="2"/>
      <c r="W79" s="2"/>
      <c r="X79" s="2"/>
      <c r="Y79" s="2"/>
    </row>
    <row x14ac:dyDescent="0.25" r="80" customHeight="1" ht="17.25">
      <c r="A80" s="10">
        <v>15</v>
      </c>
      <c r="B80" s="10">
        <v>2016</v>
      </c>
      <c r="C80" s="2" t="s">
        <v>119</v>
      </c>
      <c r="D80" s="23">
        <v>5</v>
      </c>
      <c r="E80" s="10">
        <v>89241000</v>
      </c>
      <c r="F80" s="24">
        <v>89.241</v>
      </c>
      <c r="G80" s="23">
        <v>2</v>
      </c>
      <c r="H80" s="10">
        <v>940000</v>
      </c>
      <c r="I80" s="24">
        <v>0.94</v>
      </c>
      <c r="J80" s="10">
        <v>0</v>
      </c>
      <c r="K80" s="23">
        <v>0</v>
      </c>
      <c r="L80" s="24">
        <v>90.181</v>
      </c>
      <c r="M80" s="26">
        <f>_xlfn.CONCAT("'",$B80,"'","!","$N$3:$V$80")</f>
      </c>
      <c r="N80" s="26">
        <f>_xlfn.CONCAT("'",$B80,"'","!","$M$2:$M$80")</f>
      </c>
      <c r="O80" s="26">
        <f>_xlfn.CONCAT("'",$B80,"'","!","$N$2:$W$2")</f>
      </c>
      <c r="P80" s="2"/>
      <c r="Q80" s="2"/>
      <c r="R80" s="2"/>
      <c r="S80" s="2"/>
      <c r="T80" s="2"/>
      <c r="U80" s="2"/>
      <c r="V80" s="2"/>
      <c r="W80" s="2"/>
      <c r="X80" s="2"/>
      <c r="Y80" s="2"/>
    </row>
    <row x14ac:dyDescent="0.25" r="81" customHeight="1" ht="17.25">
      <c r="A81" s="10">
        <v>16</v>
      </c>
      <c r="B81" s="10">
        <v>2016</v>
      </c>
      <c r="C81" s="2" t="s">
        <v>120</v>
      </c>
      <c r="D81" s="23">
        <v>9</v>
      </c>
      <c r="E81" s="10">
        <v>244841603</v>
      </c>
      <c r="F81" s="24">
        <v>244.841603</v>
      </c>
      <c r="G81" s="23">
        <v>2</v>
      </c>
      <c r="H81" s="10">
        <v>133470389</v>
      </c>
      <c r="I81" s="24">
        <v>133.470389</v>
      </c>
      <c r="J81" s="10">
        <v>3</v>
      </c>
      <c r="K81" s="24">
        <v>12.952444444444444</v>
      </c>
      <c r="L81" s="24">
        <v>391.26443644444447</v>
      </c>
      <c r="M81" s="26">
        <f>_xlfn.CONCAT("'",$B81,"'","!","$N$3:$V$80")</f>
      </c>
      <c r="N81" s="26">
        <f>_xlfn.CONCAT("'",$B81,"'","!","$M$2:$M$80")</f>
      </c>
      <c r="O81" s="26">
        <f>_xlfn.CONCAT("'",$B81,"'","!","$N$2:$W$2")</f>
      </c>
      <c r="P81" s="2"/>
      <c r="Q81" s="2"/>
      <c r="R81" s="2"/>
      <c r="S81" s="2"/>
      <c r="T81" s="2"/>
      <c r="U81" s="2"/>
      <c r="V81" s="2"/>
      <c r="W81" s="2"/>
      <c r="X81" s="2"/>
      <c r="Y81" s="2"/>
    </row>
    <row x14ac:dyDescent="0.25" r="82" customHeight="1" ht="17.25">
      <c r="A82" s="10">
        <v>17</v>
      </c>
      <c r="B82" s="10">
        <v>2016</v>
      </c>
      <c r="C82" s="2" t="s">
        <v>121</v>
      </c>
      <c r="D82" s="23">
        <v>74</v>
      </c>
      <c r="E82" s="10">
        <v>78018255</v>
      </c>
      <c r="F82" s="24">
        <v>78.018255</v>
      </c>
      <c r="G82" s="23">
        <v>11</v>
      </c>
      <c r="H82" s="10">
        <v>-10038796</v>
      </c>
      <c r="I82" s="24">
        <v>-10.038796</v>
      </c>
      <c r="J82" s="10">
        <v>33</v>
      </c>
      <c r="K82" s="24">
        <v>29.286006157733336</v>
      </c>
      <c r="L82" s="24">
        <v>97.26546515773333</v>
      </c>
      <c r="M82" s="26">
        <f>_xlfn.CONCAT("'",$B82,"'","!","$N$3:$V$80")</f>
      </c>
      <c r="N82" s="26">
        <f>_xlfn.CONCAT("'",$B82,"'","!","$M$2:$M$80")</f>
      </c>
      <c r="O82" s="26">
        <f>_xlfn.CONCAT("'",$B82,"'","!","$N$2:$W$2")</f>
      </c>
      <c r="P82" s="2"/>
      <c r="Q82" s="2"/>
      <c r="R82" s="2"/>
      <c r="S82" s="2"/>
      <c r="T82" s="2"/>
      <c r="U82" s="2"/>
      <c r="V82" s="2"/>
      <c r="W82" s="2"/>
      <c r="X82" s="2"/>
      <c r="Y82" s="2"/>
    </row>
    <row x14ac:dyDescent="0.25" r="83" customHeight="1" ht="17.25">
      <c r="A83" s="10">
        <v>18</v>
      </c>
      <c r="B83" s="10">
        <v>2016</v>
      </c>
      <c r="C83" s="2" t="s">
        <v>122</v>
      </c>
      <c r="D83" s="23">
        <v>42</v>
      </c>
      <c r="E83" s="10">
        <v>313804060</v>
      </c>
      <c r="F83" s="24">
        <v>313.80406</v>
      </c>
      <c r="G83" s="23">
        <v>33</v>
      </c>
      <c r="H83" s="10">
        <v>60180284</v>
      </c>
      <c r="I83" s="24">
        <v>60.180284</v>
      </c>
      <c r="J83" s="10">
        <v>15</v>
      </c>
      <c r="K83" s="24">
        <v>18.407022222222224</v>
      </c>
      <c r="L83" s="24">
        <v>392.3913662222222</v>
      </c>
      <c r="M83" s="26">
        <f>_xlfn.CONCAT("'",$B83,"'","!","$N$3:$V$80")</f>
      </c>
      <c r="N83" s="26">
        <f>_xlfn.CONCAT("'",$B83,"'","!","$M$2:$M$80")</f>
      </c>
      <c r="O83" s="26">
        <f>_xlfn.CONCAT("'",$B83,"'","!","$N$2:$W$2")</f>
      </c>
      <c r="P83" s="2"/>
      <c r="Q83" s="2"/>
      <c r="R83" s="2"/>
      <c r="S83" s="2"/>
      <c r="T83" s="2"/>
      <c r="U83" s="2"/>
      <c r="V83" s="2"/>
      <c r="W83" s="2"/>
      <c r="X83" s="2"/>
      <c r="Y83" s="2"/>
    </row>
    <row x14ac:dyDescent="0.25" r="84" customHeight="1" ht="17.25">
      <c r="A84" s="10">
        <v>19</v>
      </c>
      <c r="B84" s="10">
        <v>2016</v>
      </c>
      <c r="C84" s="2" t="s">
        <v>123</v>
      </c>
      <c r="D84" s="23">
        <v>13</v>
      </c>
      <c r="E84" s="10">
        <v>95870699</v>
      </c>
      <c r="F84" s="24">
        <v>95.870699</v>
      </c>
      <c r="G84" s="23">
        <v>17</v>
      </c>
      <c r="H84" s="10">
        <v>102306383</v>
      </c>
      <c r="I84" s="24">
        <v>102.306383</v>
      </c>
      <c r="J84" s="10">
        <v>1</v>
      </c>
      <c r="K84" s="24">
        <v>0.6866666666666666</v>
      </c>
      <c r="L84" s="24">
        <v>198.86374866666665</v>
      </c>
      <c r="M84" s="26">
        <f>_xlfn.CONCAT("'",$B84,"'","!","$N$3:$V$80")</f>
      </c>
      <c r="N84" s="26">
        <f>_xlfn.CONCAT("'",$B84,"'","!","$M$2:$M$80")</f>
      </c>
      <c r="O84" s="26">
        <f>_xlfn.CONCAT("'",$B84,"'","!","$N$2:$W$2")</f>
      </c>
      <c r="P84" s="2"/>
      <c r="Q84" s="2"/>
      <c r="R84" s="2"/>
      <c r="S84" s="2"/>
      <c r="T84" s="2"/>
      <c r="U84" s="2"/>
      <c r="V84" s="2"/>
      <c r="W84" s="2"/>
      <c r="X84" s="2"/>
      <c r="Y84" s="2"/>
    </row>
    <row x14ac:dyDescent="0.25" r="85" customHeight="1" ht="17.25">
      <c r="A85" s="10">
        <v>20</v>
      </c>
      <c r="B85" s="10">
        <v>2016</v>
      </c>
      <c r="C85" s="2" t="s">
        <v>124</v>
      </c>
      <c r="D85" s="23">
        <v>23</v>
      </c>
      <c r="E85" s="10">
        <v>132202997</v>
      </c>
      <c r="F85" s="24">
        <v>132.202997</v>
      </c>
      <c r="G85" s="23">
        <v>15</v>
      </c>
      <c r="H85" s="10">
        <v>24687975</v>
      </c>
      <c r="I85" s="24">
        <v>24.687975</v>
      </c>
      <c r="J85" s="10">
        <v>8</v>
      </c>
      <c r="K85" s="24">
        <v>7.461040888888888</v>
      </c>
      <c r="L85" s="24">
        <v>164.3520128888889</v>
      </c>
      <c r="M85" s="26">
        <f>_xlfn.CONCAT("'",$B85,"'","!","$N$3:$V$80")</f>
      </c>
      <c r="N85" s="26">
        <f>_xlfn.CONCAT("'",$B85,"'","!","$M$2:$M$80")</f>
      </c>
      <c r="O85" s="26">
        <f>_xlfn.CONCAT("'",$B85,"'","!","$N$2:$W$2")</f>
      </c>
      <c r="P85" s="2"/>
      <c r="Q85" s="2"/>
      <c r="R85" s="2"/>
      <c r="S85" s="2"/>
      <c r="T85" s="2"/>
      <c r="U85" s="2"/>
      <c r="V85" s="2"/>
      <c r="W85" s="2"/>
      <c r="X85" s="2"/>
      <c r="Y85" s="2"/>
    </row>
    <row x14ac:dyDescent="0.25" r="86" customHeight="1" ht="17.25">
      <c r="A86" s="10">
        <v>21</v>
      </c>
      <c r="B86" s="10">
        <v>2016</v>
      </c>
      <c r="C86" s="2" t="s">
        <v>125</v>
      </c>
      <c r="D86" s="23">
        <v>2</v>
      </c>
      <c r="E86" s="10">
        <v>379070</v>
      </c>
      <c r="F86" s="24">
        <v>0.37907</v>
      </c>
      <c r="G86" s="23">
        <v>2</v>
      </c>
      <c r="H86" s="10">
        <v>25938936</v>
      </c>
      <c r="I86" s="24">
        <v>25.938936</v>
      </c>
      <c r="J86" s="10">
        <v>0</v>
      </c>
      <c r="K86" s="23">
        <v>0</v>
      </c>
      <c r="L86" s="24">
        <v>26.318006</v>
      </c>
      <c r="M86" s="26">
        <f>_xlfn.CONCAT("'",$B86,"'","!","$N$3:$V$80")</f>
      </c>
      <c r="N86" s="26">
        <f>_xlfn.CONCAT("'",$B86,"'","!","$M$2:$M$80")</f>
      </c>
      <c r="O86" s="26">
        <f>_xlfn.CONCAT("'",$B86,"'","!","$N$2:$W$2")</f>
      </c>
      <c r="P86" s="2"/>
      <c r="Q86" s="2"/>
      <c r="R86" s="2"/>
      <c r="S86" s="2"/>
      <c r="T86" s="2"/>
      <c r="U86" s="2"/>
      <c r="V86" s="2"/>
      <c r="W86" s="2"/>
      <c r="X86" s="2"/>
      <c r="Y86" s="2"/>
    </row>
    <row x14ac:dyDescent="0.25" r="87" customHeight="1" ht="17.25">
      <c r="A87" s="10">
        <v>22</v>
      </c>
      <c r="B87" s="10">
        <v>2016</v>
      </c>
      <c r="C87" s="2" t="s">
        <v>126</v>
      </c>
      <c r="D87" s="23">
        <v>0</v>
      </c>
      <c r="E87" s="10">
        <v>0</v>
      </c>
      <c r="F87" s="23">
        <v>0</v>
      </c>
      <c r="G87" s="23">
        <v>2</v>
      </c>
      <c r="H87" s="10">
        <v>70000000</v>
      </c>
      <c r="I87" s="23">
        <v>70</v>
      </c>
      <c r="J87" s="10">
        <v>0</v>
      </c>
      <c r="K87" s="23">
        <v>0</v>
      </c>
      <c r="L87" s="23">
        <v>70</v>
      </c>
      <c r="M87" s="26">
        <f>_xlfn.CONCAT("'",$B87,"'","!","$N$3:$V$80")</f>
      </c>
      <c r="N87" s="26">
        <f>_xlfn.CONCAT("'",$B87,"'","!","$M$2:$M$80")</f>
      </c>
      <c r="O87" s="26">
        <f>_xlfn.CONCAT("'",$B87,"'","!","$N$2:$W$2")</f>
      </c>
      <c r="P87" s="2"/>
      <c r="Q87" s="2"/>
      <c r="R87" s="2"/>
      <c r="S87" s="2"/>
      <c r="T87" s="2"/>
      <c r="U87" s="2"/>
      <c r="V87" s="2"/>
      <c r="W87" s="2"/>
      <c r="X87" s="2"/>
      <c r="Y87" s="2"/>
    </row>
    <row x14ac:dyDescent="0.25" r="88" customHeight="1" ht="17.25">
      <c r="A88" s="10">
        <v>23</v>
      </c>
      <c r="B88" s="10">
        <v>2016</v>
      </c>
      <c r="C88" s="2" t="s">
        <v>127</v>
      </c>
      <c r="D88" s="23">
        <v>18</v>
      </c>
      <c r="E88" s="10">
        <v>259623980</v>
      </c>
      <c r="F88" s="24">
        <v>259.62398</v>
      </c>
      <c r="G88" s="23">
        <v>13</v>
      </c>
      <c r="H88" s="10">
        <v>201930610</v>
      </c>
      <c r="I88" s="24">
        <v>201.93061</v>
      </c>
      <c r="J88" s="10">
        <v>15</v>
      </c>
      <c r="K88" s="24">
        <v>70.18316252688889</v>
      </c>
      <c r="L88" s="24">
        <v>531.7377525268889</v>
      </c>
      <c r="M88" s="26">
        <f>_xlfn.CONCAT("'",$B88,"'","!","$N$3:$V$80")</f>
      </c>
      <c r="N88" s="26">
        <f>_xlfn.CONCAT("'",$B88,"'","!","$M$2:$M$80")</f>
      </c>
      <c r="O88" s="26">
        <f>_xlfn.CONCAT("'",$B88,"'","!","$N$2:$W$2")</f>
      </c>
      <c r="P88" s="2"/>
      <c r="Q88" s="2"/>
      <c r="R88" s="2"/>
      <c r="S88" s="2"/>
      <c r="T88" s="2"/>
      <c r="U88" s="2"/>
      <c r="V88" s="2"/>
      <c r="W88" s="2"/>
      <c r="X88" s="2"/>
      <c r="Y88" s="2"/>
    </row>
    <row x14ac:dyDescent="0.25" r="89" customHeight="1" ht="17.25">
      <c r="A89" s="10">
        <v>24</v>
      </c>
      <c r="B89" s="10">
        <v>2016</v>
      </c>
      <c r="C89" s="2" t="s">
        <v>128</v>
      </c>
      <c r="D89" s="23">
        <v>10</v>
      </c>
      <c r="E89" s="10">
        <v>517735387</v>
      </c>
      <c r="F89" s="24">
        <v>517.735387</v>
      </c>
      <c r="G89" s="23">
        <v>0</v>
      </c>
      <c r="H89" s="10">
        <v>0</v>
      </c>
      <c r="I89" s="23">
        <v>0</v>
      </c>
      <c r="J89" s="10">
        <v>8</v>
      </c>
      <c r="K89" s="24">
        <v>37.890186666666665</v>
      </c>
      <c r="L89" s="24">
        <v>555.6255736666666</v>
      </c>
      <c r="M89" s="26">
        <f>_xlfn.CONCAT("'",$B89,"'","!","$N$3:$V$80")</f>
      </c>
      <c r="N89" s="26">
        <f>_xlfn.CONCAT("'",$B89,"'","!","$M$2:$M$80")</f>
      </c>
      <c r="O89" s="26">
        <f>_xlfn.CONCAT("'",$B89,"'","!","$N$2:$W$2")</f>
      </c>
      <c r="P89" s="2"/>
      <c r="Q89" s="2"/>
      <c r="R89" s="2"/>
      <c r="S89" s="2"/>
      <c r="T89" s="2"/>
      <c r="U89" s="2"/>
      <c r="V89" s="2"/>
      <c r="W89" s="2"/>
      <c r="X89" s="2"/>
      <c r="Y89" s="2"/>
    </row>
    <row x14ac:dyDescent="0.25" r="90" customHeight="1" ht="17.25">
      <c r="A90" s="10">
        <v>25</v>
      </c>
      <c r="B90" s="10">
        <v>2016</v>
      </c>
      <c r="C90" s="2" t="s">
        <v>129</v>
      </c>
      <c r="D90" s="23">
        <v>9</v>
      </c>
      <c r="E90" s="10">
        <v>32927804</v>
      </c>
      <c r="F90" s="24">
        <v>32.927804</v>
      </c>
      <c r="G90" s="23">
        <v>4</v>
      </c>
      <c r="H90" s="10">
        <v>13736401</v>
      </c>
      <c r="I90" s="24">
        <v>13.736401</v>
      </c>
      <c r="J90" s="10">
        <v>4</v>
      </c>
      <c r="K90" s="24">
        <v>7.35508488888889</v>
      </c>
      <c r="L90" s="24">
        <v>54.01928988888889</v>
      </c>
      <c r="M90" s="26">
        <f>_xlfn.CONCAT("'",$B90,"'","!","$N$3:$V$80")</f>
      </c>
      <c r="N90" s="26">
        <f>_xlfn.CONCAT("'",$B90,"'","!","$M$2:$M$80")</f>
      </c>
      <c r="O90" s="26">
        <f>_xlfn.CONCAT("'",$B90,"'","!","$N$2:$W$2")</f>
      </c>
      <c r="P90" s="2"/>
      <c r="Q90" s="2"/>
      <c r="R90" s="2"/>
      <c r="S90" s="2"/>
      <c r="T90" s="2"/>
      <c r="U90" s="2"/>
      <c r="V90" s="2"/>
      <c r="W90" s="2"/>
      <c r="X90" s="2"/>
      <c r="Y90" s="2"/>
    </row>
    <row x14ac:dyDescent="0.25" r="91" customHeight="1" ht="17.25">
      <c r="A91" s="10">
        <v>26</v>
      </c>
      <c r="B91" s="10">
        <v>2016</v>
      </c>
      <c r="C91" s="2" t="s">
        <v>130</v>
      </c>
      <c r="D91" s="23">
        <v>20</v>
      </c>
      <c r="E91" s="10">
        <v>50616340</v>
      </c>
      <c r="F91" s="24">
        <v>50.61634</v>
      </c>
      <c r="G91" s="23">
        <v>18</v>
      </c>
      <c r="H91" s="10">
        <v>54586320</v>
      </c>
      <c r="I91" s="24">
        <v>54.58632</v>
      </c>
      <c r="J91" s="10">
        <v>0</v>
      </c>
      <c r="K91" s="23">
        <v>0</v>
      </c>
      <c r="L91" s="24">
        <v>105.20266000000001</v>
      </c>
      <c r="M91" s="26">
        <f>_xlfn.CONCAT("'",$B91,"'","!","$N$3:$V$80")</f>
      </c>
      <c r="N91" s="26">
        <f>_xlfn.CONCAT("'",$B91,"'","!","$M$2:$M$80")</f>
      </c>
      <c r="O91" s="26">
        <f>_xlfn.CONCAT("'",$B91,"'","!","$N$2:$W$2")</f>
      </c>
      <c r="P91" s="2"/>
      <c r="Q91" s="2"/>
      <c r="R91" s="2"/>
      <c r="S91" s="2"/>
      <c r="T91" s="2"/>
      <c r="U91" s="2"/>
      <c r="V91" s="2"/>
      <c r="W91" s="2"/>
      <c r="X91" s="2"/>
      <c r="Y91" s="2"/>
    </row>
    <row x14ac:dyDescent="0.25" r="92" customHeight="1" ht="17.25">
      <c r="A92" s="10">
        <v>27</v>
      </c>
      <c r="B92" s="10">
        <v>2016</v>
      </c>
      <c r="C92" s="2" t="s">
        <v>131</v>
      </c>
      <c r="D92" s="23">
        <v>3</v>
      </c>
      <c r="E92" s="10">
        <v>5963503</v>
      </c>
      <c r="F92" s="24">
        <v>5.963503</v>
      </c>
      <c r="G92" s="23">
        <v>0</v>
      </c>
      <c r="H92" s="10">
        <v>0</v>
      </c>
      <c r="I92" s="23">
        <v>0</v>
      </c>
      <c r="J92" s="10">
        <v>0</v>
      </c>
      <c r="K92" s="23">
        <v>0</v>
      </c>
      <c r="L92" s="24">
        <v>5.963503</v>
      </c>
      <c r="M92" s="26">
        <f>_xlfn.CONCAT("'",$B92,"'","!","$N$3:$V$80")</f>
      </c>
      <c r="N92" s="26">
        <f>_xlfn.CONCAT("'",$B92,"'","!","$M$2:$M$80")</f>
      </c>
      <c r="O92" s="26">
        <f>_xlfn.CONCAT("'",$B92,"'","!","$N$2:$W$2")</f>
      </c>
      <c r="P92" s="2"/>
      <c r="Q92" s="2"/>
      <c r="R92" s="2"/>
      <c r="S92" s="2"/>
      <c r="T92" s="2"/>
      <c r="U92" s="2"/>
      <c r="V92" s="2"/>
      <c r="W92" s="2"/>
      <c r="X92" s="2"/>
      <c r="Y92" s="2"/>
    </row>
    <row x14ac:dyDescent="0.25" r="93" customHeight="1" ht="17.25">
      <c r="A93" s="10">
        <v>28</v>
      </c>
      <c r="B93" s="10">
        <v>2016</v>
      </c>
      <c r="C93" s="2" t="s">
        <v>132</v>
      </c>
      <c r="D93" s="23">
        <v>18</v>
      </c>
      <c r="E93" s="10">
        <v>122888765</v>
      </c>
      <c r="F93" s="24">
        <v>122.888765</v>
      </c>
      <c r="G93" s="23">
        <v>4</v>
      </c>
      <c r="H93" s="10">
        <v>14958000</v>
      </c>
      <c r="I93" s="24">
        <v>14.958</v>
      </c>
      <c r="J93" s="10">
        <v>1</v>
      </c>
      <c r="K93" s="24">
        <v>0.01813333333333333</v>
      </c>
      <c r="L93" s="24">
        <v>137.86489833333334</v>
      </c>
      <c r="M93" s="26">
        <f>_xlfn.CONCAT("'",$B93,"'","!","$N$3:$V$80")</f>
      </c>
      <c r="N93" s="26">
        <f>_xlfn.CONCAT("'",$B93,"'","!","$M$2:$M$80")</f>
      </c>
      <c r="O93" s="26">
        <f>_xlfn.CONCAT("'",$B93,"'","!","$N$2:$W$2")</f>
      </c>
      <c r="P93" s="2"/>
      <c r="Q93" s="2"/>
      <c r="R93" s="2"/>
      <c r="S93" s="2"/>
      <c r="T93" s="2"/>
      <c r="U93" s="2"/>
      <c r="V93" s="2"/>
      <c r="W93" s="2"/>
      <c r="X93" s="2"/>
      <c r="Y93" s="2"/>
    </row>
    <row x14ac:dyDescent="0.25" r="94" customHeight="1" ht="17.25">
      <c r="A94" s="10">
        <v>29</v>
      </c>
      <c r="B94" s="10">
        <v>2016</v>
      </c>
      <c r="C94" s="2" t="s">
        <v>133</v>
      </c>
      <c r="D94" s="23">
        <v>3</v>
      </c>
      <c r="E94" s="10">
        <v>71519598</v>
      </c>
      <c r="F94" s="24">
        <v>71.519598</v>
      </c>
      <c r="G94" s="23">
        <v>3</v>
      </c>
      <c r="H94" s="10">
        <v>14100000</v>
      </c>
      <c r="I94" s="24">
        <v>14.1</v>
      </c>
      <c r="J94" s="10">
        <v>3</v>
      </c>
      <c r="K94" s="24">
        <v>2.6836731996444447</v>
      </c>
      <c r="L94" s="24">
        <v>88.30327119964444</v>
      </c>
      <c r="M94" s="26">
        <f>_xlfn.CONCAT("'",$B94,"'","!","$N$3:$V$80")</f>
      </c>
      <c r="N94" s="26">
        <f>_xlfn.CONCAT("'",$B94,"'","!","$M$2:$M$80")</f>
      </c>
      <c r="O94" s="26">
        <f>_xlfn.CONCAT("'",$B94,"'","!","$N$2:$W$2")</f>
      </c>
      <c r="P94" s="2"/>
      <c r="Q94" s="2"/>
      <c r="R94" s="2"/>
      <c r="S94" s="2"/>
      <c r="T94" s="2"/>
      <c r="U94" s="2"/>
      <c r="V94" s="2"/>
      <c r="W94" s="2"/>
      <c r="X94" s="2"/>
      <c r="Y94" s="2"/>
    </row>
    <row x14ac:dyDescent="0.25" r="95" customHeight="1" ht="17.25">
      <c r="A95" s="10">
        <v>30</v>
      </c>
      <c r="B95" s="10">
        <v>2016</v>
      </c>
      <c r="C95" s="2" t="s">
        <v>134</v>
      </c>
      <c r="D95" s="23">
        <v>3</v>
      </c>
      <c r="E95" s="10">
        <v>17903425</v>
      </c>
      <c r="F95" s="24">
        <v>17.903425</v>
      </c>
      <c r="G95" s="23">
        <v>0</v>
      </c>
      <c r="H95" s="10">
        <v>0</v>
      </c>
      <c r="I95" s="23">
        <v>0</v>
      </c>
      <c r="J95" s="10">
        <v>2</v>
      </c>
      <c r="K95" s="24">
        <v>0.5017777777777778</v>
      </c>
      <c r="L95" s="24">
        <v>18.405202777777777</v>
      </c>
      <c r="M95" s="26">
        <f>_xlfn.CONCAT("'",$B95,"'","!","$N$3:$V$80")</f>
      </c>
      <c r="N95" s="26">
        <f>_xlfn.CONCAT("'",$B95,"'","!","$M$2:$M$80")</f>
      </c>
      <c r="O95" s="26">
        <f>_xlfn.CONCAT("'",$B95,"'","!","$N$2:$W$2")</f>
      </c>
      <c r="P95" s="2"/>
      <c r="Q95" s="2"/>
      <c r="R95" s="2"/>
      <c r="S95" s="2"/>
      <c r="T95" s="2"/>
      <c r="U95" s="2"/>
      <c r="V95" s="2"/>
      <c r="W95" s="2"/>
      <c r="X95" s="2"/>
      <c r="Y95" s="2"/>
    </row>
    <row x14ac:dyDescent="0.25" r="96" customHeight="1" ht="17.25">
      <c r="A96" s="10">
        <v>31</v>
      </c>
      <c r="B96" s="10">
        <v>2016</v>
      </c>
      <c r="C96" s="2" t="s">
        <v>135</v>
      </c>
      <c r="D96" s="23">
        <v>10</v>
      </c>
      <c r="E96" s="10">
        <v>81988197</v>
      </c>
      <c r="F96" s="24">
        <v>81.988197</v>
      </c>
      <c r="G96" s="23">
        <v>1</v>
      </c>
      <c r="H96" s="10">
        <v>2606151</v>
      </c>
      <c r="I96" s="24">
        <v>2.606151</v>
      </c>
      <c r="J96" s="10">
        <v>2</v>
      </c>
      <c r="K96" s="24">
        <v>0.6818</v>
      </c>
      <c r="L96" s="24">
        <v>85.27614799999999</v>
      </c>
      <c r="M96" s="26">
        <f>_xlfn.CONCAT("'",$B96,"'","!","$N$3:$V$80")</f>
      </c>
      <c r="N96" s="26">
        <f>_xlfn.CONCAT("'",$B96,"'","!","$M$2:$M$80")</f>
      </c>
      <c r="O96" s="26">
        <f>_xlfn.CONCAT("'",$B96,"'","!","$N$2:$W$2")</f>
      </c>
      <c r="P96" s="2"/>
      <c r="Q96" s="2"/>
      <c r="R96" s="2"/>
      <c r="S96" s="2"/>
      <c r="T96" s="2"/>
      <c r="U96" s="2"/>
      <c r="V96" s="2"/>
      <c r="W96" s="2"/>
      <c r="X96" s="2"/>
      <c r="Y96" s="2"/>
    </row>
    <row x14ac:dyDescent="0.25" r="97" customHeight="1" ht="17.25">
      <c r="A97" s="10">
        <v>32</v>
      </c>
      <c r="B97" s="10">
        <v>2016</v>
      </c>
      <c r="C97" s="2" t="s">
        <v>136</v>
      </c>
      <c r="D97" s="30" t="s">
        <v>16</v>
      </c>
      <c r="E97" s="5" t="s">
        <v>16</v>
      </c>
      <c r="F97" s="25" t="s">
        <v>16</v>
      </c>
      <c r="G97" s="30" t="s">
        <v>16</v>
      </c>
      <c r="H97" s="5" t="s">
        <v>16</v>
      </c>
      <c r="I97" s="25" t="s">
        <v>16</v>
      </c>
      <c r="J97" s="5" t="s">
        <v>16</v>
      </c>
      <c r="K97" s="25" t="s">
        <v>16</v>
      </c>
      <c r="L97" s="25" t="s">
        <v>16</v>
      </c>
      <c r="M97" s="26">
        <f>_xlfn.CONCAT("'",$B97,"'","!","$N$3:$V$80")</f>
      </c>
      <c r="N97" s="26">
        <f>_xlfn.CONCAT("'",$B97,"'","!","$M$2:$M$80")</f>
      </c>
      <c r="O97" s="26">
        <f>_xlfn.CONCAT("'",$B97,"'","!","$N$2:$W$2")</f>
      </c>
      <c r="P97" s="2"/>
      <c r="Q97" s="2"/>
      <c r="R97" s="2"/>
      <c r="S97" s="2"/>
      <c r="T97" s="2"/>
      <c r="U97" s="2"/>
      <c r="V97" s="2"/>
      <c r="W97" s="2"/>
      <c r="X97" s="2"/>
      <c r="Y97" s="2"/>
    </row>
    <row x14ac:dyDescent="0.25" r="98" customHeight="1" ht="17.25">
      <c r="A98" s="10">
        <v>33</v>
      </c>
      <c r="B98" s="10">
        <v>2016</v>
      </c>
      <c r="C98" s="2" t="s">
        <v>137</v>
      </c>
      <c r="D98" s="23">
        <v>2</v>
      </c>
      <c r="E98" s="10">
        <v>4773404</v>
      </c>
      <c r="F98" s="24">
        <v>4.773404</v>
      </c>
      <c r="G98" s="23">
        <v>0</v>
      </c>
      <c r="H98" s="10">
        <v>0</v>
      </c>
      <c r="I98" s="23">
        <v>0</v>
      </c>
      <c r="J98" s="10">
        <v>0</v>
      </c>
      <c r="K98" s="23">
        <v>0</v>
      </c>
      <c r="L98" s="24">
        <v>4.773404</v>
      </c>
      <c r="M98" s="26">
        <f>_xlfn.CONCAT("'",$B98,"'","!","$N$3:$V$80")</f>
      </c>
      <c r="N98" s="26">
        <f>_xlfn.CONCAT("'",$B98,"'","!","$M$2:$M$80")</f>
      </c>
      <c r="O98" s="26">
        <f>_xlfn.CONCAT("'",$B98,"'","!","$N$2:$W$2")</f>
      </c>
      <c r="P98" s="2"/>
      <c r="Q98" s="2"/>
      <c r="R98" s="2"/>
      <c r="S98" s="2"/>
      <c r="T98" s="2"/>
      <c r="U98" s="2"/>
      <c r="V98" s="2"/>
      <c r="W98" s="2"/>
      <c r="X98" s="2"/>
      <c r="Y98" s="2"/>
    </row>
    <row x14ac:dyDescent="0.25" r="99" customHeight="1" ht="17.25">
      <c r="A99" s="10">
        <v>34</v>
      </c>
      <c r="B99" s="10">
        <v>2016</v>
      </c>
      <c r="C99" s="2" t="s">
        <v>138</v>
      </c>
      <c r="D99" s="23">
        <v>8</v>
      </c>
      <c r="E99" s="10">
        <v>225989827</v>
      </c>
      <c r="F99" s="24">
        <v>225.989827</v>
      </c>
      <c r="G99" s="23">
        <v>1</v>
      </c>
      <c r="H99" s="10">
        <v>1117911</v>
      </c>
      <c r="I99" s="24">
        <v>1.117911</v>
      </c>
      <c r="J99" s="10">
        <v>3</v>
      </c>
      <c r="K99" s="24">
        <v>14.003022222222222</v>
      </c>
      <c r="L99" s="24">
        <v>241.1107602222222</v>
      </c>
      <c r="M99" s="26">
        <f>_xlfn.CONCAT("'",$B99,"'","!","$N$3:$V$80")</f>
      </c>
      <c r="N99" s="26">
        <f>_xlfn.CONCAT("'",$B99,"'","!","$M$2:$M$80")</f>
      </c>
      <c r="O99" s="26">
        <f>_xlfn.CONCAT("'",$B99,"'","!","$N$2:$W$2")</f>
      </c>
      <c r="P99" s="2"/>
      <c r="Q99" s="2"/>
      <c r="R99" s="2"/>
      <c r="S99" s="2"/>
      <c r="T99" s="2"/>
      <c r="U99" s="2"/>
      <c r="V99" s="2"/>
      <c r="W99" s="2"/>
      <c r="X99" s="2"/>
      <c r="Y99" s="2"/>
    </row>
    <row x14ac:dyDescent="0.25" r="100" customHeight="1" ht="17.25">
      <c r="A100" s="10">
        <v>35</v>
      </c>
      <c r="B100" s="10">
        <v>2016</v>
      </c>
      <c r="C100" s="2" t="s">
        <v>139</v>
      </c>
      <c r="D100" s="23">
        <v>9</v>
      </c>
      <c r="E100" s="10">
        <v>72490000</v>
      </c>
      <c r="F100" s="24">
        <v>72.49</v>
      </c>
      <c r="G100" s="23">
        <v>0</v>
      </c>
      <c r="H100" s="10">
        <v>0</v>
      </c>
      <c r="I100" s="23">
        <v>0</v>
      </c>
      <c r="J100" s="10">
        <v>0</v>
      </c>
      <c r="K100" s="23">
        <v>0</v>
      </c>
      <c r="L100" s="24">
        <v>72.49</v>
      </c>
      <c r="M100" s="26">
        <f>_xlfn.CONCAT("'",$B100,"'","!","$N$3:$V$80")</f>
      </c>
      <c r="N100" s="26">
        <f>_xlfn.CONCAT("'",$B100,"'","!","$M$2:$M$80")</f>
      </c>
      <c r="O100" s="26">
        <f>_xlfn.CONCAT("'",$B100,"'","!","$N$2:$W$2")</f>
      </c>
      <c r="P100" s="2"/>
      <c r="Q100" s="2"/>
      <c r="R100" s="2"/>
      <c r="S100" s="2"/>
      <c r="T100" s="2"/>
      <c r="U100" s="2"/>
      <c r="V100" s="2"/>
      <c r="W100" s="2"/>
      <c r="X100" s="2"/>
      <c r="Y100" s="2"/>
    </row>
    <row x14ac:dyDescent="0.25" r="101" customHeight="1" ht="17.25">
      <c r="A101" s="10">
        <v>36</v>
      </c>
      <c r="B101" s="10">
        <v>2016</v>
      </c>
      <c r="C101" s="2" t="s">
        <v>140</v>
      </c>
      <c r="D101" s="30" t="s">
        <v>16</v>
      </c>
      <c r="E101" s="5" t="s">
        <v>16</v>
      </c>
      <c r="F101" s="25" t="s">
        <v>16</v>
      </c>
      <c r="G101" s="30" t="s">
        <v>16</v>
      </c>
      <c r="H101" s="5" t="s">
        <v>16</v>
      </c>
      <c r="I101" s="25" t="s">
        <v>16</v>
      </c>
      <c r="J101" s="5" t="s">
        <v>16</v>
      </c>
      <c r="K101" s="25" t="s">
        <v>16</v>
      </c>
      <c r="L101" s="25" t="s">
        <v>16</v>
      </c>
      <c r="M101" s="26">
        <f>_xlfn.CONCAT("'",$B101,"'","!","$N$3:$V$80")</f>
      </c>
      <c r="N101" s="26">
        <f>_xlfn.CONCAT("'",$B101,"'","!","$M$2:$M$80")</f>
      </c>
      <c r="O101" s="26">
        <f>_xlfn.CONCAT("'",$B101,"'","!","$N$2:$W$2")</f>
      </c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x14ac:dyDescent="0.25" r="102" customHeight="1" ht="17.25">
      <c r="A102" s="10">
        <v>37</v>
      </c>
      <c r="B102" s="10">
        <v>2016</v>
      </c>
      <c r="C102" s="2" t="s">
        <v>141</v>
      </c>
      <c r="D102" s="23">
        <v>8</v>
      </c>
      <c r="E102" s="10">
        <v>6322000</v>
      </c>
      <c r="F102" s="24">
        <v>6.322</v>
      </c>
      <c r="G102" s="23">
        <v>4</v>
      </c>
      <c r="H102" s="10">
        <v>39200000</v>
      </c>
      <c r="I102" s="24">
        <v>39.2</v>
      </c>
      <c r="J102" s="10">
        <v>49</v>
      </c>
      <c r="K102" s="24">
        <v>22.53223999999999</v>
      </c>
      <c r="L102" s="24">
        <v>68.05424</v>
      </c>
      <c r="M102" s="26">
        <f>_xlfn.CONCAT("'",$B102,"'","!","$N$3:$V$80")</f>
      </c>
      <c r="N102" s="26">
        <f>_xlfn.CONCAT("'",$B102,"'","!","$M$2:$M$80")</f>
      </c>
      <c r="O102" s="26">
        <f>_xlfn.CONCAT("'",$B102,"'","!","$N$2:$W$2")</f>
      </c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x14ac:dyDescent="0.25" r="103" customHeight="1" ht="17.25">
      <c r="A103" s="10">
        <v>38</v>
      </c>
      <c r="B103" s="10">
        <v>2016</v>
      </c>
      <c r="C103" s="2" t="s">
        <v>142</v>
      </c>
      <c r="D103" s="23">
        <v>15</v>
      </c>
      <c r="E103" s="10">
        <v>163763110</v>
      </c>
      <c r="F103" s="24">
        <v>163.76311</v>
      </c>
      <c r="G103" s="23">
        <v>11</v>
      </c>
      <c r="H103" s="10">
        <v>69604750</v>
      </c>
      <c r="I103" s="24">
        <v>69.60475</v>
      </c>
      <c r="J103" s="10">
        <v>1</v>
      </c>
      <c r="K103" s="24">
        <v>0.04</v>
      </c>
      <c r="L103" s="24">
        <v>233.40786</v>
      </c>
      <c r="M103" s="26">
        <f>_xlfn.CONCAT("'",$B103,"'","!","$N$3:$V$80")</f>
      </c>
      <c r="N103" s="26">
        <f>_xlfn.CONCAT("'",$B103,"'","!","$M$2:$M$80")</f>
      </c>
      <c r="O103" s="26">
        <f>_xlfn.CONCAT("'",$B103,"'","!","$N$2:$W$2")</f>
      </c>
      <c r="P103" s="2"/>
      <c r="Q103" s="2"/>
      <c r="R103" s="2"/>
      <c r="S103" s="2"/>
      <c r="T103" s="2"/>
      <c r="U103" s="2"/>
      <c r="V103" s="2"/>
      <c r="W103" s="2"/>
      <c r="X103" s="2"/>
      <c r="Y103" s="2"/>
    </row>
    <row x14ac:dyDescent="0.25" r="104" customHeight="1" ht="17.25">
      <c r="A104" s="10">
        <v>39</v>
      </c>
      <c r="B104" s="10">
        <v>2016</v>
      </c>
      <c r="C104" s="2" t="s">
        <v>143</v>
      </c>
      <c r="D104" s="23">
        <v>0</v>
      </c>
      <c r="E104" s="10">
        <v>0</v>
      </c>
      <c r="F104" s="23">
        <v>0</v>
      </c>
      <c r="G104" s="23">
        <v>2</v>
      </c>
      <c r="H104" s="10">
        <v>38977416</v>
      </c>
      <c r="I104" s="24">
        <v>38.977416</v>
      </c>
      <c r="J104" s="10">
        <v>3</v>
      </c>
      <c r="K104" s="24">
        <v>5.682216888888889</v>
      </c>
      <c r="L104" s="24">
        <v>44.659632888888886</v>
      </c>
      <c r="M104" s="26">
        <f>_xlfn.CONCAT("'",$B104,"'","!","$N$3:$V$80")</f>
      </c>
      <c r="N104" s="26">
        <f>_xlfn.CONCAT("'",$B104,"'","!","$M$2:$M$80")</f>
      </c>
      <c r="O104" s="26">
        <f>_xlfn.CONCAT("'",$B104,"'","!","$N$2:$W$2")</f>
      </c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x14ac:dyDescent="0.25" r="105" customHeight="1" ht="17.25">
      <c r="A105" s="10">
        <v>40</v>
      </c>
      <c r="B105" s="10">
        <v>2016</v>
      </c>
      <c r="C105" s="2" t="s">
        <v>144</v>
      </c>
      <c r="D105" s="23">
        <v>1</v>
      </c>
      <c r="E105" s="10">
        <v>3000000</v>
      </c>
      <c r="F105" s="23">
        <v>3</v>
      </c>
      <c r="G105" s="23">
        <v>5</v>
      </c>
      <c r="H105" s="10">
        <v>5765500</v>
      </c>
      <c r="I105" s="24">
        <v>5.7655</v>
      </c>
      <c r="J105" s="10">
        <v>0</v>
      </c>
      <c r="K105" s="23">
        <v>0</v>
      </c>
      <c r="L105" s="24">
        <v>8.7655</v>
      </c>
      <c r="M105" s="26">
        <f>_xlfn.CONCAT("'",$B105,"'","!","$N$3:$V$80")</f>
      </c>
      <c r="N105" s="26">
        <f>_xlfn.CONCAT("'",$B105,"'","!","$M$2:$M$80")</f>
      </c>
      <c r="O105" s="26">
        <f>_xlfn.CONCAT("'",$B105,"'","!","$N$2:$W$2")</f>
      </c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x14ac:dyDescent="0.25" r="106" customHeight="1" ht="17.25">
      <c r="A106" s="10">
        <v>41</v>
      </c>
      <c r="B106" s="10">
        <v>2016</v>
      </c>
      <c r="C106" s="2" t="s">
        <v>145</v>
      </c>
      <c r="D106" s="23">
        <v>7</v>
      </c>
      <c r="E106" s="10">
        <v>256503212</v>
      </c>
      <c r="F106" s="24">
        <v>256.503212</v>
      </c>
      <c r="G106" s="23">
        <v>0</v>
      </c>
      <c r="H106" s="10">
        <v>0</v>
      </c>
      <c r="I106" s="23">
        <v>0</v>
      </c>
      <c r="J106" s="10">
        <v>0</v>
      </c>
      <c r="K106" s="23">
        <v>0</v>
      </c>
      <c r="L106" s="24">
        <v>256.503212</v>
      </c>
      <c r="M106" s="26">
        <f>_xlfn.CONCAT("'",$B106,"'","!","$N$3:$V$80")</f>
      </c>
      <c r="N106" s="26">
        <f>_xlfn.CONCAT("'",$B106,"'","!","$M$2:$M$80")</f>
      </c>
      <c r="O106" s="26">
        <f>_xlfn.CONCAT("'",$B106,"'","!","$N$2:$W$2")</f>
      </c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x14ac:dyDescent="0.25" r="107" customHeight="1" ht="17.25">
      <c r="A107" s="10">
        <v>42</v>
      </c>
      <c r="B107" s="10">
        <v>2016</v>
      </c>
      <c r="C107" s="2" t="s">
        <v>146</v>
      </c>
      <c r="D107" s="23">
        <v>1</v>
      </c>
      <c r="E107" s="10">
        <v>31500000</v>
      </c>
      <c r="F107" s="24">
        <v>31.5</v>
      </c>
      <c r="G107" s="23">
        <v>0</v>
      </c>
      <c r="H107" s="10">
        <v>0</v>
      </c>
      <c r="I107" s="23">
        <v>0</v>
      </c>
      <c r="J107" s="10">
        <v>0</v>
      </c>
      <c r="K107" s="23">
        <v>0</v>
      </c>
      <c r="L107" s="24">
        <v>31.5</v>
      </c>
      <c r="M107" s="26">
        <f>_xlfn.CONCAT("'",$B107,"'","!","$N$3:$V$80")</f>
      </c>
      <c r="N107" s="26">
        <f>_xlfn.CONCAT("'",$B107,"'","!","$M$2:$M$80")</f>
      </c>
      <c r="O107" s="26">
        <f>_xlfn.CONCAT("'",$B107,"'","!","$N$2:$W$2")</f>
      </c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x14ac:dyDescent="0.25" r="108" customHeight="1" ht="17.25">
      <c r="A108" s="10">
        <v>43</v>
      </c>
      <c r="B108" s="10">
        <v>2016</v>
      </c>
      <c r="C108" s="2" t="s">
        <v>147</v>
      </c>
      <c r="D108" s="23">
        <v>30</v>
      </c>
      <c r="E108" s="10">
        <v>274121552</v>
      </c>
      <c r="F108" s="24">
        <v>274.121552</v>
      </c>
      <c r="G108" s="23">
        <v>18</v>
      </c>
      <c r="H108" s="11">
        <v>103312737.30000001</v>
      </c>
      <c r="I108" s="24">
        <v>103.31273730000001</v>
      </c>
      <c r="J108" s="10">
        <v>18</v>
      </c>
      <c r="K108" s="24">
        <v>11.853939177333332</v>
      </c>
      <c r="L108" s="24">
        <v>389.2882284773334</v>
      </c>
      <c r="M108" s="26">
        <f>_xlfn.CONCAT("'",$B108,"'","!","$N$3:$V$80")</f>
      </c>
      <c r="N108" s="26">
        <f>_xlfn.CONCAT("'",$B108,"'","!","$M$2:$M$80")</f>
      </c>
      <c r="O108" s="26">
        <f>_xlfn.CONCAT("'",$B108,"'","!","$N$2:$W$2")</f>
      </c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x14ac:dyDescent="0.25" r="109" customHeight="1" ht="17.25">
      <c r="A109" s="10">
        <v>44</v>
      </c>
      <c r="B109" s="10">
        <v>2016</v>
      </c>
      <c r="C109" s="2" t="s">
        <v>148</v>
      </c>
      <c r="D109" s="23">
        <v>6</v>
      </c>
      <c r="E109" s="10">
        <v>29281818</v>
      </c>
      <c r="F109" s="24">
        <v>29.281818</v>
      </c>
      <c r="G109" s="23">
        <v>2</v>
      </c>
      <c r="H109" s="10">
        <v>710526</v>
      </c>
      <c r="I109" s="24">
        <v>0.710526</v>
      </c>
      <c r="J109" s="10">
        <v>2</v>
      </c>
      <c r="K109" s="24">
        <v>2.36</v>
      </c>
      <c r="L109" s="24">
        <v>32.352344</v>
      </c>
      <c r="M109" s="26">
        <f>_xlfn.CONCAT("'",$B109,"'","!","$N$3:$V$80")</f>
      </c>
      <c r="N109" s="26">
        <f>_xlfn.CONCAT("'",$B109,"'","!","$M$2:$M$80")</f>
      </c>
      <c r="O109" s="26">
        <f>_xlfn.CONCAT("'",$B109,"'","!","$N$2:$W$2")</f>
      </c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x14ac:dyDescent="0.25" r="110" customHeight="1" ht="17.25">
      <c r="A110" s="10">
        <v>45</v>
      </c>
      <c r="B110" s="10">
        <v>2016</v>
      </c>
      <c r="C110" s="2" t="s">
        <v>149</v>
      </c>
      <c r="D110" s="23">
        <v>1</v>
      </c>
      <c r="E110" s="10">
        <v>4000000</v>
      </c>
      <c r="F110" s="23">
        <v>4</v>
      </c>
      <c r="G110" s="23">
        <v>0</v>
      </c>
      <c r="H110" s="10">
        <v>0</v>
      </c>
      <c r="I110" s="23">
        <v>0</v>
      </c>
      <c r="J110" s="10">
        <v>0</v>
      </c>
      <c r="K110" s="23">
        <v>0</v>
      </c>
      <c r="L110" s="23">
        <v>4</v>
      </c>
      <c r="M110" s="26">
        <f>_xlfn.CONCAT("'",$B110,"'","!","$N$3:$V$80")</f>
      </c>
      <c r="N110" s="26">
        <f>_xlfn.CONCAT("'",$B110,"'","!","$M$2:$M$80")</f>
      </c>
      <c r="O110" s="26">
        <f>_xlfn.CONCAT("'",$B110,"'","!","$N$2:$W$2")</f>
      </c>
      <c r="P110" s="2"/>
      <c r="Q110" s="2"/>
      <c r="R110" s="2"/>
      <c r="S110" s="2"/>
      <c r="T110" s="2"/>
      <c r="U110" s="2"/>
      <c r="V110" s="2"/>
      <c r="W110" s="2"/>
      <c r="X110" s="2"/>
      <c r="Y110" s="2"/>
    </row>
    <row x14ac:dyDescent="0.25" r="111" customHeight="1" ht="17.25">
      <c r="A111" s="10">
        <v>46</v>
      </c>
      <c r="B111" s="10">
        <v>2016</v>
      </c>
      <c r="C111" s="2" t="s">
        <v>150</v>
      </c>
      <c r="D111" s="23">
        <v>1</v>
      </c>
      <c r="E111" s="10">
        <v>655619</v>
      </c>
      <c r="F111" s="24">
        <v>0.655619</v>
      </c>
      <c r="G111" s="23">
        <v>1</v>
      </c>
      <c r="H111" s="10">
        <v>1000000</v>
      </c>
      <c r="I111" s="23">
        <v>1</v>
      </c>
      <c r="J111" s="10">
        <v>3</v>
      </c>
      <c r="K111" s="24">
        <v>1.048888888888889</v>
      </c>
      <c r="L111" s="24">
        <v>2.704507888888889</v>
      </c>
      <c r="M111" s="26">
        <f>_xlfn.CONCAT("'",$B111,"'","!","$N$3:$V$80")</f>
      </c>
      <c r="N111" s="26">
        <f>_xlfn.CONCAT("'",$B111,"'","!","$M$2:$M$80")</f>
      </c>
      <c r="O111" s="26">
        <f>_xlfn.CONCAT("'",$B111,"'","!","$N$2:$W$2")</f>
      </c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x14ac:dyDescent="0.25" r="112" customHeight="1" ht="17.25">
      <c r="A112" s="10">
        <v>47</v>
      </c>
      <c r="B112" s="10">
        <v>2016</v>
      </c>
      <c r="C112" s="2" t="s">
        <v>151</v>
      </c>
      <c r="D112" s="23">
        <v>3</v>
      </c>
      <c r="E112" s="10">
        <v>21433333</v>
      </c>
      <c r="F112" s="24">
        <v>21.433333</v>
      </c>
      <c r="G112" s="23">
        <v>0</v>
      </c>
      <c r="H112" s="10">
        <v>0</v>
      </c>
      <c r="I112" s="23">
        <v>0</v>
      </c>
      <c r="J112" s="10">
        <v>1</v>
      </c>
      <c r="K112" s="24">
        <v>21.06128888888889</v>
      </c>
      <c r="L112" s="24">
        <v>42.49462188888889</v>
      </c>
      <c r="M112" s="26">
        <f>_xlfn.CONCAT("'",$B112,"'","!","$N$3:$V$80")</f>
      </c>
      <c r="N112" s="26">
        <f>_xlfn.CONCAT("'",$B112,"'","!","$M$2:$M$80")</f>
      </c>
      <c r="O112" s="26">
        <f>_xlfn.CONCAT("'",$B112,"'","!","$N$2:$W$2")</f>
      </c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x14ac:dyDescent="0.25" r="113" customHeight="1" ht="17.25">
      <c r="A113" s="10">
        <v>48</v>
      </c>
      <c r="B113" s="10">
        <v>2016</v>
      </c>
      <c r="C113" s="2" t="s">
        <v>152</v>
      </c>
      <c r="D113" s="23">
        <v>0</v>
      </c>
      <c r="E113" s="10">
        <v>0</v>
      </c>
      <c r="F113" s="23">
        <v>0</v>
      </c>
      <c r="G113" s="23">
        <v>0</v>
      </c>
      <c r="H113" s="10">
        <v>0</v>
      </c>
      <c r="I113" s="23">
        <v>0</v>
      </c>
      <c r="J113" s="10">
        <v>2</v>
      </c>
      <c r="K113" s="24">
        <v>11.086424933333333</v>
      </c>
      <c r="L113" s="24">
        <v>11.086424933333333</v>
      </c>
      <c r="M113" s="26">
        <f>_xlfn.CONCAT("'",$B113,"'","!","$N$3:$V$80")</f>
      </c>
      <c r="N113" s="26">
        <f>_xlfn.CONCAT("'",$B113,"'","!","$M$2:$M$80")</f>
      </c>
      <c r="O113" s="26">
        <f>_xlfn.CONCAT("'",$B113,"'","!","$N$2:$W$2")</f>
      </c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x14ac:dyDescent="0.25" r="114" customHeight="1" ht="17.25">
      <c r="A114" s="10">
        <v>49</v>
      </c>
      <c r="B114" s="10">
        <v>2016</v>
      </c>
      <c r="C114" s="2" t="s">
        <v>153</v>
      </c>
      <c r="D114" s="23">
        <v>1</v>
      </c>
      <c r="E114" s="10">
        <v>230000</v>
      </c>
      <c r="F114" s="24">
        <v>0.23</v>
      </c>
      <c r="G114" s="23">
        <v>0</v>
      </c>
      <c r="H114" s="10">
        <v>0</v>
      </c>
      <c r="I114" s="23">
        <v>0</v>
      </c>
      <c r="J114" s="10">
        <v>0</v>
      </c>
      <c r="K114" s="23">
        <v>0</v>
      </c>
      <c r="L114" s="24">
        <v>0.23</v>
      </c>
      <c r="M114" s="26">
        <f>_xlfn.CONCAT("'",$B114,"'","!","$N$3:$V$80")</f>
      </c>
      <c r="N114" s="26">
        <f>_xlfn.CONCAT("'",$B114,"'","!","$M$2:$M$80")</f>
      </c>
      <c r="O114" s="26">
        <f>_xlfn.CONCAT("'",$B114,"'","!","$N$2:$W$2")</f>
      </c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x14ac:dyDescent="0.25" r="115" customHeight="1" ht="17.25">
      <c r="A115" s="10">
        <v>50</v>
      </c>
      <c r="B115" s="10">
        <v>2016</v>
      </c>
      <c r="C115" s="2" t="s">
        <v>154</v>
      </c>
      <c r="D115" s="23">
        <v>1</v>
      </c>
      <c r="E115" s="10">
        <v>5000000</v>
      </c>
      <c r="F115" s="23">
        <v>5</v>
      </c>
      <c r="G115" s="23">
        <v>0</v>
      </c>
      <c r="H115" s="10">
        <v>0</v>
      </c>
      <c r="I115" s="23">
        <v>0</v>
      </c>
      <c r="J115" s="10">
        <v>0</v>
      </c>
      <c r="K115" s="23">
        <v>0</v>
      </c>
      <c r="L115" s="23">
        <v>5</v>
      </c>
      <c r="M115" s="26">
        <f>_xlfn.CONCAT("'",$B115,"'","!","$N$3:$V$80")</f>
      </c>
      <c r="N115" s="26">
        <f>_xlfn.CONCAT("'",$B115,"'","!","$M$2:$M$80")</f>
      </c>
      <c r="O115" s="26">
        <f>_xlfn.CONCAT("'",$B115,"'","!","$N$2:$W$2")</f>
      </c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x14ac:dyDescent="0.25" r="116" customHeight="1" ht="17.25">
      <c r="A116" s="10">
        <v>51</v>
      </c>
      <c r="B116" s="10">
        <v>2016</v>
      </c>
      <c r="C116" s="2" t="s">
        <v>155</v>
      </c>
      <c r="D116" s="30" t="s">
        <v>16</v>
      </c>
      <c r="E116" s="5" t="s">
        <v>16</v>
      </c>
      <c r="F116" s="25" t="s">
        <v>16</v>
      </c>
      <c r="G116" s="30" t="s">
        <v>16</v>
      </c>
      <c r="H116" s="5" t="s">
        <v>16</v>
      </c>
      <c r="I116" s="25" t="s">
        <v>16</v>
      </c>
      <c r="J116" s="5" t="s">
        <v>16</v>
      </c>
      <c r="K116" s="25" t="s">
        <v>16</v>
      </c>
      <c r="L116" s="25" t="s">
        <v>16</v>
      </c>
      <c r="M116" s="26">
        <f>_xlfn.CONCAT("'",$B116,"'","!","$N$3:$V$80")</f>
      </c>
      <c r="N116" s="26">
        <f>_xlfn.CONCAT("'",$B116,"'","!","$M$2:$M$80")</f>
      </c>
      <c r="O116" s="26">
        <f>_xlfn.CONCAT("'",$B116,"'","!","$N$2:$W$2")</f>
      </c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x14ac:dyDescent="0.25" r="117" customHeight="1" ht="17.25">
      <c r="A117" s="10">
        <v>52</v>
      </c>
      <c r="B117" s="10">
        <v>2016</v>
      </c>
      <c r="C117" s="2" t="s">
        <v>156</v>
      </c>
      <c r="D117" s="23">
        <v>0</v>
      </c>
      <c r="E117" s="10">
        <v>0</v>
      </c>
      <c r="F117" s="23">
        <v>0</v>
      </c>
      <c r="G117" s="23">
        <v>1</v>
      </c>
      <c r="H117" s="10">
        <v>-1300000</v>
      </c>
      <c r="I117" s="24">
        <v>-1.3</v>
      </c>
      <c r="J117" s="10">
        <v>0</v>
      </c>
      <c r="K117" s="23">
        <v>0</v>
      </c>
      <c r="L117" s="24">
        <v>-1.3</v>
      </c>
      <c r="M117" s="26">
        <f>_xlfn.CONCAT("'",$B117,"'","!","$N$3:$V$80")</f>
      </c>
      <c r="N117" s="26">
        <f>_xlfn.CONCAT("'",$B117,"'","!","$M$2:$M$80")</f>
      </c>
      <c r="O117" s="26">
        <f>_xlfn.CONCAT("'",$B117,"'","!","$N$2:$W$2")</f>
      </c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x14ac:dyDescent="0.25" r="118" customHeight="1" ht="17.25">
      <c r="A118" s="10">
        <v>53</v>
      </c>
      <c r="B118" s="10">
        <v>2016</v>
      </c>
      <c r="C118" s="2" t="s">
        <v>157</v>
      </c>
      <c r="D118" s="23">
        <v>10</v>
      </c>
      <c r="E118" s="10">
        <v>2825200</v>
      </c>
      <c r="F118" s="24">
        <v>2.8252</v>
      </c>
      <c r="G118" s="23">
        <v>2</v>
      </c>
      <c r="H118" s="10">
        <v>3620000</v>
      </c>
      <c r="I118" s="24">
        <v>3.62</v>
      </c>
      <c r="J118" s="10">
        <v>0</v>
      </c>
      <c r="K118" s="23">
        <v>0</v>
      </c>
      <c r="L118" s="24">
        <v>6.4452</v>
      </c>
      <c r="M118" s="26">
        <f>_xlfn.CONCAT("'",$B118,"'","!","$N$3:$V$80")</f>
      </c>
      <c r="N118" s="26">
        <f>_xlfn.CONCAT("'",$B118,"'","!","$M$2:$M$80")</f>
      </c>
      <c r="O118" s="26">
        <f>_xlfn.CONCAT("'",$B118,"'","!","$N$2:$W$2")</f>
      </c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x14ac:dyDescent="0.25" r="119" customHeight="1" ht="17.25">
      <c r="A119" s="10">
        <v>54</v>
      </c>
      <c r="B119" s="10">
        <v>2016</v>
      </c>
      <c r="C119" s="2" t="s">
        <v>158</v>
      </c>
      <c r="D119" s="30" t="s">
        <v>16</v>
      </c>
      <c r="E119" s="5" t="s">
        <v>16</v>
      </c>
      <c r="F119" s="25" t="s">
        <v>16</v>
      </c>
      <c r="G119" s="30" t="s">
        <v>16</v>
      </c>
      <c r="H119" s="5" t="s">
        <v>16</v>
      </c>
      <c r="I119" s="25" t="s">
        <v>16</v>
      </c>
      <c r="J119" s="5" t="s">
        <v>16</v>
      </c>
      <c r="K119" s="25" t="s">
        <v>16</v>
      </c>
      <c r="L119" s="25" t="s">
        <v>16</v>
      </c>
      <c r="M119" s="26">
        <f>_xlfn.CONCAT("'",$B119,"'","!","$N$3:$V$80")</f>
      </c>
      <c r="N119" s="26">
        <f>_xlfn.CONCAT("'",$B119,"'","!","$M$2:$M$80")</f>
      </c>
      <c r="O119" s="26">
        <f>_xlfn.CONCAT("'",$B119,"'","!","$N$2:$W$2")</f>
      </c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x14ac:dyDescent="0.25" r="120" customHeight="1" ht="17.25">
      <c r="A120" s="10">
        <v>55</v>
      </c>
      <c r="B120" s="10">
        <v>2016</v>
      </c>
      <c r="C120" s="2" t="s">
        <v>159</v>
      </c>
      <c r="D120" s="23">
        <v>9</v>
      </c>
      <c r="E120" s="10">
        <v>96300000</v>
      </c>
      <c r="F120" s="24">
        <v>96.3</v>
      </c>
      <c r="G120" s="23">
        <v>4</v>
      </c>
      <c r="H120" s="10">
        <v>-74318182</v>
      </c>
      <c r="I120" s="24">
        <v>-74.318182</v>
      </c>
      <c r="J120" s="10">
        <v>0</v>
      </c>
      <c r="K120" s="23">
        <v>0</v>
      </c>
      <c r="L120" s="24">
        <v>21.981818000000004</v>
      </c>
      <c r="M120" s="26">
        <f>_xlfn.CONCAT("'",$B120,"'","!","$N$3:$V$80")</f>
      </c>
      <c r="N120" s="26">
        <f>_xlfn.CONCAT("'",$B120,"'","!","$M$2:$M$80")</f>
      </c>
      <c r="O120" s="26">
        <f>_xlfn.CONCAT("'",$B120,"'","!","$N$2:$W$2")</f>
      </c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x14ac:dyDescent="0.25" r="121" customHeight="1" ht="17.25">
      <c r="A121" s="10">
        <v>56</v>
      </c>
      <c r="B121" s="10">
        <v>2016</v>
      </c>
      <c r="C121" s="2" t="s">
        <v>160</v>
      </c>
      <c r="D121" s="23">
        <v>0</v>
      </c>
      <c r="E121" s="10">
        <v>0</v>
      </c>
      <c r="F121" s="23">
        <v>0</v>
      </c>
      <c r="G121" s="23">
        <v>6</v>
      </c>
      <c r="H121" s="10">
        <v>39494692</v>
      </c>
      <c r="I121" s="24">
        <v>39.494692</v>
      </c>
      <c r="J121" s="10">
        <v>10</v>
      </c>
      <c r="K121" s="24">
        <v>1.9488444444444442</v>
      </c>
      <c r="L121" s="24">
        <v>41.44353644444445</v>
      </c>
      <c r="M121" s="26">
        <f>_xlfn.CONCAT("'",$B121,"'","!","$N$3:$V$80")</f>
      </c>
      <c r="N121" s="26">
        <f>_xlfn.CONCAT("'",$B121,"'","!","$M$2:$M$80")</f>
      </c>
      <c r="O121" s="26">
        <f>_xlfn.CONCAT("'",$B121,"'","!","$N$2:$W$2")</f>
      </c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x14ac:dyDescent="0.25" r="122" customHeight="1" ht="17.25">
      <c r="A122" s="10">
        <v>57</v>
      </c>
      <c r="B122" s="10">
        <v>2016</v>
      </c>
      <c r="C122" s="2" t="s">
        <v>161</v>
      </c>
      <c r="D122" s="23">
        <v>1</v>
      </c>
      <c r="E122" s="10">
        <v>22472</v>
      </c>
      <c r="F122" s="24">
        <v>0.022472</v>
      </c>
      <c r="G122" s="23">
        <v>2</v>
      </c>
      <c r="H122" s="10">
        <v>3100000</v>
      </c>
      <c r="I122" s="24">
        <v>3.1</v>
      </c>
      <c r="J122" s="10">
        <v>1</v>
      </c>
      <c r="K122" s="24">
        <v>7.524882666666667</v>
      </c>
      <c r="L122" s="24">
        <v>10.647354666666667</v>
      </c>
      <c r="M122" s="26">
        <f>_xlfn.CONCAT("'",$B122,"'","!","$N$3:$V$80")</f>
      </c>
      <c r="N122" s="26">
        <f>_xlfn.CONCAT("'",$B122,"'","!","$M$2:$M$80")</f>
      </c>
      <c r="O122" s="26">
        <f>_xlfn.CONCAT("'",$B122,"'","!","$N$2:$W$2")</f>
      </c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x14ac:dyDescent="0.25" r="123" customHeight="1" ht="17.25">
      <c r="A123" s="10">
        <v>58</v>
      </c>
      <c r="B123" s="10">
        <v>2016</v>
      </c>
      <c r="C123" s="2" t="s">
        <v>162</v>
      </c>
      <c r="D123" s="30" t="s">
        <v>16</v>
      </c>
      <c r="E123" s="5" t="s">
        <v>16</v>
      </c>
      <c r="F123" s="25" t="s">
        <v>16</v>
      </c>
      <c r="G123" s="30" t="s">
        <v>16</v>
      </c>
      <c r="H123" s="5" t="s">
        <v>16</v>
      </c>
      <c r="I123" s="25" t="s">
        <v>16</v>
      </c>
      <c r="J123" s="5" t="s">
        <v>16</v>
      </c>
      <c r="K123" s="25" t="s">
        <v>16</v>
      </c>
      <c r="L123" s="25" t="s">
        <v>16</v>
      </c>
      <c r="M123" s="26">
        <f>_xlfn.CONCAT("'",$B123,"'","!","$N$3:$V$80")</f>
      </c>
      <c r="N123" s="26">
        <f>_xlfn.CONCAT("'",$B123,"'","!","$M$2:$M$80")</f>
      </c>
      <c r="O123" s="26">
        <f>_xlfn.CONCAT("'",$B123,"'","!","$N$2:$W$2")</f>
      </c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x14ac:dyDescent="0.25" r="124" customHeight="1" ht="17.25">
      <c r="A124" s="10">
        <v>59</v>
      </c>
      <c r="B124" s="10">
        <v>2016</v>
      </c>
      <c r="C124" s="2" t="s">
        <v>163</v>
      </c>
      <c r="D124" s="23">
        <v>0</v>
      </c>
      <c r="E124" s="10">
        <v>0</v>
      </c>
      <c r="F124" s="23">
        <v>0</v>
      </c>
      <c r="G124" s="23">
        <v>1</v>
      </c>
      <c r="H124" s="10">
        <v>-2938308</v>
      </c>
      <c r="I124" s="24">
        <v>-2.938308</v>
      </c>
      <c r="J124" s="10">
        <v>0</v>
      </c>
      <c r="K124" s="23">
        <v>0</v>
      </c>
      <c r="L124" s="24">
        <v>-2.938308</v>
      </c>
      <c r="M124" s="26">
        <f>_xlfn.CONCAT("'",$B124,"'","!","$N$3:$V$80")</f>
      </c>
      <c r="N124" s="26">
        <f>_xlfn.CONCAT("'",$B124,"'","!","$M$2:$M$80")</f>
      </c>
      <c r="O124" s="26">
        <f>_xlfn.CONCAT("'",$B124,"'","!","$N$2:$W$2")</f>
      </c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x14ac:dyDescent="0.25" r="125" customHeight="1" ht="17.25">
      <c r="A125" s="10">
        <v>60</v>
      </c>
      <c r="B125" s="10">
        <v>2016</v>
      </c>
      <c r="C125" s="2" t="s">
        <v>164</v>
      </c>
      <c r="D125" s="30" t="s">
        <v>16</v>
      </c>
      <c r="E125" s="5" t="s">
        <v>16</v>
      </c>
      <c r="F125" s="25" t="s">
        <v>16</v>
      </c>
      <c r="G125" s="30" t="s">
        <v>16</v>
      </c>
      <c r="H125" s="5" t="s">
        <v>16</v>
      </c>
      <c r="I125" s="25" t="s">
        <v>16</v>
      </c>
      <c r="J125" s="5" t="s">
        <v>16</v>
      </c>
      <c r="K125" s="25" t="s">
        <v>16</v>
      </c>
      <c r="L125" s="25" t="s">
        <v>16</v>
      </c>
      <c r="M125" s="26">
        <f>_xlfn.CONCAT("'",$B125,"'","!","$N$3:$V$80")</f>
      </c>
      <c r="N125" s="26">
        <f>_xlfn.CONCAT("'",$B125,"'","!","$M$2:$M$80")</f>
      </c>
      <c r="O125" s="26">
        <f>_xlfn.CONCAT("'",$B125,"'","!","$N$2:$W$2")</f>
      </c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x14ac:dyDescent="0.25" r="126" customHeight="1" ht="17.25">
      <c r="A126" s="10">
        <v>61</v>
      </c>
      <c r="B126" s="10">
        <v>2016</v>
      </c>
      <c r="C126" s="2" t="s">
        <v>165</v>
      </c>
      <c r="D126" s="30" t="s">
        <v>16</v>
      </c>
      <c r="E126" s="5" t="s">
        <v>16</v>
      </c>
      <c r="F126" s="25" t="s">
        <v>16</v>
      </c>
      <c r="G126" s="30" t="s">
        <v>16</v>
      </c>
      <c r="H126" s="5" t="s">
        <v>16</v>
      </c>
      <c r="I126" s="25" t="s">
        <v>16</v>
      </c>
      <c r="J126" s="5" t="s">
        <v>16</v>
      </c>
      <c r="K126" s="25" t="s">
        <v>16</v>
      </c>
      <c r="L126" s="25" t="s">
        <v>16</v>
      </c>
      <c r="M126" s="26">
        <f>_xlfn.CONCAT("'",$B126,"'","!","$N$3:$V$80")</f>
      </c>
      <c r="N126" s="26">
        <f>_xlfn.CONCAT("'",$B126,"'","!","$M$2:$M$80")</f>
      </c>
      <c r="O126" s="26">
        <f>_xlfn.CONCAT("'",$B126,"'","!","$N$2:$W$2")</f>
      </c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x14ac:dyDescent="0.25" r="127" customHeight="1" ht="17.25">
      <c r="A127" s="10">
        <v>62</v>
      </c>
      <c r="B127" s="10">
        <v>2016</v>
      </c>
      <c r="C127" s="2" t="s">
        <v>166</v>
      </c>
      <c r="D127" s="23">
        <v>2</v>
      </c>
      <c r="E127" s="10">
        <v>7791817</v>
      </c>
      <c r="F127" s="24">
        <v>7.791817</v>
      </c>
      <c r="G127" s="23">
        <v>0</v>
      </c>
      <c r="H127" s="10">
        <v>0</v>
      </c>
      <c r="I127" s="23">
        <v>0</v>
      </c>
      <c r="J127" s="10">
        <v>0</v>
      </c>
      <c r="K127" s="23">
        <v>0</v>
      </c>
      <c r="L127" s="24">
        <v>7.791817</v>
      </c>
      <c r="M127" s="26">
        <f>_xlfn.CONCAT("'",$B127,"'","!","$N$3:$V$80")</f>
      </c>
      <c r="N127" s="26">
        <f>_xlfn.CONCAT("'",$B127,"'","!","$M$2:$M$80")</f>
      </c>
      <c r="O127" s="26">
        <f>_xlfn.CONCAT("'",$B127,"'","!","$N$2:$W$2")</f>
      </c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x14ac:dyDescent="0.25" r="128" customHeight="1" ht="17.25">
      <c r="A128" s="10">
        <v>63</v>
      </c>
      <c r="B128" s="10">
        <v>2016</v>
      </c>
      <c r="C128" s="2" t="s">
        <v>167</v>
      </c>
      <c r="D128" s="23">
        <v>2556</v>
      </c>
      <c r="E128" s="11">
        <v>15182245350.348888</v>
      </c>
      <c r="F128" s="24">
        <v>15182.245350348892</v>
      </c>
      <c r="G128" s="23">
        <v>1225</v>
      </c>
      <c r="H128" s="11">
        <v>5765100869.497422</v>
      </c>
      <c r="I128" s="24">
        <v>5765.100869497423</v>
      </c>
      <c r="J128" s="10">
        <v>2547</v>
      </c>
      <c r="K128" s="24">
        <v>3425.322814747852</v>
      </c>
      <c r="L128" s="24">
        <v>24372.669034594157</v>
      </c>
      <c r="M128" s="26">
        <f>_xlfn.CONCAT("'",$B128,"'","!","$N$3:$V$80")</f>
      </c>
      <c r="N128" s="26">
        <f>_xlfn.CONCAT("'",$B128,"'","!","$M$2:$M$80")</f>
      </c>
      <c r="O128" s="26">
        <f>_xlfn.CONCAT("'",$B128,"'","!","$N$2:$W$2")</f>
      </c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x14ac:dyDescent="0.25" r="129" customHeight="1" ht="17.25">
      <c r="A129" s="10">
        <v>1</v>
      </c>
      <c r="B129" s="10">
        <v>2017</v>
      </c>
      <c r="C129" s="2" t="s">
        <v>104</v>
      </c>
      <c r="D129" s="23">
        <v>4</v>
      </c>
      <c r="E129" s="10">
        <v>2584857631</v>
      </c>
      <c r="F129" s="24">
        <v>2584.857631</v>
      </c>
      <c r="G129" s="23">
        <v>2</v>
      </c>
      <c r="H129" s="10">
        <v>13500000</v>
      </c>
      <c r="I129" s="24">
        <v>13.5</v>
      </c>
      <c r="J129" s="10">
        <v>55</v>
      </c>
      <c r="K129" s="24">
        <v>28.044428888888902</v>
      </c>
      <c r="L129" s="24">
        <v>2626.4020598888887</v>
      </c>
      <c r="M129" s="26">
        <f>_xlfn.CONCAT("'",$B129,"'","!","$N$3:$V$80")</f>
      </c>
      <c r="N129" s="26">
        <f>_xlfn.CONCAT("'",$B129,"'","!","$M$2:$M$80")</f>
      </c>
      <c r="O129" s="26">
        <f>_xlfn.CONCAT("'",$B129,"'","!","$N$2:$W$2")</f>
      </c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x14ac:dyDescent="0.25" r="130" customHeight="1" ht="17.25">
      <c r="A130" s="10">
        <v>2</v>
      </c>
      <c r="B130" s="10">
        <v>2017</v>
      </c>
      <c r="C130" s="2" t="s">
        <v>105</v>
      </c>
      <c r="D130" s="23">
        <v>184</v>
      </c>
      <c r="E130" s="10">
        <v>371706124</v>
      </c>
      <c r="F130" s="24">
        <v>371.706124</v>
      </c>
      <c r="G130" s="23">
        <v>136</v>
      </c>
      <c r="H130" s="10">
        <v>2888338859</v>
      </c>
      <c r="I130" s="24">
        <v>2888.338859</v>
      </c>
      <c r="J130" s="10">
        <v>125</v>
      </c>
      <c r="K130" s="24">
        <v>144.4900418548888</v>
      </c>
      <c r="L130" s="24">
        <v>3404.5350248548884</v>
      </c>
      <c r="M130" s="26">
        <f>_xlfn.CONCAT("'",$B130,"'","!","$N$3:$V$80")</f>
      </c>
      <c r="N130" s="26">
        <f>_xlfn.CONCAT("'",$B130,"'","!","$M$2:$M$80")</f>
      </c>
      <c r="O130" s="26">
        <f>_xlfn.CONCAT("'",$B130,"'","!","$N$2:$W$2")</f>
      </c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x14ac:dyDescent="0.25" r="131" customHeight="1" ht="17.25">
      <c r="A131" s="10">
        <v>3</v>
      </c>
      <c r="B131" s="10">
        <v>2017</v>
      </c>
      <c r="C131" s="2" t="s">
        <v>106</v>
      </c>
      <c r="D131" s="23">
        <v>542</v>
      </c>
      <c r="E131" s="10">
        <v>1111247023</v>
      </c>
      <c r="F131" s="24">
        <v>1111.247023</v>
      </c>
      <c r="G131" s="23">
        <v>167</v>
      </c>
      <c r="H131" s="11">
        <v>662726899.1289062</v>
      </c>
      <c r="I131" s="24">
        <v>662.7268991289062</v>
      </c>
      <c r="J131" s="10">
        <v>637</v>
      </c>
      <c r="K131" s="24">
        <v>1006.952710087837</v>
      </c>
      <c r="L131" s="24">
        <v>2780.926632216743</v>
      </c>
      <c r="M131" s="26">
        <f>_xlfn.CONCAT("'",$B131,"'","!","$N$3:$V$80")</f>
      </c>
      <c r="N131" s="26">
        <f>_xlfn.CONCAT("'",$B131,"'","!","$M$2:$M$80")</f>
      </c>
      <c r="O131" s="26">
        <f>_xlfn.CONCAT("'",$B131,"'","!","$N$2:$W$2")</f>
      </c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x14ac:dyDescent="0.25" r="132" customHeight="1" ht="17.25">
      <c r="A132" s="10">
        <v>4</v>
      </c>
      <c r="B132" s="10">
        <v>2017</v>
      </c>
      <c r="C132" s="2" t="s">
        <v>108</v>
      </c>
      <c r="D132" s="23">
        <v>7</v>
      </c>
      <c r="E132" s="10">
        <v>1342302760</v>
      </c>
      <c r="F132" s="24">
        <v>1342.30276</v>
      </c>
      <c r="G132" s="23">
        <v>2</v>
      </c>
      <c r="H132" s="10">
        <v>-28992392</v>
      </c>
      <c r="I132" s="24">
        <v>-28.992392</v>
      </c>
      <c r="J132" s="10">
        <v>2</v>
      </c>
      <c r="K132" s="24">
        <v>0.030222222222222223</v>
      </c>
      <c r="L132" s="24">
        <v>1313.340590222222</v>
      </c>
      <c r="M132" s="26">
        <f>_xlfn.CONCAT("'",$B132,"'","!","$N$3:$V$80")</f>
      </c>
      <c r="N132" s="26">
        <f>_xlfn.CONCAT("'",$B132,"'","!","$M$2:$M$80")</f>
      </c>
      <c r="O132" s="26">
        <f>_xlfn.CONCAT("'",$B132,"'","!","$N$2:$W$2")</f>
      </c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x14ac:dyDescent="0.25" r="133" customHeight="1" ht="17.25">
      <c r="A133" s="10">
        <v>5</v>
      </c>
      <c r="B133" s="10">
        <v>2017</v>
      </c>
      <c r="C133" s="2" t="s">
        <v>109</v>
      </c>
      <c r="D133" s="23">
        <v>15</v>
      </c>
      <c r="E133" s="10">
        <v>3159396191</v>
      </c>
      <c r="F133" s="24">
        <v>3159.396191</v>
      </c>
      <c r="G133" s="23">
        <v>5</v>
      </c>
      <c r="H133" s="10">
        <v>5800000</v>
      </c>
      <c r="I133" s="24">
        <v>5.8</v>
      </c>
      <c r="J133" s="10">
        <v>7</v>
      </c>
      <c r="K133" s="24">
        <v>6.513666666666665</v>
      </c>
      <c r="L133" s="24">
        <v>3171.7098576666667</v>
      </c>
      <c r="M133" s="26">
        <f>_xlfn.CONCAT("'",$B133,"'","!","$N$3:$V$80")</f>
      </c>
      <c r="N133" s="26">
        <f>_xlfn.CONCAT("'",$B133,"'","!","$M$2:$M$80")</f>
      </c>
      <c r="O133" s="26">
        <f>_xlfn.CONCAT("'",$B133,"'","!","$N$2:$W$2")</f>
      </c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x14ac:dyDescent="0.25" r="134" customHeight="1" ht="17.25">
      <c r="A134" s="10">
        <v>6</v>
      </c>
      <c r="B134" s="10">
        <v>2017</v>
      </c>
      <c r="C134" s="2" t="s">
        <v>110</v>
      </c>
      <c r="D134" s="23">
        <v>69</v>
      </c>
      <c r="E134" s="10">
        <v>764901738</v>
      </c>
      <c r="F134" s="24">
        <v>764.901738</v>
      </c>
      <c r="G134" s="23">
        <v>18</v>
      </c>
      <c r="H134" s="10">
        <v>18267070</v>
      </c>
      <c r="I134" s="24">
        <v>18.26707</v>
      </c>
      <c r="J134" s="10">
        <v>36</v>
      </c>
      <c r="K134" s="24">
        <v>72.35573257773333</v>
      </c>
      <c r="L134" s="24">
        <v>855.5245405777333</v>
      </c>
      <c r="M134" s="26">
        <f>_xlfn.CONCAT("'",$B134,"'","!","$N$3:$V$80")</f>
      </c>
      <c r="N134" s="26">
        <f>_xlfn.CONCAT("'",$B134,"'","!","$M$2:$M$80")</f>
      </c>
      <c r="O134" s="26">
        <f>_xlfn.CONCAT("'",$B134,"'","!","$N$2:$W$2")</f>
      </c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x14ac:dyDescent="0.25" r="135" customHeight="1" ht="17.25">
      <c r="A135" s="10">
        <v>7</v>
      </c>
      <c r="B135" s="10">
        <v>2017</v>
      </c>
      <c r="C135" s="2" t="s">
        <v>111</v>
      </c>
      <c r="D135" s="23">
        <v>57</v>
      </c>
      <c r="E135" s="10">
        <v>220719288</v>
      </c>
      <c r="F135" s="24">
        <v>220.719288</v>
      </c>
      <c r="G135" s="23">
        <v>41</v>
      </c>
      <c r="H135" s="10">
        <v>622753894</v>
      </c>
      <c r="I135" s="24">
        <v>622.753894</v>
      </c>
      <c r="J135" s="10">
        <v>35</v>
      </c>
      <c r="K135" s="24">
        <v>41.413495051377765</v>
      </c>
      <c r="L135" s="24">
        <v>884.8866770513778</v>
      </c>
      <c r="M135" s="26">
        <f>_xlfn.CONCAT("'",$B135,"'","!","$N$3:$V$80")</f>
      </c>
      <c r="N135" s="26">
        <f>_xlfn.CONCAT("'",$B135,"'","!","$M$2:$M$80")</f>
      </c>
      <c r="O135" s="26">
        <f>_xlfn.CONCAT("'",$B135,"'","!","$N$2:$W$2")</f>
      </c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x14ac:dyDescent="0.25" r="136" customHeight="1" ht="17.25">
      <c r="A136" s="10">
        <v>8</v>
      </c>
      <c r="B136" s="10">
        <v>2017</v>
      </c>
      <c r="C136" s="2" t="s">
        <v>112</v>
      </c>
      <c r="D136" s="23">
        <v>25</v>
      </c>
      <c r="E136" s="10">
        <v>204272550</v>
      </c>
      <c r="F136" s="24">
        <v>204.27255</v>
      </c>
      <c r="G136" s="23">
        <v>15</v>
      </c>
      <c r="H136" s="10">
        <v>242973221</v>
      </c>
      <c r="I136" s="24">
        <v>242.973221</v>
      </c>
      <c r="J136" s="10">
        <v>34</v>
      </c>
      <c r="K136" s="24">
        <v>80.23627964220447</v>
      </c>
      <c r="L136" s="24">
        <v>527.4820506422045</v>
      </c>
      <c r="M136" s="26">
        <f>_xlfn.CONCAT("'",$B136,"'","!","$N$3:$V$80")</f>
      </c>
      <c r="N136" s="26">
        <f>_xlfn.CONCAT("'",$B136,"'","!","$M$2:$M$80")</f>
      </c>
      <c r="O136" s="26">
        <f>_xlfn.CONCAT("'",$B136,"'","!","$N$2:$W$2")</f>
      </c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x14ac:dyDescent="0.25" r="137" customHeight="1" ht="17.25">
      <c r="A137" s="10">
        <v>9</v>
      </c>
      <c r="B137" s="10">
        <v>2017</v>
      </c>
      <c r="C137" s="2" t="s">
        <v>113</v>
      </c>
      <c r="D137" s="23">
        <v>37</v>
      </c>
      <c r="E137" s="10">
        <v>360638191</v>
      </c>
      <c r="F137" s="24">
        <v>360.638191</v>
      </c>
      <c r="G137" s="23">
        <v>44</v>
      </c>
      <c r="H137" s="10">
        <v>144156323</v>
      </c>
      <c r="I137" s="24">
        <v>144.156323</v>
      </c>
      <c r="J137" s="10">
        <v>36</v>
      </c>
      <c r="K137" s="24">
        <v>16.81128308813334</v>
      </c>
      <c r="L137" s="24">
        <v>521.6057970881334</v>
      </c>
      <c r="M137" s="26">
        <f>_xlfn.CONCAT("'",$B137,"'","!","$N$3:$V$80")</f>
      </c>
      <c r="N137" s="26">
        <f>_xlfn.CONCAT("'",$B137,"'","!","$M$2:$M$80")</f>
      </c>
      <c r="O137" s="26">
        <f>_xlfn.CONCAT("'",$B137,"'","!","$N$2:$W$2")</f>
      </c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x14ac:dyDescent="0.25" r="138" customHeight="1" ht="17.25">
      <c r="A138" s="10">
        <v>10</v>
      </c>
      <c r="B138" s="10">
        <v>2017</v>
      </c>
      <c r="C138" s="2" t="s">
        <v>114</v>
      </c>
      <c r="D138" s="23">
        <v>4</v>
      </c>
      <c r="E138" s="10">
        <v>237015955</v>
      </c>
      <c r="F138" s="24">
        <v>237.015955</v>
      </c>
      <c r="G138" s="23">
        <v>0</v>
      </c>
      <c r="H138" s="10">
        <v>0</v>
      </c>
      <c r="I138" s="23">
        <v>0</v>
      </c>
      <c r="J138" s="10">
        <v>2</v>
      </c>
      <c r="K138" s="24">
        <v>1.1297777777777778</v>
      </c>
      <c r="L138" s="24">
        <v>238.14573277777777</v>
      </c>
      <c r="M138" s="26">
        <f>_xlfn.CONCAT("'",$B138,"'","!","$N$3:$V$80")</f>
      </c>
      <c r="N138" s="26">
        <f>_xlfn.CONCAT("'",$B138,"'","!","$M$2:$M$80")</f>
      </c>
      <c r="O138" s="26">
        <f>_xlfn.CONCAT("'",$B138,"'","!","$N$2:$W$2")</f>
      </c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x14ac:dyDescent="0.25" r="139" customHeight="1" ht="17.25">
      <c r="A139" s="10">
        <v>11</v>
      </c>
      <c r="B139" s="10">
        <v>2017</v>
      </c>
      <c r="C139" s="2" t="s">
        <v>115</v>
      </c>
      <c r="D139" s="23">
        <v>7</v>
      </c>
      <c r="E139" s="10">
        <v>313839000</v>
      </c>
      <c r="F139" s="24">
        <v>313.839</v>
      </c>
      <c r="G139" s="23">
        <v>2</v>
      </c>
      <c r="H139" s="10">
        <v>60750000</v>
      </c>
      <c r="I139" s="24">
        <v>60.75</v>
      </c>
      <c r="J139" s="10">
        <v>0</v>
      </c>
      <c r="K139" s="23">
        <v>0</v>
      </c>
      <c r="L139" s="24">
        <v>374.589</v>
      </c>
      <c r="M139" s="26">
        <f>_xlfn.CONCAT("'",$B139,"'","!","$N$3:$V$80")</f>
      </c>
      <c r="N139" s="26">
        <f>_xlfn.CONCAT("'",$B139,"'","!","$M$2:$M$80")</f>
      </c>
      <c r="O139" s="26">
        <f>_xlfn.CONCAT("'",$B139,"'","!","$N$2:$W$2")</f>
      </c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x14ac:dyDescent="0.25" r="140" customHeight="1" ht="17.25">
      <c r="A140" s="10">
        <v>12</v>
      </c>
      <c r="B140" s="10">
        <v>2017</v>
      </c>
      <c r="C140" s="2" t="s">
        <v>116</v>
      </c>
      <c r="D140" s="23">
        <v>3</v>
      </c>
      <c r="E140" s="10">
        <v>265767759</v>
      </c>
      <c r="F140" s="24">
        <v>265.767759</v>
      </c>
      <c r="G140" s="23">
        <v>0</v>
      </c>
      <c r="H140" s="10">
        <v>0</v>
      </c>
      <c r="I140" s="23">
        <v>0</v>
      </c>
      <c r="J140" s="10">
        <v>4</v>
      </c>
      <c r="K140" s="24">
        <v>0.35228568888888884</v>
      </c>
      <c r="L140" s="24">
        <v>266.1200446888889</v>
      </c>
      <c r="M140" s="26">
        <f>_xlfn.CONCAT("'",$B140,"'","!","$N$3:$V$80")</f>
      </c>
      <c r="N140" s="26">
        <f>_xlfn.CONCAT("'",$B140,"'","!","$M$2:$M$80")</f>
      </c>
      <c r="O140" s="26">
        <f>_xlfn.CONCAT("'",$B140,"'","!","$N$2:$W$2")</f>
      </c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x14ac:dyDescent="0.25" r="141" customHeight="1" ht="17.25">
      <c r="A141" s="10">
        <v>13</v>
      </c>
      <c r="B141" s="10">
        <v>2017</v>
      </c>
      <c r="C141" s="2" t="s">
        <v>117</v>
      </c>
      <c r="D141" s="23">
        <v>11</v>
      </c>
      <c r="E141" s="10">
        <v>96262748</v>
      </c>
      <c r="F141" s="24">
        <v>96.262748</v>
      </c>
      <c r="G141" s="23">
        <v>7</v>
      </c>
      <c r="H141" s="10">
        <v>-4109230</v>
      </c>
      <c r="I141" s="24">
        <v>-4.10923</v>
      </c>
      <c r="J141" s="10">
        <v>10</v>
      </c>
      <c r="K141" s="24">
        <v>7.3537464018222245</v>
      </c>
      <c r="L141" s="24">
        <v>99.50726440182223</v>
      </c>
      <c r="M141" s="26">
        <f>_xlfn.CONCAT("'",$B141,"'","!","$N$3:$V$80")</f>
      </c>
      <c r="N141" s="26">
        <f>_xlfn.CONCAT("'",$B141,"'","!","$M$2:$M$80")</f>
      </c>
      <c r="O141" s="26">
        <f>_xlfn.CONCAT("'",$B141,"'","!","$N$2:$W$2")</f>
      </c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x14ac:dyDescent="0.25" r="142" customHeight="1" ht="17.25">
      <c r="A142" s="10">
        <v>14</v>
      </c>
      <c r="B142" s="10">
        <v>2017</v>
      </c>
      <c r="C142" s="2" t="s">
        <v>118</v>
      </c>
      <c r="D142" s="23">
        <v>9</v>
      </c>
      <c r="E142" s="10">
        <v>117221335</v>
      </c>
      <c r="F142" s="24">
        <v>117.221335</v>
      </c>
      <c r="G142" s="23">
        <v>4</v>
      </c>
      <c r="H142" s="10">
        <v>31702293</v>
      </c>
      <c r="I142" s="24">
        <v>31.702293</v>
      </c>
      <c r="J142" s="10">
        <v>7</v>
      </c>
      <c r="K142" s="24">
        <v>1.2519777777777779</v>
      </c>
      <c r="L142" s="24">
        <v>150.17560577777778</v>
      </c>
      <c r="M142" s="26">
        <f>_xlfn.CONCAT("'",$B142,"'","!","$N$3:$V$80")</f>
      </c>
      <c r="N142" s="26">
        <f>_xlfn.CONCAT("'",$B142,"'","!","$M$2:$M$80")</f>
      </c>
      <c r="O142" s="26">
        <f>_xlfn.CONCAT("'",$B142,"'","!","$N$2:$W$2")</f>
      </c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x14ac:dyDescent="0.25" r="143" customHeight="1" ht="17.25">
      <c r="A143" s="10">
        <v>15</v>
      </c>
      <c r="B143" s="10">
        <v>2017</v>
      </c>
      <c r="C143" s="2" t="s">
        <v>119</v>
      </c>
      <c r="D143" s="23">
        <v>18</v>
      </c>
      <c r="E143" s="10">
        <v>112648191</v>
      </c>
      <c r="F143" s="24">
        <v>112.648191</v>
      </c>
      <c r="G143" s="23">
        <v>4</v>
      </c>
      <c r="H143" s="10">
        <v>9500261</v>
      </c>
      <c r="I143" s="24">
        <v>9.500261</v>
      </c>
      <c r="J143" s="10">
        <v>18</v>
      </c>
      <c r="K143" s="24">
        <v>12.849209799199999</v>
      </c>
      <c r="L143" s="24">
        <v>134.9976617992</v>
      </c>
      <c r="M143" s="26">
        <f>_xlfn.CONCAT("'",$B143,"'","!","$N$3:$V$80")</f>
      </c>
      <c r="N143" s="26">
        <f>_xlfn.CONCAT("'",$B143,"'","!","$M$2:$M$80")</f>
      </c>
      <c r="O143" s="26">
        <f>_xlfn.CONCAT("'",$B143,"'","!","$N$2:$W$2")</f>
      </c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x14ac:dyDescent="0.25" r="144" customHeight="1" ht="17.25">
      <c r="A144" s="10">
        <v>16</v>
      </c>
      <c r="B144" s="10">
        <v>2017</v>
      </c>
      <c r="C144" s="2" t="s">
        <v>120</v>
      </c>
      <c r="D144" s="23">
        <v>24</v>
      </c>
      <c r="E144" s="10">
        <v>369908832</v>
      </c>
      <c r="F144" s="24">
        <v>369.908832</v>
      </c>
      <c r="G144" s="23">
        <v>21</v>
      </c>
      <c r="H144" s="10">
        <v>111068512</v>
      </c>
      <c r="I144" s="24">
        <v>111.068512</v>
      </c>
      <c r="J144" s="10">
        <v>22</v>
      </c>
      <c r="K144" s="24">
        <v>30.79815233111111</v>
      </c>
      <c r="L144" s="24">
        <v>511.7754963311111</v>
      </c>
      <c r="M144" s="26">
        <f>_xlfn.CONCAT("'",$B144,"'","!","$N$3:$V$80")</f>
      </c>
      <c r="N144" s="26">
        <f>_xlfn.CONCAT("'",$B144,"'","!","$M$2:$M$80")</f>
      </c>
      <c r="O144" s="26">
        <f>_xlfn.CONCAT("'",$B144,"'","!","$N$2:$W$2")</f>
      </c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x14ac:dyDescent="0.25" r="145" customHeight="1" ht="17.25">
      <c r="A145" s="10">
        <v>17</v>
      </c>
      <c r="B145" s="10">
        <v>2017</v>
      </c>
      <c r="C145" s="2" t="s">
        <v>121</v>
      </c>
      <c r="D145" s="23">
        <v>97</v>
      </c>
      <c r="E145" s="10">
        <v>207805994</v>
      </c>
      <c r="F145" s="24">
        <v>207.805994</v>
      </c>
      <c r="G145" s="23">
        <v>81</v>
      </c>
      <c r="H145" s="10">
        <v>136401080</v>
      </c>
      <c r="I145" s="24">
        <v>136.40108</v>
      </c>
      <c r="J145" s="10">
        <v>164</v>
      </c>
      <c r="K145" s="24">
        <v>166.72280505795572</v>
      </c>
      <c r="L145" s="24">
        <v>510.92987905795576</v>
      </c>
      <c r="M145" s="26">
        <f>_xlfn.CONCAT("'",$B145,"'","!","$N$3:$V$80")</f>
      </c>
      <c r="N145" s="26">
        <f>_xlfn.CONCAT("'",$B145,"'","!","$M$2:$M$80")</f>
      </c>
      <c r="O145" s="26">
        <f>_xlfn.CONCAT("'",$B145,"'","!","$N$2:$W$2")</f>
      </c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x14ac:dyDescent="0.25" r="146" customHeight="1" ht="17.25">
      <c r="A146" s="10">
        <v>18</v>
      </c>
      <c r="B146" s="10">
        <v>2017</v>
      </c>
      <c r="C146" s="2" t="s">
        <v>122</v>
      </c>
      <c r="D146" s="23">
        <v>4</v>
      </c>
      <c r="E146" s="10">
        <v>144924200</v>
      </c>
      <c r="F146" s="24">
        <v>144.9242</v>
      </c>
      <c r="G146" s="23">
        <v>1</v>
      </c>
      <c r="H146" s="10">
        <v>-5090000</v>
      </c>
      <c r="I146" s="24">
        <v>-5.09</v>
      </c>
      <c r="J146" s="10">
        <v>7</v>
      </c>
      <c r="K146" s="24">
        <v>3.461973333333334</v>
      </c>
      <c r="L146" s="24">
        <v>143.29617333333334</v>
      </c>
      <c r="M146" s="26">
        <f>_xlfn.CONCAT("'",$B146,"'","!","$N$3:$V$80")</f>
      </c>
      <c r="N146" s="26">
        <f>_xlfn.CONCAT("'",$B146,"'","!","$M$2:$M$80")</f>
      </c>
      <c r="O146" s="26">
        <f>_xlfn.CONCAT("'",$B146,"'","!","$N$2:$W$2")</f>
      </c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x14ac:dyDescent="0.25" r="147" customHeight="1" ht="17.25">
      <c r="A147" s="10">
        <v>19</v>
      </c>
      <c r="B147" s="10">
        <v>2017</v>
      </c>
      <c r="C147" s="2" t="s">
        <v>123</v>
      </c>
      <c r="D147" s="23">
        <v>189</v>
      </c>
      <c r="E147" s="10">
        <v>1356456322</v>
      </c>
      <c r="F147" s="24">
        <v>1356.456322</v>
      </c>
      <c r="G147" s="23">
        <v>132</v>
      </c>
      <c r="H147" s="10">
        <v>1117004174</v>
      </c>
      <c r="I147" s="24">
        <v>1117.004174</v>
      </c>
      <c r="J147" s="10">
        <v>392</v>
      </c>
      <c r="K147" s="24">
        <v>324.7144968721689</v>
      </c>
      <c r="L147" s="24">
        <v>2798.174992872169</v>
      </c>
      <c r="M147" s="26">
        <f>_xlfn.CONCAT("'",$B147,"'","!","$N$3:$V$80")</f>
      </c>
      <c r="N147" s="26">
        <f>_xlfn.CONCAT("'",$B147,"'","!","$M$2:$M$80")</f>
      </c>
      <c r="O147" s="26">
        <f>_xlfn.CONCAT("'",$B147,"'","!","$N$2:$W$2")</f>
      </c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x14ac:dyDescent="0.25" r="148" customHeight="1" ht="17.25">
      <c r="A148" s="10">
        <v>20</v>
      </c>
      <c r="B148" s="10">
        <v>2017</v>
      </c>
      <c r="C148" s="2" t="s">
        <v>124</v>
      </c>
      <c r="D148" s="23">
        <v>2</v>
      </c>
      <c r="E148" s="10">
        <v>56072530</v>
      </c>
      <c r="F148" s="24">
        <v>56.07253</v>
      </c>
      <c r="G148" s="23">
        <v>0</v>
      </c>
      <c r="H148" s="10">
        <v>0</v>
      </c>
      <c r="I148" s="23">
        <v>0</v>
      </c>
      <c r="J148" s="10">
        <v>8</v>
      </c>
      <c r="K148" s="24">
        <v>155.84578222222223</v>
      </c>
      <c r="L148" s="24">
        <v>211.91831222222223</v>
      </c>
      <c r="M148" s="26">
        <f>_xlfn.CONCAT("'",$B148,"'","!","$N$3:$V$80")</f>
      </c>
      <c r="N148" s="26">
        <f>_xlfn.CONCAT("'",$B148,"'","!","$M$2:$M$80")</f>
      </c>
      <c r="O148" s="26">
        <f>_xlfn.CONCAT("'",$B148,"'","!","$N$2:$W$2")</f>
      </c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x14ac:dyDescent="0.25" r="149" customHeight="1" ht="17.25">
      <c r="A149" s="10">
        <v>21</v>
      </c>
      <c r="B149" s="10">
        <v>2017</v>
      </c>
      <c r="C149" s="2" t="s">
        <v>125</v>
      </c>
      <c r="D149" s="23">
        <v>1</v>
      </c>
      <c r="E149" s="10">
        <v>3000000</v>
      </c>
      <c r="F149" s="23">
        <v>3</v>
      </c>
      <c r="G149" s="23">
        <v>0</v>
      </c>
      <c r="H149" s="10">
        <v>0</v>
      </c>
      <c r="I149" s="23">
        <v>0</v>
      </c>
      <c r="J149" s="10">
        <v>1</v>
      </c>
      <c r="K149" s="24">
        <v>2.8</v>
      </c>
      <c r="L149" s="24">
        <v>5.8</v>
      </c>
      <c r="M149" s="26">
        <f>_xlfn.CONCAT("'",$B149,"'","!","$N$3:$V$80")</f>
      </c>
      <c r="N149" s="26">
        <f>_xlfn.CONCAT("'",$B149,"'","!","$M$2:$M$80")</f>
      </c>
      <c r="O149" s="26">
        <f>_xlfn.CONCAT("'",$B149,"'","!","$N$2:$W$2")</f>
      </c>
      <c r="P149" s="2"/>
      <c r="Q149" s="2"/>
      <c r="R149" s="2"/>
      <c r="S149" s="2"/>
      <c r="T149" s="2"/>
      <c r="U149" s="2"/>
      <c r="V149" s="2"/>
      <c r="W149" s="2"/>
      <c r="X149" s="2"/>
      <c r="Y149" s="2"/>
    </row>
    <row x14ac:dyDescent="0.25" r="150" customHeight="1" ht="17.25">
      <c r="A150" s="10">
        <v>22</v>
      </c>
      <c r="B150" s="10">
        <v>2017</v>
      </c>
      <c r="C150" s="2" t="s">
        <v>126</v>
      </c>
      <c r="D150" s="23">
        <v>12</v>
      </c>
      <c r="E150" s="11">
        <v>13809475.42</v>
      </c>
      <c r="F150" s="24">
        <v>13.80947542</v>
      </c>
      <c r="G150" s="23">
        <v>17</v>
      </c>
      <c r="H150" s="10">
        <v>85102316</v>
      </c>
      <c r="I150" s="24">
        <v>85.102316</v>
      </c>
      <c r="J150" s="10">
        <v>18</v>
      </c>
      <c r="K150" s="24">
        <v>7.01478</v>
      </c>
      <c r="L150" s="24">
        <v>105.92657142</v>
      </c>
      <c r="M150" s="26">
        <f>_xlfn.CONCAT("'",$B150,"'","!","$N$3:$V$80")</f>
      </c>
      <c r="N150" s="26">
        <f>_xlfn.CONCAT("'",$B150,"'","!","$M$2:$M$80")</f>
      </c>
      <c r="O150" s="26">
        <f>_xlfn.CONCAT("'",$B150,"'","!","$N$2:$W$2")</f>
      </c>
      <c r="P150" s="2"/>
      <c r="Q150" s="2"/>
      <c r="R150" s="2"/>
      <c r="S150" s="2"/>
      <c r="T150" s="2"/>
      <c r="U150" s="2"/>
      <c r="V150" s="2"/>
      <c r="W150" s="2"/>
      <c r="X150" s="2"/>
      <c r="Y150" s="2"/>
    </row>
    <row x14ac:dyDescent="0.25" r="151" customHeight="1" ht="17.25">
      <c r="A151" s="10">
        <v>23</v>
      </c>
      <c r="B151" s="10">
        <v>2017</v>
      </c>
      <c r="C151" s="2" t="s">
        <v>127</v>
      </c>
      <c r="D151" s="23">
        <v>4</v>
      </c>
      <c r="E151" s="10">
        <v>28616000</v>
      </c>
      <c r="F151" s="24">
        <v>28.616</v>
      </c>
      <c r="G151" s="23">
        <v>1</v>
      </c>
      <c r="H151" s="10">
        <v>10000000</v>
      </c>
      <c r="I151" s="23">
        <v>10</v>
      </c>
      <c r="J151" s="10">
        <v>2</v>
      </c>
      <c r="K151" s="24">
        <v>0.10602462222222223</v>
      </c>
      <c r="L151" s="24">
        <v>38.72202462222222</v>
      </c>
      <c r="M151" s="26">
        <f>_xlfn.CONCAT("'",$B151,"'","!","$N$3:$V$80")</f>
      </c>
      <c r="N151" s="26">
        <f>_xlfn.CONCAT("'",$B151,"'","!","$M$2:$M$80")</f>
      </c>
      <c r="O151" s="26">
        <f>_xlfn.CONCAT("'",$B151,"'","!","$N$2:$W$2")</f>
      </c>
      <c r="P151" s="2"/>
      <c r="Q151" s="2"/>
      <c r="R151" s="2"/>
      <c r="S151" s="2"/>
      <c r="T151" s="2"/>
      <c r="U151" s="2"/>
      <c r="V151" s="2"/>
      <c r="W151" s="2"/>
      <c r="X151" s="2"/>
      <c r="Y151" s="2"/>
    </row>
    <row x14ac:dyDescent="0.25" r="152" customHeight="1" ht="17.25">
      <c r="A152" s="10">
        <v>24</v>
      </c>
      <c r="B152" s="10">
        <v>2017</v>
      </c>
      <c r="C152" s="2" t="s">
        <v>128</v>
      </c>
      <c r="D152" s="23">
        <v>1</v>
      </c>
      <c r="E152" s="10">
        <v>445494</v>
      </c>
      <c r="F152" s="24">
        <v>0.445494</v>
      </c>
      <c r="G152" s="23">
        <v>1</v>
      </c>
      <c r="H152" s="10">
        <v>402955</v>
      </c>
      <c r="I152" s="24">
        <v>0.402955</v>
      </c>
      <c r="J152" s="10">
        <v>1</v>
      </c>
      <c r="K152" s="24">
        <v>0.24888888888888888</v>
      </c>
      <c r="L152" s="24">
        <v>1.097337888888889</v>
      </c>
      <c r="M152" s="26">
        <f>_xlfn.CONCAT("'",$B152,"'","!","$N$3:$V$80")</f>
      </c>
      <c r="N152" s="26">
        <f>_xlfn.CONCAT("'",$B152,"'","!","$M$2:$M$80")</f>
      </c>
      <c r="O152" s="26">
        <f>_xlfn.CONCAT("'",$B152,"'","!","$N$2:$W$2")</f>
      </c>
      <c r="P152" s="2"/>
      <c r="Q152" s="2"/>
      <c r="R152" s="2"/>
      <c r="S152" s="2"/>
      <c r="T152" s="2"/>
      <c r="U152" s="2"/>
      <c r="V152" s="2"/>
      <c r="W152" s="2"/>
      <c r="X152" s="2"/>
      <c r="Y152" s="2"/>
    </row>
    <row x14ac:dyDescent="0.25" r="153" customHeight="1" ht="17.25">
      <c r="A153" s="10">
        <v>25</v>
      </c>
      <c r="B153" s="10">
        <v>2017</v>
      </c>
      <c r="C153" s="2" t="s">
        <v>129</v>
      </c>
      <c r="D153" s="23">
        <v>16</v>
      </c>
      <c r="E153" s="10">
        <v>2134297243</v>
      </c>
      <c r="F153" s="24">
        <v>2134.297243</v>
      </c>
      <c r="G153" s="23">
        <v>10</v>
      </c>
      <c r="H153" s="10">
        <v>92080707</v>
      </c>
      <c r="I153" s="24">
        <v>92.080707</v>
      </c>
      <c r="J153" s="10">
        <v>10</v>
      </c>
      <c r="K153" s="24">
        <v>77.60260355555555</v>
      </c>
      <c r="L153" s="24">
        <v>2303.9805535555556</v>
      </c>
      <c r="M153" s="26">
        <f>_xlfn.CONCAT("'",$B153,"'","!","$N$3:$V$80")</f>
      </c>
      <c r="N153" s="26">
        <f>_xlfn.CONCAT("'",$B153,"'","!","$M$2:$M$80")</f>
      </c>
      <c r="O153" s="26">
        <f>_xlfn.CONCAT("'",$B153,"'","!","$N$2:$W$2")</f>
      </c>
      <c r="P153" s="2"/>
      <c r="Q153" s="2"/>
      <c r="R153" s="2"/>
      <c r="S153" s="2"/>
      <c r="T153" s="2"/>
      <c r="U153" s="2"/>
      <c r="V153" s="2"/>
      <c r="W153" s="2"/>
      <c r="X153" s="2"/>
      <c r="Y153" s="2"/>
    </row>
    <row x14ac:dyDescent="0.25" r="154" customHeight="1" ht="17.25">
      <c r="A154" s="10">
        <v>26</v>
      </c>
      <c r="B154" s="10">
        <v>2017</v>
      </c>
      <c r="C154" s="2" t="s">
        <v>130</v>
      </c>
      <c r="D154" s="23">
        <v>3</v>
      </c>
      <c r="E154" s="10">
        <v>55311782</v>
      </c>
      <c r="F154" s="24">
        <v>55.311782</v>
      </c>
      <c r="G154" s="23">
        <v>5</v>
      </c>
      <c r="H154" s="10">
        <v>72411979</v>
      </c>
      <c r="I154" s="24">
        <v>72.411979</v>
      </c>
      <c r="J154" s="10">
        <v>0</v>
      </c>
      <c r="K154" s="23">
        <v>0</v>
      </c>
      <c r="L154" s="24">
        <v>127.723761</v>
      </c>
      <c r="M154" s="26">
        <f>_xlfn.CONCAT("'",$B154,"'","!","$N$3:$V$80")</f>
      </c>
      <c r="N154" s="26">
        <f>_xlfn.CONCAT("'",$B154,"'","!","$M$2:$M$80")</f>
      </c>
      <c r="O154" s="26">
        <f>_xlfn.CONCAT("'",$B154,"'","!","$N$2:$W$2")</f>
      </c>
      <c r="P154" s="2"/>
      <c r="Q154" s="2"/>
      <c r="R154" s="2"/>
      <c r="S154" s="2"/>
      <c r="T154" s="2"/>
      <c r="U154" s="2"/>
      <c r="V154" s="2"/>
      <c r="W154" s="2"/>
      <c r="X154" s="2"/>
      <c r="Y154" s="2"/>
    </row>
    <row x14ac:dyDescent="0.25" r="155" customHeight="1" ht="17.25">
      <c r="A155" s="10">
        <v>27</v>
      </c>
      <c r="B155" s="10">
        <v>2017</v>
      </c>
      <c r="C155" s="2" t="s">
        <v>131</v>
      </c>
      <c r="D155" s="23">
        <v>4</v>
      </c>
      <c r="E155" s="10">
        <v>8403809</v>
      </c>
      <c r="F155" s="24">
        <v>8.403809</v>
      </c>
      <c r="G155" s="23">
        <v>1</v>
      </c>
      <c r="H155" s="10">
        <v>5623275</v>
      </c>
      <c r="I155" s="24">
        <v>5.623275</v>
      </c>
      <c r="J155" s="10">
        <v>12</v>
      </c>
      <c r="K155" s="24">
        <v>12.853773887057777</v>
      </c>
      <c r="L155" s="24">
        <v>26.88085788705778</v>
      </c>
      <c r="M155" s="26">
        <f>_xlfn.CONCAT("'",$B155,"'","!","$N$3:$V$80")</f>
      </c>
      <c r="N155" s="26">
        <f>_xlfn.CONCAT("'",$B155,"'","!","$M$2:$M$80")</f>
      </c>
      <c r="O155" s="26">
        <f>_xlfn.CONCAT("'",$B155,"'","!","$N$2:$W$2")</f>
      </c>
      <c r="P155" s="2"/>
      <c r="Q155" s="2"/>
      <c r="R155" s="2"/>
      <c r="S155" s="2"/>
      <c r="T155" s="2"/>
      <c r="U155" s="2"/>
      <c r="V155" s="2"/>
      <c r="W155" s="2"/>
      <c r="X155" s="2"/>
      <c r="Y155" s="2"/>
    </row>
    <row x14ac:dyDescent="0.25" r="156" customHeight="1" ht="17.25">
      <c r="A156" s="10">
        <v>28</v>
      </c>
      <c r="B156" s="10">
        <v>2017</v>
      </c>
      <c r="C156" s="2" t="s">
        <v>132</v>
      </c>
      <c r="D156" s="23">
        <v>4</v>
      </c>
      <c r="E156" s="10">
        <v>123323812</v>
      </c>
      <c r="F156" s="24">
        <v>123.323812</v>
      </c>
      <c r="G156" s="23">
        <v>0</v>
      </c>
      <c r="H156" s="10">
        <v>0</v>
      </c>
      <c r="I156" s="23">
        <v>0</v>
      </c>
      <c r="J156" s="10">
        <v>2</v>
      </c>
      <c r="K156" s="24">
        <v>0.15921940622222222</v>
      </c>
      <c r="L156" s="24">
        <v>123.48303140622222</v>
      </c>
      <c r="M156" s="26">
        <f>_xlfn.CONCAT("'",$B156,"'","!","$N$3:$V$80")</f>
      </c>
      <c r="N156" s="26">
        <f>_xlfn.CONCAT("'",$B156,"'","!","$M$2:$M$80")</f>
      </c>
      <c r="O156" s="26">
        <f>_xlfn.CONCAT("'",$B156,"'","!","$N$2:$W$2")</f>
      </c>
      <c r="P156" s="2"/>
      <c r="Q156" s="2"/>
      <c r="R156" s="2"/>
      <c r="S156" s="2"/>
      <c r="T156" s="2"/>
      <c r="U156" s="2"/>
      <c r="V156" s="2"/>
      <c r="W156" s="2"/>
      <c r="X156" s="2"/>
      <c r="Y156" s="2"/>
    </row>
    <row x14ac:dyDescent="0.25" r="157" customHeight="1" ht="17.25">
      <c r="A157" s="10">
        <v>29</v>
      </c>
      <c r="B157" s="10">
        <v>2017</v>
      </c>
      <c r="C157" s="2" t="s">
        <v>133</v>
      </c>
      <c r="D157" s="23">
        <v>15</v>
      </c>
      <c r="E157" s="10">
        <v>153488364</v>
      </c>
      <c r="F157" s="24">
        <v>153.488364</v>
      </c>
      <c r="G157" s="23">
        <v>16</v>
      </c>
      <c r="H157" s="10">
        <v>73716667</v>
      </c>
      <c r="I157" s="24">
        <v>73.716667</v>
      </c>
      <c r="J157" s="10">
        <v>4</v>
      </c>
      <c r="K157" s="24">
        <v>2.9471882000000003</v>
      </c>
      <c r="L157" s="24">
        <v>230.1522192</v>
      </c>
      <c r="M157" s="26">
        <f>_xlfn.CONCAT("'",$B157,"'","!","$N$3:$V$80")</f>
      </c>
      <c r="N157" s="26">
        <f>_xlfn.CONCAT("'",$B157,"'","!","$M$2:$M$80")</f>
      </c>
      <c r="O157" s="26">
        <f>_xlfn.CONCAT("'",$B157,"'","!","$N$2:$W$2")</f>
      </c>
      <c r="P157" s="2"/>
      <c r="Q157" s="2"/>
      <c r="R157" s="2"/>
      <c r="S157" s="2"/>
      <c r="T157" s="2"/>
      <c r="U157" s="2"/>
      <c r="V157" s="2"/>
      <c r="W157" s="2"/>
      <c r="X157" s="2"/>
      <c r="Y157" s="2"/>
    </row>
    <row x14ac:dyDescent="0.25" r="158" customHeight="1" ht="17.25">
      <c r="A158" s="10">
        <v>30</v>
      </c>
      <c r="B158" s="10">
        <v>2017</v>
      </c>
      <c r="C158" s="2" t="s">
        <v>134</v>
      </c>
      <c r="D158" s="23">
        <v>48</v>
      </c>
      <c r="E158" s="10">
        <v>247935844</v>
      </c>
      <c r="F158" s="24">
        <v>247.935844</v>
      </c>
      <c r="G158" s="23">
        <v>27</v>
      </c>
      <c r="H158" s="10">
        <v>83332779</v>
      </c>
      <c r="I158" s="24">
        <v>83.332779</v>
      </c>
      <c r="J158" s="10">
        <v>37</v>
      </c>
      <c r="K158" s="24">
        <v>34.87899568968888</v>
      </c>
      <c r="L158" s="24">
        <v>366.1476186896889</v>
      </c>
      <c r="M158" s="26">
        <f>_xlfn.CONCAT("'",$B158,"'","!","$N$3:$V$80")</f>
      </c>
      <c r="N158" s="26">
        <f>_xlfn.CONCAT("'",$B158,"'","!","$M$2:$M$80")</f>
      </c>
      <c r="O158" s="26">
        <f>_xlfn.CONCAT("'",$B158,"'","!","$N$2:$W$2")</f>
      </c>
      <c r="P158" s="2"/>
      <c r="Q158" s="2"/>
      <c r="R158" s="2"/>
      <c r="S158" s="2"/>
      <c r="T158" s="2"/>
      <c r="U158" s="2"/>
      <c r="V158" s="2"/>
      <c r="W158" s="2"/>
      <c r="X158" s="2"/>
      <c r="Y158" s="2"/>
    </row>
    <row x14ac:dyDescent="0.25" r="159" customHeight="1" ht="17.25">
      <c r="A159" s="10">
        <v>31</v>
      </c>
      <c r="B159" s="10">
        <v>2017</v>
      </c>
      <c r="C159" s="2" t="s">
        <v>135</v>
      </c>
      <c r="D159" s="23">
        <v>18</v>
      </c>
      <c r="E159" s="10">
        <v>119108690</v>
      </c>
      <c r="F159" s="24">
        <v>119.10869</v>
      </c>
      <c r="G159" s="23">
        <v>19</v>
      </c>
      <c r="H159" s="10">
        <v>104644243</v>
      </c>
      <c r="I159" s="24">
        <v>104.644243</v>
      </c>
      <c r="J159" s="10">
        <v>16</v>
      </c>
      <c r="K159" s="24">
        <v>20.844702517466665</v>
      </c>
      <c r="L159" s="24">
        <v>244.59763551746664</v>
      </c>
      <c r="M159" s="26">
        <f>_xlfn.CONCAT("'",$B159,"'","!","$N$3:$V$80")</f>
      </c>
      <c r="N159" s="26">
        <f>_xlfn.CONCAT("'",$B159,"'","!","$M$2:$M$80")</f>
      </c>
      <c r="O159" s="26">
        <f>_xlfn.CONCAT("'",$B159,"'","!","$N$2:$W$2")</f>
      </c>
      <c r="P159" s="2"/>
      <c r="Q159" s="2"/>
      <c r="R159" s="2"/>
      <c r="S159" s="2"/>
      <c r="T159" s="2"/>
      <c r="U159" s="2"/>
      <c r="V159" s="2"/>
      <c r="W159" s="2"/>
      <c r="X159" s="2"/>
      <c r="Y159" s="2"/>
    </row>
    <row x14ac:dyDescent="0.25" r="160" customHeight="1" ht="17.25">
      <c r="A160" s="10">
        <v>32</v>
      </c>
      <c r="B160" s="10">
        <v>2017</v>
      </c>
      <c r="C160" s="2" t="s">
        <v>136</v>
      </c>
      <c r="D160" s="30" t="s">
        <v>16</v>
      </c>
      <c r="E160" s="5" t="s">
        <v>16</v>
      </c>
      <c r="F160" s="25" t="s">
        <v>16</v>
      </c>
      <c r="G160" s="30" t="s">
        <v>16</v>
      </c>
      <c r="H160" s="5" t="s">
        <v>16</v>
      </c>
      <c r="I160" s="25" t="s">
        <v>16</v>
      </c>
      <c r="J160" s="5" t="s">
        <v>16</v>
      </c>
      <c r="K160" s="25" t="s">
        <v>16</v>
      </c>
      <c r="L160" s="25" t="s">
        <v>16</v>
      </c>
      <c r="M160" s="26">
        <f>_xlfn.CONCAT("'",$B160,"'","!","$N$3:$V$80")</f>
      </c>
      <c r="N160" s="26">
        <f>_xlfn.CONCAT("'",$B160,"'","!","$M$2:$M$80")</f>
      </c>
      <c r="O160" s="26">
        <f>_xlfn.CONCAT("'",$B160,"'","!","$N$2:$W$2")</f>
      </c>
      <c r="P160" s="2"/>
      <c r="Q160" s="2"/>
      <c r="R160" s="2"/>
      <c r="S160" s="2"/>
      <c r="T160" s="2"/>
      <c r="U160" s="2"/>
      <c r="V160" s="2"/>
      <c r="W160" s="2"/>
      <c r="X160" s="2"/>
      <c r="Y160" s="2"/>
    </row>
    <row x14ac:dyDescent="0.25" r="161" customHeight="1" ht="17.25">
      <c r="A161" s="10">
        <v>33</v>
      </c>
      <c r="B161" s="10">
        <v>2017</v>
      </c>
      <c r="C161" s="2" t="s">
        <v>137</v>
      </c>
      <c r="D161" s="23">
        <v>2</v>
      </c>
      <c r="E161" s="10">
        <v>8145000</v>
      </c>
      <c r="F161" s="24">
        <v>8.145</v>
      </c>
      <c r="G161" s="23">
        <v>2</v>
      </c>
      <c r="H161" s="10">
        <v>3632000</v>
      </c>
      <c r="I161" s="24">
        <v>3.632</v>
      </c>
      <c r="J161" s="10">
        <v>3</v>
      </c>
      <c r="K161" s="24">
        <v>6.571827777777778</v>
      </c>
      <c r="L161" s="24">
        <v>18.348827777777778</v>
      </c>
      <c r="M161" s="26">
        <f>_xlfn.CONCAT("'",$B161,"'","!","$N$3:$V$80")</f>
      </c>
      <c r="N161" s="26">
        <f>_xlfn.CONCAT("'",$B161,"'","!","$M$2:$M$80")</f>
      </c>
      <c r="O161" s="26">
        <f>_xlfn.CONCAT("'",$B161,"'","!","$N$2:$W$2")</f>
      </c>
      <c r="P161" s="2"/>
      <c r="Q161" s="2"/>
      <c r="R161" s="2"/>
      <c r="S161" s="2"/>
      <c r="T161" s="2"/>
      <c r="U161" s="2"/>
      <c r="V161" s="2"/>
      <c r="W161" s="2"/>
      <c r="X161" s="2"/>
      <c r="Y161" s="2"/>
    </row>
    <row x14ac:dyDescent="0.25" r="162" customHeight="1" ht="17.25">
      <c r="A162" s="10">
        <v>34</v>
      </c>
      <c r="B162" s="10">
        <v>2017</v>
      </c>
      <c r="C162" s="2" t="s">
        <v>138</v>
      </c>
      <c r="D162" s="23">
        <v>66</v>
      </c>
      <c r="E162" s="10">
        <v>115862408</v>
      </c>
      <c r="F162" s="24">
        <v>115.862408</v>
      </c>
      <c r="G162" s="23">
        <v>6</v>
      </c>
      <c r="H162" s="10">
        <v>938566</v>
      </c>
      <c r="I162" s="24">
        <v>0.938566</v>
      </c>
      <c r="J162" s="10">
        <v>111</v>
      </c>
      <c r="K162" s="24">
        <v>25.769633608844437</v>
      </c>
      <c r="L162" s="24">
        <v>142.57060760884443</v>
      </c>
      <c r="M162" s="26">
        <f>_xlfn.CONCAT("'",$B162,"'","!","$N$3:$V$80")</f>
      </c>
      <c r="N162" s="26">
        <f>_xlfn.CONCAT("'",$B162,"'","!","$M$2:$M$80")</f>
      </c>
      <c r="O162" s="26">
        <f>_xlfn.CONCAT("'",$B162,"'","!","$N$2:$W$2")</f>
      </c>
      <c r="P162" s="2"/>
      <c r="Q162" s="2"/>
      <c r="R162" s="2"/>
      <c r="S162" s="2"/>
      <c r="T162" s="2"/>
      <c r="U162" s="2"/>
      <c r="V162" s="2"/>
      <c r="W162" s="2"/>
      <c r="X162" s="2"/>
      <c r="Y162" s="2"/>
    </row>
    <row x14ac:dyDescent="0.25" r="163" customHeight="1" ht="17.25">
      <c r="A163" s="10">
        <v>35</v>
      </c>
      <c r="B163" s="10">
        <v>2017</v>
      </c>
      <c r="C163" s="2" t="s">
        <v>139</v>
      </c>
      <c r="D163" s="23">
        <v>6</v>
      </c>
      <c r="E163" s="10">
        <v>68621019</v>
      </c>
      <c r="F163" s="24">
        <v>68.621019</v>
      </c>
      <c r="G163" s="23">
        <v>7</v>
      </c>
      <c r="H163" s="10">
        <v>67300000</v>
      </c>
      <c r="I163" s="24">
        <v>67.3</v>
      </c>
      <c r="J163" s="10">
        <v>10</v>
      </c>
      <c r="K163" s="24">
        <v>14.129623984444446</v>
      </c>
      <c r="L163" s="24">
        <v>150.05064298444444</v>
      </c>
      <c r="M163" s="26">
        <f>_xlfn.CONCAT("'",$B163,"'","!","$N$3:$V$80")</f>
      </c>
      <c r="N163" s="26">
        <f>_xlfn.CONCAT("'",$B163,"'","!","$M$2:$M$80")</f>
      </c>
      <c r="O163" s="26">
        <f>_xlfn.CONCAT("'",$B163,"'","!","$N$2:$W$2")</f>
      </c>
      <c r="P163" s="2"/>
      <c r="Q163" s="2"/>
      <c r="R163" s="2"/>
      <c r="S163" s="2"/>
      <c r="T163" s="2"/>
      <c r="U163" s="2"/>
      <c r="V163" s="2"/>
      <c r="W163" s="2"/>
      <c r="X163" s="2"/>
      <c r="Y163" s="2"/>
    </row>
    <row x14ac:dyDescent="0.25" r="164" customHeight="1" ht="17.25">
      <c r="A164" s="10">
        <v>36</v>
      </c>
      <c r="B164" s="10">
        <v>2017</v>
      </c>
      <c r="C164" s="2" t="s">
        <v>140</v>
      </c>
      <c r="D164" s="23">
        <v>1</v>
      </c>
      <c r="E164" s="10">
        <v>20000000</v>
      </c>
      <c r="F164" s="23">
        <v>20</v>
      </c>
      <c r="G164" s="23">
        <v>0</v>
      </c>
      <c r="H164" s="10">
        <v>0</v>
      </c>
      <c r="I164" s="23">
        <v>0</v>
      </c>
      <c r="J164" s="10">
        <v>0</v>
      </c>
      <c r="K164" s="23">
        <v>0</v>
      </c>
      <c r="L164" s="23">
        <v>20</v>
      </c>
      <c r="M164" s="26">
        <f>_xlfn.CONCAT("'",$B164,"'","!","$N$3:$V$80")</f>
      </c>
      <c r="N164" s="26">
        <f>_xlfn.CONCAT("'",$B164,"'","!","$M$2:$M$80")</f>
      </c>
      <c r="O164" s="26">
        <f>_xlfn.CONCAT("'",$B164,"'","!","$N$2:$W$2")</f>
      </c>
      <c r="P164" s="2"/>
      <c r="Q164" s="2"/>
      <c r="R164" s="2"/>
      <c r="S164" s="2"/>
      <c r="T164" s="2"/>
      <c r="U164" s="2"/>
      <c r="V164" s="2"/>
      <c r="W164" s="2"/>
      <c r="X164" s="2"/>
      <c r="Y164" s="2"/>
    </row>
    <row x14ac:dyDescent="0.25" r="165" customHeight="1" ht="17.25">
      <c r="A165" s="10">
        <v>37</v>
      </c>
      <c r="B165" s="10">
        <v>2017</v>
      </c>
      <c r="C165" s="2" t="s">
        <v>141</v>
      </c>
      <c r="D165" s="23">
        <v>2591</v>
      </c>
      <c r="E165" s="11">
        <v>21275893301.42</v>
      </c>
      <c r="F165" s="24">
        <v>21275.89330142</v>
      </c>
      <c r="G165" s="23">
        <v>1188</v>
      </c>
      <c r="H165" s="11">
        <v>8416842049.338282</v>
      </c>
      <c r="I165" s="24">
        <v>8416.84204933828</v>
      </c>
      <c r="J165" s="10">
        <v>5002</v>
      </c>
      <c r="K165" s="24">
        <v>6191.114531978546</v>
      </c>
      <c r="L165" s="24">
        <v>35883.84988273686</v>
      </c>
      <c r="M165" s="26">
        <f>_xlfn.CONCAT("'",$B165,"'","!","$N$3:$V$80")</f>
      </c>
      <c r="N165" s="26">
        <f>_xlfn.CONCAT("'",$B165,"'","!","$M$2:$M$80")</f>
      </c>
      <c r="O165" s="26">
        <f>_xlfn.CONCAT("'",$B165,"'","!","$N$2:$W$2")</f>
      </c>
      <c r="P165" s="2"/>
      <c r="Q165" s="2"/>
      <c r="R165" s="2"/>
      <c r="S165" s="2"/>
      <c r="T165" s="2"/>
      <c r="U165" s="2"/>
      <c r="V165" s="2"/>
      <c r="W165" s="2"/>
      <c r="X165" s="2"/>
      <c r="Y165" s="2"/>
    </row>
    <row x14ac:dyDescent="0.25" r="166" customHeight="1" ht="17.25">
      <c r="A166" s="10">
        <v>38</v>
      </c>
      <c r="B166" s="10">
        <v>2017</v>
      </c>
      <c r="C166" s="2" t="s">
        <v>142</v>
      </c>
      <c r="D166" s="23">
        <v>1</v>
      </c>
      <c r="E166" s="10">
        <v>23479000</v>
      </c>
      <c r="F166" s="24">
        <v>23.479</v>
      </c>
      <c r="G166" s="23">
        <v>0</v>
      </c>
      <c r="H166" s="10">
        <v>0</v>
      </c>
      <c r="I166" s="23">
        <v>0</v>
      </c>
      <c r="J166" s="10">
        <v>1</v>
      </c>
      <c r="K166" s="24">
        <v>0.1367026798222222</v>
      </c>
      <c r="L166" s="24">
        <v>23.61570267982222</v>
      </c>
      <c r="M166" s="26">
        <f>_xlfn.CONCAT("'",$B166,"'","!","$N$3:$V$80")</f>
      </c>
      <c r="N166" s="26">
        <f>_xlfn.CONCAT("'",$B166,"'","!","$M$2:$M$80")</f>
      </c>
      <c r="O166" s="26">
        <f>_xlfn.CONCAT("'",$B166,"'","!","$N$2:$W$2")</f>
      </c>
      <c r="P166" s="2"/>
      <c r="Q166" s="2"/>
      <c r="R166" s="2"/>
      <c r="S166" s="2"/>
      <c r="T166" s="2"/>
      <c r="U166" s="2"/>
      <c r="V166" s="2"/>
      <c r="W166" s="2"/>
      <c r="X166" s="2"/>
      <c r="Y166" s="2"/>
    </row>
    <row x14ac:dyDescent="0.25" r="167" customHeight="1" ht="17.25">
      <c r="A167" s="10">
        <v>39</v>
      </c>
      <c r="B167" s="10">
        <v>2017</v>
      </c>
      <c r="C167" s="2" t="s">
        <v>143</v>
      </c>
      <c r="D167" s="23">
        <v>7</v>
      </c>
      <c r="E167" s="10">
        <v>16413853</v>
      </c>
      <c r="F167" s="24">
        <v>16.413853</v>
      </c>
      <c r="G167" s="23">
        <v>2</v>
      </c>
      <c r="H167" s="10">
        <v>40549836</v>
      </c>
      <c r="I167" s="24">
        <v>40.549836</v>
      </c>
      <c r="J167" s="10">
        <v>13</v>
      </c>
      <c r="K167" s="24">
        <v>41.94322076924447</v>
      </c>
      <c r="L167" s="24">
        <v>98.90690976924446</v>
      </c>
      <c r="M167" s="26">
        <f>_xlfn.CONCAT("'",$B167,"'","!","$N$3:$V$80")</f>
      </c>
      <c r="N167" s="26">
        <f>_xlfn.CONCAT("'",$B167,"'","!","$M$2:$M$80")</f>
      </c>
      <c r="O167" s="26">
        <f>_xlfn.CONCAT("'",$B167,"'","!","$N$2:$W$2")</f>
      </c>
      <c r="P167" s="2"/>
      <c r="Q167" s="2"/>
      <c r="R167" s="2"/>
      <c r="S167" s="2"/>
      <c r="T167" s="2"/>
      <c r="U167" s="2"/>
      <c r="V167" s="2"/>
      <c r="W167" s="2"/>
      <c r="X167" s="2"/>
      <c r="Y167" s="2"/>
    </row>
    <row x14ac:dyDescent="0.25" r="168" customHeight="1" ht="17.25">
      <c r="A168" s="10">
        <v>40</v>
      </c>
      <c r="B168" s="10">
        <v>2017</v>
      </c>
      <c r="C168" s="2" t="s">
        <v>144</v>
      </c>
      <c r="D168" s="23">
        <v>5</v>
      </c>
      <c r="E168" s="10">
        <v>1620545</v>
      </c>
      <c r="F168" s="24">
        <v>1.620545</v>
      </c>
      <c r="G168" s="23">
        <v>0</v>
      </c>
      <c r="H168" s="10">
        <v>0</v>
      </c>
      <c r="I168" s="23">
        <v>0</v>
      </c>
      <c r="J168" s="10">
        <v>8</v>
      </c>
      <c r="K168" s="24">
        <v>4.891864351111111</v>
      </c>
      <c r="L168" s="24">
        <v>6.512409351111111</v>
      </c>
      <c r="M168" s="26">
        <f>_xlfn.CONCAT("'",$B168,"'","!","$N$3:$V$80")</f>
      </c>
      <c r="N168" s="26">
        <f>_xlfn.CONCAT("'",$B168,"'","!","$M$2:$M$80")</f>
      </c>
      <c r="O168" s="26">
        <f>_xlfn.CONCAT("'",$B168,"'","!","$N$2:$W$2")</f>
      </c>
      <c r="P168" s="2"/>
      <c r="Q168" s="2"/>
      <c r="R168" s="2"/>
      <c r="S168" s="2"/>
      <c r="T168" s="2"/>
      <c r="U168" s="2"/>
      <c r="V168" s="2"/>
      <c r="W168" s="2"/>
      <c r="X168" s="2"/>
      <c r="Y168" s="2"/>
    </row>
    <row x14ac:dyDescent="0.25" r="169" customHeight="1" ht="17.25">
      <c r="A169" s="10">
        <v>41</v>
      </c>
      <c r="B169" s="10">
        <v>2017</v>
      </c>
      <c r="C169" s="2" t="s">
        <v>145</v>
      </c>
      <c r="D169" s="23">
        <v>83</v>
      </c>
      <c r="E169" s="10">
        <v>1002383241</v>
      </c>
      <c r="F169" s="24">
        <v>1002.383241</v>
      </c>
      <c r="G169" s="23">
        <v>81</v>
      </c>
      <c r="H169" s="10">
        <v>307757675</v>
      </c>
      <c r="I169" s="24">
        <v>307.757675</v>
      </c>
      <c r="J169" s="10">
        <v>181</v>
      </c>
      <c r="K169" s="24">
        <v>453.858825008748</v>
      </c>
      <c r="L169" s="24">
        <v>1763.999741008748</v>
      </c>
      <c r="M169" s="26">
        <f>_xlfn.CONCAT("'",$B169,"'","!","$N$3:$V$80")</f>
      </c>
      <c r="N169" s="26">
        <f>_xlfn.CONCAT("'",$B169,"'","!","$M$2:$M$80")</f>
      </c>
      <c r="O169" s="26">
        <f>_xlfn.CONCAT("'",$B169,"'","!","$N$2:$W$2")</f>
      </c>
      <c r="P169" s="2"/>
      <c r="Q169" s="2"/>
      <c r="R169" s="2"/>
      <c r="S169" s="2"/>
      <c r="T169" s="2"/>
      <c r="U169" s="2"/>
      <c r="V169" s="2"/>
      <c r="W169" s="2"/>
      <c r="X169" s="2"/>
      <c r="Y169" s="2"/>
    </row>
    <row x14ac:dyDescent="0.25" r="170" customHeight="1" ht="17.25">
      <c r="A170" s="10">
        <v>42</v>
      </c>
      <c r="B170" s="10">
        <v>2017</v>
      </c>
      <c r="C170" s="2" t="s">
        <v>146</v>
      </c>
      <c r="D170" s="23">
        <v>8</v>
      </c>
      <c r="E170" s="10">
        <v>126173000</v>
      </c>
      <c r="F170" s="24">
        <v>126.173</v>
      </c>
      <c r="G170" s="23">
        <v>4</v>
      </c>
      <c r="H170" s="10">
        <v>56096000</v>
      </c>
      <c r="I170" s="24">
        <v>56.096</v>
      </c>
      <c r="J170" s="10">
        <v>7</v>
      </c>
      <c r="K170" s="24">
        <v>51.79555555555555</v>
      </c>
      <c r="L170" s="24">
        <v>234.06455555555556</v>
      </c>
      <c r="M170" s="26">
        <f>_xlfn.CONCAT("'",$B170,"'","!","$N$3:$V$80")</f>
      </c>
      <c r="N170" s="26">
        <f>_xlfn.CONCAT("'",$B170,"'","!","$M$2:$M$80")</f>
      </c>
      <c r="O170" s="26">
        <f>_xlfn.CONCAT("'",$B170,"'","!","$N$2:$W$2")</f>
      </c>
      <c r="P170" s="2"/>
      <c r="Q170" s="2"/>
      <c r="R170" s="2"/>
      <c r="S170" s="2"/>
      <c r="T170" s="2"/>
      <c r="U170" s="2"/>
      <c r="V170" s="2"/>
      <c r="W170" s="2"/>
      <c r="X170" s="2"/>
      <c r="Y170" s="2"/>
    </row>
    <row x14ac:dyDescent="0.25" r="171" customHeight="1" ht="17.25">
      <c r="A171" s="10">
        <v>43</v>
      </c>
      <c r="B171" s="10">
        <v>2017</v>
      </c>
      <c r="C171" s="2" t="s">
        <v>147</v>
      </c>
      <c r="D171" s="23">
        <v>4</v>
      </c>
      <c r="E171" s="10">
        <v>51008810</v>
      </c>
      <c r="F171" s="24">
        <v>51.00881</v>
      </c>
      <c r="G171" s="23">
        <v>2</v>
      </c>
      <c r="H171" s="10">
        <v>1648659</v>
      </c>
      <c r="I171" s="24">
        <v>1.648659</v>
      </c>
      <c r="J171" s="10">
        <v>4</v>
      </c>
      <c r="K171" s="24">
        <v>23.806666666666672</v>
      </c>
      <c r="L171" s="24">
        <v>76.46413566666666</v>
      </c>
      <c r="M171" s="26">
        <f>_xlfn.CONCAT("'",$B171,"'","!","$N$3:$V$80")</f>
      </c>
      <c r="N171" s="26">
        <f>_xlfn.CONCAT("'",$B171,"'","!","$M$2:$M$80")</f>
      </c>
      <c r="O171" s="26">
        <f>_xlfn.CONCAT("'",$B171,"'","!","$N$2:$W$2")</f>
      </c>
      <c r="P171" s="2"/>
      <c r="Q171" s="2"/>
      <c r="R171" s="2"/>
      <c r="S171" s="2"/>
      <c r="T171" s="2"/>
      <c r="U171" s="2"/>
      <c r="V171" s="2"/>
      <c r="W171" s="2"/>
      <c r="X171" s="2"/>
      <c r="Y171" s="2"/>
    </row>
    <row x14ac:dyDescent="0.25" r="172" customHeight="1" ht="17.25">
      <c r="A172" s="10">
        <v>44</v>
      </c>
      <c r="B172" s="10">
        <v>2017</v>
      </c>
      <c r="C172" s="2" t="s">
        <v>148</v>
      </c>
      <c r="D172" s="23">
        <v>2</v>
      </c>
      <c r="E172" s="10">
        <v>49500000</v>
      </c>
      <c r="F172" s="24">
        <v>49.5</v>
      </c>
      <c r="G172" s="23">
        <v>1</v>
      </c>
      <c r="H172" s="10">
        <v>9000000</v>
      </c>
      <c r="I172" s="23">
        <v>9</v>
      </c>
      <c r="J172" s="10">
        <v>2</v>
      </c>
      <c r="K172" s="24">
        <v>1.748888888888889</v>
      </c>
      <c r="L172" s="24">
        <v>60.24888888888889</v>
      </c>
      <c r="M172" s="26">
        <f>_xlfn.CONCAT("'",$B172,"'","!","$N$3:$V$80")</f>
      </c>
      <c r="N172" s="26">
        <f>_xlfn.CONCAT("'",$B172,"'","!","$M$2:$M$80")</f>
      </c>
      <c r="O172" s="26">
        <f>_xlfn.CONCAT("'",$B172,"'","!","$N$2:$W$2")</f>
      </c>
      <c r="P172" s="2"/>
      <c r="Q172" s="2"/>
      <c r="R172" s="2"/>
      <c r="S172" s="2"/>
      <c r="T172" s="2"/>
      <c r="U172" s="2"/>
      <c r="V172" s="2"/>
      <c r="W172" s="2"/>
      <c r="X172" s="2"/>
      <c r="Y172" s="2"/>
    </row>
    <row x14ac:dyDescent="0.25" r="173" customHeight="1" ht="17.25">
      <c r="A173" s="10">
        <v>45</v>
      </c>
      <c r="B173" s="10">
        <v>2017</v>
      </c>
      <c r="C173" s="2" t="s">
        <v>149</v>
      </c>
      <c r="D173" s="23">
        <v>24</v>
      </c>
      <c r="E173" s="10">
        <v>722900529</v>
      </c>
      <c r="F173" s="24">
        <v>722.900529</v>
      </c>
      <c r="G173" s="23">
        <v>30</v>
      </c>
      <c r="H173" s="11">
        <v>268087561.125</v>
      </c>
      <c r="I173" s="24">
        <v>268.087561125</v>
      </c>
      <c r="J173" s="10">
        <v>28</v>
      </c>
      <c r="K173" s="24">
        <v>18.26119323764444</v>
      </c>
      <c r="L173" s="24">
        <v>1009.2492833626444</v>
      </c>
      <c r="M173" s="26">
        <f>_xlfn.CONCAT("'",$B173,"'","!","$N$3:$V$80")</f>
      </c>
      <c r="N173" s="26">
        <f>_xlfn.CONCAT("'",$B173,"'","!","$M$2:$M$80")</f>
      </c>
      <c r="O173" s="26">
        <f>_xlfn.CONCAT("'",$B173,"'","!","$N$2:$W$2")</f>
      </c>
      <c r="P173" s="2"/>
      <c r="Q173" s="2"/>
      <c r="R173" s="2"/>
      <c r="S173" s="2"/>
      <c r="T173" s="2"/>
      <c r="U173" s="2"/>
      <c r="V173" s="2"/>
      <c r="W173" s="2"/>
      <c r="X173" s="2"/>
      <c r="Y173" s="2"/>
    </row>
    <row x14ac:dyDescent="0.25" r="174" customHeight="1" ht="17.25">
      <c r="A174" s="10">
        <v>46</v>
      </c>
      <c r="B174" s="10">
        <v>2017</v>
      </c>
      <c r="C174" s="2" t="s">
        <v>150</v>
      </c>
      <c r="D174" s="23">
        <v>1</v>
      </c>
      <c r="E174" s="10">
        <v>2200000</v>
      </c>
      <c r="F174" s="24">
        <v>2.2</v>
      </c>
      <c r="G174" s="23">
        <v>0</v>
      </c>
      <c r="H174" s="10">
        <v>0</v>
      </c>
      <c r="I174" s="23">
        <v>0</v>
      </c>
      <c r="J174" s="10">
        <v>3</v>
      </c>
      <c r="K174" s="24">
        <v>1.21</v>
      </c>
      <c r="L174" s="24">
        <v>3.41</v>
      </c>
      <c r="M174" s="26">
        <f>_xlfn.CONCAT("'",$B174,"'","!","$N$3:$V$80")</f>
      </c>
      <c r="N174" s="26">
        <f>_xlfn.CONCAT("'",$B174,"'","!","$M$2:$M$80")</f>
      </c>
      <c r="O174" s="26">
        <f>_xlfn.CONCAT("'",$B174,"'","!","$N$2:$W$2")</f>
      </c>
      <c r="P174" s="2"/>
      <c r="Q174" s="2"/>
      <c r="R174" s="2"/>
      <c r="S174" s="2"/>
      <c r="T174" s="2"/>
      <c r="U174" s="2"/>
      <c r="V174" s="2"/>
      <c r="W174" s="2"/>
      <c r="X174" s="2"/>
      <c r="Y174" s="2"/>
    </row>
    <row x14ac:dyDescent="0.25" r="175" customHeight="1" ht="17.25">
      <c r="A175" s="10">
        <v>47</v>
      </c>
      <c r="B175" s="10">
        <v>2017</v>
      </c>
      <c r="C175" s="2" t="s">
        <v>151</v>
      </c>
      <c r="D175" s="23">
        <v>3</v>
      </c>
      <c r="E175" s="10">
        <v>1630000</v>
      </c>
      <c r="F175" s="24">
        <v>1.63</v>
      </c>
      <c r="G175" s="23">
        <v>1</v>
      </c>
      <c r="H175" s="10">
        <v>370000</v>
      </c>
      <c r="I175" s="24">
        <v>0.37</v>
      </c>
      <c r="J175" s="10">
        <v>2</v>
      </c>
      <c r="K175" s="24">
        <v>0.6433690622222222</v>
      </c>
      <c r="L175" s="24">
        <v>2.6433690622222223</v>
      </c>
      <c r="M175" s="26">
        <f>_xlfn.CONCAT("'",$B175,"'","!","$N$3:$V$80")</f>
      </c>
      <c r="N175" s="26">
        <f>_xlfn.CONCAT("'",$B175,"'","!","$M$2:$M$80")</f>
      </c>
      <c r="O175" s="26">
        <f>_xlfn.CONCAT("'",$B175,"'","!","$N$2:$W$2")</f>
      </c>
      <c r="P175" s="2"/>
      <c r="Q175" s="2"/>
      <c r="R175" s="2"/>
      <c r="S175" s="2"/>
      <c r="T175" s="2"/>
      <c r="U175" s="2"/>
      <c r="V175" s="2"/>
      <c r="W175" s="2"/>
      <c r="X175" s="2"/>
      <c r="Y175" s="2"/>
    </row>
    <row x14ac:dyDescent="0.25" r="176" customHeight="1" ht="17.25">
      <c r="A176" s="10">
        <v>48</v>
      </c>
      <c r="B176" s="10">
        <v>2017</v>
      </c>
      <c r="C176" s="2" t="s">
        <v>152</v>
      </c>
      <c r="D176" s="23">
        <v>7</v>
      </c>
      <c r="E176" s="10">
        <v>59533333</v>
      </c>
      <c r="F176" s="24">
        <v>59.533333</v>
      </c>
      <c r="G176" s="23">
        <v>4</v>
      </c>
      <c r="H176" s="10">
        <v>3832489</v>
      </c>
      <c r="I176" s="24">
        <v>3.832489</v>
      </c>
      <c r="J176" s="10">
        <v>40</v>
      </c>
      <c r="K176" s="24">
        <v>9.237693237155556</v>
      </c>
      <c r="L176" s="24">
        <v>72.60351523715556</v>
      </c>
      <c r="M176" s="26">
        <f>_xlfn.CONCAT("'",$B176,"'","!","$N$3:$V$80")</f>
      </c>
      <c r="N176" s="26">
        <f>_xlfn.CONCAT("'",$B176,"'","!","$M$2:$M$80")</f>
      </c>
      <c r="O176" s="26">
        <f>_xlfn.CONCAT("'",$B176,"'","!","$N$2:$W$2")</f>
      </c>
      <c r="P176" s="2"/>
      <c r="Q176" s="2"/>
      <c r="R176" s="2"/>
      <c r="S176" s="2"/>
      <c r="T176" s="2"/>
      <c r="U176" s="2"/>
      <c r="V176" s="2"/>
      <c r="W176" s="2"/>
      <c r="X176" s="2"/>
      <c r="Y176" s="2"/>
    </row>
    <row x14ac:dyDescent="0.25" r="177" customHeight="1" ht="17.25">
      <c r="A177" s="10">
        <v>49</v>
      </c>
      <c r="B177" s="10">
        <v>2017</v>
      </c>
      <c r="C177" s="2" t="s">
        <v>153</v>
      </c>
      <c r="D177" s="23">
        <v>4</v>
      </c>
      <c r="E177" s="10">
        <v>168407227</v>
      </c>
      <c r="F177" s="24">
        <v>168.407227</v>
      </c>
      <c r="G177" s="23">
        <v>5</v>
      </c>
      <c r="H177" s="10">
        <v>43950000</v>
      </c>
      <c r="I177" s="24">
        <v>43.95</v>
      </c>
      <c r="J177" s="10">
        <v>13</v>
      </c>
      <c r="K177" s="24">
        <v>23.796619935955544</v>
      </c>
      <c r="L177" s="24">
        <v>236.15384693595556</v>
      </c>
      <c r="M177" s="26">
        <f>_xlfn.CONCAT("'",$B177,"'","!","$N$3:$V$80")</f>
      </c>
      <c r="N177" s="26">
        <f>_xlfn.CONCAT("'",$B177,"'","!","$M$2:$M$80")</f>
      </c>
      <c r="O177" s="26">
        <f>_xlfn.CONCAT("'",$B177,"'","!","$N$2:$W$2")</f>
      </c>
      <c r="P177" s="2"/>
      <c r="Q177" s="2"/>
      <c r="R177" s="2"/>
      <c r="S177" s="2"/>
      <c r="T177" s="2"/>
      <c r="U177" s="2"/>
      <c r="V177" s="2"/>
      <c r="W177" s="2"/>
      <c r="X177" s="2"/>
      <c r="Y177" s="2"/>
    </row>
    <row x14ac:dyDescent="0.25" r="178" customHeight="1" ht="17.25">
      <c r="A178" s="10">
        <v>50</v>
      </c>
      <c r="B178" s="10">
        <v>2017</v>
      </c>
      <c r="C178" s="2" t="s">
        <v>154</v>
      </c>
      <c r="D178" s="23">
        <v>2</v>
      </c>
      <c r="E178" s="10">
        <v>917456</v>
      </c>
      <c r="F178" s="24">
        <v>0.917456</v>
      </c>
      <c r="G178" s="23">
        <v>0</v>
      </c>
      <c r="H178" s="10">
        <v>0</v>
      </c>
      <c r="I178" s="23">
        <v>0</v>
      </c>
      <c r="J178" s="10">
        <v>1</v>
      </c>
      <c r="K178" s="24">
        <v>0.02666666666666667</v>
      </c>
      <c r="L178" s="24">
        <v>0.9441226666666667</v>
      </c>
      <c r="M178" s="26">
        <f>_xlfn.CONCAT("'",$B178,"'","!","$N$3:$V$80")</f>
      </c>
      <c r="N178" s="26">
        <f>_xlfn.CONCAT("'",$B178,"'","!","$M$2:$M$80")</f>
      </c>
      <c r="O178" s="26">
        <f>_xlfn.CONCAT("'",$B178,"'","!","$N$2:$W$2")</f>
      </c>
      <c r="P178" s="2"/>
      <c r="Q178" s="2"/>
      <c r="R178" s="2"/>
      <c r="S178" s="2"/>
      <c r="T178" s="2"/>
      <c r="U178" s="2"/>
      <c r="V178" s="2"/>
      <c r="W178" s="2"/>
      <c r="X178" s="2"/>
      <c r="Y178" s="2"/>
    </row>
    <row x14ac:dyDescent="0.25" r="179" customHeight="1" ht="17.25">
      <c r="A179" s="10">
        <v>51</v>
      </c>
      <c r="B179" s="10">
        <v>2017</v>
      </c>
      <c r="C179" s="2" t="s">
        <v>155</v>
      </c>
      <c r="D179" s="30" t="s">
        <v>16</v>
      </c>
      <c r="E179" s="5" t="s">
        <v>16</v>
      </c>
      <c r="F179" s="25" t="s">
        <v>16</v>
      </c>
      <c r="G179" s="30" t="s">
        <v>16</v>
      </c>
      <c r="H179" s="5" t="s">
        <v>16</v>
      </c>
      <c r="I179" s="25" t="s">
        <v>16</v>
      </c>
      <c r="J179" s="5" t="s">
        <v>16</v>
      </c>
      <c r="K179" s="25" t="s">
        <v>16</v>
      </c>
      <c r="L179" s="25" t="s">
        <v>16</v>
      </c>
      <c r="M179" s="26">
        <f>_xlfn.CONCAT("'",$B179,"'","!","$N$3:$V$80")</f>
      </c>
      <c r="N179" s="26">
        <f>_xlfn.CONCAT("'",$B179,"'","!","$M$2:$M$80")</f>
      </c>
      <c r="O179" s="26">
        <f>_xlfn.CONCAT("'",$B179,"'","!","$N$2:$W$2")</f>
      </c>
      <c r="P179" s="2"/>
      <c r="Q179" s="2"/>
      <c r="R179" s="2"/>
      <c r="S179" s="2"/>
      <c r="T179" s="2"/>
      <c r="U179" s="2"/>
      <c r="V179" s="2"/>
      <c r="W179" s="2"/>
      <c r="X179" s="2"/>
      <c r="Y179" s="2"/>
    </row>
    <row x14ac:dyDescent="0.25" r="180" customHeight="1" ht="17.25">
      <c r="A180" s="10">
        <v>52</v>
      </c>
      <c r="B180" s="10">
        <v>2017</v>
      </c>
      <c r="C180" s="2" t="s">
        <v>156</v>
      </c>
      <c r="D180" s="23">
        <v>7</v>
      </c>
      <c r="E180" s="10">
        <v>52323922</v>
      </c>
      <c r="F180" s="24">
        <v>52.323922</v>
      </c>
      <c r="G180" s="23">
        <v>3</v>
      </c>
      <c r="H180" s="10">
        <v>3731000</v>
      </c>
      <c r="I180" s="24">
        <v>3.731</v>
      </c>
      <c r="J180" s="10">
        <v>13</v>
      </c>
      <c r="K180" s="24">
        <v>3.6928476444444445</v>
      </c>
      <c r="L180" s="24">
        <v>59.747769644444446</v>
      </c>
      <c r="M180" s="26">
        <f>_xlfn.CONCAT("'",$B180,"'","!","$N$3:$V$80")</f>
      </c>
      <c r="N180" s="26">
        <f>_xlfn.CONCAT("'",$B180,"'","!","$M$2:$M$80")</f>
      </c>
      <c r="O180" s="26">
        <f>_xlfn.CONCAT("'",$B180,"'","!","$N$2:$W$2")</f>
      </c>
      <c r="P180" s="2"/>
      <c r="Q180" s="2"/>
      <c r="R180" s="2"/>
      <c r="S180" s="2"/>
      <c r="T180" s="2"/>
      <c r="U180" s="2"/>
      <c r="V180" s="2"/>
      <c r="W180" s="2"/>
      <c r="X180" s="2"/>
      <c r="Y180" s="2"/>
    </row>
    <row x14ac:dyDescent="0.25" r="181" customHeight="1" ht="17.25">
      <c r="A181" s="10">
        <v>53</v>
      </c>
      <c r="B181" s="10">
        <v>2017</v>
      </c>
      <c r="C181" s="2" t="s">
        <v>157</v>
      </c>
      <c r="D181" s="23">
        <v>1</v>
      </c>
      <c r="E181" s="10">
        <v>2800000</v>
      </c>
      <c r="F181" s="24">
        <v>2.8</v>
      </c>
      <c r="G181" s="23">
        <v>0</v>
      </c>
      <c r="H181" s="10">
        <v>0</v>
      </c>
      <c r="I181" s="23">
        <v>0</v>
      </c>
      <c r="J181" s="10">
        <v>0</v>
      </c>
      <c r="K181" s="23">
        <v>0</v>
      </c>
      <c r="L181" s="24">
        <v>2.8</v>
      </c>
      <c r="M181" s="26">
        <f>_xlfn.CONCAT("'",$B181,"'","!","$N$3:$V$80")</f>
      </c>
      <c r="N181" s="26">
        <f>_xlfn.CONCAT("'",$B181,"'","!","$M$2:$M$80")</f>
      </c>
      <c r="O181" s="26">
        <f>_xlfn.CONCAT("'",$B181,"'","!","$N$2:$W$2")</f>
      </c>
      <c r="P181" s="2"/>
      <c r="Q181" s="2"/>
      <c r="R181" s="2"/>
      <c r="S181" s="2"/>
      <c r="T181" s="2"/>
      <c r="U181" s="2"/>
      <c r="V181" s="2"/>
      <c r="W181" s="2"/>
      <c r="X181" s="2"/>
      <c r="Y181" s="2"/>
    </row>
    <row x14ac:dyDescent="0.25" r="182" customHeight="1" ht="17.25">
      <c r="A182" s="10">
        <v>54</v>
      </c>
      <c r="B182" s="10">
        <v>2017</v>
      </c>
      <c r="C182" s="2" t="s">
        <v>158</v>
      </c>
      <c r="D182" s="23">
        <v>3</v>
      </c>
      <c r="E182" s="10">
        <v>4516000</v>
      </c>
      <c r="F182" s="24">
        <v>4.516</v>
      </c>
      <c r="G182" s="23">
        <v>0</v>
      </c>
      <c r="H182" s="10">
        <v>0</v>
      </c>
      <c r="I182" s="23">
        <v>0</v>
      </c>
      <c r="J182" s="10">
        <v>2</v>
      </c>
      <c r="K182" s="24">
        <v>0.45093333333333335</v>
      </c>
      <c r="L182" s="24">
        <v>4.966933333333333</v>
      </c>
      <c r="M182" s="26">
        <f>_xlfn.CONCAT("'",$B182,"'","!","$N$3:$V$80")</f>
      </c>
      <c r="N182" s="26">
        <f>_xlfn.CONCAT("'",$B182,"'","!","$M$2:$M$80")</f>
      </c>
      <c r="O182" s="26">
        <f>_xlfn.CONCAT("'",$B182,"'","!","$N$2:$W$2")</f>
      </c>
      <c r="P182" s="2"/>
      <c r="Q182" s="2"/>
      <c r="R182" s="2"/>
      <c r="S182" s="2"/>
      <c r="T182" s="2"/>
      <c r="U182" s="2"/>
      <c r="V182" s="2"/>
      <c r="W182" s="2"/>
      <c r="X182" s="2"/>
      <c r="Y182" s="2"/>
    </row>
    <row x14ac:dyDescent="0.25" r="183" customHeight="1" ht="17.25">
      <c r="A183" s="10">
        <v>55</v>
      </c>
      <c r="B183" s="10">
        <v>2017</v>
      </c>
      <c r="C183" s="2" t="s">
        <v>159</v>
      </c>
      <c r="D183" s="23">
        <v>2</v>
      </c>
      <c r="E183" s="10">
        <v>13830000</v>
      </c>
      <c r="F183" s="24">
        <v>13.83</v>
      </c>
      <c r="G183" s="23">
        <v>1</v>
      </c>
      <c r="H183" s="10">
        <v>300000</v>
      </c>
      <c r="I183" s="24">
        <v>0.3</v>
      </c>
      <c r="J183" s="10">
        <v>1</v>
      </c>
      <c r="K183" s="24">
        <v>1.0068888888888887</v>
      </c>
      <c r="L183" s="24">
        <v>15.13688888888889</v>
      </c>
      <c r="M183" s="26">
        <f>_xlfn.CONCAT("'",$B183,"'","!","$N$3:$V$80")</f>
      </c>
      <c r="N183" s="26">
        <f>_xlfn.CONCAT("'",$B183,"'","!","$M$2:$M$80")</f>
      </c>
      <c r="O183" s="26">
        <f>_xlfn.CONCAT("'",$B183,"'","!","$N$2:$W$2")</f>
      </c>
      <c r="P183" s="2"/>
      <c r="Q183" s="2"/>
      <c r="R183" s="2"/>
      <c r="S183" s="2"/>
      <c r="T183" s="2"/>
      <c r="U183" s="2"/>
      <c r="V183" s="2"/>
      <c r="W183" s="2"/>
      <c r="X183" s="2"/>
      <c r="Y183" s="2"/>
    </row>
    <row x14ac:dyDescent="0.25" r="184" customHeight="1" ht="17.25">
      <c r="A184" s="10">
        <v>56</v>
      </c>
      <c r="B184" s="10">
        <v>2017</v>
      </c>
      <c r="C184" s="2" t="s">
        <v>160</v>
      </c>
      <c r="D184" s="23">
        <v>44</v>
      </c>
      <c r="E184" s="10">
        <v>108806296</v>
      </c>
      <c r="F184" s="24">
        <v>108.806296</v>
      </c>
      <c r="G184" s="23">
        <v>7</v>
      </c>
      <c r="H184" s="10">
        <v>54100000</v>
      </c>
      <c r="I184" s="24">
        <v>54.1</v>
      </c>
      <c r="J184" s="10">
        <v>52</v>
      </c>
      <c r="K184" s="24">
        <v>40.52242449124444</v>
      </c>
      <c r="L184" s="24">
        <v>203.42872049124443</v>
      </c>
      <c r="M184" s="26">
        <f>_xlfn.CONCAT("'",$B184,"'","!","$N$3:$V$80")</f>
      </c>
      <c r="N184" s="26">
        <f>_xlfn.CONCAT("'",$B184,"'","!","$M$2:$M$80")</f>
      </c>
      <c r="O184" s="26">
        <f>_xlfn.CONCAT("'",$B184,"'","!","$N$2:$W$2")</f>
      </c>
      <c r="P184" s="2"/>
      <c r="Q184" s="2"/>
      <c r="R184" s="2"/>
      <c r="S184" s="2"/>
      <c r="T184" s="2"/>
      <c r="U184" s="2"/>
      <c r="V184" s="2"/>
      <c r="W184" s="2"/>
      <c r="X184" s="2"/>
      <c r="Y184" s="2"/>
    </row>
    <row x14ac:dyDescent="0.25" r="185" customHeight="1" ht="17.25">
      <c r="A185" s="10">
        <v>57</v>
      </c>
      <c r="B185" s="10">
        <v>2017</v>
      </c>
      <c r="C185" s="2" t="s">
        <v>161</v>
      </c>
      <c r="D185" s="23">
        <v>0</v>
      </c>
      <c r="E185" s="10">
        <v>0</v>
      </c>
      <c r="F185" s="23">
        <v>0</v>
      </c>
      <c r="G185" s="23">
        <v>1</v>
      </c>
      <c r="H185" s="10">
        <v>4000000</v>
      </c>
      <c r="I185" s="23">
        <v>4</v>
      </c>
      <c r="J185" s="10">
        <v>0</v>
      </c>
      <c r="K185" s="23">
        <v>0</v>
      </c>
      <c r="L185" s="23">
        <v>4</v>
      </c>
      <c r="M185" s="26">
        <f>_xlfn.CONCAT("'",$B185,"'","!","$N$3:$V$80")</f>
      </c>
      <c r="N185" s="26">
        <f>_xlfn.CONCAT("'",$B185,"'","!","$M$2:$M$80")</f>
      </c>
      <c r="O185" s="26">
        <f>_xlfn.CONCAT("'",$B185,"'","!","$N$2:$W$2")</f>
      </c>
      <c r="P185" s="2"/>
      <c r="Q185" s="2"/>
      <c r="R185" s="2"/>
      <c r="S185" s="2"/>
      <c r="T185" s="2"/>
      <c r="U185" s="2"/>
      <c r="V185" s="2"/>
      <c r="W185" s="2"/>
      <c r="X185" s="2"/>
      <c r="Y185" s="2"/>
    </row>
    <row x14ac:dyDescent="0.25" r="186" customHeight="1" ht="17.25">
      <c r="A186" s="10">
        <v>58</v>
      </c>
      <c r="B186" s="10">
        <v>2017</v>
      </c>
      <c r="C186" s="2" t="s">
        <v>162</v>
      </c>
      <c r="D186" s="23">
        <v>1</v>
      </c>
      <c r="E186" s="10">
        <v>10000000</v>
      </c>
      <c r="F186" s="23">
        <v>10</v>
      </c>
      <c r="G186" s="23">
        <v>1</v>
      </c>
      <c r="H186" s="10">
        <v>-2100000</v>
      </c>
      <c r="I186" s="24">
        <v>-2.1</v>
      </c>
      <c r="J186" s="10">
        <v>1</v>
      </c>
      <c r="K186" s="24">
        <v>0.26666666666666666</v>
      </c>
      <c r="L186" s="24">
        <v>8.166666666666668</v>
      </c>
      <c r="M186" s="26">
        <f>_xlfn.CONCAT("'",$B186,"'","!","$N$3:$V$80")</f>
      </c>
      <c r="N186" s="26">
        <f>_xlfn.CONCAT("'",$B186,"'","!","$M$2:$M$80")</f>
      </c>
      <c r="O186" s="26">
        <f>_xlfn.CONCAT("'",$B186,"'","!","$N$2:$W$2")</f>
      </c>
      <c r="P186" s="2"/>
      <c r="Q186" s="2"/>
      <c r="R186" s="2"/>
      <c r="S186" s="2"/>
      <c r="T186" s="2"/>
      <c r="U186" s="2"/>
      <c r="V186" s="2"/>
      <c r="W186" s="2"/>
      <c r="X186" s="2"/>
      <c r="Y186" s="2"/>
    </row>
    <row x14ac:dyDescent="0.25" r="187" customHeight="1" ht="17.25">
      <c r="A187" s="10">
        <v>59</v>
      </c>
      <c r="B187" s="10">
        <v>2017</v>
      </c>
      <c r="C187" s="2" t="s">
        <v>163</v>
      </c>
      <c r="D187" s="23">
        <v>2</v>
      </c>
      <c r="E187" s="10">
        <v>32411000</v>
      </c>
      <c r="F187" s="24">
        <v>32.411</v>
      </c>
      <c r="G187" s="23">
        <v>1</v>
      </c>
      <c r="H187" s="10">
        <v>-11428000</v>
      </c>
      <c r="I187" s="24">
        <v>-11.428</v>
      </c>
      <c r="J187" s="10">
        <v>1</v>
      </c>
      <c r="K187" s="23">
        <v>0</v>
      </c>
      <c r="L187" s="24">
        <v>20.983</v>
      </c>
      <c r="M187" s="26">
        <f>_xlfn.CONCAT("'",$B187,"'","!","$N$3:$V$80")</f>
      </c>
      <c r="N187" s="26">
        <f>_xlfn.CONCAT("'",$B187,"'","!","$M$2:$M$80")</f>
      </c>
      <c r="O187" s="26">
        <f>_xlfn.CONCAT("'",$B187,"'","!","$N$2:$W$2")</f>
      </c>
      <c r="P187" s="2"/>
      <c r="Q187" s="2"/>
      <c r="R187" s="2"/>
      <c r="S187" s="2"/>
      <c r="T187" s="2"/>
      <c r="U187" s="2"/>
      <c r="V187" s="2"/>
      <c r="W187" s="2"/>
      <c r="X187" s="2"/>
      <c r="Y187" s="2"/>
    </row>
    <row x14ac:dyDescent="0.25" r="188" customHeight="1" ht="17.25">
      <c r="A188" s="10">
        <v>60</v>
      </c>
      <c r="B188" s="10">
        <v>2017</v>
      </c>
      <c r="C188" s="2" t="s">
        <v>164</v>
      </c>
      <c r="D188" s="23">
        <v>1</v>
      </c>
      <c r="E188" s="10">
        <v>197345</v>
      </c>
      <c r="F188" s="24">
        <v>0.197345</v>
      </c>
      <c r="G188" s="23">
        <v>0</v>
      </c>
      <c r="H188" s="10">
        <v>0</v>
      </c>
      <c r="I188" s="23">
        <v>0</v>
      </c>
      <c r="J188" s="10">
        <v>4</v>
      </c>
      <c r="K188" s="24">
        <v>7.730753017377778</v>
      </c>
      <c r="L188" s="24">
        <v>7.928098017377779</v>
      </c>
      <c r="M188" s="26">
        <f>_xlfn.CONCAT("'",$B188,"'","!","$N$3:$V$80")</f>
      </c>
      <c r="N188" s="26">
        <f>_xlfn.CONCAT("'",$B188,"'","!","$M$2:$M$80")</f>
      </c>
      <c r="O188" s="26">
        <f>_xlfn.CONCAT("'",$B188,"'","!","$N$2:$W$2")</f>
      </c>
      <c r="P188" s="2"/>
      <c r="Q188" s="2"/>
      <c r="R188" s="2"/>
      <c r="S188" s="2"/>
      <c r="T188" s="2"/>
      <c r="U188" s="2"/>
      <c r="V188" s="2"/>
      <c r="W188" s="2"/>
      <c r="X188" s="2"/>
      <c r="Y188" s="2"/>
    </row>
    <row x14ac:dyDescent="0.25" r="189" customHeight="1" ht="17.25">
      <c r="A189" s="10">
        <v>61</v>
      </c>
      <c r="B189" s="10">
        <v>2017</v>
      </c>
      <c r="C189" s="2" t="s">
        <v>165</v>
      </c>
      <c r="D189" s="30" t="s">
        <v>16</v>
      </c>
      <c r="E189" s="5" t="s">
        <v>16</v>
      </c>
      <c r="F189" s="25" t="s">
        <v>16</v>
      </c>
      <c r="G189" s="30" t="s">
        <v>16</v>
      </c>
      <c r="H189" s="5" t="s">
        <v>16</v>
      </c>
      <c r="I189" s="25" t="s">
        <v>16</v>
      </c>
      <c r="J189" s="5" t="s">
        <v>16</v>
      </c>
      <c r="K189" s="25" t="s">
        <v>16</v>
      </c>
      <c r="L189" s="25" t="s">
        <v>16</v>
      </c>
      <c r="M189" s="26">
        <f>_xlfn.CONCAT("'",$B189,"'","!","$N$3:$V$80")</f>
      </c>
      <c r="N189" s="26">
        <f>_xlfn.CONCAT("'",$B189,"'","!","$M$2:$M$80")</f>
      </c>
      <c r="O189" s="26">
        <f>_xlfn.CONCAT("'",$B189,"'","!","$N$2:$W$2")</f>
      </c>
      <c r="P189" s="2"/>
      <c r="Q189" s="2"/>
      <c r="R189" s="2"/>
      <c r="S189" s="2"/>
      <c r="T189" s="2"/>
      <c r="U189" s="2"/>
      <c r="V189" s="2"/>
      <c r="W189" s="2"/>
      <c r="X189" s="2"/>
      <c r="Y189" s="2"/>
    </row>
    <row x14ac:dyDescent="0.25" r="190" customHeight="1" ht="17.25">
      <c r="A190" s="10">
        <v>62</v>
      </c>
      <c r="B190" s="10">
        <v>2017</v>
      </c>
      <c r="C190" s="2" t="s">
        <v>166</v>
      </c>
      <c r="D190" s="23">
        <v>6</v>
      </c>
      <c r="E190" s="10">
        <v>12554720</v>
      </c>
      <c r="F190" s="24">
        <v>12.55472</v>
      </c>
      <c r="G190" s="23">
        <v>3</v>
      </c>
      <c r="H190" s="10">
        <v>10900000</v>
      </c>
      <c r="I190" s="24">
        <v>10.9</v>
      </c>
      <c r="J190" s="10">
        <v>9</v>
      </c>
      <c r="K190" s="24">
        <v>6.934719632533333</v>
      </c>
      <c r="L190" s="24">
        <v>30.389439632533335</v>
      </c>
      <c r="M190" s="26">
        <f>_xlfn.CONCAT("'",$B190,"'","!","$N$3:$V$80")</f>
      </c>
      <c r="N190" s="26">
        <f>_xlfn.CONCAT("'",$B190,"'","!","$M$2:$M$80")</f>
      </c>
      <c r="O190" s="26">
        <f>_xlfn.CONCAT("'",$B190,"'","!","$N$2:$W$2")</f>
      </c>
      <c r="P190" s="2"/>
      <c r="Q190" s="2"/>
      <c r="R190" s="2"/>
      <c r="S190" s="2"/>
      <c r="T190" s="2"/>
      <c r="U190" s="2"/>
      <c r="V190" s="2"/>
      <c r="W190" s="2"/>
      <c r="X190" s="2"/>
      <c r="Y190" s="2"/>
    </row>
    <row x14ac:dyDescent="0.25" r="191" customHeight="1" ht="17.25">
      <c r="A191" s="10">
        <v>63</v>
      </c>
      <c r="B191" s="10">
        <v>2017</v>
      </c>
      <c r="C191" s="2" t="s">
        <v>167</v>
      </c>
      <c r="D191" s="30" t="s">
        <v>16</v>
      </c>
      <c r="E191" s="5" t="s">
        <v>16</v>
      </c>
      <c r="F191" s="25" t="s">
        <v>16</v>
      </c>
      <c r="G191" s="30" t="s">
        <v>16</v>
      </c>
      <c r="H191" s="5" t="s">
        <v>16</v>
      </c>
      <c r="I191" s="25" t="s">
        <v>16</v>
      </c>
      <c r="J191" s="5" t="s">
        <v>16</v>
      </c>
      <c r="K191" s="25" t="s">
        <v>16</v>
      </c>
      <c r="L191" s="25" t="s">
        <v>16</v>
      </c>
      <c r="M191" s="26">
        <f>_xlfn.CONCAT("'",$B191,"'","!","$N$3:$V$80")</f>
      </c>
      <c r="N191" s="26">
        <f>_xlfn.CONCAT("'",$B191,"'","!","$M$2:$M$80")</f>
      </c>
      <c r="O191" s="26">
        <f>_xlfn.CONCAT("'",$B191,"'","!","$N$2:$W$2")</f>
      </c>
      <c r="P191" s="2"/>
      <c r="Q191" s="2"/>
      <c r="R191" s="2"/>
      <c r="S191" s="2"/>
      <c r="T191" s="2"/>
      <c r="U191" s="2"/>
      <c r="V191" s="2"/>
      <c r="W191" s="2"/>
      <c r="X191" s="2"/>
      <c r="Y191" s="2"/>
    </row>
    <row x14ac:dyDescent="0.25" r="192" customHeight="1" ht="17.25">
      <c r="A192" s="10">
        <v>1</v>
      </c>
      <c r="B192" s="10">
        <v>2018</v>
      </c>
      <c r="C192" s="2" t="s">
        <v>104</v>
      </c>
      <c r="D192" s="23">
        <v>1029</v>
      </c>
      <c r="E192" s="11">
        <v>784811386.36</v>
      </c>
      <c r="F192" s="24">
        <v>784.81138636</v>
      </c>
      <c r="G192" s="23">
        <v>254</v>
      </c>
      <c r="H192" s="10">
        <v>170723791</v>
      </c>
      <c r="I192" s="24">
        <v>170.723791</v>
      </c>
      <c r="J192" s="10">
        <v>3710</v>
      </c>
      <c r="K192" s="24">
        <v>4993.111259431714</v>
      </c>
      <c r="L192" s="24">
        <v>5948.646436791714</v>
      </c>
      <c r="M192" s="26">
        <f>_xlfn.CONCAT("'",$B192,"'","!","$N$3:$V$80")</f>
      </c>
      <c r="N192" s="26">
        <f>_xlfn.CONCAT("'",$B192,"'","!","$M$2:$M$80")</f>
      </c>
      <c r="O192" s="26">
        <f>_xlfn.CONCAT("'",$B192,"'","!","$N$2:$W$2")</f>
      </c>
      <c r="P192" s="2"/>
      <c r="Q192" s="2"/>
      <c r="R192" s="2"/>
      <c r="S192" s="2"/>
      <c r="T192" s="2"/>
      <c r="U192" s="2"/>
      <c r="V192" s="2"/>
      <c r="W192" s="2"/>
      <c r="X192" s="2"/>
      <c r="Y192" s="2"/>
    </row>
    <row x14ac:dyDescent="0.25" r="193" customHeight="1" ht="17.25">
      <c r="A193" s="10">
        <v>2</v>
      </c>
      <c r="B193" s="10">
        <v>2018</v>
      </c>
      <c r="C193" s="2" t="s">
        <v>105</v>
      </c>
      <c r="D193" s="23">
        <v>111</v>
      </c>
      <c r="E193" s="10">
        <v>723844601</v>
      </c>
      <c r="F193" s="24">
        <v>723.844601</v>
      </c>
      <c r="G193" s="23">
        <v>50</v>
      </c>
      <c r="H193" s="10">
        <v>1829642359</v>
      </c>
      <c r="I193" s="24">
        <v>1829.642359</v>
      </c>
      <c r="J193" s="10">
        <v>57</v>
      </c>
      <c r="K193" s="24">
        <v>540.0050670535918</v>
      </c>
      <c r="L193" s="24">
        <v>3093.492027053592</v>
      </c>
      <c r="M193" s="26">
        <f>_xlfn.CONCAT("'",$B193,"'","!","$N$3:$V$80")</f>
      </c>
      <c r="N193" s="26">
        <f>_xlfn.CONCAT("'",$B193,"'","!","$M$2:$M$80")</f>
      </c>
      <c r="O193" s="26">
        <f>_xlfn.CONCAT("'",$B193,"'","!","$N$2:$W$2")</f>
      </c>
      <c r="P193" s="2"/>
      <c r="Q193" s="2"/>
      <c r="R193" s="2"/>
      <c r="S193" s="2"/>
      <c r="T193" s="2"/>
      <c r="U193" s="2"/>
      <c r="V193" s="2"/>
      <c r="W193" s="2"/>
      <c r="X193" s="2"/>
      <c r="Y193" s="2"/>
    </row>
    <row x14ac:dyDescent="0.25" r="194" customHeight="1" ht="17.25">
      <c r="A194" s="10">
        <v>3</v>
      </c>
      <c r="B194" s="10">
        <v>2018</v>
      </c>
      <c r="C194" s="2" t="s">
        <v>106</v>
      </c>
      <c r="D194" s="23">
        <v>45</v>
      </c>
      <c r="E194" s="10">
        <v>1803512051</v>
      </c>
      <c r="F194" s="24">
        <v>1803.512051</v>
      </c>
      <c r="G194" s="23">
        <v>25</v>
      </c>
      <c r="H194" s="10">
        <v>148429004</v>
      </c>
      <c r="I194" s="24">
        <v>148.429004</v>
      </c>
      <c r="J194" s="10">
        <v>60</v>
      </c>
      <c r="K194" s="24">
        <v>162.73866982821247</v>
      </c>
      <c r="L194" s="24">
        <v>2114.6797248282123</v>
      </c>
      <c r="M194" s="26">
        <f>_xlfn.CONCAT("'",$B194,"'","!","$N$3:$V$80")</f>
      </c>
      <c r="N194" s="26">
        <f>_xlfn.CONCAT("'",$B194,"'","!","$M$2:$M$80")</f>
      </c>
      <c r="O194" s="26">
        <f>_xlfn.CONCAT("'",$B194,"'","!","$N$2:$W$2")</f>
      </c>
      <c r="P194" s="2"/>
      <c r="Q194" s="2"/>
      <c r="R194" s="2"/>
      <c r="S194" s="2"/>
      <c r="T194" s="2"/>
      <c r="U194" s="2"/>
      <c r="V194" s="2"/>
      <c r="W194" s="2"/>
      <c r="X194" s="2"/>
      <c r="Y194" s="2"/>
    </row>
    <row x14ac:dyDescent="0.25" r="195" customHeight="1" ht="17.25">
      <c r="A195" s="10">
        <v>4</v>
      </c>
      <c r="B195" s="10">
        <v>2018</v>
      </c>
      <c r="C195" s="2" t="s">
        <v>108</v>
      </c>
      <c r="D195" s="23">
        <v>8</v>
      </c>
      <c r="E195" s="10">
        <v>27693595</v>
      </c>
      <c r="F195" s="24">
        <v>27.693595</v>
      </c>
      <c r="G195" s="23">
        <v>5</v>
      </c>
      <c r="H195" s="10">
        <v>1139999096</v>
      </c>
      <c r="I195" s="24">
        <v>1139.999096</v>
      </c>
      <c r="J195" s="10">
        <v>16</v>
      </c>
      <c r="K195" s="24">
        <v>104.69344224938001</v>
      </c>
      <c r="L195" s="24">
        <v>1272.38613324938</v>
      </c>
      <c r="M195" s="26">
        <f>_xlfn.CONCAT("'",$B195,"'","!","$N$3:$V$80")</f>
      </c>
      <c r="N195" s="26">
        <f>_xlfn.CONCAT("'",$B195,"'","!","$M$2:$M$80")</f>
      </c>
      <c r="O195" s="26">
        <f>_xlfn.CONCAT("'",$B195,"'","!","$N$2:$W$2")</f>
      </c>
      <c r="P195" s="2"/>
      <c r="Q195" s="2"/>
      <c r="R195" s="2"/>
      <c r="S195" s="2"/>
      <c r="T195" s="2"/>
      <c r="U195" s="2"/>
      <c r="V195" s="2"/>
      <c r="W195" s="2"/>
      <c r="X195" s="2"/>
      <c r="Y195" s="2"/>
    </row>
    <row x14ac:dyDescent="0.25" r="196" customHeight="1" ht="17.25">
      <c r="A196" s="10">
        <v>5</v>
      </c>
      <c r="B196" s="10">
        <v>2018</v>
      </c>
      <c r="C196" s="2" t="s">
        <v>109</v>
      </c>
      <c r="D196" s="23">
        <v>30</v>
      </c>
      <c r="E196" s="10">
        <v>453319630</v>
      </c>
      <c r="F196" s="24">
        <v>453.31963</v>
      </c>
      <c r="G196" s="23">
        <v>27</v>
      </c>
      <c r="H196" s="10">
        <v>317531788</v>
      </c>
      <c r="I196" s="24">
        <v>317.531788</v>
      </c>
      <c r="J196" s="10">
        <v>43</v>
      </c>
      <c r="K196" s="24">
        <v>65.97171040617444</v>
      </c>
      <c r="L196" s="24">
        <v>836.8231284061744</v>
      </c>
      <c r="M196" s="26">
        <f>_xlfn.CONCAT("'",$B196,"'","!","$N$3:$V$80")</f>
      </c>
      <c r="N196" s="26">
        <f>_xlfn.CONCAT("'",$B196,"'","!","$M$2:$M$80")</f>
      </c>
      <c r="O196" s="26">
        <f>_xlfn.CONCAT("'",$B196,"'","!","$N$2:$W$2")</f>
      </c>
      <c r="P196" s="2"/>
      <c r="Q196" s="2"/>
      <c r="R196" s="2"/>
      <c r="S196" s="2"/>
      <c r="T196" s="2"/>
      <c r="U196" s="2"/>
      <c r="V196" s="2"/>
      <c r="W196" s="2"/>
      <c r="X196" s="2"/>
      <c r="Y196" s="2"/>
    </row>
    <row x14ac:dyDescent="0.25" r="197" customHeight="1" ht="17.25">
      <c r="A197" s="10">
        <v>6</v>
      </c>
      <c r="B197" s="10">
        <v>2018</v>
      </c>
      <c r="C197" s="2" t="s">
        <v>110</v>
      </c>
      <c r="D197" s="23">
        <v>215</v>
      </c>
      <c r="E197" s="10">
        <v>1216584859</v>
      </c>
      <c r="F197" s="24">
        <v>1216.584859</v>
      </c>
      <c r="G197" s="23">
        <v>135</v>
      </c>
      <c r="H197" s="11">
        <v>548371823.84</v>
      </c>
      <c r="I197" s="24">
        <v>548.37182384</v>
      </c>
      <c r="J197" s="10">
        <v>492</v>
      </c>
      <c r="K197" s="24">
        <v>562.2035238379939</v>
      </c>
      <c r="L197" s="24">
        <v>2327.160206677994</v>
      </c>
      <c r="M197" s="26">
        <f>_xlfn.CONCAT("'",$B197,"'","!","$N$3:$V$80")</f>
      </c>
      <c r="N197" s="26">
        <f>_xlfn.CONCAT("'",$B197,"'","!","$M$2:$M$80")</f>
      </c>
      <c r="O197" s="26">
        <f>_xlfn.CONCAT("'",$B197,"'","!","$N$2:$W$2")</f>
      </c>
      <c r="P197" s="2"/>
      <c r="Q197" s="2"/>
      <c r="R197" s="2"/>
      <c r="S197" s="2"/>
      <c r="T197" s="2"/>
      <c r="U197" s="2"/>
      <c r="V197" s="2"/>
      <c r="W197" s="2"/>
      <c r="X197" s="2"/>
      <c r="Y197" s="2"/>
    </row>
    <row x14ac:dyDescent="0.25" r="198" customHeight="1" ht="17.25">
      <c r="A198" s="10">
        <v>7</v>
      </c>
      <c r="B198" s="10">
        <v>2018</v>
      </c>
      <c r="C198" s="2" t="s">
        <v>111</v>
      </c>
      <c r="D198" s="23">
        <v>86</v>
      </c>
      <c r="E198" s="10">
        <v>275097046</v>
      </c>
      <c r="F198" s="24">
        <v>275.097046</v>
      </c>
      <c r="G198" s="23">
        <v>88</v>
      </c>
      <c r="H198" s="10">
        <v>220073323</v>
      </c>
      <c r="I198" s="24">
        <v>220.073323</v>
      </c>
      <c r="J198" s="10">
        <v>166</v>
      </c>
      <c r="K198" s="24">
        <v>193.11031603076967</v>
      </c>
      <c r="L198" s="24">
        <v>688.2806850307696</v>
      </c>
      <c r="M198" s="26">
        <f>_xlfn.CONCAT("'",$B198,"'","!","$N$3:$V$80")</f>
      </c>
      <c r="N198" s="26">
        <f>_xlfn.CONCAT("'",$B198,"'","!","$M$2:$M$80")</f>
      </c>
      <c r="O198" s="26">
        <f>_xlfn.CONCAT("'",$B198,"'","!","$N$2:$W$2")</f>
      </c>
      <c r="P198" s="2"/>
      <c r="Q198" s="2"/>
      <c r="R198" s="2"/>
      <c r="S198" s="2"/>
      <c r="T198" s="2"/>
      <c r="U198" s="2"/>
      <c r="V198" s="2"/>
      <c r="W198" s="2"/>
      <c r="X198" s="2"/>
      <c r="Y198" s="2"/>
    </row>
    <row x14ac:dyDescent="0.25" r="199" customHeight="1" ht="17.25">
      <c r="A199" s="10">
        <v>8</v>
      </c>
      <c r="B199" s="10">
        <v>2018</v>
      </c>
      <c r="C199" s="2" t="s">
        <v>112</v>
      </c>
      <c r="D199" s="23">
        <v>29</v>
      </c>
      <c r="E199" s="10">
        <v>348654025</v>
      </c>
      <c r="F199" s="24">
        <v>348.654025</v>
      </c>
      <c r="G199" s="23">
        <v>20</v>
      </c>
      <c r="H199" s="10">
        <v>96975824</v>
      </c>
      <c r="I199" s="24">
        <v>96.975824</v>
      </c>
      <c r="J199" s="10">
        <v>32</v>
      </c>
      <c r="K199" s="24">
        <v>35.05123640767001</v>
      </c>
      <c r="L199" s="24">
        <v>480.68108540766997</v>
      </c>
      <c r="M199" s="26">
        <f>_xlfn.CONCAT("'",$B199,"'","!","$N$3:$V$80")</f>
      </c>
      <c r="N199" s="26">
        <f>_xlfn.CONCAT("'",$B199,"'","!","$M$2:$M$80")</f>
      </c>
      <c r="O199" s="26">
        <f>_xlfn.CONCAT("'",$B199,"'","!","$N$2:$W$2")</f>
      </c>
      <c r="P199" s="2"/>
      <c r="Q199" s="2"/>
      <c r="R199" s="2"/>
      <c r="S199" s="2"/>
      <c r="T199" s="2"/>
      <c r="U199" s="2"/>
      <c r="V199" s="2"/>
      <c r="W199" s="2"/>
      <c r="X199" s="2"/>
      <c r="Y199" s="2"/>
    </row>
    <row x14ac:dyDescent="0.25" r="200" customHeight="1" ht="17.25">
      <c r="A200" s="10">
        <v>9</v>
      </c>
      <c r="B200" s="10">
        <v>2018</v>
      </c>
      <c r="C200" s="2" t="s">
        <v>113</v>
      </c>
      <c r="D200" s="23">
        <v>125</v>
      </c>
      <c r="E200" s="10">
        <v>988993579</v>
      </c>
      <c r="F200" s="24">
        <v>988.993579</v>
      </c>
      <c r="G200" s="23">
        <v>21</v>
      </c>
      <c r="H200" s="10">
        <v>63211621</v>
      </c>
      <c r="I200" s="24">
        <v>63.211621</v>
      </c>
      <c r="J200" s="10">
        <v>211</v>
      </c>
      <c r="K200" s="24">
        <v>403.3742113074915</v>
      </c>
      <c r="L200" s="24">
        <v>1455.5794113074915</v>
      </c>
      <c r="M200" s="26">
        <f>_xlfn.CONCAT("'",$B200,"'","!","$N$3:$V$80")</f>
      </c>
      <c r="N200" s="26">
        <f>_xlfn.CONCAT("'",$B200,"'","!","$M$2:$M$80")</f>
      </c>
      <c r="O200" s="26">
        <f>_xlfn.CONCAT("'",$B200,"'","!","$N$2:$W$2")</f>
      </c>
      <c r="P200" s="2"/>
      <c r="Q200" s="2"/>
      <c r="R200" s="2"/>
      <c r="S200" s="2"/>
      <c r="T200" s="2"/>
      <c r="U200" s="2"/>
      <c r="V200" s="2"/>
      <c r="W200" s="2"/>
      <c r="X200" s="2"/>
      <c r="Y200" s="2"/>
    </row>
    <row x14ac:dyDescent="0.25" r="201" customHeight="1" ht="17.25">
      <c r="A201" s="10">
        <v>10</v>
      </c>
      <c r="B201" s="10">
        <v>2018</v>
      </c>
      <c r="C201" s="2" t="s">
        <v>114</v>
      </c>
      <c r="D201" s="23">
        <v>8</v>
      </c>
      <c r="E201" s="10">
        <v>387530106</v>
      </c>
      <c r="F201" s="24">
        <v>387.530106</v>
      </c>
      <c r="G201" s="23">
        <v>0</v>
      </c>
      <c r="H201" s="10">
        <v>0</v>
      </c>
      <c r="I201" s="23">
        <v>0</v>
      </c>
      <c r="J201" s="10">
        <v>5</v>
      </c>
      <c r="K201" s="24">
        <v>14.1185035777778</v>
      </c>
      <c r="L201" s="24">
        <v>401.6486095777778</v>
      </c>
      <c r="M201" s="26">
        <f>_xlfn.CONCAT("'",$B201,"'","!","$N$3:$V$80")</f>
      </c>
      <c r="N201" s="26">
        <f>_xlfn.CONCAT("'",$B201,"'","!","$M$2:$M$80")</f>
      </c>
      <c r="O201" s="26">
        <f>_xlfn.CONCAT("'",$B201,"'","!","$N$2:$W$2")</f>
      </c>
      <c r="P201" s="2"/>
      <c r="Q201" s="2"/>
      <c r="R201" s="2"/>
      <c r="S201" s="2"/>
      <c r="T201" s="2"/>
      <c r="U201" s="2"/>
      <c r="V201" s="2"/>
      <c r="W201" s="2"/>
      <c r="X201" s="2"/>
      <c r="Y201" s="2"/>
    </row>
    <row x14ac:dyDescent="0.25" r="202" customHeight="1" ht="17.25">
      <c r="A202" s="10">
        <v>11</v>
      </c>
      <c r="B202" s="10">
        <v>2018</v>
      </c>
      <c r="C202" s="2" t="s">
        <v>115</v>
      </c>
      <c r="D202" s="23">
        <v>44</v>
      </c>
      <c r="E202" s="10">
        <v>235980639</v>
      </c>
      <c r="F202" s="24">
        <v>235.980639</v>
      </c>
      <c r="G202" s="23">
        <v>28</v>
      </c>
      <c r="H202" s="11">
        <v>299182802.5810547</v>
      </c>
      <c r="I202" s="24">
        <v>299.18280258105466</v>
      </c>
      <c r="J202" s="10">
        <v>50</v>
      </c>
      <c r="K202" s="24">
        <v>61.84555454558001</v>
      </c>
      <c r="L202" s="24">
        <v>597.0089961266348</v>
      </c>
      <c r="M202" s="26">
        <f>_xlfn.CONCAT("'",$B202,"'","!","$N$3:$V$80")</f>
      </c>
      <c r="N202" s="26">
        <f>_xlfn.CONCAT("'",$B202,"'","!","$M$2:$M$80")</f>
      </c>
      <c r="O202" s="26">
        <f>_xlfn.CONCAT("'",$B202,"'","!","$N$2:$W$2")</f>
      </c>
      <c r="P202" s="2"/>
      <c r="Q202" s="2"/>
      <c r="R202" s="2"/>
      <c r="S202" s="2"/>
      <c r="T202" s="2"/>
      <c r="U202" s="2"/>
      <c r="V202" s="2"/>
      <c r="W202" s="2"/>
      <c r="X202" s="2"/>
      <c r="Y202" s="2"/>
    </row>
    <row x14ac:dyDescent="0.25" r="203" customHeight="1" ht="17.25">
      <c r="A203" s="10">
        <v>12</v>
      </c>
      <c r="B203" s="10">
        <v>2018</v>
      </c>
      <c r="C203" s="2" t="s">
        <v>116</v>
      </c>
      <c r="D203" s="23">
        <v>67</v>
      </c>
      <c r="E203" s="10">
        <v>183782447</v>
      </c>
      <c r="F203" s="24">
        <v>183.782447</v>
      </c>
      <c r="G203" s="23">
        <v>36</v>
      </c>
      <c r="H203" s="10">
        <v>318891064</v>
      </c>
      <c r="I203" s="24">
        <v>318.891064</v>
      </c>
      <c r="J203" s="10">
        <v>44</v>
      </c>
      <c r="K203" s="24">
        <v>40.32306918113399</v>
      </c>
      <c r="L203" s="24">
        <v>542.9965801811339</v>
      </c>
      <c r="M203" s="26">
        <f>_xlfn.CONCAT("'",$B203,"'","!","$N$3:$V$80")</f>
      </c>
      <c r="N203" s="26">
        <f>_xlfn.CONCAT("'",$B203,"'","!","$M$2:$M$80")</f>
      </c>
      <c r="O203" s="26">
        <f>_xlfn.CONCAT("'",$B203,"'","!","$N$2:$W$2")</f>
      </c>
      <c r="P203" s="2"/>
      <c r="Q203" s="2"/>
      <c r="R203" s="2"/>
      <c r="S203" s="2"/>
      <c r="T203" s="2"/>
      <c r="U203" s="2"/>
      <c r="V203" s="2"/>
      <c r="W203" s="2"/>
      <c r="X203" s="2"/>
      <c r="Y203" s="2"/>
    </row>
    <row x14ac:dyDescent="0.25" r="204" customHeight="1" ht="17.25">
      <c r="A204" s="10">
        <v>13</v>
      </c>
      <c r="B204" s="10">
        <v>2018</v>
      </c>
      <c r="C204" s="2" t="s">
        <v>117</v>
      </c>
      <c r="D204" s="23">
        <v>42</v>
      </c>
      <c r="E204" s="10">
        <v>329865656</v>
      </c>
      <c r="F204" s="24">
        <v>329.865656</v>
      </c>
      <c r="G204" s="23">
        <v>32</v>
      </c>
      <c r="H204" s="10">
        <v>91670955</v>
      </c>
      <c r="I204" s="24">
        <v>91.670955</v>
      </c>
      <c r="J204" s="10">
        <v>21</v>
      </c>
      <c r="K204" s="24">
        <v>15.212370916983001</v>
      </c>
      <c r="L204" s="24">
        <v>436.748981916983</v>
      </c>
      <c r="M204" s="26">
        <f>_xlfn.CONCAT("'",$B204,"'","!","$N$3:$V$80")</f>
      </c>
      <c r="N204" s="26">
        <f>_xlfn.CONCAT("'",$B204,"'","!","$M$2:$M$80")</f>
      </c>
      <c r="O204" s="26">
        <f>_xlfn.CONCAT("'",$B204,"'","!","$N$2:$W$2")</f>
      </c>
      <c r="P204" s="2"/>
      <c r="Q204" s="2"/>
      <c r="R204" s="2"/>
      <c r="S204" s="2"/>
      <c r="T204" s="2"/>
      <c r="U204" s="2"/>
      <c r="V204" s="2"/>
      <c r="W204" s="2"/>
      <c r="X204" s="2"/>
      <c r="Y204" s="2"/>
    </row>
    <row x14ac:dyDescent="0.25" r="205" customHeight="1" ht="17.25">
      <c r="A205" s="10">
        <v>14</v>
      </c>
      <c r="B205" s="10">
        <v>2018</v>
      </c>
      <c r="C205" s="2" t="s">
        <v>118</v>
      </c>
      <c r="D205" s="23">
        <v>1</v>
      </c>
      <c r="E205" s="10">
        <v>365760000</v>
      </c>
      <c r="F205" s="24">
        <v>365.76</v>
      </c>
      <c r="G205" s="23">
        <v>1</v>
      </c>
      <c r="H205" s="10">
        <v>1960000</v>
      </c>
      <c r="I205" s="24">
        <v>1.96</v>
      </c>
      <c r="J205" s="10">
        <v>1</v>
      </c>
      <c r="K205" s="24">
        <v>0.3484444444</v>
      </c>
      <c r="L205" s="24">
        <v>368.0684444444</v>
      </c>
      <c r="M205" s="26">
        <f>_xlfn.CONCAT("'",$B205,"'","!","$N$3:$V$80")</f>
      </c>
      <c r="N205" s="26">
        <f>_xlfn.CONCAT("'",$B205,"'","!","$M$2:$M$80")</f>
      </c>
      <c r="O205" s="26">
        <f>_xlfn.CONCAT("'",$B205,"'","!","$N$2:$W$2")</f>
      </c>
      <c r="P205" s="2"/>
      <c r="Q205" s="2"/>
      <c r="R205" s="2"/>
      <c r="S205" s="2"/>
      <c r="T205" s="2"/>
      <c r="U205" s="2"/>
      <c r="V205" s="2"/>
      <c r="W205" s="2"/>
      <c r="X205" s="2"/>
      <c r="Y205" s="2"/>
    </row>
    <row x14ac:dyDescent="0.25" r="206" customHeight="1" ht="17.25">
      <c r="A206" s="10">
        <v>15</v>
      </c>
      <c r="B206" s="10">
        <v>2018</v>
      </c>
      <c r="C206" s="2" t="s">
        <v>119</v>
      </c>
      <c r="D206" s="23">
        <v>15</v>
      </c>
      <c r="E206" s="10">
        <v>137478485</v>
      </c>
      <c r="F206" s="24">
        <v>137.478485</v>
      </c>
      <c r="G206" s="23">
        <v>9</v>
      </c>
      <c r="H206" s="10">
        <v>34200000</v>
      </c>
      <c r="I206" s="24">
        <v>34.2</v>
      </c>
      <c r="J206" s="10">
        <v>13</v>
      </c>
      <c r="K206" s="24">
        <v>107.11479711116</v>
      </c>
      <c r="L206" s="24">
        <v>278.79328211116</v>
      </c>
      <c r="M206" s="26">
        <f>_xlfn.CONCAT("'",$B206,"'","!","$N$3:$V$80")</f>
      </c>
      <c r="N206" s="26">
        <f>_xlfn.CONCAT("'",$B206,"'","!","$M$2:$M$80")</f>
      </c>
      <c r="O206" s="26">
        <f>_xlfn.CONCAT("'",$B206,"'","!","$N$2:$W$2")</f>
      </c>
      <c r="P206" s="2"/>
      <c r="Q206" s="2"/>
      <c r="R206" s="2"/>
      <c r="S206" s="2"/>
      <c r="T206" s="2"/>
      <c r="U206" s="2"/>
      <c r="V206" s="2"/>
      <c r="W206" s="2"/>
      <c r="X206" s="2"/>
      <c r="Y206" s="2"/>
    </row>
    <row x14ac:dyDescent="0.25" r="207" customHeight="1" ht="17.25">
      <c r="A207" s="10">
        <v>16</v>
      </c>
      <c r="B207" s="10">
        <v>2018</v>
      </c>
      <c r="C207" s="2" t="s">
        <v>120</v>
      </c>
      <c r="D207" s="23">
        <v>29</v>
      </c>
      <c r="E207" s="10">
        <v>322856122</v>
      </c>
      <c r="F207" s="24">
        <v>322.856122</v>
      </c>
      <c r="G207" s="23">
        <v>5</v>
      </c>
      <c r="H207" s="10">
        <v>107975704</v>
      </c>
      <c r="I207" s="24">
        <v>107.975704</v>
      </c>
      <c r="J207" s="10">
        <v>24</v>
      </c>
      <c r="K207" s="24">
        <v>31.099206433623902</v>
      </c>
      <c r="L207" s="24">
        <v>461.93103243362395</v>
      </c>
      <c r="M207" s="26">
        <f>_xlfn.CONCAT("'",$B207,"'","!","$N$3:$V$80")</f>
      </c>
      <c r="N207" s="26">
        <f>_xlfn.CONCAT("'",$B207,"'","!","$M$2:$M$80")</f>
      </c>
      <c r="O207" s="26">
        <f>_xlfn.CONCAT("'",$B207,"'","!","$N$2:$W$2")</f>
      </c>
      <c r="P207" s="2"/>
      <c r="Q207" s="2"/>
      <c r="R207" s="2"/>
      <c r="S207" s="2"/>
      <c r="T207" s="2"/>
      <c r="U207" s="2"/>
      <c r="V207" s="2"/>
      <c r="W207" s="2"/>
      <c r="X207" s="2"/>
      <c r="Y207" s="2"/>
    </row>
    <row x14ac:dyDescent="0.25" r="208" customHeight="1" ht="17.25">
      <c r="A208" s="10">
        <v>17</v>
      </c>
      <c r="B208" s="10">
        <v>2018</v>
      </c>
      <c r="C208" s="2" t="s">
        <v>121</v>
      </c>
      <c r="D208" s="23">
        <v>29</v>
      </c>
      <c r="E208" s="10">
        <v>127537938</v>
      </c>
      <c r="F208" s="24">
        <v>127.537938</v>
      </c>
      <c r="G208" s="23">
        <v>47</v>
      </c>
      <c r="H208" s="10">
        <v>277837860</v>
      </c>
      <c r="I208" s="24">
        <v>277.83786</v>
      </c>
      <c r="J208" s="10">
        <v>55</v>
      </c>
      <c r="K208" s="24">
        <v>73.042708667826</v>
      </c>
      <c r="L208" s="24">
        <v>478.41850666782597</v>
      </c>
      <c r="M208" s="26">
        <f>_xlfn.CONCAT("'",$B208,"'","!","$N$3:$V$80")</f>
      </c>
      <c r="N208" s="26">
        <f>_xlfn.CONCAT("'",$B208,"'","!","$M$2:$M$80")</f>
      </c>
      <c r="O208" s="26">
        <f>_xlfn.CONCAT("'",$B208,"'","!","$N$2:$W$2")</f>
      </c>
      <c r="P208" s="2"/>
      <c r="Q208" s="2"/>
      <c r="R208" s="2"/>
      <c r="S208" s="2"/>
      <c r="T208" s="2"/>
      <c r="U208" s="2"/>
      <c r="V208" s="2"/>
      <c r="W208" s="2"/>
      <c r="X208" s="2"/>
      <c r="Y208" s="2"/>
    </row>
    <row x14ac:dyDescent="0.25" r="209" customHeight="1" ht="17.25">
      <c r="A209" s="10">
        <v>18</v>
      </c>
      <c r="B209" s="10">
        <v>2018</v>
      </c>
      <c r="C209" s="2" t="s">
        <v>122</v>
      </c>
      <c r="D209" s="23">
        <v>2</v>
      </c>
      <c r="E209" s="10">
        <v>200087652</v>
      </c>
      <c r="F209" s="24">
        <v>200.087652</v>
      </c>
      <c r="G209" s="23">
        <v>2</v>
      </c>
      <c r="H209" s="10">
        <v>12000000</v>
      </c>
      <c r="I209" s="23">
        <v>12</v>
      </c>
      <c r="J209" s="10">
        <v>8</v>
      </c>
      <c r="K209" s="24">
        <v>3.0736335112399997</v>
      </c>
      <c r="L209" s="24">
        <v>215.16128551123998</v>
      </c>
      <c r="M209" s="26">
        <f>_xlfn.CONCAT("'",$B209,"'","!","$N$3:$V$80")</f>
      </c>
      <c r="N209" s="26">
        <f>_xlfn.CONCAT("'",$B209,"'","!","$M$2:$M$80")</f>
      </c>
      <c r="O209" s="26">
        <f>_xlfn.CONCAT("'",$B209,"'","!","$N$2:$W$2")</f>
      </c>
      <c r="P209" s="2"/>
      <c r="Q209" s="2"/>
      <c r="R209" s="2"/>
      <c r="S209" s="2"/>
      <c r="T209" s="2"/>
      <c r="U209" s="2"/>
      <c r="V209" s="2"/>
      <c r="W209" s="2"/>
      <c r="X209" s="2"/>
      <c r="Y209" s="2"/>
    </row>
    <row x14ac:dyDescent="0.25" r="210" customHeight="1" ht="17.25">
      <c r="A210" s="10">
        <v>19</v>
      </c>
      <c r="B210" s="10">
        <v>2018</v>
      </c>
      <c r="C210" s="2" t="s">
        <v>123</v>
      </c>
      <c r="D210" s="23">
        <v>4</v>
      </c>
      <c r="E210" s="10">
        <v>353588553</v>
      </c>
      <c r="F210" s="24">
        <v>353.588553</v>
      </c>
      <c r="G210" s="23">
        <v>1</v>
      </c>
      <c r="H210" s="10">
        <v>-217391</v>
      </c>
      <c r="I210" s="24">
        <v>-0.217391</v>
      </c>
      <c r="J210" s="10">
        <v>2</v>
      </c>
      <c r="K210" s="24">
        <v>0.52444444449</v>
      </c>
      <c r="L210" s="24">
        <v>353.89560644448994</v>
      </c>
      <c r="M210" s="26">
        <f>_xlfn.CONCAT("'",$B210,"'","!","$N$3:$V$80")</f>
      </c>
      <c r="N210" s="26">
        <f>_xlfn.CONCAT("'",$B210,"'","!","$M$2:$M$80")</f>
      </c>
      <c r="O210" s="26">
        <f>_xlfn.CONCAT("'",$B210,"'","!","$N$2:$W$2")</f>
      </c>
      <c r="P210" s="2"/>
      <c r="Q210" s="2"/>
      <c r="R210" s="2"/>
      <c r="S210" s="2"/>
      <c r="T210" s="2"/>
      <c r="U210" s="2"/>
      <c r="V210" s="2"/>
      <c r="W210" s="2"/>
      <c r="X210" s="2"/>
      <c r="Y210" s="2"/>
    </row>
    <row x14ac:dyDescent="0.25" r="211" customHeight="1" ht="17.25">
      <c r="A211" s="10">
        <v>20</v>
      </c>
      <c r="B211" s="10">
        <v>2018</v>
      </c>
      <c r="C211" s="2" t="s">
        <v>124</v>
      </c>
      <c r="D211" s="23">
        <v>9</v>
      </c>
      <c r="E211" s="10">
        <v>142019134</v>
      </c>
      <c r="F211" s="24">
        <v>142.019134</v>
      </c>
      <c r="G211" s="23">
        <v>2</v>
      </c>
      <c r="H211" s="10">
        <v>308298</v>
      </c>
      <c r="I211" s="24">
        <v>0.308298</v>
      </c>
      <c r="J211" s="10">
        <v>11</v>
      </c>
      <c r="K211" s="24">
        <v>14.909894555500001</v>
      </c>
      <c r="L211" s="24">
        <v>157.2373265555</v>
      </c>
      <c r="M211" s="26">
        <f>_xlfn.CONCAT("'",$B211,"'","!","$N$3:$V$80")</f>
      </c>
      <c r="N211" s="26">
        <f>_xlfn.CONCAT("'",$B211,"'","!","$M$2:$M$80")</f>
      </c>
      <c r="O211" s="26">
        <f>_xlfn.CONCAT("'",$B211,"'","!","$N$2:$W$2")</f>
      </c>
      <c r="P211" s="2"/>
      <c r="Q211" s="2"/>
      <c r="R211" s="2"/>
      <c r="S211" s="2"/>
      <c r="T211" s="2"/>
      <c r="U211" s="2"/>
      <c r="V211" s="2"/>
      <c r="W211" s="2"/>
      <c r="X211" s="2"/>
      <c r="Y211" s="2"/>
    </row>
    <row x14ac:dyDescent="0.25" r="212" customHeight="1" ht="17.25">
      <c r="A212" s="10">
        <v>21</v>
      </c>
      <c r="B212" s="10">
        <v>2018</v>
      </c>
      <c r="C212" s="2" t="s">
        <v>125</v>
      </c>
      <c r="D212" s="23">
        <v>173</v>
      </c>
      <c r="E212" s="10">
        <v>394690566</v>
      </c>
      <c r="F212" s="24">
        <v>394.690566</v>
      </c>
      <c r="G212" s="23">
        <v>116</v>
      </c>
      <c r="H212" s="11">
        <v>677553165.14</v>
      </c>
      <c r="I212" s="24">
        <v>677.55316514</v>
      </c>
      <c r="J212" s="10">
        <v>156</v>
      </c>
      <c r="K212" s="24">
        <v>51.753875643488804</v>
      </c>
      <c r="L212" s="24">
        <v>1123.9976067834887</v>
      </c>
      <c r="M212" s="26">
        <f>_xlfn.CONCAT("'",$B212,"'","!","$N$3:$V$80")</f>
      </c>
      <c r="N212" s="26">
        <f>_xlfn.CONCAT("'",$B212,"'","!","$M$2:$M$80")</f>
      </c>
      <c r="O212" s="26">
        <f>_xlfn.CONCAT("'",$B212,"'","!","$N$2:$W$2")</f>
      </c>
      <c r="P212" s="2"/>
      <c r="Q212" s="2"/>
      <c r="R212" s="2"/>
      <c r="S212" s="2"/>
      <c r="T212" s="2"/>
      <c r="U212" s="2"/>
      <c r="V212" s="2"/>
      <c r="W212" s="2"/>
      <c r="X212" s="2"/>
      <c r="Y212" s="2"/>
    </row>
    <row x14ac:dyDescent="0.25" r="213" customHeight="1" ht="17.25">
      <c r="A213" s="10">
        <v>22</v>
      </c>
      <c r="B213" s="10">
        <v>2018</v>
      </c>
      <c r="C213" s="2" t="s">
        <v>126</v>
      </c>
      <c r="D213" s="23">
        <v>0</v>
      </c>
      <c r="E213" s="10">
        <v>0</v>
      </c>
      <c r="F213" s="23">
        <v>0</v>
      </c>
      <c r="G213" s="23">
        <v>1</v>
      </c>
      <c r="H213" s="10">
        <v>407695</v>
      </c>
      <c r="I213" s="24">
        <v>0.407695</v>
      </c>
      <c r="J213" s="10">
        <v>7</v>
      </c>
      <c r="K213" s="24">
        <v>18.708610086700002</v>
      </c>
      <c r="L213" s="24">
        <v>19.116305086700002</v>
      </c>
      <c r="M213" s="26">
        <f>_xlfn.CONCAT("'",$B213,"'","!","$N$3:$V$80")</f>
      </c>
      <c r="N213" s="26">
        <f>_xlfn.CONCAT("'",$B213,"'","!","$M$2:$M$80")</f>
      </c>
      <c r="O213" s="26">
        <f>_xlfn.CONCAT("'",$B213,"'","!","$N$2:$W$2")</f>
      </c>
      <c r="P213" s="2"/>
      <c r="Q213" s="2"/>
      <c r="R213" s="2"/>
      <c r="S213" s="2"/>
      <c r="T213" s="2"/>
      <c r="U213" s="2"/>
      <c r="V213" s="2"/>
      <c r="W213" s="2"/>
      <c r="X213" s="2"/>
      <c r="Y213" s="2"/>
    </row>
    <row x14ac:dyDescent="0.25" r="214" customHeight="1" ht="17.25">
      <c r="A214" s="10">
        <v>23</v>
      </c>
      <c r="B214" s="10">
        <v>2018</v>
      </c>
      <c r="C214" s="2" t="s">
        <v>127</v>
      </c>
      <c r="D214" s="23">
        <v>4</v>
      </c>
      <c r="E214" s="10">
        <v>382811668</v>
      </c>
      <c r="F214" s="24">
        <v>382.811668</v>
      </c>
      <c r="G214" s="23">
        <v>5</v>
      </c>
      <c r="H214" s="10">
        <v>-4313869</v>
      </c>
      <c r="I214" s="24">
        <v>-4.313869</v>
      </c>
      <c r="J214" s="10">
        <v>12</v>
      </c>
      <c r="K214" s="24">
        <v>16.46035647643</v>
      </c>
      <c r="L214" s="24">
        <v>394.95815547642997</v>
      </c>
      <c r="M214" s="26">
        <f>_xlfn.CONCAT("'",$B214,"'","!","$N$3:$V$80")</f>
      </c>
      <c r="N214" s="26">
        <f>_xlfn.CONCAT("'",$B214,"'","!","$M$2:$M$80")</f>
      </c>
      <c r="O214" s="26">
        <f>_xlfn.CONCAT("'",$B214,"'","!","$N$2:$W$2")</f>
      </c>
      <c r="P214" s="2"/>
      <c r="Q214" s="2"/>
      <c r="R214" s="2"/>
      <c r="S214" s="2"/>
      <c r="T214" s="2"/>
      <c r="U214" s="2"/>
      <c r="V214" s="2"/>
      <c r="W214" s="2"/>
      <c r="X214" s="2"/>
      <c r="Y214" s="2"/>
    </row>
    <row x14ac:dyDescent="0.25" r="215" customHeight="1" ht="17.25">
      <c r="A215" s="10">
        <v>24</v>
      </c>
      <c r="B215" s="10">
        <v>2018</v>
      </c>
      <c r="C215" s="2" t="s">
        <v>128</v>
      </c>
      <c r="D215" s="23">
        <v>1</v>
      </c>
      <c r="E215" s="10">
        <v>900000</v>
      </c>
      <c r="F215" s="24">
        <v>0.9</v>
      </c>
      <c r="G215" s="23">
        <v>1</v>
      </c>
      <c r="H215" s="10">
        <v>10000000</v>
      </c>
      <c r="I215" s="23">
        <v>10</v>
      </c>
      <c r="J215" s="10">
        <v>6</v>
      </c>
      <c r="K215" s="24">
        <v>3.0010326356300006</v>
      </c>
      <c r="L215" s="24">
        <v>13.901032635630001</v>
      </c>
      <c r="M215" s="26">
        <f>_xlfn.CONCAT("'",$B215,"'","!","$N$3:$V$80")</f>
      </c>
      <c r="N215" s="26">
        <f>_xlfn.CONCAT("'",$B215,"'","!","$M$2:$M$80")</f>
      </c>
      <c r="O215" s="26">
        <f>_xlfn.CONCAT("'",$B215,"'","!","$N$2:$W$2")</f>
      </c>
      <c r="P215" s="2"/>
      <c r="Q215" s="2"/>
      <c r="R215" s="2"/>
      <c r="S215" s="2"/>
      <c r="T215" s="2"/>
      <c r="U215" s="2"/>
      <c r="V215" s="2"/>
      <c r="W215" s="2"/>
      <c r="X215" s="2"/>
      <c r="Y215" s="2"/>
    </row>
    <row x14ac:dyDescent="0.25" r="216" customHeight="1" ht="17.25">
      <c r="A216" s="10">
        <v>25</v>
      </c>
      <c r="B216" s="10">
        <v>2018</v>
      </c>
      <c r="C216" s="2" t="s">
        <v>129</v>
      </c>
      <c r="D216" s="23">
        <v>3</v>
      </c>
      <c r="E216" s="10">
        <v>89756031</v>
      </c>
      <c r="F216" s="24">
        <v>89.756031</v>
      </c>
      <c r="G216" s="23">
        <v>0</v>
      </c>
      <c r="H216" s="10">
        <v>0</v>
      </c>
      <c r="I216" s="23">
        <v>0</v>
      </c>
      <c r="J216" s="10">
        <v>0</v>
      </c>
      <c r="K216" s="23">
        <v>0</v>
      </c>
      <c r="L216" s="24">
        <v>89.756031</v>
      </c>
      <c r="M216" s="26">
        <f>_xlfn.CONCAT("'",$B216,"'","!","$N$3:$V$80")</f>
      </c>
      <c r="N216" s="26">
        <f>_xlfn.CONCAT("'",$B216,"'","!","$M$2:$M$80")</f>
      </c>
      <c r="O216" s="26">
        <f>_xlfn.CONCAT("'",$B216,"'","!","$N$2:$W$2")</f>
      </c>
      <c r="P216" s="2"/>
      <c r="Q216" s="2"/>
      <c r="R216" s="2"/>
      <c r="S216" s="2"/>
      <c r="T216" s="2"/>
      <c r="U216" s="2"/>
      <c r="V216" s="2"/>
      <c r="W216" s="2"/>
      <c r="X216" s="2"/>
      <c r="Y216" s="2"/>
    </row>
    <row x14ac:dyDescent="0.25" r="217" customHeight="1" ht="17.25">
      <c r="A217" s="10">
        <v>26</v>
      </c>
      <c r="B217" s="10">
        <v>2018</v>
      </c>
      <c r="C217" s="2" t="s">
        <v>130</v>
      </c>
      <c r="D217" s="23">
        <v>14</v>
      </c>
      <c r="E217" s="10">
        <v>387088987</v>
      </c>
      <c r="F217" s="24">
        <v>387.088987</v>
      </c>
      <c r="G217" s="23">
        <v>16</v>
      </c>
      <c r="H217" s="10">
        <v>33881873</v>
      </c>
      <c r="I217" s="24">
        <v>33.881873</v>
      </c>
      <c r="J217" s="10">
        <v>22</v>
      </c>
      <c r="K217" s="24">
        <v>24.508203396900004</v>
      </c>
      <c r="L217" s="24">
        <v>445.47906339689996</v>
      </c>
      <c r="M217" s="26">
        <f>_xlfn.CONCAT("'",$B217,"'","!","$N$3:$V$80")</f>
      </c>
      <c r="N217" s="26">
        <f>_xlfn.CONCAT("'",$B217,"'","!","$M$2:$M$80")</f>
      </c>
      <c r="O217" s="26">
        <f>_xlfn.CONCAT("'",$B217,"'","!","$N$2:$W$2")</f>
      </c>
      <c r="P217" s="2"/>
      <c r="Q217" s="2"/>
      <c r="R217" s="2"/>
      <c r="S217" s="2"/>
      <c r="T217" s="2"/>
      <c r="U217" s="2"/>
      <c r="V217" s="2"/>
      <c r="W217" s="2"/>
      <c r="X217" s="2"/>
      <c r="Y217" s="2"/>
    </row>
    <row x14ac:dyDescent="0.25" r="218" customHeight="1" ht="17.25">
      <c r="A218" s="10">
        <v>27</v>
      </c>
      <c r="B218" s="10">
        <v>2018</v>
      </c>
      <c r="C218" s="2" t="s">
        <v>131</v>
      </c>
      <c r="D218" s="23">
        <v>5</v>
      </c>
      <c r="E218" s="10">
        <v>13850000</v>
      </c>
      <c r="F218" s="24">
        <v>13.85</v>
      </c>
      <c r="G218" s="23">
        <v>1</v>
      </c>
      <c r="H218" s="10">
        <v>165000</v>
      </c>
      <c r="I218" s="24">
        <v>0.165</v>
      </c>
      <c r="J218" s="10">
        <v>3</v>
      </c>
      <c r="K218" s="24">
        <v>1.6201553555600001</v>
      </c>
      <c r="L218" s="24">
        <v>15.635155355559998</v>
      </c>
      <c r="M218" s="26">
        <f>_xlfn.CONCAT("'",$B218,"'","!","$N$3:$V$80")</f>
      </c>
      <c r="N218" s="26">
        <f>_xlfn.CONCAT("'",$B218,"'","!","$M$2:$M$80")</f>
      </c>
      <c r="O218" s="26">
        <f>_xlfn.CONCAT("'",$B218,"'","!","$N$2:$W$2")</f>
      </c>
      <c r="P218" s="2"/>
      <c r="Q218" s="2"/>
      <c r="R218" s="2"/>
      <c r="S218" s="2"/>
      <c r="T218" s="2"/>
      <c r="U218" s="2"/>
      <c r="V218" s="2"/>
      <c r="W218" s="2"/>
      <c r="X218" s="2"/>
      <c r="Y218" s="2"/>
    </row>
    <row x14ac:dyDescent="0.25" r="219" customHeight="1" ht="17.25">
      <c r="A219" s="10">
        <v>28</v>
      </c>
      <c r="B219" s="10">
        <v>2018</v>
      </c>
      <c r="C219" s="2" t="s">
        <v>132</v>
      </c>
      <c r="D219" s="23">
        <v>13</v>
      </c>
      <c r="E219" s="10">
        <v>96118842</v>
      </c>
      <c r="F219" s="24">
        <v>96.118842</v>
      </c>
      <c r="G219" s="23">
        <v>10</v>
      </c>
      <c r="H219" s="10">
        <v>60332158</v>
      </c>
      <c r="I219" s="24">
        <v>60.332158</v>
      </c>
      <c r="J219" s="10">
        <v>14</v>
      </c>
      <c r="K219" s="24">
        <v>8.88584133629</v>
      </c>
      <c r="L219" s="24">
        <v>165.33684133628998</v>
      </c>
      <c r="M219" s="26">
        <f>_xlfn.CONCAT("'",$B219,"'","!","$N$3:$V$80")</f>
      </c>
      <c r="N219" s="26">
        <f>_xlfn.CONCAT("'",$B219,"'","!","$M$2:$M$80")</f>
      </c>
      <c r="O219" s="26">
        <f>_xlfn.CONCAT("'",$B219,"'","!","$N$2:$W$2")</f>
      </c>
      <c r="P219" s="2"/>
      <c r="Q219" s="2"/>
      <c r="R219" s="2"/>
      <c r="S219" s="2"/>
      <c r="T219" s="2"/>
      <c r="U219" s="2"/>
      <c r="V219" s="2"/>
      <c r="W219" s="2"/>
      <c r="X219" s="2"/>
      <c r="Y219" s="2"/>
    </row>
    <row x14ac:dyDescent="0.25" r="220" customHeight="1" ht="17.25">
      <c r="A220" s="10">
        <v>29</v>
      </c>
      <c r="B220" s="10">
        <v>2018</v>
      </c>
      <c r="C220" s="2" t="s">
        <v>133</v>
      </c>
      <c r="D220" s="23">
        <v>11</v>
      </c>
      <c r="E220" s="10">
        <v>158999110</v>
      </c>
      <c r="F220" s="24">
        <v>158.99911</v>
      </c>
      <c r="G220" s="23">
        <v>5</v>
      </c>
      <c r="H220" s="10">
        <v>11038373</v>
      </c>
      <c r="I220" s="24">
        <v>11.038373</v>
      </c>
      <c r="J220" s="10">
        <v>2</v>
      </c>
      <c r="K220" s="24">
        <v>0.7166666666300001</v>
      </c>
      <c r="L220" s="24">
        <v>170.75414966663</v>
      </c>
      <c r="M220" s="26">
        <f>_xlfn.CONCAT("'",$B220,"'","!","$N$3:$V$80")</f>
      </c>
      <c r="N220" s="26">
        <f>_xlfn.CONCAT("'",$B220,"'","!","$M$2:$M$80")</f>
      </c>
      <c r="O220" s="26">
        <f>_xlfn.CONCAT("'",$B220,"'","!","$N$2:$W$2")</f>
      </c>
      <c r="P220" s="2"/>
      <c r="Q220" s="2"/>
      <c r="R220" s="2"/>
      <c r="S220" s="2"/>
      <c r="T220" s="2"/>
      <c r="U220" s="2"/>
      <c r="V220" s="2"/>
      <c r="W220" s="2"/>
      <c r="X220" s="2"/>
      <c r="Y220" s="2"/>
    </row>
    <row x14ac:dyDescent="0.25" r="221" customHeight="1" ht="17.25">
      <c r="A221" s="10">
        <v>30</v>
      </c>
      <c r="B221" s="10">
        <v>2018</v>
      </c>
      <c r="C221" s="2" t="s">
        <v>134</v>
      </c>
      <c r="D221" s="23">
        <v>16</v>
      </c>
      <c r="E221" s="10">
        <v>52417620</v>
      </c>
      <c r="F221" s="24">
        <v>52.41762</v>
      </c>
      <c r="G221" s="23">
        <v>2</v>
      </c>
      <c r="H221" s="10">
        <v>14300000</v>
      </c>
      <c r="I221" s="24">
        <v>14.3</v>
      </c>
      <c r="J221" s="10">
        <v>21</v>
      </c>
      <c r="K221" s="24">
        <v>297.95747975712004</v>
      </c>
      <c r="L221" s="24">
        <v>364.67509975712005</v>
      </c>
      <c r="M221" s="26">
        <f>_xlfn.CONCAT("'",$B221,"'","!","$N$3:$V$80")</f>
      </c>
      <c r="N221" s="26">
        <f>_xlfn.CONCAT("'",$B221,"'","!","$M$2:$M$80")</f>
      </c>
      <c r="O221" s="26">
        <f>_xlfn.CONCAT("'",$B221,"'","!","$N$2:$W$2")</f>
      </c>
      <c r="P221" s="2"/>
      <c r="Q221" s="2"/>
      <c r="R221" s="2"/>
      <c r="S221" s="2"/>
      <c r="T221" s="2"/>
      <c r="U221" s="2"/>
      <c r="V221" s="2"/>
      <c r="W221" s="2"/>
      <c r="X221" s="2"/>
      <c r="Y221" s="2"/>
    </row>
    <row x14ac:dyDescent="0.25" r="222" customHeight="1" ht="17.25">
      <c r="A222" s="10">
        <v>31</v>
      </c>
      <c r="B222" s="10">
        <v>2018</v>
      </c>
      <c r="C222" s="2" t="s">
        <v>135</v>
      </c>
      <c r="D222" s="23">
        <v>7</v>
      </c>
      <c r="E222" s="10">
        <v>385735268</v>
      </c>
      <c r="F222" s="24">
        <v>385.735268</v>
      </c>
      <c r="G222" s="23">
        <v>0</v>
      </c>
      <c r="H222" s="10">
        <v>0</v>
      </c>
      <c r="I222" s="23">
        <v>0</v>
      </c>
      <c r="J222" s="10">
        <v>12</v>
      </c>
      <c r="K222" s="24">
        <v>12.409848879506669</v>
      </c>
      <c r="L222" s="24">
        <v>398.1451168795067</v>
      </c>
      <c r="M222" s="26">
        <f>_xlfn.CONCAT("'",$B222,"'","!","$N$3:$V$80")</f>
      </c>
      <c r="N222" s="26">
        <f>_xlfn.CONCAT("'",$B222,"'","!","$M$2:$M$80")</f>
      </c>
      <c r="O222" s="26">
        <f>_xlfn.CONCAT("'",$B222,"'","!","$N$2:$W$2")</f>
      </c>
      <c r="P222" s="2"/>
      <c r="Q222" s="2"/>
      <c r="R222" s="2"/>
      <c r="S222" s="2"/>
      <c r="T222" s="2"/>
      <c r="U222" s="2"/>
      <c r="V222" s="2"/>
      <c r="W222" s="2"/>
      <c r="X222" s="2"/>
      <c r="Y222" s="2"/>
    </row>
    <row x14ac:dyDescent="0.25" r="223" customHeight="1" ht="17.25">
      <c r="A223" s="10">
        <v>32</v>
      </c>
      <c r="B223" s="10">
        <v>2018</v>
      </c>
      <c r="C223" s="2" t="s">
        <v>136</v>
      </c>
      <c r="D223" s="23">
        <v>14</v>
      </c>
      <c r="E223" s="10">
        <v>356337581</v>
      </c>
      <c r="F223" s="24">
        <v>356.337581</v>
      </c>
      <c r="G223" s="23">
        <v>1</v>
      </c>
      <c r="H223" s="10">
        <v>10000000</v>
      </c>
      <c r="I223" s="23">
        <v>10</v>
      </c>
      <c r="J223" s="10">
        <v>1</v>
      </c>
      <c r="K223" s="24">
        <v>0.04888888889</v>
      </c>
      <c r="L223" s="24">
        <v>366.38646988889</v>
      </c>
      <c r="M223" s="26">
        <f>_xlfn.CONCAT("'",$B223,"'","!","$N$3:$V$80")</f>
      </c>
      <c r="N223" s="26">
        <f>_xlfn.CONCAT("'",$B223,"'","!","$M$2:$M$80")</f>
      </c>
      <c r="O223" s="26">
        <f>_xlfn.CONCAT("'",$B223,"'","!","$N$2:$W$2")</f>
      </c>
      <c r="P223" s="2"/>
      <c r="Q223" s="2"/>
      <c r="R223" s="2"/>
      <c r="S223" s="2"/>
      <c r="T223" s="2"/>
      <c r="U223" s="2"/>
      <c r="V223" s="2"/>
      <c r="W223" s="2"/>
      <c r="X223" s="2"/>
      <c r="Y223" s="2"/>
    </row>
    <row x14ac:dyDescent="0.25" r="224" customHeight="1" ht="17.25">
      <c r="A224" s="10">
        <v>33</v>
      </c>
      <c r="B224" s="10">
        <v>2018</v>
      </c>
      <c r="C224" s="2" t="s">
        <v>137</v>
      </c>
      <c r="D224" s="23">
        <v>6</v>
      </c>
      <c r="E224" s="10">
        <v>31310575</v>
      </c>
      <c r="F224" s="24">
        <v>31.310575</v>
      </c>
      <c r="G224" s="23">
        <v>7</v>
      </c>
      <c r="H224" s="10">
        <v>10236893</v>
      </c>
      <c r="I224" s="24">
        <v>10.236893</v>
      </c>
      <c r="J224" s="10">
        <v>10</v>
      </c>
      <c r="K224" s="24">
        <v>14.516666771570003</v>
      </c>
      <c r="L224" s="24">
        <v>56.064134771570004</v>
      </c>
      <c r="M224" s="26">
        <f>_xlfn.CONCAT("'",$B224,"'","!","$N$3:$V$80")</f>
      </c>
      <c r="N224" s="26">
        <f>_xlfn.CONCAT("'",$B224,"'","!","$M$2:$M$80")</f>
      </c>
      <c r="O224" s="26">
        <f>_xlfn.CONCAT("'",$B224,"'","!","$N$2:$W$2")</f>
      </c>
      <c r="P224" s="2"/>
      <c r="Q224" s="2"/>
      <c r="R224" s="2"/>
      <c r="S224" s="2"/>
      <c r="T224" s="2"/>
      <c r="U224" s="2"/>
      <c r="V224" s="2"/>
      <c r="W224" s="2"/>
      <c r="X224" s="2"/>
      <c r="Y224" s="2"/>
    </row>
    <row x14ac:dyDescent="0.25" r="225" customHeight="1" ht="17.25">
      <c r="A225" s="10">
        <v>34</v>
      </c>
      <c r="B225" s="10">
        <v>2018</v>
      </c>
      <c r="C225" s="2" t="s">
        <v>138</v>
      </c>
      <c r="D225" s="23">
        <v>8</v>
      </c>
      <c r="E225" s="10">
        <v>98257753</v>
      </c>
      <c r="F225" s="24">
        <v>98.257753</v>
      </c>
      <c r="G225" s="23">
        <v>0</v>
      </c>
      <c r="H225" s="10">
        <v>0</v>
      </c>
      <c r="I225" s="23">
        <v>0</v>
      </c>
      <c r="J225" s="10">
        <v>13</v>
      </c>
      <c r="K225" s="24">
        <v>34.5023412114</v>
      </c>
      <c r="L225" s="24">
        <v>132.7600942114</v>
      </c>
      <c r="M225" s="26">
        <f>_xlfn.CONCAT("'",$B225,"'","!","$N$3:$V$80")</f>
      </c>
      <c r="N225" s="26">
        <f>_xlfn.CONCAT("'",$B225,"'","!","$M$2:$M$80")</f>
      </c>
      <c r="O225" s="26">
        <f>_xlfn.CONCAT("'",$B225,"'","!","$N$2:$W$2")</f>
      </c>
      <c r="P225" s="2"/>
      <c r="Q225" s="2"/>
      <c r="R225" s="2"/>
      <c r="S225" s="2"/>
      <c r="T225" s="2"/>
      <c r="U225" s="2"/>
      <c r="V225" s="2"/>
      <c r="W225" s="2"/>
      <c r="X225" s="2"/>
      <c r="Y225" s="2"/>
    </row>
    <row x14ac:dyDescent="0.25" r="226" customHeight="1" ht="17.25">
      <c r="A226" s="10">
        <v>35</v>
      </c>
      <c r="B226" s="10">
        <v>2018</v>
      </c>
      <c r="C226" s="2" t="s">
        <v>139</v>
      </c>
      <c r="D226" s="23">
        <v>2</v>
      </c>
      <c r="E226" s="10">
        <v>150158072</v>
      </c>
      <c r="F226" s="24">
        <v>150.158072</v>
      </c>
      <c r="G226" s="23">
        <v>0</v>
      </c>
      <c r="H226" s="10">
        <v>0</v>
      </c>
      <c r="I226" s="23">
        <v>0</v>
      </c>
      <c r="J226" s="10">
        <v>5</v>
      </c>
      <c r="K226" s="24">
        <v>0.66627200006668</v>
      </c>
      <c r="L226" s="24">
        <v>150.82434400006667</v>
      </c>
      <c r="M226" s="26">
        <f>_xlfn.CONCAT("'",$B226,"'","!","$N$3:$V$80")</f>
      </c>
      <c r="N226" s="26">
        <f>_xlfn.CONCAT("'",$B226,"'","!","$M$2:$M$80")</f>
      </c>
      <c r="O226" s="26">
        <f>_xlfn.CONCAT("'",$B226,"'","!","$N$2:$W$2")</f>
      </c>
      <c r="P226" s="2"/>
      <c r="Q226" s="2"/>
      <c r="R226" s="2"/>
      <c r="S226" s="2"/>
      <c r="T226" s="2"/>
      <c r="U226" s="2"/>
      <c r="V226" s="2"/>
      <c r="W226" s="2"/>
      <c r="X226" s="2"/>
      <c r="Y226" s="2"/>
    </row>
    <row x14ac:dyDescent="0.25" r="227" customHeight="1" ht="17.25">
      <c r="A227" s="10">
        <v>36</v>
      </c>
      <c r="B227" s="10">
        <v>2018</v>
      </c>
      <c r="C227" s="2" t="s">
        <v>140</v>
      </c>
      <c r="D227" s="23">
        <v>6</v>
      </c>
      <c r="E227" s="10">
        <v>4736842</v>
      </c>
      <c r="F227" s="24">
        <v>4.736842</v>
      </c>
      <c r="G227" s="23">
        <v>1</v>
      </c>
      <c r="H227" s="10">
        <v>30609422</v>
      </c>
      <c r="I227" s="24">
        <v>30.609422</v>
      </c>
      <c r="J227" s="10">
        <v>14</v>
      </c>
      <c r="K227" s="24">
        <v>2.0953074648600003</v>
      </c>
      <c r="L227" s="24">
        <v>37.44157146486</v>
      </c>
      <c r="M227" s="26">
        <f>_xlfn.CONCAT("'",$B227,"'","!","$N$3:$V$80")</f>
      </c>
      <c r="N227" s="26">
        <f>_xlfn.CONCAT("'",$B227,"'","!","$M$2:$M$80")</f>
      </c>
      <c r="O227" s="26">
        <f>_xlfn.CONCAT("'",$B227,"'","!","$N$2:$W$2")</f>
      </c>
      <c r="P227" s="2"/>
      <c r="Q227" s="2"/>
      <c r="R227" s="2"/>
      <c r="S227" s="2"/>
      <c r="T227" s="2"/>
      <c r="U227" s="2"/>
      <c r="V227" s="2"/>
      <c r="W227" s="2"/>
      <c r="X227" s="2"/>
      <c r="Y227" s="2"/>
    </row>
    <row x14ac:dyDescent="0.25" r="228" customHeight="1" ht="17.25">
      <c r="A228" s="10">
        <v>37</v>
      </c>
      <c r="B228" s="10">
        <v>2018</v>
      </c>
      <c r="C228" s="2" t="s">
        <v>141</v>
      </c>
      <c r="D228" s="23">
        <v>2</v>
      </c>
      <c r="E228" s="10">
        <v>319111</v>
      </c>
      <c r="F228" s="24">
        <v>0.319111</v>
      </c>
      <c r="G228" s="23">
        <v>0</v>
      </c>
      <c r="H228" s="10">
        <v>0</v>
      </c>
      <c r="I228" s="23">
        <v>0</v>
      </c>
      <c r="J228" s="10">
        <v>4</v>
      </c>
      <c r="K228" s="24">
        <v>1.8906527952</v>
      </c>
      <c r="L228" s="24">
        <v>2.2097637952</v>
      </c>
      <c r="M228" s="26">
        <f>_xlfn.CONCAT("'",$B228,"'","!","$N$3:$V$80")</f>
      </c>
      <c r="N228" s="26">
        <f>_xlfn.CONCAT("'",$B228,"'","!","$M$2:$M$80")</f>
      </c>
      <c r="O228" s="26">
        <f>_xlfn.CONCAT("'",$B228,"'","!","$N$2:$W$2")</f>
      </c>
      <c r="P228" s="2"/>
      <c r="Q228" s="2"/>
      <c r="R228" s="2"/>
      <c r="S228" s="2"/>
      <c r="T228" s="2"/>
      <c r="U228" s="2"/>
      <c r="V228" s="2"/>
      <c r="W228" s="2"/>
      <c r="X228" s="2"/>
      <c r="Y228" s="2"/>
    </row>
    <row x14ac:dyDescent="0.25" r="229" customHeight="1" ht="17.25">
      <c r="A229" s="10">
        <v>38</v>
      </c>
      <c r="B229" s="10">
        <v>2018</v>
      </c>
      <c r="C229" s="2" t="s">
        <v>142</v>
      </c>
      <c r="D229" s="23">
        <v>2</v>
      </c>
      <c r="E229" s="10">
        <v>13070250</v>
      </c>
      <c r="F229" s="24">
        <v>13.07025</v>
      </c>
      <c r="G229" s="23">
        <v>2</v>
      </c>
      <c r="H229" s="10">
        <v>18497583</v>
      </c>
      <c r="I229" s="24">
        <v>18.497583</v>
      </c>
      <c r="J229" s="10">
        <v>3</v>
      </c>
      <c r="K229" s="24">
        <v>0.133337777744444</v>
      </c>
      <c r="L229" s="24">
        <v>31.701170777744444</v>
      </c>
      <c r="M229" s="26">
        <f>_xlfn.CONCAT("'",$B229,"'","!","$N$3:$V$80")</f>
      </c>
      <c r="N229" s="26">
        <f>_xlfn.CONCAT("'",$B229,"'","!","$M$2:$M$80")</f>
      </c>
      <c r="O229" s="26">
        <f>_xlfn.CONCAT("'",$B229,"'","!","$N$2:$W$2")</f>
      </c>
      <c r="P229" s="2"/>
      <c r="Q229" s="2"/>
      <c r="R229" s="2"/>
      <c r="S229" s="2"/>
      <c r="T229" s="2"/>
      <c r="U229" s="2"/>
      <c r="V229" s="2"/>
      <c r="W229" s="2"/>
      <c r="X229" s="2"/>
      <c r="Y229" s="2"/>
    </row>
    <row x14ac:dyDescent="0.25" r="230" customHeight="1" ht="17.25">
      <c r="A230" s="10">
        <v>39</v>
      </c>
      <c r="B230" s="10">
        <v>2018</v>
      </c>
      <c r="C230" s="2" t="s">
        <v>143</v>
      </c>
      <c r="D230" s="23">
        <v>1</v>
      </c>
      <c r="E230" s="10">
        <v>48752475</v>
      </c>
      <c r="F230" s="24">
        <v>48.752475</v>
      </c>
      <c r="G230" s="23">
        <v>0</v>
      </c>
      <c r="H230" s="10">
        <v>0</v>
      </c>
      <c r="I230" s="23">
        <v>0</v>
      </c>
      <c r="J230" s="10">
        <v>0</v>
      </c>
      <c r="K230" s="23">
        <v>0</v>
      </c>
      <c r="L230" s="24">
        <v>48.752475</v>
      </c>
      <c r="M230" s="26">
        <f>_xlfn.CONCAT("'",$B230,"'","!","$N$3:$V$80")</f>
      </c>
      <c r="N230" s="26">
        <f>_xlfn.CONCAT("'",$B230,"'","!","$M$2:$M$80")</f>
      </c>
      <c r="O230" s="26">
        <f>_xlfn.CONCAT("'",$B230,"'","!","$N$2:$W$2")</f>
      </c>
      <c r="P230" s="2"/>
      <c r="Q230" s="2"/>
      <c r="R230" s="2"/>
      <c r="S230" s="2"/>
      <c r="T230" s="2"/>
      <c r="U230" s="2"/>
      <c r="V230" s="2"/>
      <c r="W230" s="2"/>
      <c r="X230" s="2"/>
      <c r="Y230" s="2"/>
    </row>
    <row x14ac:dyDescent="0.25" r="231" customHeight="1" ht="17.25">
      <c r="A231" s="10">
        <v>40</v>
      </c>
      <c r="B231" s="10">
        <v>2018</v>
      </c>
      <c r="C231" s="2" t="s">
        <v>144</v>
      </c>
      <c r="D231" s="23">
        <v>0</v>
      </c>
      <c r="E231" s="10">
        <v>0</v>
      </c>
      <c r="F231" s="23">
        <v>0</v>
      </c>
      <c r="G231" s="23">
        <v>1</v>
      </c>
      <c r="H231" s="10">
        <v>900000</v>
      </c>
      <c r="I231" s="24">
        <v>0.9</v>
      </c>
      <c r="J231" s="10">
        <v>2</v>
      </c>
      <c r="K231" s="24">
        <v>1.1976538399999999</v>
      </c>
      <c r="L231" s="24">
        <v>2.09765384</v>
      </c>
      <c r="M231" s="26">
        <f>_xlfn.CONCAT("'",$B231,"'","!","$N$3:$V$80")</f>
      </c>
      <c r="N231" s="26">
        <f>_xlfn.CONCAT("'",$B231,"'","!","$M$2:$M$80")</f>
      </c>
      <c r="O231" s="26">
        <f>_xlfn.CONCAT("'",$B231,"'","!","$N$2:$W$2")</f>
      </c>
      <c r="P231" s="2"/>
      <c r="Q231" s="2"/>
      <c r="R231" s="2"/>
      <c r="S231" s="2"/>
      <c r="T231" s="2"/>
      <c r="U231" s="2"/>
      <c r="V231" s="2"/>
      <c r="W231" s="2"/>
      <c r="X231" s="2"/>
      <c r="Y231" s="2"/>
    </row>
    <row x14ac:dyDescent="0.25" r="232" customHeight="1" ht="17.25">
      <c r="A232" s="10">
        <v>41</v>
      </c>
      <c r="B232" s="10">
        <v>2018</v>
      </c>
      <c r="C232" s="2" t="s">
        <v>145</v>
      </c>
      <c r="D232" s="23">
        <v>10</v>
      </c>
      <c r="E232" s="10">
        <v>103161301</v>
      </c>
      <c r="F232" s="24">
        <v>103.161301</v>
      </c>
      <c r="G232" s="23">
        <v>14</v>
      </c>
      <c r="H232" s="10">
        <v>106182000</v>
      </c>
      <c r="I232" s="24">
        <v>106.182</v>
      </c>
      <c r="J232" s="10">
        <v>9</v>
      </c>
      <c r="K232" s="24">
        <v>37.620386552730004</v>
      </c>
      <c r="L232" s="24">
        <v>246.96368755273</v>
      </c>
      <c r="M232" s="26">
        <f>_xlfn.CONCAT("'",$B232,"'","!","$N$3:$V$80")</f>
      </c>
      <c r="N232" s="26">
        <f>_xlfn.CONCAT("'",$B232,"'","!","$M$2:$M$80")</f>
      </c>
      <c r="O232" s="26">
        <f>_xlfn.CONCAT("'",$B232,"'","!","$N$2:$W$2")</f>
      </c>
      <c r="P232" s="2"/>
      <c r="Q232" s="2"/>
      <c r="R232" s="2"/>
      <c r="S232" s="2"/>
      <c r="T232" s="2"/>
      <c r="U232" s="2"/>
      <c r="V232" s="2"/>
      <c r="W232" s="2"/>
      <c r="X232" s="2"/>
      <c r="Y232" s="2"/>
    </row>
    <row x14ac:dyDescent="0.25" r="233" customHeight="1" ht="17.25">
      <c r="A233" s="10">
        <v>42</v>
      </c>
      <c r="B233" s="10">
        <v>2018</v>
      </c>
      <c r="C233" s="2" t="s">
        <v>146</v>
      </c>
      <c r="D233" s="23">
        <v>59</v>
      </c>
      <c r="E233" s="10">
        <v>268450247</v>
      </c>
      <c r="F233" s="24">
        <v>268.450247</v>
      </c>
      <c r="G233" s="23">
        <v>5</v>
      </c>
      <c r="H233" s="10">
        <v>87195239</v>
      </c>
      <c r="I233" s="24">
        <v>87.195239</v>
      </c>
      <c r="J233" s="10">
        <v>61</v>
      </c>
      <c r="K233" s="24">
        <v>29.538277249431005</v>
      </c>
      <c r="L233" s="24">
        <v>385.183763249431</v>
      </c>
      <c r="M233" s="26">
        <f>_xlfn.CONCAT("'",$B233,"'","!","$N$3:$V$80")</f>
      </c>
      <c r="N233" s="26">
        <f>_xlfn.CONCAT("'",$B233,"'","!","$M$2:$M$80")</f>
      </c>
      <c r="O233" s="26">
        <f>_xlfn.CONCAT("'",$B233,"'","!","$N$2:$W$2")</f>
      </c>
      <c r="P233" s="2"/>
      <c r="Q233" s="2"/>
      <c r="R233" s="2"/>
      <c r="S233" s="2"/>
      <c r="T233" s="2"/>
      <c r="U233" s="2"/>
      <c r="V233" s="2"/>
      <c r="W233" s="2"/>
      <c r="X233" s="2"/>
      <c r="Y233" s="2"/>
    </row>
    <row x14ac:dyDescent="0.25" r="234" customHeight="1" ht="17.25">
      <c r="A234" s="10">
        <v>43</v>
      </c>
      <c r="B234" s="10">
        <v>2018</v>
      </c>
      <c r="C234" s="2" t="s">
        <v>147</v>
      </c>
      <c r="D234" s="23">
        <v>7</v>
      </c>
      <c r="E234" s="10">
        <v>8197943</v>
      </c>
      <c r="F234" s="24">
        <v>8.197943</v>
      </c>
      <c r="G234" s="23">
        <v>5</v>
      </c>
      <c r="H234" s="10">
        <v>4650000</v>
      </c>
      <c r="I234" s="24">
        <v>4.65</v>
      </c>
      <c r="J234" s="10">
        <v>43</v>
      </c>
      <c r="K234" s="24">
        <v>78.0513504367</v>
      </c>
      <c r="L234" s="24">
        <v>90.8992934367</v>
      </c>
      <c r="M234" s="26">
        <f>_xlfn.CONCAT("'",$B234,"'","!","$N$3:$V$80")</f>
      </c>
      <c r="N234" s="26">
        <f>_xlfn.CONCAT("'",$B234,"'","!","$M$2:$M$80")</f>
      </c>
      <c r="O234" s="26">
        <f>_xlfn.CONCAT("'",$B234,"'","!","$N$2:$W$2")</f>
      </c>
      <c r="P234" s="2"/>
      <c r="Q234" s="2"/>
      <c r="R234" s="2"/>
      <c r="S234" s="2"/>
      <c r="T234" s="2"/>
      <c r="U234" s="2"/>
      <c r="V234" s="2"/>
      <c r="W234" s="2"/>
      <c r="X234" s="2"/>
      <c r="Y234" s="2"/>
    </row>
    <row x14ac:dyDescent="0.25" r="235" customHeight="1" ht="17.25">
      <c r="A235" s="10">
        <v>44</v>
      </c>
      <c r="B235" s="10">
        <v>2018</v>
      </c>
      <c r="C235" s="2" t="s">
        <v>148</v>
      </c>
      <c r="D235" s="23">
        <v>1</v>
      </c>
      <c r="E235" s="10">
        <v>1000000</v>
      </c>
      <c r="F235" s="23">
        <v>1</v>
      </c>
      <c r="G235" s="23">
        <v>0</v>
      </c>
      <c r="H235" s="10">
        <v>0</v>
      </c>
      <c r="I235" s="23">
        <v>0</v>
      </c>
      <c r="J235" s="10">
        <v>9</v>
      </c>
      <c r="K235" s="24">
        <v>7.235597666700001</v>
      </c>
      <c r="L235" s="24">
        <v>8.235597666700002</v>
      </c>
      <c r="M235" s="26">
        <f>_xlfn.CONCAT("'",$B235,"'","!","$N$3:$V$80")</f>
      </c>
      <c r="N235" s="26">
        <f>_xlfn.CONCAT("'",$B235,"'","!","$M$2:$M$80")</f>
      </c>
      <c r="O235" s="26">
        <f>_xlfn.CONCAT("'",$B235,"'","!","$N$2:$W$2")</f>
      </c>
      <c r="P235" s="2"/>
      <c r="Q235" s="2"/>
      <c r="R235" s="2"/>
      <c r="S235" s="2"/>
      <c r="T235" s="2"/>
      <c r="U235" s="2"/>
      <c r="V235" s="2"/>
      <c r="W235" s="2"/>
      <c r="X235" s="2"/>
      <c r="Y235" s="2"/>
    </row>
    <row x14ac:dyDescent="0.25" r="236" customHeight="1" ht="17.25">
      <c r="A236" s="10">
        <v>45</v>
      </c>
      <c r="B236" s="10">
        <v>2018</v>
      </c>
      <c r="C236" s="2" t="s">
        <v>149</v>
      </c>
      <c r="D236" s="23">
        <v>102</v>
      </c>
      <c r="E236" s="10">
        <v>267962115</v>
      </c>
      <c r="F236" s="24">
        <v>267.962115</v>
      </c>
      <c r="G236" s="23">
        <v>9</v>
      </c>
      <c r="H236" s="10">
        <v>1102725</v>
      </c>
      <c r="I236" s="24">
        <v>1.102725</v>
      </c>
      <c r="J236" s="10">
        <v>180</v>
      </c>
      <c r="K236" s="24">
        <v>42.744157609056295</v>
      </c>
      <c r="L236" s="24">
        <v>311.8089976090563</v>
      </c>
      <c r="M236" s="26">
        <f>_xlfn.CONCAT("'",$B236,"'","!","$N$3:$V$80")</f>
      </c>
      <c r="N236" s="26">
        <f>_xlfn.CONCAT("'",$B236,"'","!","$M$2:$M$80")</f>
      </c>
      <c r="O236" s="26">
        <f>_xlfn.CONCAT("'",$B236,"'","!","$N$2:$W$2")</f>
      </c>
      <c r="P236" s="2"/>
      <c r="Q236" s="2"/>
      <c r="R236" s="2"/>
      <c r="S236" s="2"/>
      <c r="T236" s="2"/>
      <c r="U236" s="2"/>
      <c r="V236" s="2"/>
      <c r="W236" s="2"/>
      <c r="X236" s="2"/>
      <c r="Y236" s="2"/>
    </row>
    <row x14ac:dyDescent="0.25" r="237" customHeight="1" ht="17.25">
      <c r="A237" s="10">
        <v>46</v>
      </c>
      <c r="B237" s="10">
        <v>2018</v>
      </c>
      <c r="C237" s="2" t="s">
        <v>150</v>
      </c>
      <c r="D237" s="23">
        <v>2</v>
      </c>
      <c r="E237" s="10">
        <v>444086</v>
      </c>
      <c r="F237" s="24">
        <v>0.444086</v>
      </c>
      <c r="G237" s="23">
        <v>0</v>
      </c>
      <c r="H237" s="10">
        <v>0</v>
      </c>
      <c r="I237" s="23">
        <v>0</v>
      </c>
      <c r="J237" s="10">
        <v>2</v>
      </c>
      <c r="K237" s="24">
        <v>0.19760000002</v>
      </c>
      <c r="L237" s="24">
        <v>0.64168600002</v>
      </c>
      <c r="M237" s="26">
        <f>_xlfn.CONCAT("'",$B237,"'","!","$N$3:$V$80")</f>
      </c>
      <c r="N237" s="26">
        <f>_xlfn.CONCAT("'",$B237,"'","!","$M$2:$M$80")</f>
      </c>
      <c r="O237" s="26">
        <f>_xlfn.CONCAT("'",$B237,"'","!","$N$2:$W$2")</f>
      </c>
      <c r="P237" s="2"/>
      <c r="Q237" s="2"/>
      <c r="R237" s="2"/>
      <c r="S237" s="2"/>
      <c r="T237" s="2"/>
      <c r="U237" s="2"/>
      <c r="V237" s="2"/>
      <c r="W237" s="2"/>
      <c r="X237" s="2"/>
      <c r="Y237" s="2"/>
    </row>
    <row x14ac:dyDescent="0.25" r="238" customHeight="1" ht="17.25">
      <c r="A238" s="10">
        <v>47</v>
      </c>
      <c r="B238" s="10">
        <v>2018</v>
      </c>
      <c r="C238" s="2" t="s">
        <v>151</v>
      </c>
      <c r="D238" s="23">
        <v>5</v>
      </c>
      <c r="E238" s="10">
        <v>24682000</v>
      </c>
      <c r="F238" s="24">
        <v>24.682</v>
      </c>
      <c r="G238" s="23">
        <v>0</v>
      </c>
      <c r="H238" s="10">
        <v>0</v>
      </c>
      <c r="I238" s="23">
        <v>0</v>
      </c>
      <c r="J238" s="10">
        <v>3</v>
      </c>
      <c r="K238" s="24">
        <v>0.99969033736</v>
      </c>
      <c r="L238" s="24">
        <v>25.68169033736</v>
      </c>
      <c r="M238" s="26">
        <f>_xlfn.CONCAT("'",$B238,"'","!","$N$3:$V$80")</f>
      </c>
      <c r="N238" s="26">
        <f>_xlfn.CONCAT("'",$B238,"'","!","$M$2:$M$80")</f>
      </c>
      <c r="O238" s="26">
        <f>_xlfn.CONCAT("'",$B238,"'","!","$N$2:$W$2")</f>
      </c>
      <c r="P238" s="2"/>
      <c r="Q238" s="2"/>
      <c r="R238" s="2"/>
      <c r="S238" s="2"/>
      <c r="T238" s="2"/>
      <c r="U238" s="2"/>
      <c r="V238" s="2"/>
      <c r="W238" s="2"/>
      <c r="X238" s="2"/>
      <c r="Y238" s="2"/>
    </row>
    <row x14ac:dyDescent="0.25" r="239" customHeight="1" ht="17.25">
      <c r="A239" s="10">
        <v>48</v>
      </c>
      <c r="B239" s="10">
        <v>2018</v>
      </c>
      <c r="C239" s="2" t="s">
        <v>152</v>
      </c>
      <c r="D239" s="23">
        <v>1</v>
      </c>
      <c r="E239" s="10">
        <v>2898000</v>
      </c>
      <c r="F239" s="24">
        <v>2.898</v>
      </c>
      <c r="G239" s="23">
        <v>1</v>
      </c>
      <c r="H239" s="10">
        <v>3000000</v>
      </c>
      <c r="I239" s="23">
        <v>3</v>
      </c>
      <c r="J239" s="10">
        <v>0</v>
      </c>
      <c r="K239" s="23">
        <v>0</v>
      </c>
      <c r="L239" s="24">
        <v>5.898</v>
      </c>
      <c r="M239" s="26">
        <f>_xlfn.CONCAT("'",$B239,"'","!","$N$3:$V$80")</f>
      </c>
      <c r="N239" s="26">
        <f>_xlfn.CONCAT("'",$B239,"'","!","$M$2:$M$80")</f>
      </c>
      <c r="O239" s="26">
        <f>_xlfn.CONCAT("'",$B239,"'","!","$N$2:$W$2")</f>
      </c>
      <c r="P239" s="2"/>
      <c r="Q239" s="2"/>
      <c r="R239" s="2"/>
      <c r="S239" s="2"/>
      <c r="T239" s="2"/>
      <c r="U239" s="2"/>
      <c r="V239" s="2"/>
      <c r="W239" s="2"/>
      <c r="X239" s="2"/>
      <c r="Y239" s="2"/>
    </row>
    <row x14ac:dyDescent="0.25" r="240" customHeight="1" ht="17.25">
      <c r="A240" s="10">
        <v>49</v>
      </c>
      <c r="B240" s="10">
        <v>2018</v>
      </c>
      <c r="C240" s="2" t="s">
        <v>153</v>
      </c>
      <c r="D240" s="23">
        <v>1</v>
      </c>
      <c r="E240" s="10">
        <v>1000000</v>
      </c>
      <c r="F240" s="23">
        <v>1</v>
      </c>
      <c r="G240" s="23">
        <v>0</v>
      </c>
      <c r="H240" s="10">
        <v>0</v>
      </c>
      <c r="I240" s="23">
        <v>0</v>
      </c>
      <c r="J240" s="10">
        <v>4</v>
      </c>
      <c r="K240" s="24">
        <v>6.3462086667</v>
      </c>
      <c r="L240" s="24">
        <v>7.3462086667</v>
      </c>
      <c r="M240" s="26">
        <f>_xlfn.CONCAT("'",$B240,"'","!","$N$3:$V$80")</f>
      </c>
      <c r="N240" s="26">
        <f>_xlfn.CONCAT("'",$B240,"'","!","$M$2:$M$80")</f>
      </c>
      <c r="O240" s="26">
        <f>_xlfn.CONCAT("'",$B240,"'","!","$N$2:$W$2")</f>
      </c>
      <c r="P240" s="2"/>
      <c r="Q240" s="2"/>
      <c r="R240" s="2"/>
      <c r="S240" s="2"/>
      <c r="T240" s="2"/>
      <c r="U240" s="2"/>
      <c r="V240" s="2"/>
      <c r="W240" s="2"/>
      <c r="X240" s="2"/>
      <c r="Y240" s="2"/>
    </row>
    <row x14ac:dyDescent="0.25" r="241" customHeight="1" ht="17.25">
      <c r="A241" s="10">
        <v>50</v>
      </c>
      <c r="B241" s="10">
        <v>2018</v>
      </c>
      <c r="C241" s="2" t="s">
        <v>154</v>
      </c>
      <c r="D241" s="23">
        <v>2</v>
      </c>
      <c r="E241" s="10">
        <v>5400000</v>
      </c>
      <c r="F241" s="24">
        <v>5.4</v>
      </c>
      <c r="G241" s="23">
        <v>2</v>
      </c>
      <c r="H241" s="10">
        <v>369994</v>
      </c>
      <c r="I241" s="24">
        <v>0.369994</v>
      </c>
      <c r="J241" s="10">
        <v>34</v>
      </c>
      <c r="K241" s="24">
        <v>4.65154554444</v>
      </c>
      <c r="L241" s="24">
        <v>10.421539544440002</v>
      </c>
      <c r="M241" s="26">
        <f>_xlfn.CONCAT("'",$B241,"'","!","$N$3:$V$80")</f>
      </c>
      <c r="N241" s="26">
        <f>_xlfn.CONCAT("'",$B241,"'","!","$M$2:$M$80")</f>
      </c>
      <c r="O241" s="26">
        <f>_xlfn.CONCAT("'",$B241,"'","!","$N$2:$W$2")</f>
      </c>
      <c r="P241" s="2"/>
      <c r="Q241" s="2"/>
      <c r="R241" s="2"/>
      <c r="S241" s="2"/>
      <c r="T241" s="2"/>
      <c r="U241" s="2"/>
      <c r="V241" s="2"/>
      <c r="W241" s="2"/>
      <c r="X241" s="2"/>
      <c r="Y241" s="2"/>
    </row>
    <row x14ac:dyDescent="0.25" r="242" customHeight="1" ht="17.25">
      <c r="A242" s="10">
        <v>51</v>
      </c>
      <c r="B242" s="10">
        <v>2018</v>
      </c>
      <c r="C242" s="2" t="s">
        <v>155</v>
      </c>
      <c r="D242" s="30" t="s">
        <v>16</v>
      </c>
      <c r="E242" s="5" t="s">
        <v>16</v>
      </c>
      <c r="F242" s="25" t="s">
        <v>16</v>
      </c>
      <c r="G242" s="30" t="s">
        <v>16</v>
      </c>
      <c r="H242" s="5" t="s">
        <v>16</v>
      </c>
      <c r="I242" s="25" t="s">
        <v>16</v>
      </c>
      <c r="J242" s="5" t="s">
        <v>16</v>
      </c>
      <c r="K242" s="25" t="s">
        <v>16</v>
      </c>
      <c r="L242" s="25" t="s">
        <v>16</v>
      </c>
      <c r="M242" s="26">
        <f>_xlfn.CONCAT("'",$B242,"'","!","$N$3:$V$80")</f>
      </c>
      <c r="N242" s="26">
        <f>_xlfn.CONCAT("'",$B242,"'","!","$M$2:$M$80")</f>
      </c>
      <c r="O242" s="26">
        <f>_xlfn.CONCAT("'",$B242,"'","!","$N$2:$W$2")</f>
      </c>
      <c r="P242" s="2"/>
      <c r="Q242" s="2"/>
      <c r="R242" s="2"/>
      <c r="S242" s="2"/>
      <c r="T242" s="2"/>
      <c r="U242" s="2"/>
      <c r="V242" s="2"/>
      <c r="W242" s="2"/>
      <c r="X242" s="2"/>
      <c r="Y242" s="2"/>
    </row>
    <row x14ac:dyDescent="0.25" r="243" customHeight="1" ht="17.25">
      <c r="A243" s="10">
        <v>52</v>
      </c>
      <c r="B243" s="10">
        <v>2018</v>
      </c>
      <c r="C243" s="2" t="s">
        <v>156</v>
      </c>
      <c r="D243" s="23">
        <v>1</v>
      </c>
      <c r="E243" s="10">
        <v>21369965</v>
      </c>
      <c r="F243" s="24">
        <v>21.369965</v>
      </c>
      <c r="G243" s="23">
        <v>1</v>
      </c>
      <c r="H243" s="10">
        <v>3630035</v>
      </c>
      <c r="I243" s="24">
        <v>3.630035</v>
      </c>
      <c r="J243" s="10">
        <v>5</v>
      </c>
      <c r="K243" s="24">
        <v>1.587762</v>
      </c>
      <c r="L243" s="24">
        <v>26.587762</v>
      </c>
      <c r="M243" s="26">
        <f>_xlfn.CONCAT("'",$B243,"'","!","$N$3:$V$80")</f>
      </c>
      <c r="N243" s="26">
        <f>_xlfn.CONCAT("'",$B243,"'","!","$M$2:$M$80")</f>
      </c>
      <c r="O243" s="26">
        <f>_xlfn.CONCAT("'",$B243,"'","!","$N$2:$W$2")</f>
      </c>
      <c r="P243" s="2"/>
      <c r="Q243" s="2"/>
      <c r="R243" s="2"/>
      <c r="S243" s="2"/>
      <c r="T243" s="2"/>
      <c r="U243" s="2"/>
      <c r="V243" s="2"/>
      <c r="W243" s="2"/>
      <c r="X243" s="2"/>
      <c r="Y243" s="2"/>
    </row>
    <row x14ac:dyDescent="0.25" r="244" customHeight="1" ht="17.25">
      <c r="A244" s="10">
        <v>53</v>
      </c>
      <c r="B244" s="10">
        <v>2018</v>
      </c>
      <c r="C244" s="2" t="s">
        <v>157</v>
      </c>
      <c r="D244" s="23">
        <v>1</v>
      </c>
      <c r="E244" s="10">
        <v>2000000</v>
      </c>
      <c r="F244" s="23">
        <v>2</v>
      </c>
      <c r="G244" s="23">
        <v>1</v>
      </c>
      <c r="H244" s="10">
        <v>9000000</v>
      </c>
      <c r="I244" s="23">
        <v>9</v>
      </c>
      <c r="J244" s="10">
        <v>0</v>
      </c>
      <c r="K244" s="23">
        <v>0</v>
      </c>
      <c r="L244" s="23">
        <v>11</v>
      </c>
      <c r="M244" s="26">
        <f>_xlfn.CONCAT("'",$B244,"'","!","$N$3:$V$80")</f>
      </c>
      <c r="N244" s="26">
        <f>_xlfn.CONCAT("'",$B244,"'","!","$M$2:$M$80")</f>
      </c>
      <c r="O244" s="26">
        <f>_xlfn.CONCAT("'",$B244,"'","!","$N$2:$W$2")</f>
      </c>
      <c r="P244" s="2"/>
      <c r="Q244" s="2"/>
      <c r="R244" s="2"/>
      <c r="S244" s="2"/>
      <c r="T244" s="2"/>
      <c r="U244" s="2"/>
      <c r="V244" s="2"/>
      <c r="W244" s="2"/>
      <c r="X244" s="2"/>
      <c r="Y244" s="2"/>
    </row>
    <row x14ac:dyDescent="0.25" r="245" customHeight="1" ht="17.25">
      <c r="A245" s="10">
        <v>54</v>
      </c>
      <c r="B245" s="10">
        <v>2018</v>
      </c>
      <c r="C245" s="2" t="s">
        <v>158</v>
      </c>
      <c r="D245" s="23">
        <v>3046</v>
      </c>
      <c r="E245" s="11">
        <v>17976172492.36</v>
      </c>
      <c r="F245" s="24">
        <v>17976.172492359998</v>
      </c>
      <c r="G245" s="23">
        <v>1169</v>
      </c>
      <c r="H245" s="11">
        <v>7596654907.561055</v>
      </c>
      <c r="I245" s="24">
        <v>7596.654907561054</v>
      </c>
      <c r="J245" s="10">
        <v>6496</v>
      </c>
      <c r="K245" s="24">
        <v>9892.728230266963</v>
      </c>
      <c r="L245" s="24">
        <v>35465.555630188006</v>
      </c>
      <c r="M245" s="26">
        <f>_xlfn.CONCAT("'",$B245,"'","!","$N$3:$V$80")</f>
      </c>
      <c r="N245" s="26">
        <f>_xlfn.CONCAT("'",$B245,"'","!","$M$2:$M$80")</f>
      </c>
      <c r="O245" s="26">
        <f>_xlfn.CONCAT("'",$B245,"'","!","$N$2:$W$2")</f>
      </c>
      <c r="P245" s="2"/>
      <c r="Q245" s="2"/>
      <c r="R245" s="2"/>
      <c r="S245" s="2"/>
      <c r="T245" s="2"/>
      <c r="U245" s="2"/>
      <c r="V245" s="2"/>
      <c r="W245" s="2"/>
      <c r="X245" s="2"/>
      <c r="Y245" s="2"/>
    </row>
    <row x14ac:dyDescent="0.25" r="246" customHeight="1" ht="17.25">
      <c r="A246" s="10">
        <v>55</v>
      </c>
      <c r="B246" s="10">
        <v>2018</v>
      </c>
      <c r="C246" s="2" t="s">
        <v>159</v>
      </c>
      <c r="D246" s="23">
        <v>0</v>
      </c>
      <c r="E246" s="10">
        <v>0</v>
      </c>
      <c r="F246" s="23">
        <v>0</v>
      </c>
      <c r="G246" s="23">
        <v>0</v>
      </c>
      <c r="H246" s="10">
        <v>0</v>
      </c>
      <c r="I246" s="23">
        <v>0</v>
      </c>
      <c r="J246" s="10">
        <v>1</v>
      </c>
      <c r="K246" s="24">
        <v>0.7066666666999999</v>
      </c>
      <c r="L246" s="24">
        <v>0.7066666666999999</v>
      </c>
      <c r="M246" s="26">
        <f>_xlfn.CONCAT("'",$B246,"'","!","$N$3:$V$80")</f>
      </c>
      <c r="N246" s="26">
        <f>_xlfn.CONCAT("'",$B246,"'","!","$M$2:$M$80")</f>
      </c>
      <c r="O246" s="26">
        <f>_xlfn.CONCAT("'",$B246,"'","!","$N$2:$W$2")</f>
      </c>
      <c r="P246" s="2"/>
      <c r="Q246" s="2"/>
      <c r="R246" s="2"/>
      <c r="S246" s="2"/>
      <c r="T246" s="2"/>
      <c r="U246" s="2"/>
      <c r="V246" s="2"/>
      <c r="W246" s="2"/>
      <c r="X246" s="2"/>
      <c r="Y246" s="2"/>
    </row>
    <row x14ac:dyDescent="0.25" r="247" customHeight="1" ht="17.25">
      <c r="A247" s="10">
        <v>56</v>
      </c>
      <c r="B247" s="10">
        <v>2018</v>
      </c>
      <c r="C247" s="2" t="s">
        <v>160</v>
      </c>
      <c r="D247" s="23">
        <v>2</v>
      </c>
      <c r="E247" s="10">
        <v>2020000</v>
      </c>
      <c r="F247" s="24">
        <v>2.02</v>
      </c>
      <c r="G247" s="23">
        <v>1</v>
      </c>
      <c r="H247" s="10">
        <v>2466979</v>
      </c>
      <c r="I247" s="24">
        <v>2.466979</v>
      </c>
      <c r="J247" s="10">
        <v>2</v>
      </c>
      <c r="K247" s="24">
        <v>25.006666666666998</v>
      </c>
      <c r="L247" s="24">
        <v>29.493645666667</v>
      </c>
      <c r="M247" s="26">
        <f>_xlfn.CONCAT("'",$B247,"'","!","$N$3:$V$80")</f>
      </c>
      <c r="N247" s="26">
        <f>_xlfn.CONCAT("'",$B247,"'","!","$M$2:$M$80")</f>
      </c>
      <c r="O247" s="26">
        <f>_xlfn.CONCAT("'",$B247,"'","!","$N$2:$W$2")</f>
      </c>
      <c r="P247" s="2"/>
      <c r="Q247" s="2"/>
      <c r="R247" s="2"/>
      <c r="S247" s="2"/>
      <c r="T247" s="2"/>
      <c r="U247" s="2"/>
      <c r="V247" s="2"/>
      <c r="W247" s="2"/>
      <c r="X247" s="2"/>
      <c r="Y247" s="2"/>
    </row>
    <row x14ac:dyDescent="0.25" r="248" customHeight="1" ht="17.25">
      <c r="A248" s="10">
        <v>57</v>
      </c>
      <c r="B248" s="10">
        <v>2018</v>
      </c>
      <c r="C248" s="2" t="s">
        <v>161</v>
      </c>
      <c r="D248" s="23">
        <v>0</v>
      </c>
      <c r="E248" s="10">
        <v>0</v>
      </c>
      <c r="F248" s="23">
        <v>0</v>
      </c>
      <c r="G248" s="23">
        <v>0</v>
      </c>
      <c r="H248" s="10">
        <v>0</v>
      </c>
      <c r="I248" s="23">
        <v>0</v>
      </c>
      <c r="J248" s="10">
        <v>1</v>
      </c>
      <c r="K248" s="24">
        <v>0.06</v>
      </c>
      <c r="L248" s="24">
        <v>0.06</v>
      </c>
      <c r="M248" s="26">
        <f>_xlfn.CONCAT("'",$B248,"'","!","$N$3:$V$80")</f>
      </c>
      <c r="N248" s="26">
        <f>_xlfn.CONCAT("'",$B248,"'","!","$M$2:$M$80")</f>
      </c>
      <c r="O248" s="26">
        <f>_xlfn.CONCAT("'",$B248,"'","!","$N$2:$W$2")</f>
      </c>
      <c r="P248" s="2"/>
      <c r="Q248" s="2"/>
      <c r="R248" s="2"/>
      <c r="S248" s="2"/>
      <c r="T248" s="2"/>
      <c r="U248" s="2"/>
      <c r="V248" s="2"/>
      <c r="W248" s="2"/>
      <c r="X248" s="2"/>
      <c r="Y248" s="2"/>
    </row>
    <row x14ac:dyDescent="0.25" r="249" customHeight="1" ht="17.25">
      <c r="A249" s="10">
        <v>58</v>
      </c>
      <c r="B249" s="10">
        <v>2018</v>
      </c>
      <c r="C249" s="2" t="s">
        <v>162</v>
      </c>
      <c r="D249" s="23">
        <v>0</v>
      </c>
      <c r="E249" s="10">
        <v>0</v>
      </c>
      <c r="F249" s="23">
        <v>0</v>
      </c>
      <c r="G249" s="23">
        <v>0</v>
      </c>
      <c r="H249" s="10">
        <v>0</v>
      </c>
      <c r="I249" s="23">
        <v>0</v>
      </c>
      <c r="J249" s="10">
        <v>2</v>
      </c>
      <c r="K249" s="24">
        <v>0.8355555555999999</v>
      </c>
      <c r="L249" s="24">
        <v>0.8355555555999999</v>
      </c>
      <c r="M249" s="26">
        <f>_xlfn.CONCAT("'",$B249,"'","!","$N$3:$V$80")</f>
      </c>
      <c r="N249" s="26">
        <f>_xlfn.CONCAT("'",$B249,"'","!","$M$2:$M$80")</f>
      </c>
      <c r="O249" s="26">
        <f>_xlfn.CONCAT("'",$B249,"'","!","$N$2:$W$2")</f>
      </c>
      <c r="P249" s="2"/>
      <c r="Q249" s="2"/>
      <c r="R249" s="2"/>
      <c r="S249" s="2"/>
      <c r="T249" s="2"/>
      <c r="U249" s="2"/>
      <c r="V249" s="2"/>
      <c r="W249" s="2"/>
      <c r="X249" s="2"/>
      <c r="Y249" s="2"/>
    </row>
    <row x14ac:dyDescent="0.25" r="250" customHeight="1" ht="17.25">
      <c r="A250" s="10">
        <v>59</v>
      </c>
      <c r="B250" s="10">
        <v>2018</v>
      </c>
      <c r="C250" s="2" t="s">
        <v>163</v>
      </c>
      <c r="D250" s="23">
        <v>2</v>
      </c>
      <c r="E250" s="10">
        <v>37144000</v>
      </c>
      <c r="F250" s="24">
        <v>37.144</v>
      </c>
      <c r="G250" s="23">
        <v>0</v>
      </c>
      <c r="H250" s="10">
        <v>0</v>
      </c>
      <c r="I250" s="23">
        <v>0</v>
      </c>
      <c r="J250" s="10">
        <v>1</v>
      </c>
      <c r="K250" s="24">
        <v>0.510308</v>
      </c>
      <c r="L250" s="24">
        <v>37.654308</v>
      </c>
      <c r="M250" s="26">
        <f>_xlfn.CONCAT("'",$B250,"'","!","$N$3:$V$80")</f>
      </c>
      <c r="N250" s="26">
        <f>_xlfn.CONCAT("'",$B250,"'","!","$M$2:$M$80")</f>
      </c>
      <c r="O250" s="26">
        <f>_xlfn.CONCAT("'",$B250,"'","!","$N$2:$W$2")</f>
      </c>
      <c r="P250" s="2"/>
      <c r="Q250" s="2"/>
      <c r="R250" s="2"/>
      <c r="S250" s="2"/>
      <c r="T250" s="2"/>
      <c r="U250" s="2"/>
      <c r="V250" s="2"/>
      <c r="W250" s="2"/>
      <c r="X250" s="2"/>
      <c r="Y250" s="2"/>
    </row>
    <row x14ac:dyDescent="0.25" r="251" customHeight="1" ht="17.25">
      <c r="A251" s="10">
        <v>60</v>
      </c>
      <c r="B251" s="10">
        <v>2018</v>
      </c>
      <c r="C251" s="2" t="s">
        <v>164</v>
      </c>
      <c r="D251" s="30" t="s">
        <v>16</v>
      </c>
      <c r="E251" s="5" t="s">
        <v>16</v>
      </c>
      <c r="F251" s="25" t="s">
        <v>16</v>
      </c>
      <c r="G251" s="30" t="s">
        <v>16</v>
      </c>
      <c r="H251" s="5" t="s">
        <v>16</v>
      </c>
      <c r="I251" s="25" t="s">
        <v>16</v>
      </c>
      <c r="J251" s="5" t="s">
        <v>16</v>
      </c>
      <c r="K251" s="25" t="s">
        <v>16</v>
      </c>
      <c r="L251" s="25" t="s">
        <v>16</v>
      </c>
      <c r="M251" s="26">
        <f>_xlfn.CONCAT("'",$B251,"'","!","$N$3:$V$80")</f>
      </c>
      <c r="N251" s="26">
        <f>_xlfn.CONCAT("'",$B251,"'","!","$M$2:$M$80")</f>
      </c>
      <c r="O251" s="26">
        <f>_xlfn.CONCAT("'",$B251,"'","!","$N$2:$W$2")</f>
      </c>
      <c r="P251" s="2"/>
      <c r="Q251" s="2"/>
      <c r="R251" s="2"/>
      <c r="S251" s="2"/>
      <c r="T251" s="2"/>
      <c r="U251" s="2"/>
      <c r="V251" s="2"/>
      <c r="W251" s="2"/>
      <c r="X251" s="2"/>
      <c r="Y251" s="2"/>
    </row>
    <row x14ac:dyDescent="0.25" r="252" customHeight="1" ht="17.25">
      <c r="A252" s="10">
        <v>61</v>
      </c>
      <c r="B252" s="10">
        <v>2018</v>
      </c>
      <c r="C252" s="2" t="s">
        <v>165</v>
      </c>
      <c r="D252" s="30" t="s">
        <v>16</v>
      </c>
      <c r="E252" s="5" t="s">
        <v>16</v>
      </c>
      <c r="F252" s="25" t="s">
        <v>16</v>
      </c>
      <c r="G252" s="30" t="s">
        <v>16</v>
      </c>
      <c r="H252" s="5" t="s">
        <v>16</v>
      </c>
      <c r="I252" s="25" t="s">
        <v>16</v>
      </c>
      <c r="J252" s="5" t="s">
        <v>16</v>
      </c>
      <c r="K252" s="25" t="s">
        <v>16</v>
      </c>
      <c r="L252" s="25" t="s">
        <v>16</v>
      </c>
      <c r="M252" s="26">
        <f>_xlfn.CONCAT("'",$B252,"'","!","$N$3:$V$80")</f>
      </c>
      <c r="N252" s="26">
        <f>_xlfn.CONCAT("'",$B252,"'","!","$M$2:$M$80")</f>
      </c>
      <c r="O252" s="26">
        <f>_xlfn.CONCAT("'",$B252,"'","!","$N$2:$W$2")</f>
      </c>
      <c r="P252" s="2"/>
      <c r="Q252" s="2"/>
      <c r="R252" s="2"/>
      <c r="S252" s="2"/>
      <c r="T252" s="2"/>
      <c r="U252" s="2"/>
      <c r="V252" s="2"/>
      <c r="W252" s="2"/>
      <c r="X252" s="2"/>
      <c r="Y252" s="2"/>
    </row>
    <row x14ac:dyDescent="0.25" r="253" customHeight="1" ht="17.25">
      <c r="A253" s="10">
        <v>62</v>
      </c>
      <c r="B253" s="10">
        <v>2018</v>
      </c>
      <c r="C253" s="2" t="s">
        <v>166</v>
      </c>
      <c r="D253" s="23">
        <v>12</v>
      </c>
      <c r="E253" s="10">
        <v>115081992</v>
      </c>
      <c r="F253" s="24">
        <v>115.081992</v>
      </c>
      <c r="G253" s="23">
        <v>6</v>
      </c>
      <c r="H253" s="10">
        <v>51548154</v>
      </c>
      <c r="I253" s="24">
        <v>51.548154</v>
      </c>
      <c r="J253" s="10">
        <v>8</v>
      </c>
      <c r="K253" s="24">
        <v>40.563545666669995</v>
      </c>
      <c r="L253" s="24">
        <v>207.19369166667</v>
      </c>
      <c r="M253" s="26">
        <f>_xlfn.CONCAT("'",$B253,"'","!","$N$3:$V$80")</f>
      </c>
      <c r="N253" s="26">
        <f>_xlfn.CONCAT("'",$B253,"'","!","$M$2:$M$80")</f>
      </c>
      <c r="O253" s="26">
        <f>_xlfn.CONCAT("'",$B253,"'","!","$N$2:$W$2")</f>
      </c>
      <c r="P253" s="2"/>
      <c r="Q253" s="2"/>
      <c r="R253" s="2"/>
      <c r="S253" s="2"/>
      <c r="T253" s="2"/>
      <c r="U253" s="2"/>
      <c r="V253" s="2"/>
      <c r="W253" s="2"/>
      <c r="X253" s="2"/>
      <c r="Y253" s="2"/>
    </row>
    <row x14ac:dyDescent="0.25" r="254" customHeight="1" ht="17.25">
      <c r="A254" s="10">
        <v>63</v>
      </c>
      <c r="B254" s="10">
        <v>2018</v>
      </c>
      <c r="C254" s="2" t="s">
        <v>167</v>
      </c>
      <c r="D254" s="30" t="s">
        <v>16</v>
      </c>
      <c r="E254" s="5" t="s">
        <v>16</v>
      </c>
      <c r="F254" s="25" t="s">
        <v>16</v>
      </c>
      <c r="G254" s="30" t="s">
        <v>16</v>
      </c>
      <c r="H254" s="5" t="s">
        <v>16</v>
      </c>
      <c r="I254" s="25" t="s">
        <v>16</v>
      </c>
      <c r="J254" s="5" t="s">
        <v>16</v>
      </c>
      <c r="K254" s="25" t="s">
        <v>16</v>
      </c>
      <c r="L254" s="25" t="s">
        <v>16</v>
      </c>
      <c r="M254" s="26">
        <f>_xlfn.CONCAT("'",$B254,"'","!","$N$3:$V$80")</f>
      </c>
      <c r="N254" s="26">
        <f>_xlfn.CONCAT("'",$B254,"'","!","$M$2:$M$80")</f>
      </c>
      <c r="O254" s="26">
        <f>_xlfn.CONCAT("'",$B254,"'","!","$N$2:$W$2")</f>
      </c>
      <c r="P254" s="2"/>
      <c r="Q254" s="2"/>
      <c r="R254" s="2"/>
      <c r="S254" s="2"/>
      <c r="T254" s="2"/>
      <c r="U254" s="2"/>
      <c r="V254" s="2"/>
      <c r="W254" s="2"/>
      <c r="X254" s="2"/>
      <c r="Y254" s="2"/>
    </row>
    <row x14ac:dyDescent="0.25" r="255" customHeight="1" ht="17.25">
      <c r="A255" s="10">
        <v>1</v>
      </c>
      <c r="B255" s="10">
        <v>2019</v>
      </c>
      <c r="C255" s="2" t="s">
        <v>104</v>
      </c>
      <c r="D255" s="23">
        <v>1320</v>
      </c>
      <c r="E255" s="10">
        <v>1841346344</v>
      </c>
      <c r="F255" s="24">
        <v>1841.346344</v>
      </c>
      <c r="G255" s="23">
        <v>309</v>
      </c>
      <c r="H255" s="11">
        <v>858738429.99</v>
      </c>
      <c r="I255" s="24">
        <v>858.73842999</v>
      </c>
      <c r="J255" s="10">
        <v>5720</v>
      </c>
      <c r="K255" s="24">
        <v>5595.325561956627</v>
      </c>
      <c r="L255" s="24">
        <v>8295.410335946628</v>
      </c>
      <c r="M255" s="26">
        <f>_xlfn.CONCAT("'",$B255,"'","!","$N$3:$V$80")</f>
      </c>
      <c r="N255" s="26">
        <f>_xlfn.CONCAT("'",$B255,"'","!","$M$2:$M$80")</f>
      </c>
      <c r="O255" s="26">
        <f>_xlfn.CONCAT("'",$B255,"'","!","$N$2:$W$2")</f>
      </c>
      <c r="P255" s="2"/>
      <c r="Q255" s="2"/>
      <c r="R255" s="2"/>
      <c r="S255" s="2"/>
      <c r="T255" s="2"/>
      <c r="U255" s="2"/>
      <c r="V255" s="2"/>
      <c r="W255" s="2"/>
      <c r="X255" s="2"/>
      <c r="Y255" s="2"/>
    </row>
    <row x14ac:dyDescent="0.25" r="256" customHeight="1" ht="17.25">
      <c r="A256" s="10">
        <v>2</v>
      </c>
      <c r="B256" s="10">
        <v>2019</v>
      </c>
      <c r="C256" s="2" t="s">
        <v>105</v>
      </c>
      <c r="D256" s="23">
        <v>243</v>
      </c>
      <c r="E256" s="10">
        <v>1546586669</v>
      </c>
      <c r="F256" s="24">
        <v>1546.586669</v>
      </c>
      <c r="G256" s="23">
        <v>150</v>
      </c>
      <c r="H256" s="11">
        <v>951390013.3125</v>
      </c>
      <c r="I256" s="24">
        <v>951.3900133125</v>
      </c>
      <c r="J256" s="10">
        <v>626</v>
      </c>
      <c r="K256" s="24">
        <v>914.8283968502619</v>
      </c>
      <c r="L256" s="24">
        <v>3412.805079162762</v>
      </c>
      <c r="M256" s="26">
        <f>_xlfn.CONCAT("'",$B256,"'","!","$N$3:$V$80")</f>
      </c>
      <c r="N256" s="26">
        <f>_xlfn.CONCAT("'",$B256,"'","!","$M$2:$M$80")</f>
      </c>
      <c r="O256" s="26">
        <f>_xlfn.CONCAT("'",$B256,"'","!","$N$2:$W$2")</f>
      </c>
      <c r="P256" s="2"/>
      <c r="Q256" s="2"/>
      <c r="R256" s="2"/>
      <c r="S256" s="2"/>
      <c r="T256" s="2"/>
      <c r="U256" s="2"/>
      <c r="V256" s="2"/>
      <c r="W256" s="2"/>
      <c r="X256" s="2"/>
      <c r="Y256" s="2"/>
    </row>
    <row x14ac:dyDescent="0.25" r="257" customHeight="1" ht="17.25">
      <c r="A257" s="10">
        <v>3</v>
      </c>
      <c r="B257" s="10">
        <v>2019</v>
      </c>
      <c r="C257" s="2" t="s">
        <v>106</v>
      </c>
      <c r="D257" s="23">
        <v>121</v>
      </c>
      <c r="E257" s="10">
        <v>1296698693</v>
      </c>
      <c r="F257" s="24">
        <v>1296.698693</v>
      </c>
      <c r="G257" s="23">
        <v>63</v>
      </c>
      <c r="H257" s="10">
        <v>-162862129</v>
      </c>
      <c r="I257" s="24">
        <v>-162.862129</v>
      </c>
      <c r="J257" s="10">
        <v>275</v>
      </c>
      <c r="K257" s="24">
        <v>1009.5526234594804</v>
      </c>
      <c r="L257" s="24">
        <v>2143.38918745948</v>
      </c>
      <c r="M257" s="26">
        <f>_xlfn.CONCAT("'",$B257,"'","!","$N$3:$V$80")</f>
      </c>
      <c r="N257" s="26">
        <f>_xlfn.CONCAT("'",$B257,"'","!","$M$2:$M$80")</f>
      </c>
      <c r="O257" s="26">
        <f>_xlfn.CONCAT("'",$B257,"'","!","$N$2:$W$2")</f>
      </c>
      <c r="P257" s="2"/>
      <c r="Q257" s="2"/>
      <c r="R257" s="2"/>
      <c r="S257" s="2"/>
      <c r="T257" s="2"/>
      <c r="U257" s="2"/>
      <c r="V257" s="2"/>
      <c r="W257" s="2"/>
      <c r="X257" s="2"/>
      <c r="Y257" s="2"/>
    </row>
    <row x14ac:dyDescent="0.25" r="258" customHeight="1" ht="17.25">
      <c r="A258" s="10">
        <v>4</v>
      </c>
      <c r="B258" s="10">
        <v>2019</v>
      </c>
      <c r="C258" s="2" t="s">
        <v>108</v>
      </c>
      <c r="D258" s="23">
        <v>247</v>
      </c>
      <c r="E258" s="10">
        <v>833872442</v>
      </c>
      <c r="F258" s="24">
        <v>833.872442</v>
      </c>
      <c r="G258" s="23">
        <v>162</v>
      </c>
      <c r="H258" s="11">
        <v>663345687.75</v>
      </c>
      <c r="I258" s="24">
        <v>663.34568775</v>
      </c>
      <c r="J258" s="10">
        <v>263</v>
      </c>
      <c r="K258" s="24">
        <v>85.37792642449776</v>
      </c>
      <c r="L258" s="24">
        <v>1582.5960561744978</v>
      </c>
      <c r="M258" s="26">
        <f>_xlfn.CONCAT("'",$B258,"'","!","$N$3:$V$80")</f>
      </c>
      <c r="N258" s="26">
        <f>_xlfn.CONCAT("'",$B258,"'","!","$M$2:$M$80")</f>
      </c>
      <c r="O258" s="26">
        <f>_xlfn.CONCAT("'",$B258,"'","!","$N$2:$W$2")</f>
      </c>
      <c r="P258" s="2"/>
      <c r="Q258" s="2"/>
      <c r="R258" s="2"/>
      <c r="S258" s="2"/>
      <c r="T258" s="2"/>
      <c r="U258" s="2"/>
      <c r="V258" s="2"/>
      <c r="W258" s="2"/>
      <c r="X258" s="2"/>
      <c r="Y258" s="2"/>
    </row>
    <row x14ac:dyDescent="0.25" r="259" customHeight="1" ht="17.25">
      <c r="A259" s="10">
        <v>5</v>
      </c>
      <c r="B259" s="10">
        <v>2019</v>
      </c>
      <c r="C259" s="2" t="s">
        <v>109</v>
      </c>
      <c r="D259" s="23">
        <v>87</v>
      </c>
      <c r="E259" s="10">
        <v>595129594</v>
      </c>
      <c r="F259" s="24">
        <v>595.129594</v>
      </c>
      <c r="G259" s="23">
        <v>55</v>
      </c>
      <c r="H259" s="11">
        <v>686479005.3125</v>
      </c>
      <c r="I259" s="24">
        <v>686.4790053125</v>
      </c>
      <c r="J259" s="10">
        <v>109</v>
      </c>
      <c r="K259" s="24">
        <v>101.9318101494152</v>
      </c>
      <c r="L259" s="24">
        <v>1383.5404094619153</v>
      </c>
      <c r="M259" s="26">
        <f>_xlfn.CONCAT("'",$B259,"'","!","$N$3:$V$80")</f>
      </c>
      <c r="N259" s="26">
        <f>_xlfn.CONCAT("'",$B259,"'","!","$M$2:$M$80")</f>
      </c>
      <c r="O259" s="26">
        <f>_xlfn.CONCAT("'",$B259,"'","!","$N$2:$W$2")</f>
      </c>
      <c r="P259" s="2"/>
      <c r="Q259" s="2"/>
      <c r="R259" s="2"/>
      <c r="S259" s="2"/>
      <c r="T259" s="2"/>
      <c r="U259" s="2"/>
      <c r="V259" s="2"/>
      <c r="W259" s="2"/>
      <c r="X259" s="2"/>
      <c r="Y259" s="2"/>
    </row>
    <row x14ac:dyDescent="0.25" r="260" customHeight="1" ht="17.25">
      <c r="A260" s="10">
        <v>6</v>
      </c>
      <c r="B260" s="10">
        <v>2019</v>
      </c>
      <c r="C260" s="2" t="s">
        <v>110</v>
      </c>
      <c r="D260" s="23">
        <v>35</v>
      </c>
      <c r="E260" s="10">
        <v>860200000</v>
      </c>
      <c r="F260" s="24">
        <v>860.2</v>
      </c>
      <c r="G260" s="23">
        <v>34</v>
      </c>
      <c r="H260" s="10">
        <v>329287424</v>
      </c>
      <c r="I260" s="24">
        <v>329.287424</v>
      </c>
      <c r="J260" s="10">
        <v>39</v>
      </c>
      <c r="K260" s="24">
        <v>63.992713295845924</v>
      </c>
      <c r="L260" s="24">
        <v>1253.480137295846</v>
      </c>
      <c r="M260" s="26">
        <f>_xlfn.CONCAT("'",$B260,"'","!","$N$3:$V$80")</f>
      </c>
      <c r="N260" s="26">
        <f>_xlfn.CONCAT("'",$B260,"'","!","$M$2:$M$80")</f>
      </c>
      <c r="O260" s="26">
        <f>_xlfn.CONCAT("'",$B260,"'","!","$N$2:$W$2")</f>
      </c>
      <c r="P260" s="2"/>
      <c r="Q260" s="2"/>
      <c r="R260" s="2"/>
      <c r="S260" s="2"/>
      <c r="T260" s="2"/>
      <c r="U260" s="2"/>
      <c r="V260" s="2"/>
      <c r="W260" s="2"/>
      <c r="X260" s="2"/>
      <c r="Y260" s="2"/>
    </row>
    <row x14ac:dyDescent="0.25" r="261" customHeight="1" ht="17.25">
      <c r="A261" s="10">
        <v>7</v>
      </c>
      <c r="B261" s="10">
        <v>2019</v>
      </c>
      <c r="C261" s="2" t="s">
        <v>111</v>
      </c>
      <c r="D261" s="23">
        <v>76</v>
      </c>
      <c r="E261" s="10">
        <v>787726948</v>
      </c>
      <c r="F261" s="24">
        <v>787.726948</v>
      </c>
      <c r="G261" s="23">
        <v>35</v>
      </c>
      <c r="H261" s="10">
        <v>287594484</v>
      </c>
      <c r="I261" s="24">
        <v>287.594484</v>
      </c>
      <c r="J261" s="10">
        <v>54</v>
      </c>
      <c r="K261" s="24">
        <v>26.744633736487266</v>
      </c>
      <c r="L261" s="24">
        <v>1102.0660657364872</v>
      </c>
      <c r="M261" s="26">
        <f>_xlfn.CONCAT("'",$B261,"'","!","$N$3:$V$80")</f>
      </c>
      <c r="N261" s="26">
        <f>_xlfn.CONCAT("'",$B261,"'","!","$M$2:$M$80")</f>
      </c>
      <c r="O261" s="26">
        <f>_xlfn.CONCAT("'",$B261,"'","!","$N$2:$W$2")</f>
      </c>
      <c r="P261" s="2"/>
      <c r="Q261" s="2"/>
      <c r="R261" s="2"/>
      <c r="S261" s="2"/>
      <c r="T261" s="2"/>
      <c r="U261" s="2"/>
      <c r="V261" s="2"/>
      <c r="W261" s="2"/>
      <c r="X261" s="2"/>
      <c r="Y261" s="2"/>
    </row>
    <row x14ac:dyDescent="0.25" r="262" customHeight="1" ht="17.25">
      <c r="A262" s="10">
        <v>8</v>
      </c>
      <c r="B262" s="10">
        <v>2019</v>
      </c>
      <c r="C262" s="2" t="s">
        <v>112</v>
      </c>
      <c r="D262" s="23">
        <v>49</v>
      </c>
      <c r="E262" s="10">
        <v>621265045</v>
      </c>
      <c r="F262" s="24">
        <v>621.265045</v>
      </c>
      <c r="G262" s="23">
        <v>26</v>
      </c>
      <c r="H262" s="10">
        <v>397137449</v>
      </c>
      <c r="I262" s="24">
        <v>397.137449</v>
      </c>
      <c r="J262" s="10">
        <v>45</v>
      </c>
      <c r="K262" s="24">
        <v>66.94843989866743</v>
      </c>
      <c r="L262" s="24">
        <v>1085.3509338986673</v>
      </c>
      <c r="M262" s="26">
        <f>_xlfn.CONCAT("'",$B262,"'","!","$N$3:$V$80")</f>
      </c>
      <c r="N262" s="26">
        <f>_xlfn.CONCAT("'",$B262,"'","!","$M$2:$M$80")</f>
      </c>
      <c r="O262" s="26">
        <f>_xlfn.CONCAT("'",$B262,"'","!","$N$2:$W$2")</f>
      </c>
      <c r="P262" s="2"/>
      <c r="Q262" s="2"/>
      <c r="R262" s="2"/>
      <c r="S262" s="2"/>
      <c r="T262" s="2"/>
      <c r="U262" s="2"/>
      <c r="V262" s="2"/>
      <c r="W262" s="2"/>
      <c r="X262" s="2"/>
      <c r="Y262" s="2"/>
    </row>
    <row x14ac:dyDescent="0.25" r="263" customHeight="1" ht="17.25">
      <c r="A263" s="10">
        <v>9</v>
      </c>
      <c r="B263" s="10">
        <v>2019</v>
      </c>
      <c r="C263" s="2" t="s">
        <v>113</v>
      </c>
      <c r="D263" s="23">
        <v>61</v>
      </c>
      <c r="E263" s="10">
        <v>720376496</v>
      </c>
      <c r="F263" s="24">
        <v>720.376496</v>
      </c>
      <c r="G263" s="23">
        <v>44</v>
      </c>
      <c r="H263" s="10">
        <v>108433722</v>
      </c>
      <c r="I263" s="24">
        <v>108.433722</v>
      </c>
      <c r="J263" s="10">
        <v>30</v>
      </c>
      <c r="K263" s="24">
        <v>14.354668314845824</v>
      </c>
      <c r="L263" s="24">
        <v>843.1648863148458</v>
      </c>
      <c r="M263" s="26">
        <f>_xlfn.CONCAT("'",$B263,"'","!","$N$3:$V$80")</f>
      </c>
      <c r="N263" s="26">
        <f>_xlfn.CONCAT("'",$B263,"'","!","$M$2:$M$80")</f>
      </c>
      <c r="O263" s="26">
        <f>_xlfn.CONCAT("'",$B263,"'","!","$N$2:$W$2")</f>
      </c>
      <c r="P263" s="2"/>
      <c r="Q263" s="2"/>
      <c r="R263" s="2"/>
      <c r="S263" s="2"/>
      <c r="T263" s="2"/>
      <c r="U263" s="2"/>
      <c r="V263" s="2"/>
      <c r="W263" s="2"/>
      <c r="X263" s="2"/>
      <c r="Y263" s="2"/>
    </row>
    <row x14ac:dyDescent="0.25" r="264" customHeight="1" ht="17.25">
      <c r="A264" s="10">
        <v>10</v>
      </c>
      <c r="B264" s="10">
        <v>2019</v>
      </c>
      <c r="C264" s="2" t="s">
        <v>114</v>
      </c>
      <c r="D264" s="23">
        <v>146</v>
      </c>
      <c r="E264" s="10">
        <v>290911187</v>
      </c>
      <c r="F264" s="24">
        <v>290.911187</v>
      </c>
      <c r="G264" s="23">
        <v>99</v>
      </c>
      <c r="H264" s="10">
        <v>246911634</v>
      </c>
      <c r="I264" s="24">
        <v>246.911634</v>
      </c>
      <c r="J264" s="10">
        <v>203</v>
      </c>
      <c r="K264" s="24">
        <v>259.9416103949631</v>
      </c>
      <c r="L264" s="24">
        <v>797.7644313949631</v>
      </c>
      <c r="M264" s="26">
        <f>_xlfn.CONCAT("'",$B264,"'","!","$N$3:$V$80")</f>
      </c>
      <c r="N264" s="26">
        <f>_xlfn.CONCAT("'",$B264,"'","!","$M$2:$M$80")</f>
      </c>
      <c r="O264" s="26">
        <f>_xlfn.CONCAT("'",$B264,"'","!","$N$2:$W$2")</f>
      </c>
      <c r="P264" s="2"/>
      <c r="Q264" s="2"/>
      <c r="R264" s="2"/>
      <c r="S264" s="2"/>
      <c r="T264" s="2"/>
      <c r="U264" s="2"/>
      <c r="V264" s="2"/>
      <c r="W264" s="2"/>
      <c r="X264" s="2"/>
      <c r="Y264" s="2"/>
    </row>
    <row x14ac:dyDescent="0.25" r="265" customHeight="1" ht="17.25">
      <c r="A265" s="10">
        <v>11</v>
      </c>
      <c r="B265" s="10">
        <v>2019</v>
      </c>
      <c r="C265" s="2" t="s">
        <v>115</v>
      </c>
      <c r="D265" s="23">
        <v>67</v>
      </c>
      <c r="E265" s="10">
        <v>463699929</v>
      </c>
      <c r="F265" s="24">
        <v>463.699929</v>
      </c>
      <c r="G265" s="23">
        <v>16</v>
      </c>
      <c r="H265" s="10">
        <v>153339734</v>
      </c>
      <c r="I265" s="24">
        <v>153.339734</v>
      </c>
      <c r="J265" s="10">
        <v>84</v>
      </c>
      <c r="K265" s="24">
        <v>66.92095704379848</v>
      </c>
      <c r="L265" s="24">
        <v>683.9606200437985</v>
      </c>
      <c r="M265" s="26">
        <f>_xlfn.CONCAT("'",$B265,"'","!","$N$3:$V$80")</f>
      </c>
      <c r="N265" s="26">
        <f>_xlfn.CONCAT("'",$B265,"'","!","$M$2:$M$80")</f>
      </c>
      <c r="O265" s="26">
        <f>_xlfn.CONCAT("'",$B265,"'","!","$N$2:$W$2")</f>
      </c>
      <c r="P265" s="2"/>
      <c r="Q265" s="2"/>
      <c r="R265" s="2"/>
      <c r="S265" s="2"/>
      <c r="T265" s="2"/>
      <c r="U265" s="2"/>
      <c r="V265" s="2"/>
      <c r="W265" s="2"/>
      <c r="X265" s="2"/>
      <c r="Y265" s="2"/>
    </row>
    <row x14ac:dyDescent="0.25" r="266" customHeight="1" ht="17.25">
      <c r="A266" s="10">
        <v>12</v>
      </c>
      <c r="B266" s="10">
        <v>2019</v>
      </c>
      <c r="C266" s="2" t="s">
        <v>116</v>
      </c>
      <c r="D266" s="23">
        <v>18</v>
      </c>
      <c r="E266" s="10">
        <v>361838962</v>
      </c>
      <c r="F266" s="24">
        <v>361.838962</v>
      </c>
      <c r="G266" s="23">
        <v>19</v>
      </c>
      <c r="H266" s="10">
        <v>223893365</v>
      </c>
      <c r="I266" s="24">
        <v>223.893365</v>
      </c>
      <c r="J266" s="10">
        <v>19</v>
      </c>
      <c r="K266" s="24">
        <v>20.55783883478261</v>
      </c>
      <c r="L266" s="24">
        <v>606.2901658347826</v>
      </c>
      <c r="M266" s="26">
        <f>_xlfn.CONCAT("'",$B266,"'","!","$N$3:$V$80")</f>
      </c>
      <c r="N266" s="26">
        <f>_xlfn.CONCAT("'",$B266,"'","!","$M$2:$M$80")</f>
      </c>
      <c r="O266" s="26">
        <f>_xlfn.CONCAT("'",$B266,"'","!","$N$2:$W$2")</f>
      </c>
      <c r="P266" s="2"/>
      <c r="Q266" s="2"/>
      <c r="R266" s="2"/>
      <c r="S266" s="2"/>
      <c r="T266" s="2"/>
      <c r="U266" s="2"/>
      <c r="V266" s="2"/>
      <c r="W266" s="2"/>
      <c r="X266" s="2"/>
      <c r="Y266" s="2"/>
    </row>
    <row x14ac:dyDescent="0.25" r="267" customHeight="1" ht="17.25">
      <c r="A267" s="10">
        <v>13</v>
      </c>
      <c r="B267" s="10">
        <v>2019</v>
      </c>
      <c r="C267" s="2" t="s">
        <v>117</v>
      </c>
      <c r="D267" s="23">
        <v>60</v>
      </c>
      <c r="E267" s="10">
        <v>527748075</v>
      </c>
      <c r="F267" s="24">
        <v>527.748075</v>
      </c>
      <c r="G267" s="23">
        <v>5</v>
      </c>
      <c r="H267" s="10">
        <v>8299739</v>
      </c>
      <c r="I267" s="24">
        <v>8.299739</v>
      </c>
      <c r="J267" s="10">
        <v>69</v>
      </c>
      <c r="K267" s="24">
        <v>45.03316522947825</v>
      </c>
      <c r="L267" s="24">
        <v>581.0809792294783</v>
      </c>
      <c r="M267" s="26">
        <f>_xlfn.CONCAT("'",$B267,"'","!","$N$3:$V$80")</f>
      </c>
      <c r="N267" s="26">
        <f>_xlfn.CONCAT("'",$B267,"'","!","$M$2:$M$80")</f>
      </c>
      <c r="O267" s="26">
        <f>_xlfn.CONCAT("'",$B267,"'","!","$N$2:$W$2")</f>
      </c>
      <c r="P267" s="2"/>
      <c r="Q267" s="2"/>
      <c r="R267" s="2"/>
      <c r="S267" s="2"/>
      <c r="T267" s="2"/>
      <c r="U267" s="2"/>
      <c r="V267" s="2"/>
      <c r="W267" s="2"/>
      <c r="X267" s="2"/>
      <c r="Y267" s="2"/>
    </row>
    <row x14ac:dyDescent="0.25" r="268" customHeight="1" ht="17.25">
      <c r="A268" s="10">
        <v>14</v>
      </c>
      <c r="B268" s="10">
        <v>2019</v>
      </c>
      <c r="C268" s="2" t="s">
        <v>118</v>
      </c>
      <c r="D268" s="23">
        <v>131</v>
      </c>
      <c r="E268" s="10">
        <v>386378323</v>
      </c>
      <c r="F268" s="24">
        <v>386.378323</v>
      </c>
      <c r="G268" s="23">
        <v>14</v>
      </c>
      <c r="H268" s="11">
        <v>3203393.5100097656</v>
      </c>
      <c r="I268" s="24">
        <v>3.2033935100097657</v>
      </c>
      <c r="J268" s="10">
        <v>263</v>
      </c>
      <c r="K268" s="24">
        <v>124.68823958395218</v>
      </c>
      <c r="L268" s="24">
        <v>514.269956093962</v>
      </c>
      <c r="M268" s="26">
        <f>_xlfn.CONCAT("'",$B268,"'","!","$N$3:$V$80")</f>
      </c>
      <c r="N268" s="26">
        <f>_xlfn.CONCAT("'",$B268,"'","!","$M$2:$M$80")</f>
      </c>
      <c r="O268" s="26">
        <f>_xlfn.CONCAT("'",$B268,"'","!","$N$2:$W$2")</f>
      </c>
      <c r="P268" s="2"/>
      <c r="Q268" s="2"/>
      <c r="R268" s="2"/>
      <c r="S268" s="2"/>
      <c r="T268" s="2"/>
      <c r="U268" s="2"/>
      <c r="V268" s="2"/>
      <c r="W268" s="2"/>
      <c r="X268" s="2"/>
      <c r="Y268" s="2"/>
    </row>
    <row x14ac:dyDescent="0.25" r="269" customHeight="1" ht="17.25">
      <c r="A269" s="10">
        <v>15</v>
      </c>
      <c r="B269" s="10">
        <v>2019</v>
      </c>
      <c r="C269" s="2" t="s">
        <v>119</v>
      </c>
      <c r="D269" s="23">
        <v>44</v>
      </c>
      <c r="E269" s="10">
        <v>468845440</v>
      </c>
      <c r="F269" s="24">
        <v>468.84544</v>
      </c>
      <c r="G269" s="23">
        <v>44</v>
      </c>
      <c r="H269" s="10">
        <v>-53320792</v>
      </c>
      <c r="I269" s="24">
        <v>-53.320792</v>
      </c>
      <c r="J269" s="10">
        <v>69</v>
      </c>
      <c r="K269" s="24">
        <v>44.65876583945606</v>
      </c>
      <c r="L269" s="24">
        <v>460.1834138394561</v>
      </c>
      <c r="M269" s="26">
        <f>_xlfn.CONCAT("'",$B269,"'","!","$N$3:$V$80")</f>
      </c>
      <c r="N269" s="26">
        <f>_xlfn.CONCAT("'",$B269,"'","!","$M$2:$M$80")</f>
      </c>
      <c r="O269" s="26">
        <f>_xlfn.CONCAT("'",$B269,"'","!","$N$2:$W$2")</f>
      </c>
      <c r="P269" s="2"/>
      <c r="Q269" s="2"/>
      <c r="R269" s="2"/>
      <c r="S269" s="2"/>
      <c r="T269" s="2"/>
      <c r="U269" s="2"/>
      <c r="V269" s="2"/>
      <c r="W269" s="2"/>
      <c r="X269" s="2"/>
      <c r="Y269" s="2"/>
    </row>
    <row x14ac:dyDescent="0.25" r="270" customHeight="1" ht="17.25">
      <c r="A270" s="10">
        <v>16</v>
      </c>
      <c r="B270" s="10">
        <v>2019</v>
      </c>
      <c r="C270" s="2" t="s">
        <v>120</v>
      </c>
      <c r="D270" s="23">
        <v>41</v>
      </c>
      <c r="E270" s="10">
        <v>296563966</v>
      </c>
      <c r="F270" s="24">
        <v>296.563966</v>
      </c>
      <c r="G270" s="23">
        <v>25</v>
      </c>
      <c r="H270" s="10">
        <v>105296380</v>
      </c>
      <c r="I270" s="24">
        <v>105.29638</v>
      </c>
      <c r="J270" s="10">
        <v>41</v>
      </c>
      <c r="K270" s="24">
        <v>47.116762559375616</v>
      </c>
      <c r="L270" s="24">
        <v>448.9771085593756</v>
      </c>
      <c r="M270" s="26">
        <f>_xlfn.CONCAT("'",$B270,"'","!","$N$3:$V$80")</f>
      </c>
      <c r="N270" s="26">
        <f>_xlfn.CONCAT("'",$B270,"'","!","$M$2:$M$80")</f>
      </c>
      <c r="O270" s="26">
        <f>_xlfn.CONCAT("'",$B270,"'","!","$N$2:$W$2")</f>
      </c>
      <c r="P270" s="2"/>
      <c r="Q270" s="2"/>
      <c r="R270" s="2"/>
      <c r="S270" s="2"/>
      <c r="T270" s="2"/>
      <c r="U270" s="2"/>
      <c r="V270" s="2"/>
      <c r="W270" s="2"/>
      <c r="X270" s="2"/>
      <c r="Y270" s="2"/>
    </row>
    <row x14ac:dyDescent="0.25" r="271" customHeight="1" ht="17.25">
      <c r="A271" s="10">
        <v>17</v>
      </c>
      <c r="B271" s="10">
        <v>2019</v>
      </c>
      <c r="C271" s="2" t="s">
        <v>121</v>
      </c>
      <c r="D271" s="23">
        <v>4</v>
      </c>
      <c r="E271" s="10">
        <v>349765554</v>
      </c>
      <c r="F271" s="24">
        <v>349.765554</v>
      </c>
      <c r="G271" s="23">
        <v>8</v>
      </c>
      <c r="H271" s="10">
        <v>37500000</v>
      </c>
      <c r="I271" s="24">
        <v>37.5</v>
      </c>
      <c r="J271" s="10">
        <v>10</v>
      </c>
      <c r="K271" s="24">
        <v>8.063753691918404</v>
      </c>
      <c r="L271" s="24">
        <v>395.3293076919184</v>
      </c>
      <c r="M271" s="26">
        <f>_xlfn.CONCAT("'",$B271,"'","!","$N$3:$V$80")</f>
      </c>
      <c r="N271" s="26">
        <f>_xlfn.CONCAT("'",$B271,"'","!","$M$2:$M$80")</f>
      </c>
      <c r="O271" s="26">
        <f>_xlfn.CONCAT("'",$B271,"'","!","$N$2:$W$2")</f>
      </c>
      <c r="P271" s="2"/>
      <c r="Q271" s="2"/>
      <c r="R271" s="2"/>
      <c r="S271" s="2"/>
      <c r="T271" s="2"/>
      <c r="U271" s="2"/>
      <c r="V271" s="2"/>
      <c r="W271" s="2"/>
      <c r="X271" s="2"/>
      <c r="Y271" s="2"/>
    </row>
    <row x14ac:dyDescent="0.25" r="272" customHeight="1" ht="17.25">
      <c r="A272" s="10">
        <v>18</v>
      </c>
      <c r="B272" s="10">
        <v>2019</v>
      </c>
      <c r="C272" s="2" t="s">
        <v>122</v>
      </c>
      <c r="D272" s="23">
        <v>25</v>
      </c>
      <c r="E272" s="10">
        <v>311029668</v>
      </c>
      <c r="F272" s="24">
        <v>311.029668</v>
      </c>
      <c r="G272" s="23">
        <v>4</v>
      </c>
      <c r="H272" s="10">
        <v>24068422</v>
      </c>
      <c r="I272" s="24">
        <v>24.068422</v>
      </c>
      <c r="J272" s="10">
        <v>22</v>
      </c>
      <c r="K272" s="24">
        <v>14.903750663960547</v>
      </c>
      <c r="L272" s="24">
        <v>350.00184066396054</v>
      </c>
      <c r="M272" s="26">
        <f>_xlfn.CONCAT("'",$B272,"'","!","$N$3:$V$80")</f>
      </c>
      <c r="N272" s="26">
        <f>_xlfn.CONCAT("'",$B272,"'","!","$M$2:$M$80")</f>
      </c>
      <c r="O272" s="26">
        <f>_xlfn.CONCAT("'",$B272,"'","!","$N$2:$W$2")</f>
      </c>
      <c r="P272" s="2"/>
      <c r="Q272" s="2"/>
      <c r="R272" s="2"/>
      <c r="S272" s="2"/>
      <c r="T272" s="2"/>
      <c r="U272" s="2"/>
      <c r="V272" s="2"/>
      <c r="W272" s="2"/>
      <c r="X272" s="2"/>
      <c r="Y272" s="2"/>
    </row>
    <row x14ac:dyDescent="0.25" r="273" customHeight="1" ht="17.25">
      <c r="A273" s="10">
        <v>19</v>
      </c>
      <c r="B273" s="10">
        <v>2019</v>
      </c>
      <c r="C273" s="2" t="s">
        <v>123</v>
      </c>
      <c r="D273" s="23">
        <v>33</v>
      </c>
      <c r="E273" s="10">
        <v>142134538</v>
      </c>
      <c r="F273" s="24">
        <v>142.134538</v>
      </c>
      <c r="G273" s="23">
        <v>12</v>
      </c>
      <c r="H273" s="10">
        <v>190314300</v>
      </c>
      <c r="I273" s="24">
        <v>190.3143</v>
      </c>
      <c r="J273" s="10">
        <v>15</v>
      </c>
      <c r="K273" s="24">
        <v>16.000796650663577</v>
      </c>
      <c r="L273" s="24">
        <v>348.4496346506636</v>
      </c>
      <c r="M273" s="26">
        <f>_xlfn.CONCAT("'",$B273,"'","!","$N$3:$V$80")</f>
      </c>
      <c r="N273" s="26">
        <f>_xlfn.CONCAT("'",$B273,"'","!","$M$2:$M$80")</f>
      </c>
      <c r="O273" s="26">
        <f>_xlfn.CONCAT("'",$B273,"'","!","$N$2:$W$2")</f>
      </c>
      <c r="P273" s="2"/>
      <c r="Q273" s="2"/>
      <c r="R273" s="2"/>
      <c r="S273" s="2"/>
      <c r="T273" s="2"/>
      <c r="U273" s="2"/>
      <c r="V273" s="2"/>
      <c r="W273" s="2"/>
      <c r="X273" s="2"/>
      <c r="Y273" s="2"/>
    </row>
    <row x14ac:dyDescent="0.25" r="274" customHeight="1" ht="17.25">
      <c r="A274" s="10">
        <v>20</v>
      </c>
      <c r="B274" s="10">
        <v>2019</v>
      </c>
      <c r="C274" s="2" t="s">
        <v>124</v>
      </c>
      <c r="D274" s="23">
        <v>12</v>
      </c>
      <c r="E274" s="10">
        <v>293413415</v>
      </c>
      <c r="F274" s="24">
        <v>293.413415</v>
      </c>
      <c r="G274" s="23">
        <v>5</v>
      </c>
      <c r="H274" s="10">
        <v>27297347</v>
      </c>
      <c r="I274" s="24">
        <v>27.297347</v>
      </c>
      <c r="J274" s="10">
        <v>19</v>
      </c>
      <c r="K274" s="24">
        <v>2.563475515897338</v>
      </c>
      <c r="L274" s="24">
        <v>323.2742375158973</v>
      </c>
      <c r="M274" s="26">
        <f>_xlfn.CONCAT("'",$B274,"'","!","$N$3:$V$80")</f>
      </c>
      <c r="N274" s="26">
        <f>_xlfn.CONCAT("'",$B274,"'","!","$M$2:$M$80")</f>
      </c>
      <c r="O274" s="26">
        <f>_xlfn.CONCAT("'",$B274,"'","!","$N$2:$W$2")</f>
      </c>
      <c r="P274" s="2"/>
      <c r="Q274" s="2"/>
      <c r="R274" s="2"/>
      <c r="S274" s="2"/>
      <c r="T274" s="2"/>
      <c r="U274" s="2"/>
      <c r="V274" s="2"/>
      <c r="W274" s="2"/>
      <c r="X274" s="2"/>
      <c r="Y274" s="2"/>
    </row>
    <row x14ac:dyDescent="0.25" r="275" customHeight="1" ht="17.25">
      <c r="A275" s="10">
        <v>21</v>
      </c>
      <c r="B275" s="10">
        <v>2019</v>
      </c>
      <c r="C275" s="2" t="s">
        <v>125</v>
      </c>
      <c r="D275" s="23">
        <v>11</v>
      </c>
      <c r="E275" s="10">
        <v>312579394</v>
      </c>
      <c r="F275" s="24">
        <v>312.579394</v>
      </c>
      <c r="G275" s="23">
        <v>0</v>
      </c>
      <c r="H275" s="10">
        <v>0</v>
      </c>
      <c r="I275" s="23">
        <v>0</v>
      </c>
      <c r="J275" s="10">
        <v>10</v>
      </c>
      <c r="K275" s="24">
        <v>2.4710068104347784</v>
      </c>
      <c r="L275" s="24">
        <v>315.0504008104348</v>
      </c>
      <c r="M275" s="26">
        <f>_xlfn.CONCAT("'",$B275,"'","!","$N$3:$V$80")</f>
      </c>
      <c r="N275" s="26">
        <f>_xlfn.CONCAT("'",$B275,"'","!","$M$2:$M$80")</f>
      </c>
      <c r="O275" s="26">
        <f>_xlfn.CONCAT("'",$B275,"'","!","$N$2:$W$2")</f>
      </c>
      <c r="P275" s="2"/>
      <c r="Q275" s="2"/>
      <c r="R275" s="2"/>
      <c r="S275" s="2"/>
      <c r="T275" s="2"/>
      <c r="U275" s="2"/>
      <c r="V275" s="2"/>
      <c r="W275" s="2"/>
      <c r="X275" s="2"/>
      <c r="Y275" s="2"/>
    </row>
    <row x14ac:dyDescent="0.25" r="276" customHeight="1" ht="17.25">
      <c r="A276" s="10">
        <v>22</v>
      </c>
      <c r="B276" s="10">
        <v>2019</v>
      </c>
      <c r="C276" s="2" t="s">
        <v>126</v>
      </c>
      <c r="D276" s="23">
        <v>16</v>
      </c>
      <c r="E276" s="10">
        <v>171003832</v>
      </c>
      <c r="F276" s="24">
        <v>171.003832</v>
      </c>
      <c r="G276" s="23">
        <v>1</v>
      </c>
      <c r="H276" s="10">
        <v>13500000</v>
      </c>
      <c r="I276" s="24">
        <v>13.5</v>
      </c>
      <c r="J276" s="10">
        <v>27</v>
      </c>
      <c r="K276" s="24">
        <v>57.60690069565216</v>
      </c>
      <c r="L276" s="24">
        <v>242.11073269565213</v>
      </c>
      <c r="M276" s="26">
        <f>_xlfn.CONCAT("'",$B276,"'","!","$N$3:$V$80")</f>
      </c>
      <c r="N276" s="26">
        <f>_xlfn.CONCAT("'",$B276,"'","!","$M$2:$M$80")</f>
      </c>
      <c r="O276" s="26">
        <f>_xlfn.CONCAT("'",$B276,"'","!","$N$2:$W$2")</f>
      </c>
      <c r="P276" s="2"/>
      <c r="Q276" s="2"/>
      <c r="R276" s="2"/>
      <c r="S276" s="2"/>
      <c r="T276" s="2"/>
      <c r="U276" s="2"/>
      <c r="V276" s="2"/>
      <c r="W276" s="2"/>
      <c r="X276" s="2"/>
      <c r="Y276" s="2"/>
    </row>
    <row x14ac:dyDescent="0.25" r="277" customHeight="1" ht="17.25">
      <c r="A277" s="10">
        <v>23</v>
      </c>
      <c r="B277" s="10">
        <v>2019</v>
      </c>
      <c r="C277" s="2" t="s">
        <v>127</v>
      </c>
      <c r="D277" s="23">
        <v>1</v>
      </c>
      <c r="E277" s="10">
        <v>216752174</v>
      </c>
      <c r="F277" s="24">
        <v>216.752174</v>
      </c>
      <c r="G277" s="23">
        <v>1</v>
      </c>
      <c r="H277" s="10">
        <v>-250000</v>
      </c>
      <c r="I277" s="24">
        <v>-0.25</v>
      </c>
      <c r="J277" s="10">
        <v>2</v>
      </c>
      <c r="K277" s="24">
        <v>0.0649821806167401</v>
      </c>
      <c r="L277" s="24">
        <v>216.56715618061673</v>
      </c>
      <c r="M277" s="26">
        <f>_xlfn.CONCAT("'",$B277,"'","!","$N$3:$V$80")</f>
      </c>
      <c r="N277" s="26">
        <f>_xlfn.CONCAT("'",$B277,"'","!","$M$2:$M$80")</f>
      </c>
      <c r="O277" s="26">
        <f>_xlfn.CONCAT("'",$B277,"'","!","$N$2:$W$2")</f>
      </c>
      <c r="P277" s="2"/>
      <c r="Q277" s="2"/>
      <c r="R277" s="2"/>
      <c r="S277" s="2"/>
      <c r="T277" s="2"/>
      <c r="U277" s="2"/>
      <c r="V277" s="2"/>
      <c r="W277" s="2"/>
      <c r="X277" s="2"/>
      <c r="Y277" s="2"/>
    </row>
    <row x14ac:dyDescent="0.25" r="278" customHeight="1" ht="17.25">
      <c r="A278" s="10">
        <v>24</v>
      </c>
      <c r="B278" s="10">
        <v>2019</v>
      </c>
      <c r="C278" s="2" t="s">
        <v>128</v>
      </c>
      <c r="D278" s="23">
        <v>8</v>
      </c>
      <c r="E278" s="10">
        <v>109714617</v>
      </c>
      <c r="F278" s="24">
        <v>109.714617</v>
      </c>
      <c r="G278" s="23">
        <v>1</v>
      </c>
      <c r="H278" s="10">
        <v>600000</v>
      </c>
      <c r="I278" s="24">
        <v>0.6</v>
      </c>
      <c r="J278" s="10">
        <v>128</v>
      </c>
      <c r="K278" s="24">
        <v>89.172538934525</v>
      </c>
      <c r="L278" s="24">
        <v>199.487155934525</v>
      </c>
      <c r="M278" s="26">
        <f>_xlfn.CONCAT("'",$B278,"'","!","$N$3:$V$80")</f>
      </c>
      <c r="N278" s="26">
        <f>_xlfn.CONCAT("'",$B278,"'","!","$M$2:$M$80")</f>
      </c>
      <c r="O278" s="26">
        <f>_xlfn.CONCAT("'",$B278,"'","!","$N$2:$W$2")</f>
      </c>
      <c r="P278" s="2"/>
      <c r="Q278" s="2"/>
      <c r="R278" s="2"/>
      <c r="S278" s="2"/>
      <c r="T278" s="2"/>
      <c r="U278" s="2"/>
      <c r="V278" s="2"/>
      <c r="W278" s="2"/>
      <c r="X278" s="2"/>
      <c r="Y278" s="2"/>
    </row>
    <row x14ac:dyDescent="0.25" r="279" customHeight="1" ht="17.25">
      <c r="A279" s="10">
        <v>25</v>
      </c>
      <c r="B279" s="10">
        <v>2019</v>
      </c>
      <c r="C279" s="2" t="s">
        <v>129</v>
      </c>
      <c r="D279" s="23">
        <v>26</v>
      </c>
      <c r="E279" s="10">
        <v>158421761</v>
      </c>
      <c r="F279" s="24">
        <v>158.421761</v>
      </c>
      <c r="G279" s="23">
        <v>10</v>
      </c>
      <c r="H279" s="10">
        <v>-9251521</v>
      </c>
      <c r="I279" s="24">
        <v>-9.251521</v>
      </c>
      <c r="J279" s="10">
        <v>34</v>
      </c>
      <c r="K279" s="24">
        <v>31.524898473248438</v>
      </c>
      <c r="L279" s="24">
        <v>180.69513847324845</v>
      </c>
      <c r="M279" s="26">
        <f>_xlfn.CONCAT("'",$B279,"'","!","$N$3:$V$80")</f>
      </c>
      <c r="N279" s="26">
        <f>_xlfn.CONCAT("'",$B279,"'","!","$M$2:$M$80")</f>
      </c>
      <c r="O279" s="26">
        <f>_xlfn.CONCAT("'",$B279,"'","!","$N$2:$W$2")</f>
      </c>
      <c r="P279" s="2"/>
      <c r="Q279" s="2"/>
      <c r="R279" s="2"/>
      <c r="S279" s="2"/>
      <c r="T279" s="2"/>
      <c r="U279" s="2"/>
      <c r="V279" s="2"/>
      <c r="W279" s="2"/>
      <c r="X279" s="2"/>
      <c r="Y279" s="2"/>
    </row>
    <row x14ac:dyDescent="0.25" r="280" customHeight="1" ht="17.25">
      <c r="A280" s="10">
        <v>26</v>
      </c>
      <c r="B280" s="10">
        <v>2019</v>
      </c>
      <c r="C280" s="2" t="s">
        <v>130</v>
      </c>
      <c r="D280" s="23">
        <v>8</v>
      </c>
      <c r="E280" s="10">
        <v>155853465</v>
      </c>
      <c r="F280" s="24">
        <v>155.853465</v>
      </c>
      <c r="G280" s="23">
        <v>2</v>
      </c>
      <c r="H280" s="10">
        <v>2095000</v>
      </c>
      <c r="I280" s="24">
        <v>2.095</v>
      </c>
      <c r="J280" s="10">
        <v>28</v>
      </c>
      <c r="K280" s="24">
        <v>22.219010962076197</v>
      </c>
      <c r="L280" s="24">
        <v>180.1674759620762</v>
      </c>
      <c r="M280" s="26">
        <f>_xlfn.CONCAT("'",$B280,"'","!","$N$3:$V$80")</f>
      </c>
      <c r="N280" s="26">
        <f>_xlfn.CONCAT("'",$B280,"'","!","$M$2:$M$80")</f>
      </c>
      <c r="O280" s="26">
        <f>_xlfn.CONCAT("'",$B280,"'","!","$N$2:$W$2")</f>
      </c>
      <c r="P280" s="2"/>
      <c r="Q280" s="2"/>
      <c r="R280" s="2"/>
      <c r="S280" s="2"/>
      <c r="T280" s="2"/>
      <c r="U280" s="2"/>
      <c r="V280" s="2"/>
      <c r="W280" s="2"/>
      <c r="X280" s="2"/>
      <c r="Y280" s="2"/>
    </row>
    <row x14ac:dyDescent="0.25" r="281" customHeight="1" ht="17.25">
      <c r="A281" s="10">
        <v>27</v>
      </c>
      <c r="B281" s="10">
        <v>2019</v>
      </c>
      <c r="C281" s="2" t="s">
        <v>131</v>
      </c>
      <c r="D281" s="23">
        <v>18</v>
      </c>
      <c r="E281" s="10">
        <v>131573101</v>
      </c>
      <c r="F281" s="24">
        <v>131.573101</v>
      </c>
      <c r="G281" s="23">
        <v>3</v>
      </c>
      <c r="H281" s="10">
        <v>6700000</v>
      </c>
      <c r="I281" s="24">
        <v>6.7</v>
      </c>
      <c r="J281" s="10">
        <v>9</v>
      </c>
      <c r="K281" s="24">
        <v>12.222562539168749</v>
      </c>
      <c r="L281" s="24">
        <v>150.49566353916873</v>
      </c>
      <c r="M281" s="26">
        <f>_xlfn.CONCAT("'",$B281,"'","!","$N$3:$V$80")</f>
      </c>
      <c r="N281" s="26">
        <f>_xlfn.CONCAT("'",$B281,"'","!","$M$2:$M$80")</f>
      </c>
      <c r="O281" s="26">
        <f>_xlfn.CONCAT("'",$B281,"'","!","$N$2:$W$2")</f>
      </c>
      <c r="P281" s="2"/>
      <c r="Q281" s="2"/>
      <c r="R281" s="2"/>
      <c r="S281" s="2"/>
      <c r="T281" s="2"/>
      <c r="U281" s="2"/>
      <c r="V281" s="2"/>
      <c r="W281" s="2"/>
      <c r="X281" s="2"/>
      <c r="Y281" s="2"/>
    </row>
    <row x14ac:dyDescent="0.25" r="282" customHeight="1" ht="17.25">
      <c r="A282" s="10">
        <v>28</v>
      </c>
      <c r="B282" s="10">
        <v>2019</v>
      </c>
      <c r="C282" s="2" t="s">
        <v>132</v>
      </c>
      <c r="D282" s="23">
        <v>7</v>
      </c>
      <c r="E282" s="10">
        <v>120007913</v>
      </c>
      <c r="F282" s="24">
        <v>120.007913</v>
      </c>
      <c r="G282" s="23">
        <v>3</v>
      </c>
      <c r="H282" s="10">
        <v>23036600</v>
      </c>
      <c r="I282" s="24">
        <v>23.0366</v>
      </c>
      <c r="J282" s="10">
        <v>10</v>
      </c>
      <c r="K282" s="24">
        <v>4.917317173153802</v>
      </c>
      <c r="L282" s="24">
        <v>147.9618301731538</v>
      </c>
      <c r="M282" s="26">
        <f>_xlfn.CONCAT("'",$B282,"'","!","$N$3:$V$80")</f>
      </c>
      <c r="N282" s="26">
        <f>_xlfn.CONCAT("'",$B282,"'","!","$M$2:$M$80")</f>
      </c>
      <c r="O282" s="26">
        <f>_xlfn.CONCAT("'",$B282,"'","!","$N$2:$W$2")</f>
      </c>
      <c r="P282" s="2"/>
      <c r="Q282" s="2"/>
      <c r="R282" s="2"/>
      <c r="S282" s="2"/>
      <c r="T282" s="2"/>
      <c r="U282" s="2"/>
      <c r="V282" s="2"/>
      <c r="W282" s="2"/>
      <c r="X282" s="2"/>
      <c r="Y282" s="2"/>
    </row>
    <row x14ac:dyDescent="0.25" r="283" customHeight="1" ht="17.25">
      <c r="A283" s="10">
        <v>29</v>
      </c>
      <c r="B283" s="10">
        <v>2019</v>
      </c>
      <c r="C283" s="2" t="s">
        <v>133</v>
      </c>
      <c r="D283" s="23">
        <v>4</v>
      </c>
      <c r="E283" s="10">
        <v>49500000</v>
      </c>
      <c r="F283" s="24">
        <v>49.5</v>
      </c>
      <c r="G283" s="23">
        <v>5</v>
      </c>
      <c r="H283" s="10">
        <v>63400000</v>
      </c>
      <c r="I283" s="24">
        <v>63.4</v>
      </c>
      <c r="J283" s="10">
        <v>2</v>
      </c>
      <c r="K283" s="24">
        <v>21.871514521739158</v>
      </c>
      <c r="L283" s="24">
        <v>134.77151452173916</v>
      </c>
      <c r="M283" s="26">
        <f>_xlfn.CONCAT("'",$B283,"'","!","$N$3:$V$80")</f>
      </c>
      <c r="N283" s="26">
        <f>_xlfn.CONCAT("'",$B283,"'","!","$M$2:$M$80")</f>
      </c>
      <c r="O283" s="26">
        <f>_xlfn.CONCAT("'",$B283,"'","!","$N$2:$W$2")</f>
      </c>
      <c r="P283" s="2"/>
      <c r="Q283" s="2"/>
      <c r="R283" s="2"/>
      <c r="S283" s="2"/>
      <c r="T283" s="2"/>
      <c r="U283" s="2"/>
      <c r="V283" s="2"/>
      <c r="W283" s="2"/>
      <c r="X283" s="2"/>
      <c r="Y283" s="2"/>
    </row>
    <row x14ac:dyDescent="0.25" r="284" customHeight="1" ht="17.25">
      <c r="A284" s="10">
        <v>30</v>
      </c>
      <c r="B284" s="10">
        <v>2019</v>
      </c>
      <c r="C284" s="2" t="s">
        <v>134</v>
      </c>
      <c r="D284" s="23">
        <v>3</v>
      </c>
      <c r="E284" s="10">
        <v>114628839</v>
      </c>
      <c r="F284" s="24">
        <v>114.628839</v>
      </c>
      <c r="G284" s="23">
        <v>0</v>
      </c>
      <c r="H284" s="10">
        <v>0</v>
      </c>
      <c r="I284" s="23">
        <v>0</v>
      </c>
      <c r="J284" s="10">
        <v>10</v>
      </c>
      <c r="K284" s="24">
        <v>15.547659173913045</v>
      </c>
      <c r="L284" s="24">
        <v>130.17649817391305</v>
      </c>
      <c r="M284" s="26">
        <f>_xlfn.CONCAT("'",$B284,"'","!","$N$3:$V$80")</f>
      </c>
      <c r="N284" s="26">
        <f>_xlfn.CONCAT("'",$B284,"'","!","$M$2:$M$80")</f>
      </c>
      <c r="O284" s="26">
        <f>_xlfn.CONCAT("'",$B284,"'","!","$N$2:$W$2")</f>
      </c>
      <c r="P284" s="2"/>
      <c r="Q284" s="2"/>
      <c r="R284" s="2"/>
      <c r="S284" s="2"/>
      <c r="T284" s="2"/>
      <c r="U284" s="2"/>
      <c r="V284" s="2"/>
      <c r="W284" s="2"/>
      <c r="X284" s="2"/>
      <c r="Y284" s="2"/>
    </row>
    <row x14ac:dyDescent="0.25" r="285" customHeight="1" ht="17.25">
      <c r="A285" s="10">
        <v>31</v>
      </c>
      <c r="B285" s="10">
        <v>2019</v>
      </c>
      <c r="C285" s="2" t="s">
        <v>135</v>
      </c>
      <c r="D285" s="23">
        <v>2</v>
      </c>
      <c r="E285" s="10">
        <v>113468460</v>
      </c>
      <c r="F285" s="24">
        <v>113.46846</v>
      </c>
      <c r="G285" s="23">
        <v>0</v>
      </c>
      <c r="H285" s="10">
        <v>0</v>
      </c>
      <c r="I285" s="23">
        <v>0</v>
      </c>
      <c r="J285" s="10">
        <v>2</v>
      </c>
      <c r="K285" s="24">
        <v>0.6791304347826079</v>
      </c>
      <c r="L285" s="24">
        <v>114.1475904347826</v>
      </c>
      <c r="M285" s="26">
        <f>_xlfn.CONCAT("'",$B285,"'","!","$N$3:$V$80")</f>
      </c>
      <c r="N285" s="26">
        <f>_xlfn.CONCAT("'",$B285,"'","!","$M$2:$M$80")</f>
      </c>
      <c r="O285" s="26">
        <f>_xlfn.CONCAT("'",$B285,"'","!","$N$2:$W$2")</f>
      </c>
      <c r="P285" s="2"/>
      <c r="Q285" s="2"/>
      <c r="R285" s="2"/>
      <c r="S285" s="2"/>
      <c r="T285" s="2"/>
      <c r="U285" s="2"/>
      <c r="V285" s="2"/>
      <c r="W285" s="2"/>
      <c r="X285" s="2"/>
      <c r="Y285" s="2"/>
    </row>
    <row x14ac:dyDescent="0.25" r="286" customHeight="1" ht="17.25">
      <c r="A286" s="10">
        <v>32</v>
      </c>
      <c r="B286" s="10">
        <v>2019</v>
      </c>
      <c r="C286" s="2" t="s">
        <v>136</v>
      </c>
      <c r="D286" s="23">
        <v>5</v>
      </c>
      <c r="E286" s="10">
        <v>112053943</v>
      </c>
      <c r="F286" s="24">
        <v>112.053943</v>
      </c>
      <c r="G286" s="23">
        <v>0</v>
      </c>
      <c r="H286" s="10">
        <v>0</v>
      </c>
      <c r="I286" s="23">
        <v>0</v>
      </c>
      <c r="J286" s="10">
        <v>2</v>
      </c>
      <c r="K286" s="24">
        <v>0.2815217391304351</v>
      </c>
      <c r="L286" s="24">
        <v>112.33546473913044</v>
      </c>
      <c r="M286" s="26">
        <f>_xlfn.CONCAT("'",$B286,"'","!","$N$3:$V$80")</f>
      </c>
      <c r="N286" s="26">
        <f>_xlfn.CONCAT("'",$B286,"'","!","$M$2:$M$80")</f>
      </c>
      <c r="O286" s="26">
        <f>_xlfn.CONCAT("'",$B286,"'","!","$N$2:$W$2")</f>
      </c>
      <c r="P286" s="2"/>
      <c r="Q286" s="2"/>
      <c r="R286" s="2"/>
      <c r="S286" s="2"/>
      <c r="T286" s="2"/>
      <c r="U286" s="2"/>
      <c r="V286" s="2"/>
      <c r="W286" s="2"/>
      <c r="X286" s="2"/>
      <c r="Y286" s="2"/>
    </row>
    <row x14ac:dyDescent="0.25" r="287" customHeight="1" ht="17.25">
      <c r="A287" s="10">
        <v>33</v>
      </c>
      <c r="B287" s="10">
        <v>2019</v>
      </c>
      <c r="C287" s="2" t="s">
        <v>137</v>
      </c>
      <c r="D287" s="23">
        <v>4</v>
      </c>
      <c r="E287" s="10">
        <v>99470000</v>
      </c>
      <c r="F287" s="24">
        <v>99.47</v>
      </c>
      <c r="G287" s="23">
        <v>0</v>
      </c>
      <c r="H287" s="10">
        <v>0</v>
      </c>
      <c r="I287" s="23">
        <v>0</v>
      </c>
      <c r="J287" s="10">
        <v>7</v>
      </c>
      <c r="K287" s="24">
        <v>11.016250637869568</v>
      </c>
      <c r="L287" s="24">
        <v>110.48625063786957</v>
      </c>
      <c r="M287" s="26">
        <f>_xlfn.CONCAT("'",$B287,"'","!","$N$3:$V$80")</f>
      </c>
      <c r="N287" s="26">
        <f>_xlfn.CONCAT("'",$B287,"'","!","$M$2:$M$80")</f>
      </c>
      <c r="O287" s="26">
        <f>_xlfn.CONCAT("'",$B287,"'","!","$N$2:$W$2")</f>
      </c>
      <c r="P287" s="2"/>
      <c r="Q287" s="2"/>
      <c r="R287" s="2"/>
      <c r="S287" s="2"/>
      <c r="T287" s="2"/>
      <c r="U287" s="2"/>
      <c r="V287" s="2"/>
      <c r="W287" s="2"/>
      <c r="X287" s="2"/>
      <c r="Y287" s="2"/>
    </row>
    <row x14ac:dyDescent="0.25" r="288" customHeight="1" ht="17.25">
      <c r="A288" s="10">
        <v>34</v>
      </c>
      <c r="B288" s="10">
        <v>2019</v>
      </c>
      <c r="C288" s="2" t="s">
        <v>138</v>
      </c>
      <c r="D288" s="23">
        <v>6</v>
      </c>
      <c r="E288" s="10">
        <v>80562794</v>
      </c>
      <c r="F288" s="24">
        <v>80.562794</v>
      </c>
      <c r="G288" s="23">
        <v>3</v>
      </c>
      <c r="H288" s="10">
        <v>-14486847</v>
      </c>
      <c r="I288" s="24">
        <v>-14.486847</v>
      </c>
      <c r="J288" s="10">
        <v>14</v>
      </c>
      <c r="K288" s="24">
        <v>24.57937938001915</v>
      </c>
      <c r="L288" s="24">
        <v>90.65532638001915</v>
      </c>
      <c r="M288" s="26">
        <f>_xlfn.CONCAT("'",$B288,"'","!","$N$3:$V$80")</f>
      </c>
      <c r="N288" s="26">
        <f>_xlfn.CONCAT("'",$B288,"'","!","$M$2:$M$80")</f>
      </c>
      <c r="O288" s="26">
        <f>_xlfn.CONCAT("'",$B288,"'","!","$N$2:$W$2")</f>
      </c>
      <c r="P288" s="2"/>
      <c r="Q288" s="2"/>
      <c r="R288" s="2"/>
      <c r="S288" s="2"/>
      <c r="T288" s="2"/>
      <c r="U288" s="2"/>
      <c r="V288" s="2"/>
      <c r="W288" s="2"/>
      <c r="X288" s="2"/>
      <c r="Y288" s="2"/>
    </row>
    <row x14ac:dyDescent="0.25" r="289" customHeight="1" ht="17.25">
      <c r="A289" s="10">
        <v>35</v>
      </c>
      <c r="B289" s="10">
        <v>2019</v>
      </c>
      <c r="C289" s="2" t="s">
        <v>139</v>
      </c>
      <c r="D289" s="23">
        <v>2</v>
      </c>
      <c r="E289" s="10">
        <v>79500000</v>
      </c>
      <c r="F289" s="24">
        <v>79.5</v>
      </c>
      <c r="G289" s="23">
        <v>0</v>
      </c>
      <c r="H289" s="10">
        <v>0</v>
      </c>
      <c r="I289" s="23">
        <v>0</v>
      </c>
      <c r="J289" s="10">
        <v>2</v>
      </c>
      <c r="K289" s="24">
        <v>0.7132447826086961</v>
      </c>
      <c r="L289" s="24">
        <v>80.2132447826087</v>
      </c>
      <c r="M289" s="26">
        <f>_xlfn.CONCAT("'",$B289,"'","!","$N$3:$V$80")</f>
      </c>
      <c r="N289" s="26">
        <f>_xlfn.CONCAT("'",$B289,"'","!","$M$2:$M$80")</f>
      </c>
      <c r="O289" s="26">
        <f>_xlfn.CONCAT("'",$B289,"'","!","$N$2:$W$2")</f>
      </c>
      <c r="P289" s="2"/>
      <c r="Q289" s="2"/>
      <c r="R289" s="2"/>
      <c r="S289" s="2"/>
      <c r="T289" s="2"/>
      <c r="U289" s="2"/>
      <c r="V289" s="2"/>
      <c r="W289" s="2"/>
      <c r="X289" s="2"/>
      <c r="Y289" s="2"/>
    </row>
    <row x14ac:dyDescent="0.25" r="290" customHeight="1" ht="17.25">
      <c r="A290" s="10">
        <v>36</v>
      </c>
      <c r="B290" s="10">
        <v>2019</v>
      </c>
      <c r="C290" s="2" t="s">
        <v>140</v>
      </c>
      <c r="D290" s="23">
        <v>2</v>
      </c>
      <c r="E290" s="10">
        <v>69700000</v>
      </c>
      <c r="F290" s="24">
        <v>69.7</v>
      </c>
      <c r="G290" s="23">
        <v>0</v>
      </c>
      <c r="H290" s="10">
        <v>0</v>
      </c>
      <c r="I290" s="23">
        <v>0</v>
      </c>
      <c r="J290" s="10">
        <v>3</v>
      </c>
      <c r="K290" s="24">
        <v>1.339130434782612</v>
      </c>
      <c r="L290" s="24">
        <v>71.03913043478262</v>
      </c>
      <c r="M290" s="26">
        <f>_xlfn.CONCAT("'",$B290,"'","!","$N$3:$V$80")</f>
      </c>
      <c r="N290" s="26">
        <f>_xlfn.CONCAT("'",$B290,"'","!","$M$2:$M$80")</f>
      </c>
      <c r="O290" s="26">
        <f>_xlfn.CONCAT("'",$B290,"'","!","$N$2:$W$2")</f>
      </c>
      <c r="P290" s="2"/>
      <c r="Q290" s="2"/>
      <c r="R290" s="2"/>
      <c r="S290" s="2"/>
      <c r="T290" s="2"/>
      <c r="U290" s="2"/>
      <c r="V290" s="2"/>
      <c r="W290" s="2"/>
      <c r="X290" s="2"/>
      <c r="Y290" s="2"/>
    </row>
    <row x14ac:dyDescent="0.25" r="291" customHeight="1" ht="17.25">
      <c r="A291" s="10">
        <v>37</v>
      </c>
      <c r="B291" s="10">
        <v>2019</v>
      </c>
      <c r="C291" s="2" t="s">
        <v>141</v>
      </c>
      <c r="D291" s="23">
        <v>7</v>
      </c>
      <c r="E291" s="10">
        <v>42732556</v>
      </c>
      <c r="F291" s="24">
        <v>42.732556</v>
      </c>
      <c r="G291" s="23">
        <v>3</v>
      </c>
      <c r="H291" s="10">
        <v>238763</v>
      </c>
      <c r="I291" s="24">
        <v>0.238763</v>
      </c>
      <c r="J291" s="10">
        <v>18</v>
      </c>
      <c r="K291" s="24">
        <v>25.82097994782609</v>
      </c>
      <c r="L291" s="24">
        <v>68.79229894782608</v>
      </c>
      <c r="M291" s="26">
        <f>_xlfn.CONCAT("'",$B291,"'","!","$N$3:$V$80")</f>
      </c>
      <c r="N291" s="26">
        <f>_xlfn.CONCAT("'",$B291,"'","!","$M$2:$M$80")</f>
      </c>
      <c r="O291" s="26">
        <f>_xlfn.CONCAT("'",$B291,"'","!","$N$2:$W$2")</f>
      </c>
      <c r="P291" s="2"/>
      <c r="Q291" s="2"/>
      <c r="R291" s="2"/>
      <c r="S291" s="2"/>
      <c r="T291" s="2"/>
      <c r="U291" s="2"/>
      <c r="V291" s="2"/>
      <c r="W291" s="2"/>
      <c r="X291" s="2"/>
      <c r="Y291" s="2"/>
    </row>
    <row x14ac:dyDescent="0.25" r="292" customHeight="1" ht="17.25">
      <c r="A292" s="10">
        <v>38</v>
      </c>
      <c r="B292" s="10">
        <v>2019</v>
      </c>
      <c r="C292" s="2" t="s">
        <v>142</v>
      </c>
      <c r="D292" s="23">
        <v>7</v>
      </c>
      <c r="E292" s="10">
        <v>28541409</v>
      </c>
      <c r="F292" s="24">
        <v>28.541409</v>
      </c>
      <c r="G292" s="23">
        <v>5</v>
      </c>
      <c r="H292" s="10">
        <v>28274271</v>
      </c>
      <c r="I292" s="24">
        <v>28.274271</v>
      </c>
      <c r="J292" s="10">
        <v>13</v>
      </c>
      <c r="K292" s="24">
        <v>9.516781126347444</v>
      </c>
      <c r="L292" s="24">
        <v>66.33246112634744</v>
      </c>
      <c r="M292" s="26">
        <f>_xlfn.CONCAT("'",$B292,"'","!","$N$3:$V$80")</f>
      </c>
      <c r="N292" s="26">
        <f>_xlfn.CONCAT("'",$B292,"'","!","$M$2:$M$80")</f>
      </c>
      <c r="O292" s="26">
        <f>_xlfn.CONCAT("'",$B292,"'","!","$N$2:$W$2")</f>
      </c>
      <c r="P292" s="2"/>
      <c r="Q292" s="2"/>
      <c r="R292" s="2"/>
      <c r="S292" s="2"/>
      <c r="T292" s="2"/>
      <c r="U292" s="2"/>
      <c r="V292" s="2"/>
      <c r="W292" s="2"/>
      <c r="X292" s="2"/>
      <c r="Y292" s="2"/>
    </row>
    <row x14ac:dyDescent="0.25" r="293" customHeight="1" ht="17.25">
      <c r="A293" s="10">
        <v>39</v>
      </c>
      <c r="B293" s="10">
        <v>2019</v>
      </c>
      <c r="C293" s="2" t="s">
        <v>143</v>
      </c>
      <c r="D293" s="23">
        <v>2</v>
      </c>
      <c r="E293" s="10">
        <v>57924629</v>
      </c>
      <c r="F293" s="24">
        <v>57.924629</v>
      </c>
      <c r="G293" s="23">
        <v>1</v>
      </c>
      <c r="H293" s="10">
        <v>1600000</v>
      </c>
      <c r="I293" s="24">
        <v>1.6</v>
      </c>
      <c r="J293" s="10">
        <v>9</v>
      </c>
      <c r="K293" s="24">
        <v>5.855287189810387</v>
      </c>
      <c r="L293" s="24">
        <v>65.37991618981039</v>
      </c>
      <c r="M293" s="26">
        <f>_xlfn.CONCAT("'",$B293,"'","!","$N$3:$V$80")</f>
      </c>
      <c r="N293" s="26">
        <f>_xlfn.CONCAT("'",$B293,"'","!","$M$2:$M$80")</f>
      </c>
      <c r="O293" s="26">
        <f>_xlfn.CONCAT("'",$B293,"'","!","$N$2:$W$2")</f>
      </c>
      <c r="P293" s="2"/>
      <c r="Q293" s="2"/>
      <c r="R293" s="2"/>
      <c r="S293" s="2"/>
      <c r="T293" s="2"/>
      <c r="U293" s="2"/>
      <c r="V293" s="2"/>
      <c r="W293" s="2"/>
      <c r="X293" s="2"/>
      <c r="Y293" s="2"/>
    </row>
    <row x14ac:dyDescent="0.25" r="294" customHeight="1" ht="17.25">
      <c r="A294" s="10">
        <v>40</v>
      </c>
      <c r="B294" s="10">
        <v>2019</v>
      </c>
      <c r="C294" s="2" t="s">
        <v>144</v>
      </c>
      <c r="D294" s="23">
        <v>9</v>
      </c>
      <c r="E294" s="10">
        <v>21766200</v>
      </c>
      <c r="F294" s="24">
        <v>21.7662</v>
      </c>
      <c r="G294" s="23">
        <v>5</v>
      </c>
      <c r="H294" s="10">
        <v>5540330</v>
      </c>
      <c r="I294" s="24">
        <v>5.54033</v>
      </c>
      <c r="J294" s="10">
        <v>19</v>
      </c>
      <c r="K294" s="24">
        <v>37.416044029565235</v>
      </c>
      <c r="L294" s="24">
        <v>64.72257402956524</v>
      </c>
      <c r="M294" s="26">
        <f>_xlfn.CONCAT("'",$B294,"'","!","$N$3:$V$80")</f>
      </c>
      <c r="N294" s="26">
        <f>_xlfn.CONCAT("'",$B294,"'","!","$M$2:$M$80")</f>
      </c>
      <c r="O294" s="26">
        <f>_xlfn.CONCAT("'",$B294,"'","!","$N$2:$W$2")</f>
      </c>
      <c r="P294" s="2"/>
      <c r="Q294" s="2"/>
      <c r="R294" s="2"/>
      <c r="S294" s="2"/>
      <c r="T294" s="2"/>
      <c r="U294" s="2"/>
      <c r="V294" s="2"/>
      <c r="W294" s="2"/>
      <c r="X294" s="2"/>
      <c r="Y294" s="2"/>
    </row>
    <row x14ac:dyDescent="0.25" r="295" customHeight="1" ht="17.25">
      <c r="A295" s="10">
        <v>41</v>
      </c>
      <c r="B295" s="10">
        <v>2019</v>
      </c>
      <c r="C295" s="2" t="s">
        <v>145</v>
      </c>
      <c r="D295" s="23">
        <v>3</v>
      </c>
      <c r="E295" s="10">
        <v>16500000</v>
      </c>
      <c r="F295" s="24">
        <v>16.5</v>
      </c>
      <c r="G295" s="23">
        <v>2</v>
      </c>
      <c r="H295" s="10">
        <v>4000000</v>
      </c>
      <c r="I295" s="23">
        <v>4</v>
      </c>
      <c r="J295" s="10">
        <v>10</v>
      </c>
      <c r="K295" s="24">
        <v>39.236911388452405</v>
      </c>
      <c r="L295" s="24">
        <v>59.736911388452405</v>
      </c>
      <c r="M295" s="26">
        <f>_xlfn.CONCAT("'",$B295,"'","!","$N$3:$V$80")</f>
      </c>
      <c r="N295" s="26">
        <f>_xlfn.CONCAT("'",$B295,"'","!","$M$2:$M$80")</f>
      </c>
      <c r="O295" s="26">
        <f>_xlfn.CONCAT("'",$B295,"'","!","$N$2:$W$2")</f>
      </c>
      <c r="P295" s="2"/>
      <c r="Q295" s="2"/>
      <c r="R295" s="2"/>
      <c r="S295" s="2"/>
      <c r="T295" s="2"/>
      <c r="U295" s="2"/>
      <c r="V295" s="2"/>
      <c r="W295" s="2"/>
      <c r="X295" s="2"/>
      <c r="Y295" s="2"/>
    </row>
    <row x14ac:dyDescent="0.25" r="296" customHeight="1" ht="17.25">
      <c r="A296" s="10">
        <v>42</v>
      </c>
      <c r="B296" s="10">
        <v>2019</v>
      </c>
      <c r="C296" s="2" t="s">
        <v>146</v>
      </c>
      <c r="D296" s="23">
        <v>7</v>
      </c>
      <c r="E296" s="10">
        <v>14313801</v>
      </c>
      <c r="F296" s="24">
        <v>14.313801</v>
      </c>
      <c r="G296" s="23">
        <v>0</v>
      </c>
      <c r="H296" s="10">
        <v>0</v>
      </c>
      <c r="I296" s="23">
        <v>0</v>
      </c>
      <c r="J296" s="10">
        <v>22</v>
      </c>
      <c r="K296" s="24">
        <v>18.327568525292296</v>
      </c>
      <c r="L296" s="24">
        <v>32.6413695252923</v>
      </c>
      <c r="M296" s="26">
        <f>_xlfn.CONCAT("'",$B296,"'","!","$N$3:$V$80")</f>
      </c>
      <c r="N296" s="26">
        <f>_xlfn.CONCAT("'",$B296,"'","!","$M$2:$M$80")</f>
      </c>
      <c r="O296" s="26">
        <f>_xlfn.CONCAT("'",$B296,"'","!","$N$2:$W$2")</f>
      </c>
      <c r="P296" s="2"/>
      <c r="Q296" s="2"/>
      <c r="R296" s="2"/>
      <c r="S296" s="2"/>
      <c r="T296" s="2"/>
      <c r="U296" s="2"/>
      <c r="V296" s="2"/>
      <c r="W296" s="2"/>
      <c r="X296" s="2"/>
      <c r="Y296" s="2"/>
    </row>
    <row x14ac:dyDescent="0.25" r="297" customHeight="1" ht="17.25">
      <c r="A297" s="10">
        <v>43</v>
      </c>
      <c r="B297" s="10">
        <v>2019</v>
      </c>
      <c r="C297" s="2" t="s">
        <v>147</v>
      </c>
      <c r="D297" s="23">
        <v>3</v>
      </c>
      <c r="E297" s="10">
        <v>9058843</v>
      </c>
      <c r="F297" s="24">
        <v>9.058843</v>
      </c>
      <c r="G297" s="23">
        <v>3</v>
      </c>
      <c r="H297" s="10">
        <v>1365097</v>
      </c>
      <c r="I297" s="24">
        <v>1.365097</v>
      </c>
      <c r="J297" s="10">
        <v>69</v>
      </c>
      <c r="K297" s="24">
        <v>14.060151173489185</v>
      </c>
      <c r="L297" s="24">
        <v>24.484091173489183</v>
      </c>
      <c r="M297" s="26">
        <f>_xlfn.CONCAT("'",$B297,"'","!","$N$3:$V$80")</f>
      </c>
      <c r="N297" s="26">
        <f>_xlfn.CONCAT("'",$B297,"'","!","$M$2:$M$80")</f>
      </c>
      <c r="O297" s="26">
        <f>_xlfn.CONCAT("'",$B297,"'","!","$N$2:$W$2")</f>
      </c>
      <c r="P297" s="2"/>
      <c r="Q297" s="2"/>
      <c r="R297" s="2"/>
      <c r="S297" s="2"/>
      <c r="T297" s="2"/>
      <c r="U297" s="2"/>
      <c r="V297" s="2"/>
      <c r="W297" s="2"/>
      <c r="X297" s="2"/>
      <c r="Y297" s="2"/>
    </row>
    <row x14ac:dyDescent="0.25" r="298" customHeight="1" ht="17.25">
      <c r="A298" s="10">
        <v>44</v>
      </c>
      <c r="B298" s="10">
        <v>2019</v>
      </c>
      <c r="C298" s="2" t="s">
        <v>148</v>
      </c>
      <c r="D298" s="23">
        <v>5</v>
      </c>
      <c r="E298" s="10">
        <v>8936123</v>
      </c>
      <c r="F298" s="24">
        <v>8.936123</v>
      </c>
      <c r="G298" s="23">
        <v>1</v>
      </c>
      <c r="H298" s="10">
        <v>8669000</v>
      </c>
      <c r="I298" s="24">
        <v>8.669</v>
      </c>
      <c r="J298" s="10">
        <v>20</v>
      </c>
      <c r="K298" s="24">
        <v>3.0630293616165467</v>
      </c>
      <c r="L298" s="24">
        <v>20.668152361616546</v>
      </c>
      <c r="M298" s="26">
        <f>_xlfn.CONCAT("'",$B298,"'","!","$N$3:$V$80")</f>
      </c>
      <c r="N298" s="26">
        <f>_xlfn.CONCAT("'",$B298,"'","!","$M$2:$M$80")</f>
      </c>
      <c r="O298" s="26">
        <f>_xlfn.CONCAT("'",$B298,"'","!","$N$2:$W$2")</f>
      </c>
      <c r="P298" s="2"/>
      <c r="Q298" s="2"/>
      <c r="R298" s="2"/>
      <c r="S298" s="2"/>
      <c r="T298" s="2"/>
      <c r="U298" s="2"/>
      <c r="V298" s="2"/>
      <c r="W298" s="2"/>
      <c r="X298" s="2"/>
      <c r="Y298" s="2"/>
    </row>
    <row x14ac:dyDescent="0.25" r="299" customHeight="1" ht="17.25">
      <c r="A299" s="10">
        <v>45</v>
      </c>
      <c r="B299" s="10">
        <v>2019</v>
      </c>
      <c r="C299" s="2" t="s">
        <v>149</v>
      </c>
      <c r="D299" s="23">
        <v>1</v>
      </c>
      <c r="E299" s="10">
        <v>20000000</v>
      </c>
      <c r="F299" s="23">
        <v>20</v>
      </c>
      <c r="G299" s="23">
        <v>0</v>
      </c>
      <c r="H299" s="10">
        <v>0</v>
      </c>
      <c r="I299" s="23">
        <v>0</v>
      </c>
      <c r="J299" s="10">
        <v>0</v>
      </c>
      <c r="K299" s="23">
        <v>0</v>
      </c>
      <c r="L299" s="23">
        <v>20</v>
      </c>
      <c r="M299" s="26">
        <f>_xlfn.CONCAT("'",$B299,"'","!","$N$3:$V$80")</f>
      </c>
      <c r="N299" s="26">
        <f>_xlfn.CONCAT("'",$B299,"'","!","$M$2:$M$80")</f>
      </c>
      <c r="O299" s="26">
        <f>_xlfn.CONCAT("'",$B299,"'","!","$N$2:$W$2")</f>
      </c>
      <c r="P299" s="2"/>
      <c r="Q299" s="2"/>
      <c r="R299" s="2"/>
      <c r="S299" s="2"/>
      <c r="T299" s="2"/>
      <c r="U299" s="2"/>
      <c r="V299" s="2"/>
      <c r="W299" s="2"/>
      <c r="X299" s="2"/>
      <c r="Y299" s="2"/>
    </row>
    <row x14ac:dyDescent="0.25" r="300" customHeight="1" ht="17.25">
      <c r="A300" s="10">
        <v>46</v>
      </c>
      <c r="B300" s="10">
        <v>2019</v>
      </c>
      <c r="C300" s="2" t="s">
        <v>150</v>
      </c>
      <c r="D300" s="23">
        <v>6</v>
      </c>
      <c r="E300" s="10">
        <v>13899000</v>
      </c>
      <c r="F300" s="24">
        <v>13.899</v>
      </c>
      <c r="G300" s="23">
        <v>0</v>
      </c>
      <c r="H300" s="10">
        <v>0</v>
      </c>
      <c r="I300" s="23">
        <v>0</v>
      </c>
      <c r="J300" s="10">
        <v>4</v>
      </c>
      <c r="K300" s="24">
        <v>2.699415</v>
      </c>
      <c r="L300" s="24">
        <v>16.598415</v>
      </c>
      <c r="M300" s="26">
        <f>_xlfn.CONCAT("'",$B300,"'","!","$N$3:$V$80")</f>
      </c>
      <c r="N300" s="26">
        <f>_xlfn.CONCAT("'",$B300,"'","!","$M$2:$M$80")</f>
      </c>
      <c r="O300" s="26">
        <f>_xlfn.CONCAT("'",$B300,"'","!","$N$2:$W$2")</f>
      </c>
      <c r="P300" s="2"/>
      <c r="Q300" s="2"/>
      <c r="R300" s="2"/>
      <c r="S300" s="2"/>
      <c r="T300" s="2"/>
      <c r="U300" s="2"/>
      <c r="V300" s="2"/>
      <c r="W300" s="2"/>
      <c r="X300" s="2"/>
      <c r="Y300" s="2"/>
    </row>
    <row x14ac:dyDescent="0.25" r="301" customHeight="1" ht="17.25">
      <c r="A301" s="10">
        <v>47</v>
      </c>
      <c r="B301" s="10">
        <v>2019</v>
      </c>
      <c r="C301" s="2" t="s">
        <v>151</v>
      </c>
      <c r="D301" s="23">
        <v>2</v>
      </c>
      <c r="E301" s="10">
        <v>11505000</v>
      </c>
      <c r="F301" s="24">
        <v>11.505</v>
      </c>
      <c r="G301" s="23">
        <v>0</v>
      </c>
      <c r="H301" s="10">
        <v>0</v>
      </c>
      <c r="I301" s="23">
        <v>0</v>
      </c>
      <c r="J301" s="10">
        <v>4</v>
      </c>
      <c r="K301" s="24">
        <v>1.519915347826087</v>
      </c>
      <c r="L301" s="24">
        <v>13.024915347826088</v>
      </c>
      <c r="M301" s="26">
        <f>_xlfn.CONCAT("'",$B301,"'","!","$N$3:$V$80")</f>
      </c>
      <c r="N301" s="26">
        <f>_xlfn.CONCAT("'",$B301,"'","!","$M$2:$M$80")</f>
      </c>
      <c r="O301" s="26">
        <f>_xlfn.CONCAT("'",$B301,"'","!","$N$2:$W$2")</f>
      </c>
      <c r="P301" s="2"/>
      <c r="Q301" s="2"/>
      <c r="R301" s="2"/>
      <c r="S301" s="2"/>
      <c r="T301" s="2"/>
      <c r="U301" s="2"/>
      <c r="V301" s="2"/>
      <c r="W301" s="2"/>
      <c r="X301" s="2"/>
      <c r="Y301" s="2"/>
    </row>
    <row x14ac:dyDescent="0.25" r="302" customHeight="1" ht="17.25">
      <c r="A302" s="10">
        <v>48</v>
      </c>
      <c r="B302" s="10">
        <v>2019</v>
      </c>
      <c r="C302" s="2" t="s">
        <v>152</v>
      </c>
      <c r="D302" s="23">
        <v>3</v>
      </c>
      <c r="E302" s="10">
        <v>4426773</v>
      </c>
      <c r="F302" s="24">
        <v>4.426773</v>
      </c>
      <c r="G302" s="23">
        <v>1</v>
      </c>
      <c r="H302" s="10">
        <v>1112002</v>
      </c>
      <c r="I302" s="24">
        <v>1.112002</v>
      </c>
      <c r="J302" s="10">
        <v>7</v>
      </c>
      <c r="K302" s="24">
        <v>1.75739472</v>
      </c>
      <c r="L302" s="24">
        <v>7.296169719999999</v>
      </c>
      <c r="M302" s="26">
        <f>_xlfn.CONCAT("'",$B302,"'","!","$N$3:$V$80")</f>
      </c>
      <c r="N302" s="26">
        <f>_xlfn.CONCAT("'",$B302,"'","!","$M$2:$M$80")</f>
      </c>
      <c r="O302" s="26">
        <f>_xlfn.CONCAT("'",$B302,"'","!","$N$2:$W$2")</f>
      </c>
      <c r="P302" s="2"/>
      <c r="Q302" s="2"/>
      <c r="R302" s="2"/>
      <c r="S302" s="2"/>
      <c r="T302" s="2"/>
      <c r="U302" s="2"/>
      <c r="V302" s="2"/>
      <c r="W302" s="2"/>
      <c r="X302" s="2"/>
      <c r="Y302" s="2"/>
    </row>
    <row x14ac:dyDescent="0.25" r="303" customHeight="1" ht="17.25">
      <c r="A303" s="10">
        <v>49</v>
      </c>
      <c r="B303" s="10">
        <v>2019</v>
      </c>
      <c r="C303" s="2" t="s">
        <v>153</v>
      </c>
      <c r="D303" s="23">
        <v>1</v>
      </c>
      <c r="E303" s="10">
        <v>775000</v>
      </c>
      <c r="F303" s="24">
        <v>0.775</v>
      </c>
      <c r="G303" s="23">
        <v>0</v>
      </c>
      <c r="H303" s="10">
        <v>0</v>
      </c>
      <c r="I303" s="23">
        <v>0</v>
      </c>
      <c r="J303" s="10">
        <v>2</v>
      </c>
      <c r="K303" s="24">
        <v>4.852633190869566</v>
      </c>
      <c r="L303" s="24">
        <v>5.627633190869567</v>
      </c>
      <c r="M303" s="26">
        <f>_xlfn.CONCAT("'",$B303,"'","!","$N$3:$V$80")</f>
      </c>
      <c r="N303" s="26">
        <f>_xlfn.CONCAT("'",$B303,"'","!","$M$2:$M$80")</f>
      </c>
      <c r="O303" s="26">
        <f>_xlfn.CONCAT("'",$B303,"'","!","$N$2:$W$2")</f>
      </c>
      <c r="P303" s="2"/>
      <c r="Q303" s="2"/>
      <c r="R303" s="2"/>
      <c r="S303" s="2"/>
      <c r="T303" s="2"/>
      <c r="U303" s="2"/>
      <c r="V303" s="2"/>
      <c r="W303" s="2"/>
      <c r="X303" s="2"/>
      <c r="Y303" s="2"/>
    </row>
    <row x14ac:dyDescent="0.25" r="304" customHeight="1" ht="17.25">
      <c r="A304" s="10">
        <v>50</v>
      </c>
      <c r="B304" s="10">
        <v>2019</v>
      </c>
      <c r="C304" s="2" t="s">
        <v>154</v>
      </c>
      <c r="D304" s="23">
        <v>1</v>
      </c>
      <c r="E304" s="11">
        <v>4321532.81</v>
      </c>
      <c r="F304" s="24">
        <v>4.32153281</v>
      </c>
      <c r="G304" s="23">
        <v>0</v>
      </c>
      <c r="H304" s="10">
        <v>0</v>
      </c>
      <c r="I304" s="23">
        <v>0</v>
      </c>
      <c r="J304" s="10">
        <v>1</v>
      </c>
      <c r="K304" s="24">
        <v>0.0586956521739129</v>
      </c>
      <c r="L304" s="24">
        <v>4.380228462173913</v>
      </c>
      <c r="M304" s="26">
        <f>_xlfn.CONCAT("'",$B304,"'","!","$N$3:$V$80")</f>
      </c>
      <c r="N304" s="26">
        <f>_xlfn.CONCAT("'",$B304,"'","!","$M$2:$M$80")</f>
      </c>
      <c r="O304" s="26">
        <f>_xlfn.CONCAT("'",$B304,"'","!","$N$2:$W$2")</f>
      </c>
      <c r="P304" s="2"/>
      <c r="Q304" s="2"/>
      <c r="R304" s="2"/>
      <c r="S304" s="2"/>
      <c r="T304" s="2"/>
      <c r="U304" s="2"/>
      <c r="V304" s="2"/>
      <c r="W304" s="2"/>
      <c r="X304" s="2"/>
      <c r="Y304" s="2"/>
    </row>
    <row x14ac:dyDescent="0.25" r="305" customHeight="1" ht="17.25">
      <c r="A305" s="10">
        <v>51</v>
      </c>
      <c r="B305" s="10">
        <v>2019</v>
      </c>
      <c r="C305" s="2" t="s">
        <v>155</v>
      </c>
      <c r="D305" s="23">
        <v>0</v>
      </c>
      <c r="E305" s="10">
        <v>0</v>
      </c>
      <c r="F305" s="23">
        <v>0</v>
      </c>
      <c r="G305" s="23">
        <v>0</v>
      </c>
      <c r="H305" s="10">
        <v>0</v>
      </c>
      <c r="I305" s="23">
        <v>0</v>
      </c>
      <c r="J305" s="10">
        <v>2</v>
      </c>
      <c r="K305" s="24">
        <v>2.5630434782608646</v>
      </c>
      <c r="L305" s="24">
        <v>2.5630434782608646</v>
      </c>
      <c r="M305" s="26">
        <f>_xlfn.CONCAT("'",$B305,"'","!","$N$3:$V$80")</f>
      </c>
      <c r="N305" s="26">
        <f>_xlfn.CONCAT("'",$B305,"'","!","$M$2:$M$80")</f>
      </c>
      <c r="O305" s="26">
        <f>_xlfn.CONCAT("'",$B305,"'","!","$N$2:$W$2")</f>
      </c>
      <c r="P305" s="2"/>
      <c r="Q305" s="2"/>
      <c r="R305" s="2"/>
      <c r="S305" s="2"/>
      <c r="T305" s="2"/>
      <c r="U305" s="2"/>
      <c r="V305" s="2"/>
      <c r="W305" s="2"/>
      <c r="X305" s="2"/>
      <c r="Y305" s="2"/>
    </row>
    <row x14ac:dyDescent="0.25" r="306" customHeight="1" ht="17.25">
      <c r="A306" s="10">
        <v>52</v>
      </c>
      <c r="B306" s="10">
        <v>2019</v>
      </c>
      <c r="C306" s="2" t="s">
        <v>156</v>
      </c>
      <c r="D306" s="23">
        <v>0</v>
      </c>
      <c r="E306" s="10">
        <v>0</v>
      </c>
      <c r="F306" s="23">
        <v>0</v>
      </c>
      <c r="G306" s="23">
        <v>0</v>
      </c>
      <c r="H306" s="10">
        <v>0</v>
      </c>
      <c r="I306" s="23">
        <v>0</v>
      </c>
      <c r="J306" s="10">
        <v>4</v>
      </c>
      <c r="K306" s="24">
        <v>1.3871664049032764</v>
      </c>
      <c r="L306" s="24">
        <v>1.3871664049032764</v>
      </c>
      <c r="M306" s="26">
        <f>_xlfn.CONCAT("'",$B306,"'","!","$N$3:$V$80")</f>
      </c>
      <c r="N306" s="26">
        <f>_xlfn.CONCAT("'",$B306,"'","!","$M$2:$M$80")</f>
      </c>
      <c r="O306" s="26">
        <f>_xlfn.CONCAT("'",$B306,"'","!","$N$2:$W$2")</f>
      </c>
      <c r="P306" s="2"/>
      <c r="Q306" s="2"/>
      <c r="R306" s="2"/>
      <c r="S306" s="2"/>
      <c r="T306" s="2"/>
      <c r="U306" s="2"/>
      <c r="V306" s="2"/>
      <c r="W306" s="2"/>
      <c r="X306" s="2"/>
      <c r="Y306" s="2"/>
    </row>
    <row x14ac:dyDescent="0.25" r="307" customHeight="1" ht="17.25">
      <c r="A307" s="10">
        <v>53</v>
      </c>
      <c r="B307" s="10">
        <v>2019</v>
      </c>
      <c r="C307" s="2" t="s">
        <v>157</v>
      </c>
      <c r="D307" s="23">
        <v>0</v>
      </c>
      <c r="E307" s="10">
        <v>0</v>
      </c>
      <c r="F307" s="23">
        <v>0</v>
      </c>
      <c r="G307" s="23">
        <v>0</v>
      </c>
      <c r="H307" s="10">
        <v>0</v>
      </c>
      <c r="I307" s="23">
        <v>0</v>
      </c>
      <c r="J307" s="10">
        <v>1</v>
      </c>
      <c r="K307" s="24">
        <v>1.21739130434783</v>
      </c>
      <c r="L307" s="24">
        <v>1.21739130434783</v>
      </c>
      <c r="M307" s="26">
        <f>_xlfn.CONCAT("'",$B307,"'","!","$N$3:$V$80")</f>
      </c>
      <c r="N307" s="26">
        <f>_xlfn.CONCAT("'",$B307,"'","!","$M$2:$M$80")</f>
      </c>
      <c r="O307" s="26">
        <f>_xlfn.CONCAT("'",$B307,"'","!","$N$2:$W$2")</f>
      </c>
      <c r="P307" s="2"/>
      <c r="Q307" s="2"/>
      <c r="R307" s="2"/>
      <c r="S307" s="2"/>
      <c r="T307" s="2"/>
      <c r="U307" s="2"/>
      <c r="V307" s="2"/>
      <c r="W307" s="2"/>
      <c r="X307" s="2"/>
      <c r="Y307" s="2"/>
    </row>
    <row x14ac:dyDescent="0.25" r="308" customHeight="1" ht="17.25">
      <c r="A308" s="10">
        <v>54</v>
      </c>
      <c r="B308" s="10">
        <v>2019</v>
      </c>
      <c r="C308" s="2" t="s">
        <v>158</v>
      </c>
      <c r="D308" s="23">
        <v>1</v>
      </c>
      <c r="E308" s="10">
        <v>865000</v>
      </c>
      <c r="F308" s="24">
        <v>0.865</v>
      </c>
      <c r="G308" s="23">
        <v>0</v>
      </c>
      <c r="H308" s="10">
        <v>0</v>
      </c>
      <c r="I308" s="23">
        <v>0</v>
      </c>
      <c r="J308" s="10">
        <v>2</v>
      </c>
      <c r="K308" s="24">
        <v>0.0792166251675924</v>
      </c>
      <c r="L308" s="24">
        <v>0.9442166251675924</v>
      </c>
      <c r="M308" s="26">
        <f>_xlfn.CONCAT("'",$B308,"'","!","$N$3:$V$80")</f>
      </c>
      <c r="N308" s="26">
        <f>_xlfn.CONCAT("'",$B308,"'","!","$M$2:$M$80")</f>
      </c>
      <c r="O308" s="26">
        <f>_xlfn.CONCAT("'",$B308,"'","!","$N$2:$W$2")</f>
      </c>
      <c r="P308" s="2"/>
      <c r="Q308" s="2"/>
      <c r="R308" s="2"/>
      <c r="S308" s="2"/>
      <c r="T308" s="2"/>
      <c r="U308" s="2"/>
      <c r="V308" s="2"/>
      <c r="W308" s="2"/>
      <c r="X308" s="2"/>
      <c r="Y308" s="2"/>
    </row>
    <row x14ac:dyDescent="0.25" r="309" customHeight="1" ht="17.25">
      <c r="A309" s="10">
        <v>55</v>
      </c>
      <c r="B309" s="10">
        <v>2019</v>
      </c>
      <c r="C309" s="2" t="s">
        <v>159</v>
      </c>
      <c r="D309" s="23">
        <v>0</v>
      </c>
      <c r="E309" s="10">
        <v>0</v>
      </c>
      <c r="F309" s="23">
        <v>0</v>
      </c>
      <c r="G309" s="23">
        <v>0</v>
      </c>
      <c r="H309" s="10">
        <v>0</v>
      </c>
      <c r="I309" s="23">
        <v>0</v>
      </c>
      <c r="J309" s="10">
        <v>5</v>
      </c>
      <c r="K309" s="24">
        <v>0.7766167391304347</v>
      </c>
      <c r="L309" s="24">
        <v>0.7766167391304347</v>
      </c>
      <c r="M309" s="26">
        <f>_xlfn.CONCAT("'",$B309,"'","!","$N$3:$V$80")</f>
      </c>
      <c r="N309" s="26">
        <f>_xlfn.CONCAT("'",$B309,"'","!","$M$2:$M$80")</f>
      </c>
      <c r="O309" s="26">
        <f>_xlfn.CONCAT("'",$B309,"'","!","$N$2:$W$2")</f>
      </c>
      <c r="P309" s="2"/>
      <c r="Q309" s="2"/>
      <c r="R309" s="2"/>
      <c r="S309" s="2"/>
      <c r="T309" s="2"/>
      <c r="U309" s="2"/>
      <c r="V309" s="2"/>
      <c r="W309" s="2"/>
      <c r="X309" s="2"/>
      <c r="Y309" s="2"/>
    </row>
    <row x14ac:dyDescent="0.25" r="310" customHeight="1" ht="17.25">
      <c r="A310" s="10">
        <v>56</v>
      </c>
      <c r="B310" s="10">
        <v>2019</v>
      </c>
      <c r="C310" s="2" t="s">
        <v>160</v>
      </c>
      <c r="D310" s="23">
        <v>0</v>
      </c>
      <c r="E310" s="10">
        <v>0</v>
      </c>
      <c r="F310" s="23">
        <v>0</v>
      </c>
      <c r="G310" s="23">
        <v>0</v>
      </c>
      <c r="H310" s="10">
        <v>0</v>
      </c>
      <c r="I310" s="23">
        <v>0</v>
      </c>
      <c r="J310" s="10">
        <v>1</v>
      </c>
      <c r="K310" s="24">
        <v>0.502323</v>
      </c>
      <c r="L310" s="24">
        <v>0.502323</v>
      </c>
      <c r="M310" s="26">
        <f>_xlfn.CONCAT("'",$B310,"'","!","$N$3:$V$80")</f>
      </c>
      <c r="N310" s="26">
        <f>_xlfn.CONCAT("'",$B310,"'","!","$M$2:$M$80")</f>
      </c>
      <c r="O310" s="26">
        <f>_xlfn.CONCAT("'",$B310,"'","!","$N$2:$W$2")</f>
      </c>
      <c r="P310" s="2"/>
      <c r="Q310" s="2"/>
      <c r="R310" s="2"/>
      <c r="S310" s="2"/>
      <c r="T310" s="2"/>
      <c r="U310" s="2"/>
      <c r="V310" s="2"/>
      <c r="W310" s="2"/>
      <c r="X310" s="2"/>
      <c r="Y310" s="2"/>
    </row>
    <row x14ac:dyDescent="0.25" r="311" customHeight="1" ht="17.25">
      <c r="A311" s="10">
        <v>57</v>
      </c>
      <c r="B311" s="10">
        <v>2019</v>
      </c>
      <c r="C311" s="2" t="s">
        <v>161</v>
      </c>
      <c r="D311" s="23">
        <v>0</v>
      </c>
      <c r="E311" s="10">
        <v>0</v>
      </c>
      <c r="F311" s="23">
        <v>0</v>
      </c>
      <c r="G311" s="23">
        <v>0</v>
      </c>
      <c r="H311" s="10">
        <v>0</v>
      </c>
      <c r="I311" s="23">
        <v>0</v>
      </c>
      <c r="J311" s="10">
        <v>2</v>
      </c>
      <c r="K311" s="24">
        <v>0.3791413043478264</v>
      </c>
      <c r="L311" s="24">
        <v>0.3791413043478264</v>
      </c>
      <c r="M311" s="26">
        <f>_xlfn.CONCAT("'",$B311,"'","!","$N$3:$V$80")</f>
      </c>
      <c r="N311" s="26">
        <f>_xlfn.CONCAT("'",$B311,"'","!","$M$2:$M$80")</f>
      </c>
      <c r="O311" s="26">
        <f>_xlfn.CONCAT("'",$B311,"'","!","$N$2:$W$2")</f>
      </c>
      <c r="P311" s="2"/>
      <c r="Q311" s="2"/>
      <c r="R311" s="2"/>
      <c r="S311" s="2"/>
      <c r="T311" s="2"/>
      <c r="U311" s="2"/>
      <c r="V311" s="2"/>
      <c r="W311" s="2"/>
      <c r="X311" s="2"/>
      <c r="Y311" s="2"/>
    </row>
    <row x14ac:dyDescent="0.25" r="312" customHeight="1" ht="17.25">
      <c r="A312" s="10">
        <v>58</v>
      </c>
      <c r="B312" s="10">
        <v>2019</v>
      </c>
      <c r="C312" s="2" t="s">
        <v>162</v>
      </c>
      <c r="D312" s="23">
        <v>0</v>
      </c>
      <c r="E312" s="10">
        <v>0</v>
      </c>
      <c r="F312" s="23">
        <v>0</v>
      </c>
      <c r="G312" s="23">
        <v>0</v>
      </c>
      <c r="H312" s="10">
        <v>0</v>
      </c>
      <c r="I312" s="23">
        <v>0</v>
      </c>
      <c r="J312" s="10">
        <v>1</v>
      </c>
      <c r="K312" s="24">
        <v>0.137228708956522</v>
      </c>
      <c r="L312" s="24">
        <v>0.137228708956522</v>
      </c>
      <c r="M312" s="26">
        <f>_xlfn.CONCAT("'",$B312,"'","!","$N$3:$V$80")</f>
      </c>
      <c r="N312" s="26">
        <f>_xlfn.CONCAT("'",$B312,"'","!","$M$2:$M$80")</f>
      </c>
      <c r="O312" s="26">
        <f>_xlfn.CONCAT("'",$B312,"'","!","$N$2:$W$2")</f>
      </c>
      <c r="P312" s="2"/>
      <c r="Q312" s="2"/>
      <c r="R312" s="2"/>
      <c r="S312" s="2"/>
      <c r="T312" s="2"/>
      <c r="U312" s="2"/>
      <c r="V312" s="2"/>
      <c r="W312" s="2"/>
      <c r="X312" s="2"/>
      <c r="Y312" s="2"/>
    </row>
    <row x14ac:dyDescent="0.25" r="313" customHeight="1" ht="17.25">
      <c r="A313" s="10">
        <v>59</v>
      </c>
      <c r="B313" s="10">
        <v>2019</v>
      </c>
      <c r="C313" s="2" t="s">
        <v>163</v>
      </c>
      <c r="D313" s="23">
        <v>0</v>
      </c>
      <c r="E313" s="10">
        <v>0</v>
      </c>
      <c r="F313" s="23">
        <v>0</v>
      </c>
      <c r="G313" s="23">
        <v>0</v>
      </c>
      <c r="H313" s="10">
        <v>0</v>
      </c>
      <c r="I313" s="23">
        <v>0</v>
      </c>
      <c r="J313" s="10">
        <v>2</v>
      </c>
      <c r="K313" s="24">
        <v>0.0707304347826087</v>
      </c>
      <c r="L313" s="24">
        <v>0.0707304347826087</v>
      </c>
      <c r="M313" s="26">
        <f>_xlfn.CONCAT("'",$B313,"'","!","$N$3:$V$80")</f>
      </c>
      <c r="N313" s="26">
        <f>_xlfn.CONCAT("'",$B313,"'","!","$M$2:$M$80")</f>
      </c>
      <c r="O313" s="26">
        <f>_xlfn.CONCAT("'",$B313,"'","!","$N$2:$W$2")</f>
      </c>
      <c r="P313" s="2"/>
      <c r="Q313" s="2"/>
      <c r="R313" s="2"/>
      <c r="S313" s="2"/>
      <c r="T313" s="2"/>
      <c r="U313" s="2"/>
      <c r="V313" s="2"/>
      <c r="W313" s="2"/>
      <c r="X313" s="2"/>
      <c r="Y313" s="2"/>
    </row>
    <row x14ac:dyDescent="0.25" r="314" customHeight="1" ht="17.25">
      <c r="A314" s="10">
        <v>60</v>
      </c>
      <c r="B314" s="10">
        <v>2019</v>
      </c>
      <c r="C314" s="2" t="s">
        <v>164</v>
      </c>
      <c r="D314" s="23">
        <v>0</v>
      </c>
      <c r="E314" s="10">
        <v>0</v>
      </c>
      <c r="F314" s="23">
        <v>0</v>
      </c>
      <c r="G314" s="23">
        <v>0</v>
      </c>
      <c r="H314" s="10">
        <v>0</v>
      </c>
      <c r="I314" s="23">
        <v>0</v>
      </c>
      <c r="J314" s="10">
        <v>1</v>
      </c>
      <c r="K314" s="24">
        <v>0.0521739130434783</v>
      </c>
      <c r="L314" s="24">
        <v>0.0521739130434783</v>
      </c>
      <c r="M314" s="26">
        <f>_xlfn.CONCAT("'",$B314,"'","!","$N$3:$V$80")</f>
      </c>
      <c r="N314" s="26">
        <f>_xlfn.CONCAT("'",$B314,"'","!","$M$2:$M$80")</f>
      </c>
      <c r="O314" s="26">
        <f>_xlfn.CONCAT("'",$B314,"'","!","$N$2:$W$2")</f>
      </c>
      <c r="P314" s="2"/>
      <c r="Q314" s="2"/>
      <c r="R314" s="2"/>
      <c r="S314" s="2"/>
      <c r="T314" s="2"/>
      <c r="U314" s="2"/>
      <c r="V314" s="2"/>
      <c r="W314" s="2"/>
      <c r="X314" s="2"/>
      <c r="Y314" s="2"/>
    </row>
    <row x14ac:dyDescent="0.25" r="315" customHeight="1" ht="17.25">
      <c r="A315" s="10">
        <v>61</v>
      </c>
      <c r="B315" s="10">
        <v>2019</v>
      </c>
      <c r="C315" s="2" t="s">
        <v>165</v>
      </c>
      <c r="D315" s="23">
        <v>3</v>
      </c>
      <c r="E315" s="10">
        <v>17659000</v>
      </c>
      <c r="F315" s="24">
        <v>17.659</v>
      </c>
      <c r="G315" s="23">
        <v>6</v>
      </c>
      <c r="H315" s="10">
        <v>-20500000</v>
      </c>
      <c r="I315" s="24">
        <v>-20.5</v>
      </c>
      <c r="J315" s="10">
        <v>7</v>
      </c>
      <c r="K315" s="24">
        <v>1.8030866956521743</v>
      </c>
      <c r="L315" s="24">
        <v>-1.0379133043478268</v>
      </c>
      <c r="M315" s="26">
        <f>_xlfn.CONCAT("'",$B315,"'","!","$N$3:$V$80")</f>
      </c>
      <c r="N315" s="26">
        <f>_xlfn.CONCAT("'",$B315,"'","!","$M$2:$M$80")</f>
      </c>
      <c r="O315" s="26">
        <f>_xlfn.CONCAT("'",$B315,"'","!","$N$2:$W$2")</f>
      </c>
      <c r="P315" s="2"/>
      <c r="Q315" s="2"/>
      <c r="R315" s="2"/>
      <c r="S315" s="2"/>
      <c r="T315" s="2"/>
      <c r="U315" s="2"/>
      <c r="V315" s="2"/>
      <c r="W315" s="2"/>
      <c r="X315" s="2"/>
      <c r="Y315" s="2"/>
    </row>
    <row x14ac:dyDescent="0.25" r="316" customHeight="1" ht="17.25">
      <c r="A316" s="10">
        <v>62</v>
      </c>
      <c r="B316" s="10">
        <v>2019</v>
      </c>
      <c r="C316" s="2" t="s">
        <v>166</v>
      </c>
      <c r="D316" s="23">
        <v>3883</v>
      </c>
      <c r="E316" s="11">
        <v>16745602401.81</v>
      </c>
      <c r="F316" s="24">
        <v>16745.60240181</v>
      </c>
      <c r="G316" s="23">
        <v>1381</v>
      </c>
      <c r="H316" s="11">
        <v>5802027938.87501</v>
      </c>
      <c r="I316" s="24">
        <v>5802.02793887501</v>
      </c>
      <c r="J316" s="10">
        <v>9842</v>
      </c>
      <c r="K316" s="24">
        <v>15471.48191848945</v>
      </c>
      <c r="L316" s="24">
        <v>38019.112259174435</v>
      </c>
      <c r="M316" s="26">
        <f>_xlfn.CONCAT("'",$B316,"'","!","$N$3:$V$80")</f>
      </c>
      <c r="N316" s="26">
        <f>_xlfn.CONCAT("'",$B316,"'","!","$M$2:$M$80")</f>
      </c>
      <c r="O316" s="26">
        <f>_xlfn.CONCAT("'",$B316,"'","!","$N$2:$W$2")</f>
      </c>
      <c r="P316" s="2"/>
      <c r="Q316" s="2"/>
      <c r="R316" s="2"/>
      <c r="S316" s="2"/>
      <c r="T316" s="2"/>
      <c r="U316" s="2"/>
      <c r="V316" s="2"/>
      <c r="W316" s="2"/>
      <c r="X316" s="2"/>
      <c r="Y316" s="2"/>
    </row>
    <row x14ac:dyDescent="0.25" r="317" customHeight="1" ht="17.25">
      <c r="A317" s="10">
        <v>63</v>
      </c>
      <c r="B317" s="10">
        <v>2019</v>
      </c>
      <c r="C317" s="2" t="s">
        <v>167</v>
      </c>
      <c r="D317" s="30" t="s">
        <v>16</v>
      </c>
      <c r="E317" s="5" t="s">
        <v>16</v>
      </c>
      <c r="F317" s="25" t="s">
        <v>16</v>
      </c>
      <c r="G317" s="30" t="s">
        <v>16</v>
      </c>
      <c r="H317" s="5" t="s">
        <v>16</v>
      </c>
      <c r="I317" s="25" t="s">
        <v>16</v>
      </c>
      <c r="J317" s="5" t="s">
        <v>16</v>
      </c>
      <c r="K317" s="25" t="s">
        <v>16</v>
      </c>
      <c r="L317" s="25" t="s">
        <v>16</v>
      </c>
      <c r="M317" s="26">
        <f>_xlfn.CONCAT("'",$B317,"'","!","$N$3:$V$80")</f>
      </c>
      <c r="N317" s="26">
        <f>_xlfn.CONCAT("'",$B317,"'","!","$M$2:$M$80")</f>
      </c>
      <c r="O317" s="26">
        <f>_xlfn.CONCAT("'",$B317,"'","!","$N$2:$W$2")</f>
      </c>
      <c r="P317" s="2"/>
      <c r="Q317" s="2"/>
      <c r="R317" s="2"/>
      <c r="S317" s="2"/>
      <c r="T317" s="2"/>
      <c r="U317" s="2"/>
      <c r="V317" s="2"/>
      <c r="W317" s="2"/>
      <c r="X317" s="2"/>
      <c r="Y317" s="2"/>
    </row>
    <row x14ac:dyDescent="0.25" r="318" customHeight="1" ht="17.25">
      <c r="A318" s="10">
        <v>1</v>
      </c>
      <c r="B318" s="10">
        <v>2020</v>
      </c>
      <c r="C318" s="2" t="s">
        <v>104</v>
      </c>
      <c r="D318" s="23">
        <v>950</v>
      </c>
      <c r="E318" s="5" t="s">
        <v>16</v>
      </c>
      <c r="F318" s="24">
        <v>637.68201</v>
      </c>
      <c r="G318" s="23">
        <v>250</v>
      </c>
      <c r="H318" s="5" t="s">
        <v>16</v>
      </c>
      <c r="I318" s="24">
        <v>540.8654409784374</v>
      </c>
      <c r="J318" s="10">
        <v>3640</v>
      </c>
      <c r="K318" s="24">
        <v>3177.3834984953105</v>
      </c>
      <c r="L318" s="24">
        <v>4355.930949473748</v>
      </c>
      <c r="M318" s="26">
        <f>_xlfn.CONCAT("'",$B318,"'","!","$N$3:$V$80")</f>
      </c>
      <c r="N318" s="26">
        <f>_xlfn.CONCAT("'",$B318,"'","!","$M$2:$M$80")</f>
      </c>
      <c r="O318" s="26">
        <f>_xlfn.CONCAT("'",$B318,"'","!","$N$2:$W$2")</f>
      </c>
      <c r="P318" s="2"/>
      <c r="Q318" s="2"/>
      <c r="R318" s="2"/>
      <c r="S318" s="2"/>
      <c r="T318" s="2"/>
      <c r="U318" s="2"/>
      <c r="V318" s="2"/>
      <c r="W318" s="2"/>
      <c r="X318" s="2"/>
      <c r="Y318" s="2"/>
    </row>
    <row x14ac:dyDescent="0.25" r="319" customHeight="1" ht="17.25">
      <c r="A319" s="10">
        <v>2</v>
      </c>
      <c r="B319" s="10">
        <v>2020</v>
      </c>
      <c r="C319" s="2" t="s">
        <v>105</v>
      </c>
      <c r="D319" s="23">
        <v>133</v>
      </c>
      <c r="E319" s="5" t="s">
        <v>16</v>
      </c>
      <c r="F319" s="24">
        <v>783.902917</v>
      </c>
      <c r="G319" s="23">
        <v>92</v>
      </c>
      <c r="H319" s="5" t="s">
        <v>16</v>
      </c>
      <c r="I319" s="24">
        <v>317.639096</v>
      </c>
      <c r="J319" s="10">
        <v>395</v>
      </c>
      <c r="K319" s="24">
        <v>782.1247403258399</v>
      </c>
      <c r="L319" s="24">
        <v>1883.6667533258399</v>
      </c>
      <c r="M319" s="26">
        <f>_xlfn.CONCAT("'",$B319,"'","!","$N$3:$V$80")</f>
      </c>
      <c r="N319" s="26">
        <f>_xlfn.CONCAT("'",$B319,"'","!","$M$2:$M$80")</f>
      </c>
      <c r="O319" s="26">
        <f>_xlfn.CONCAT("'",$B319,"'","!","$N$2:$W$2")</f>
      </c>
      <c r="P319" s="2"/>
      <c r="Q319" s="2"/>
      <c r="R319" s="2"/>
      <c r="S319" s="2"/>
      <c r="T319" s="2"/>
      <c r="U319" s="2"/>
      <c r="V319" s="2"/>
      <c r="W319" s="2"/>
      <c r="X319" s="2"/>
      <c r="Y319" s="2"/>
    </row>
    <row x14ac:dyDescent="0.25" r="320" customHeight="1" ht="17.25">
      <c r="A320" s="10">
        <v>3</v>
      </c>
      <c r="B320" s="10">
        <v>2020</v>
      </c>
      <c r="C320" s="2" t="s">
        <v>106</v>
      </c>
      <c r="D320" s="23">
        <v>69</v>
      </c>
      <c r="E320" s="5" t="s">
        <v>16</v>
      </c>
      <c r="F320" s="24">
        <v>405.035605</v>
      </c>
      <c r="G320" s="23">
        <v>38</v>
      </c>
      <c r="H320" s="5" t="s">
        <v>16</v>
      </c>
      <c r="I320" s="24">
        <v>160.48677518</v>
      </c>
      <c r="J320" s="10">
        <v>142</v>
      </c>
      <c r="K320" s="24">
        <v>362.82623019624987</v>
      </c>
      <c r="L320" s="24">
        <v>928.3486103762499</v>
      </c>
      <c r="M320" s="26">
        <f>_xlfn.CONCAT("'",$B320,"'","!","$N$3:$V$80")</f>
      </c>
      <c r="N320" s="26">
        <f>_xlfn.CONCAT("'",$B320,"'","!","$M$2:$M$80")</f>
      </c>
      <c r="O320" s="26">
        <f>_xlfn.CONCAT("'",$B320,"'","!","$N$2:$W$2")</f>
      </c>
      <c r="P320" s="2"/>
      <c r="Q320" s="2"/>
      <c r="R320" s="2"/>
      <c r="S320" s="2"/>
      <c r="T320" s="2"/>
      <c r="U320" s="2"/>
      <c r="V320" s="2"/>
      <c r="W320" s="2"/>
      <c r="X320" s="2"/>
      <c r="Y320" s="2"/>
    </row>
    <row x14ac:dyDescent="0.25" r="321" customHeight="1" ht="17.25">
      <c r="A321" s="10">
        <v>4</v>
      </c>
      <c r="B321" s="10">
        <v>2020</v>
      </c>
      <c r="C321" s="2" t="s">
        <v>108</v>
      </c>
      <c r="D321" s="23">
        <v>153</v>
      </c>
      <c r="E321" s="5" t="s">
        <v>16</v>
      </c>
      <c r="F321" s="24">
        <v>429.96638</v>
      </c>
      <c r="G321" s="23">
        <v>99</v>
      </c>
      <c r="H321" s="5" t="s">
        <v>16</v>
      </c>
      <c r="I321" s="24">
        <v>381.8738872890625</v>
      </c>
      <c r="J321" s="10">
        <v>162</v>
      </c>
      <c r="K321" s="24">
        <v>89.35222571631489</v>
      </c>
      <c r="L321" s="24">
        <v>901.1924930053774</v>
      </c>
      <c r="M321" s="26">
        <f>_xlfn.CONCAT("'",$B321,"'","!","$N$3:$V$80")</f>
      </c>
      <c r="N321" s="26">
        <f>_xlfn.CONCAT("'",$B321,"'","!","$M$2:$M$80")</f>
      </c>
      <c r="O321" s="26">
        <f>_xlfn.CONCAT("'",$B321,"'","!","$N$2:$W$2")</f>
      </c>
      <c r="P321" s="2"/>
      <c r="Q321" s="2"/>
      <c r="R321" s="2"/>
      <c r="S321" s="2"/>
      <c r="T321" s="2"/>
      <c r="U321" s="2"/>
      <c r="V321" s="2"/>
      <c r="W321" s="2"/>
      <c r="X321" s="2"/>
      <c r="Y321" s="2"/>
    </row>
    <row x14ac:dyDescent="0.25" r="322" customHeight="1" ht="17.25">
      <c r="A322" s="10">
        <v>5</v>
      </c>
      <c r="B322" s="10">
        <v>2020</v>
      </c>
      <c r="C322" s="2" t="s">
        <v>109</v>
      </c>
      <c r="D322" s="23">
        <v>79</v>
      </c>
      <c r="E322" s="5" t="s">
        <v>16</v>
      </c>
      <c r="F322" s="24">
        <v>1064.128042</v>
      </c>
      <c r="G322" s="23">
        <v>28</v>
      </c>
      <c r="H322" s="5" t="s">
        <v>16</v>
      </c>
      <c r="I322" s="24">
        <v>376.666041</v>
      </c>
      <c r="J322" s="10">
        <v>72</v>
      </c>
      <c r="K322" s="24">
        <v>69.75729710976896</v>
      </c>
      <c r="L322" s="24">
        <v>1510.551380109769</v>
      </c>
      <c r="M322" s="26">
        <f>_xlfn.CONCAT("'",$B322,"'","!","$N$3:$V$80")</f>
      </c>
      <c r="N322" s="26">
        <f>_xlfn.CONCAT("'",$B322,"'","!","$M$2:$M$80")</f>
      </c>
      <c r="O322" s="26">
        <f>_xlfn.CONCAT("'",$B322,"'","!","$N$2:$W$2")</f>
      </c>
      <c r="P322" s="2"/>
      <c r="Q322" s="2"/>
      <c r="R322" s="2"/>
      <c r="S322" s="2"/>
      <c r="T322" s="2"/>
      <c r="U322" s="2"/>
      <c r="V322" s="2"/>
      <c r="W322" s="2"/>
      <c r="X322" s="2"/>
      <c r="Y322" s="2"/>
    </row>
    <row x14ac:dyDescent="0.25" r="323" customHeight="1" ht="17.25">
      <c r="A323" s="10">
        <v>6</v>
      </c>
      <c r="B323" s="10">
        <v>2020</v>
      </c>
      <c r="C323" s="2" t="s">
        <v>110</v>
      </c>
      <c r="D323" s="23">
        <v>15</v>
      </c>
      <c r="E323" s="5" t="s">
        <v>16</v>
      </c>
      <c r="F323" s="24">
        <v>388.158102</v>
      </c>
      <c r="G323" s="23">
        <v>29</v>
      </c>
      <c r="H323" s="5" t="s">
        <v>16</v>
      </c>
      <c r="I323" s="24">
        <v>121.910752</v>
      </c>
      <c r="J323" s="10">
        <v>34</v>
      </c>
      <c r="K323" s="24">
        <v>37.996946061191366</v>
      </c>
      <c r="L323" s="24">
        <v>548.0658000611913</v>
      </c>
      <c r="M323" s="26">
        <f>_xlfn.CONCAT("'",$B323,"'","!","$N$3:$V$80")</f>
      </c>
      <c r="N323" s="26">
        <f>_xlfn.CONCAT("'",$B323,"'","!","$M$2:$M$80")</f>
      </c>
      <c r="O323" s="26">
        <f>_xlfn.CONCAT("'",$B323,"'","!","$N$2:$W$2")</f>
      </c>
      <c r="P323" s="2"/>
      <c r="Q323" s="2"/>
      <c r="R323" s="2"/>
      <c r="S323" s="2"/>
      <c r="T323" s="2"/>
      <c r="U323" s="2"/>
      <c r="V323" s="2"/>
      <c r="W323" s="2"/>
      <c r="X323" s="2"/>
      <c r="Y323" s="2"/>
    </row>
    <row x14ac:dyDescent="0.25" r="324" customHeight="1" ht="17.25">
      <c r="A324" s="10">
        <v>7</v>
      </c>
      <c r="B324" s="10">
        <v>2020</v>
      </c>
      <c r="C324" s="2" t="s">
        <v>111</v>
      </c>
      <c r="D324" s="23">
        <v>35</v>
      </c>
      <c r="E324" s="5" t="s">
        <v>16</v>
      </c>
      <c r="F324" s="24">
        <v>395.295628</v>
      </c>
      <c r="G324" s="23">
        <v>55</v>
      </c>
      <c r="H324" s="5" t="s">
        <v>16</v>
      </c>
      <c r="I324" s="24">
        <v>432.491994</v>
      </c>
      <c r="J324" s="10">
        <v>39</v>
      </c>
      <c r="K324" s="24">
        <v>66.90170925138762</v>
      </c>
      <c r="L324" s="24">
        <v>894.6893312513877</v>
      </c>
      <c r="M324" s="26">
        <f>_xlfn.CONCAT("'",$B324,"'","!","$N$3:$V$80")</f>
      </c>
      <c r="N324" s="26">
        <f>_xlfn.CONCAT("'",$B324,"'","!","$M$2:$M$80")</f>
      </c>
      <c r="O324" s="26">
        <f>_xlfn.CONCAT("'",$B324,"'","!","$N$2:$W$2")</f>
      </c>
      <c r="P324" s="2"/>
      <c r="Q324" s="2"/>
      <c r="R324" s="2"/>
      <c r="S324" s="2"/>
      <c r="T324" s="2"/>
      <c r="U324" s="2"/>
      <c r="V324" s="2"/>
      <c r="W324" s="2"/>
      <c r="X324" s="2"/>
      <c r="Y324" s="2"/>
    </row>
    <row x14ac:dyDescent="0.25" r="325" customHeight="1" ht="17.25">
      <c r="A325" s="10">
        <v>8</v>
      </c>
      <c r="B325" s="10">
        <v>2020</v>
      </c>
      <c r="C325" s="2" t="s">
        <v>112</v>
      </c>
      <c r="D325" s="23">
        <v>31</v>
      </c>
      <c r="E325" s="5" t="s">
        <v>16</v>
      </c>
      <c r="F325" s="24">
        <v>302.364094</v>
      </c>
      <c r="G325" s="23">
        <v>8</v>
      </c>
      <c r="H325" s="5" t="s">
        <v>16</v>
      </c>
      <c r="I325" s="24">
        <v>1489.655824</v>
      </c>
      <c r="J325" s="10">
        <v>37</v>
      </c>
      <c r="K325" s="24">
        <v>381.77688043394505</v>
      </c>
      <c r="L325" s="24">
        <v>2173.796798433945</v>
      </c>
      <c r="M325" s="26">
        <f>_xlfn.CONCAT("'",$B325,"'","!","$N$3:$V$80")</f>
      </c>
      <c r="N325" s="26">
        <f>_xlfn.CONCAT("'",$B325,"'","!","$M$2:$M$80")</f>
      </c>
      <c r="O325" s="26">
        <f>_xlfn.CONCAT("'",$B325,"'","!","$N$2:$W$2")</f>
      </c>
      <c r="P325" s="2"/>
      <c r="Q325" s="2"/>
      <c r="R325" s="2"/>
      <c r="S325" s="2"/>
      <c r="T325" s="2"/>
      <c r="U325" s="2"/>
      <c r="V325" s="2"/>
      <c r="W325" s="2"/>
      <c r="X325" s="2"/>
      <c r="Y325" s="2"/>
    </row>
    <row x14ac:dyDescent="0.25" r="326" customHeight="1" ht="17.25">
      <c r="A326" s="10">
        <v>9</v>
      </c>
      <c r="B326" s="10">
        <v>2020</v>
      </c>
      <c r="C326" s="2" t="s">
        <v>113</v>
      </c>
      <c r="D326" s="23">
        <v>33</v>
      </c>
      <c r="E326" s="5" t="s">
        <v>16</v>
      </c>
      <c r="F326" s="24">
        <v>574.255043</v>
      </c>
      <c r="G326" s="23">
        <v>33</v>
      </c>
      <c r="H326" s="5" t="s">
        <v>16</v>
      </c>
      <c r="I326" s="24">
        <v>145.256294</v>
      </c>
      <c r="J326" s="10">
        <v>28</v>
      </c>
      <c r="K326" s="24">
        <v>10.243370661874843</v>
      </c>
      <c r="L326" s="24">
        <v>729.7547076618748</v>
      </c>
      <c r="M326" s="26">
        <f>_xlfn.CONCAT("'",$B326,"'","!","$N$3:$V$80")</f>
      </c>
      <c r="N326" s="26">
        <f>_xlfn.CONCAT("'",$B326,"'","!","$M$2:$M$80")</f>
      </c>
      <c r="O326" s="26">
        <f>_xlfn.CONCAT("'",$B326,"'","!","$N$2:$W$2")</f>
      </c>
      <c r="P326" s="2"/>
      <c r="Q326" s="2"/>
      <c r="R326" s="2"/>
      <c r="S326" s="2"/>
      <c r="T326" s="2"/>
      <c r="U326" s="2"/>
      <c r="V326" s="2"/>
      <c r="W326" s="2"/>
      <c r="X326" s="2"/>
      <c r="Y326" s="2"/>
    </row>
    <row x14ac:dyDescent="0.25" r="327" customHeight="1" ht="17.25">
      <c r="A327" s="10">
        <v>10</v>
      </c>
      <c r="B327" s="10">
        <v>2020</v>
      </c>
      <c r="C327" s="2" t="s">
        <v>114</v>
      </c>
      <c r="D327" s="23">
        <v>113</v>
      </c>
      <c r="E327" s="5" t="s">
        <v>16</v>
      </c>
      <c r="F327" s="24">
        <v>326.241471</v>
      </c>
      <c r="G327" s="23">
        <v>102</v>
      </c>
      <c r="H327" s="5" t="s">
        <v>16</v>
      </c>
      <c r="I327" s="24">
        <v>305.113057</v>
      </c>
      <c r="J327" s="10">
        <v>132</v>
      </c>
      <c r="K327" s="24">
        <v>178.94206572026147</v>
      </c>
      <c r="L327" s="24">
        <v>810.2965937202615</v>
      </c>
      <c r="M327" s="26">
        <f>_xlfn.CONCAT("'",$B327,"'","!","$N$3:$V$80")</f>
      </c>
      <c r="N327" s="26">
        <f>_xlfn.CONCAT("'",$B327,"'","!","$M$2:$M$80")</f>
      </c>
      <c r="O327" s="26">
        <f>_xlfn.CONCAT("'",$B327,"'","!","$N$2:$W$2")</f>
      </c>
      <c r="P327" s="2"/>
      <c r="Q327" s="2"/>
      <c r="R327" s="2"/>
      <c r="S327" s="2"/>
      <c r="T327" s="2"/>
      <c r="U327" s="2"/>
      <c r="V327" s="2"/>
      <c r="W327" s="2"/>
      <c r="X327" s="2"/>
      <c r="Y327" s="2"/>
    </row>
    <row x14ac:dyDescent="0.25" r="328" customHeight="1" ht="17.25">
      <c r="A328" s="10">
        <v>11</v>
      </c>
      <c r="B328" s="10">
        <v>2020</v>
      </c>
      <c r="C328" s="2" t="s">
        <v>115</v>
      </c>
      <c r="D328" s="23">
        <v>32</v>
      </c>
      <c r="E328" s="5" t="s">
        <v>16</v>
      </c>
      <c r="F328" s="24">
        <v>164.42</v>
      </c>
      <c r="G328" s="23">
        <v>46</v>
      </c>
      <c r="H328" s="5" t="s">
        <v>16</v>
      </c>
      <c r="I328" s="24">
        <v>322.7972320125</v>
      </c>
      <c r="J328" s="10">
        <v>42</v>
      </c>
      <c r="K328" s="24">
        <v>33.058740354265296</v>
      </c>
      <c r="L328" s="24">
        <v>520.2759723667652</v>
      </c>
      <c r="M328" s="26">
        <f>_xlfn.CONCAT("'",$B328,"'","!","$N$3:$V$80")</f>
      </c>
      <c r="N328" s="26">
        <f>_xlfn.CONCAT("'",$B328,"'","!","$M$2:$M$80")</f>
      </c>
      <c r="O328" s="26">
        <f>_xlfn.CONCAT("'",$B328,"'","!","$N$2:$W$2")</f>
      </c>
      <c r="P328" s="2"/>
      <c r="Q328" s="2"/>
      <c r="R328" s="2"/>
      <c r="S328" s="2"/>
      <c r="T328" s="2"/>
      <c r="U328" s="2"/>
      <c r="V328" s="2"/>
      <c r="W328" s="2"/>
      <c r="X328" s="2"/>
      <c r="Y328" s="2"/>
    </row>
    <row x14ac:dyDescent="0.25" r="329" customHeight="1" ht="17.25">
      <c r="A329" s="10">
        <v>12</v>
      </c>
      <c r="B329" s="10">
        <v>2020</v>
      </c>
      <c r="C329" s="2" t="s">
        <v>116</v>
      </c>
      <c r="D329" s="23">
        <v>20</v>
      </c>
      <c r="E329" s="5" t="s">
        <v>16</v>
      </c>
      <c r="F329" s="24">
        <v>373.922666</v>
      </c>
      <c r="G329" s="23">
        <v>12</v>
      </c>
      <c r="H329" s="5" t="s">
        <v>16</v>
      </c>
      <c r="I329" s="24">
        <v>24.302061</v>
      </c>
      <c r="J329" s="10">
        <v>16</v>
      </c>
      <c r="K329" s="24">
        <v>2.544929067167944</v>
      </c>
      <c r="L329" s="24">
        <v>400.76965606716794</v>
      </c>
      <c r="M329" s="26">
        <f>_xlfn.CONCAT("'",$B329,"'","!","$N$3:$V$80")</f>
      </c>
      <c r="N329" s="26">
        <f>_xlfn.CONCAT("'",$B329,"'","!","$M$2:$M$80")</f>
      </c>
      <c r="O329" s="26">
        <f>_xlfn.CONCAT("'",$B329,"'","!","$N$2:$W$2")</f>
      </c>
      <c r="P329" s="2"/>
      <c r="Q329" s="2"/>
      <c r="R329" s="2"/>
      <c r="S329" s="2"/>
      <c r="T329" s="2"/>
      <c r="U329" s="2"/>
      <c r="V329" s="2"/>
      <c r="W329" s="2"/>
      <c r="X329" s="2"/>
      <c r="Y329" s="2"/>
    </row>
    <row x14ac:dyDescent="0.25" r="330" customHeight="1" ht="17.25">
      <c r="A330" s="10">
        <v>13</v>
      </c>
      <c r="B330" s="10">
        <v>2020</v>
      </c>
      <c r="C330" s="2" t="s">
        <v>117</v>
      </c>
      <c r="D330" s="23">
        <v>28</v>
      </c>
      <c r="E330" s="5" t="s">
        <v>16</v>
      </c>
      <c r="F330" s="24">
        <v>497.496562</v>
      </c>
      <c r="G330" s="23">
        <v>13</v>
      </c>
      <c r="H330" s="5" t="s">
        <v>16</v>
      </c>
      <c r="I330" s="24">
        <v>20.489531</v>
      </c>
      <c r="J330" s="10">
        <v>32</v>
      </c>
      <c r="K330" s="24">
        <v>22.724484725687095</v>
      </c>
      <c r="L330" s="24">
        <v>540.7105777256871</v>
      </c>
      <c r="M330" s="26">
        <f>_xlfn.CONCAT("'",$B330,"'","!","$N$3:$V$80")</f>
      </c>
      <c r="N330" s="26">
        <f>_xlfn.CONCAT("'",$B330,"'","!","$M$2:$M$80")</f>
      </c>
      <c r="O330" s="26">
        <f>_xlfn.CONCAT("'",$B330,"'","!","$N$2:$W$2")</f>
      </c>
      <c r="P330" s="2"/>
      <c r="Q330" s="2"/>
      <c r="R330" s="2"/>
      <c r="S330" s="2"/>
      <c r="T330" s="2"/>
      <c r="U330" s="2"/>
      <c r="V330" s="2"/>
      <c r="W330" s="2"/>
      <c r="X330" s="2"/>
      <c r="Y330" s="2"/>
    </row>
    <row x14ac:dyDescent="0.25" r="331" customHeight="1" ht="17.25">
      <c r="A331" s="10">
        <v>14</v>
      </c>
      <c r="B331" s="10">
        <v>2020</v>
      </c>
      <c r="C331" s="2" t="s">
        <v>118</v>
      </c>
      <c r="D331" s="23">
        <v>83</v>
      </c>
      <c r="E331" s="5" t="s">
        <v>16</v>
      </c>
      <c r="F331" s="24">
        <v>128.855626</v>
      </c>
      <c r="G331" s="23">
        <v>20</v>
      </c>
      <c r="H331" s="5" t="s">
        <v>16</v>
      </c>
      <c r="I331" s="24">
        <v>80.057353</v>
      </c>
      <c r="J331" s="10">
        <v>105</v>
      </c>
      <c r="K331" s="24">
        <v>8.63035877280685</v>
      </c>
      <c r="L331" s="24">
        <v>217.54333777280686</v>
      </c>
      <c r="M331" s="26">
        <f>_xlfn.CONCAT("'",$B331,"'","!","$N$3:$V$80")</f>
      </c>
      <c r="N331" s="26">
        <f>_xlfn.CONCAT("'",$B331,"'","!","$M$2:$M$80")</f>
      </c>
      <c r="O331" s="26">
        <f>_xlfn.CONCAT("'",$B331,"'","!","$N$2:$W$2")</f>
      </c>
      <c r="P331" s="2"/>
      <c r="Q331" s="2"/>
      <c r="R331" s="2"/>
      <c r="S331" s="2"/>
      <c r="T331" s="2"/>
      <c r="U331" s="2"/>
      <c r="V331" s="2"/>
      <c r="W331" s="2"/>
      <c r="X331" s="2"/>
      <c r="Y331" s="2"/>
    </row>
    <row x14ac:dyDescent="0.25" r="332" customHeight="1" ht="17.25">
      <c r="A332" s="10">
        <v>15</v>
      </c>
      <c r="B332" s="10">
        <v>2020</v>
      </c>
      <c r="C332" s="2" t="s">
        <v>119</v>
      </c>
      <c r="D332" s="23">
        <v>22</v>
      </c>
      <c r="E332" s="5" t="s">
        <v>16</v>
      </c>
      <c r="F332" s="24">
        <v>241.736415</v>
      </c>
      <c r="G332" s="23">
        <v>34</v>
      </c>
      <c r="H332" s="5" t="s">
        <v>16</v>
      </c>
      <c r="I332" s="24">
        <v>203.026622</v>
      </c>
      <c r="J332" s="10">
        <v>40</v>
      </c>
      <c r="K332" s="24">
        <v>43.01184392290655</v>
      </c>
      <c r="L332" s="24">
        <v>487.77488092290656</v>
      </c>
      <c r="M332" s="26">
        <f>_xlfn.CONCAT("'",$B332,"'","!","$N$3:$V$80")</f>
      </c>
      <c r="N332" s="26">
        <f>_xlfn.CONCAT("'",$B332,"'","!","$M$2:$M$80")</f>
      </c>
      <c r="O332" s="26">
        <f>_xlfn.CONCAT("'",$B332,"'","!","$N$2:$W$2")</f>
      </c>
      <c r="P332" s="2"/>
      <c r="Q332" s="2"/>
      <c r="R332" s="2"/>
      <c r="S332" s="2"/>
      <c r="T332" s="2"/>
      <c r="U332" s="2"/>
      <c r="V332" s="2"/>
      <c r="W332" s="2"/>
      <c r="X332" s="2"/>
      <c r="Y332" s="2"/>
    </row>
    <row x14ac:dyDescent="0.25" r="333" customHeight="1" ht="17.25">
      <c r="A333" s="10">
        <v>16</v>
      </c>
      <c r="B333" s="10">
        <v>2020</v>
      </c>
      <c r="C333" s="2" t="s">
        <v>120</v>
      </c>
      <c r="D333" s="23">
        <v>48</v>
      </c>
      <c r="E333" s="5" t="s">
        <v>16</v>
      </c>
      <c r="F333" s="24">
        <v>322.381325</v>
      </c>
      <c r="G333" s="23">
        <v>18</v>
      </c>
      <c r="H333" s="5" t="s">
        <v>16</v>
      </c>
      <c r="I333" s="24">
        <v>26.151533</v>
      </c>
      <c r="J333" s="10">
        <v>18</v>
      </c>
      <c r="K333" s="24">
        <v>20.566953783308932</v>
      </c>
      <c r="L333" s="24">
        <v>369.09981178330895</v>
      </c>
      <c r="M333" s="26">
        <f>_xlfn.CONCAT("'",$B333,"'","!","$N$3:$V$80")</f>
      </c>
      <c r="N333" s="26">
        <f>_xlfn.CONCAT("'",$B333,"'","!","$M$2:$M$80")</f>
      </c>
      <c r="O333" s="26">
        <f>_xlfn.CONCAT("'",$B333,"'","!","$N$2:$W$2")</f>
      </c>
      <c r="P333" s="2"/>
      <c r="Q333" s="2"/>
      <c r="R333" s="2"/>
      <c r="S333" s="2"/>
      <c r="T333" s="2"/>
      <c r="U333" s="2"/>
      <c r="V333" s="2"/>
      <c r="W333" s="2"/>
      <c r="X333" s="2"/>
      <c r="Y333" s="2"/>
    </row>
    <row x14ac:dyDescent="0.25" r="334" customHeight="1" ht="17.25">
      <c r="A334" s="10">
        <v>17</v>
      </c>
      <c r="B334" s="10">
        <v>2020</v>
      </c>
      <c r="C334" s="2" t="s">
        <v>121</v>
      </c>
      <c r="D334" s="23">
        <v>9</v>
      </c>
      <c r="E334" s="5" t="s">
        <v>16</v>
      </c>
      <c r="F334" s="24">
        <v>108.187264</v>
      </c>
      <c r="G334" s="23">
        <v>11</v>
      </c>
      <c r="H334" s="5" t="s">
        <v>16</v>
      </c>
      <c r="I334" s="24">
        <v>55.281609</v>
      </c>
      <c r="J334" s="10">
        <v>6</v>
      </c>
      <c r="K334" s="24">
        <v>3.6852256236541243</v>
      </c>
      <c r="L334" s="24">
        <v>167.15409862365414</v>
      </c>
      <c r="M334" s="26">
        <f>_xlfn.CONCAT("'",$B334,"'","!","$N$3:$V$80")</f>
      </c>
      <c r="N334" s="26">
        <f>_xlfn.CONCAT("'",$B334,"'","!","$M$2:$M$80")</f>
      </c>
      <c r="O334" s="26">
        <f>_xlfn.CONCAT("'",$B334,"'","!","$N$2:$W$2")</f>
      </c>
      <c r="P334" s="2"/>
      <c r="Q334" s="2"/>
      <c r="R334" s="2"/>
      <c r="S334" s="2"/>
      <c r="T334" s="2"/>
      <c r="U334" s="2"/>
      <c r="V334" s="2"/>
      <c r="W334" s="2"/>
      <c r="X334" s="2"/>
      <c r="Y334" s="2"/>
    </row>
    <row x14ac:dyDescent="0.25" r="335" customHeight="1" ht="17.25">
      <c r="A335" s="10">
        <v>18</v>
      </c>
      <c r="B335" s="10">
        <v>2020</v>
      </c>
      <c r="C335" s="2" t="s">
        <v>122</v>
      </c>
      <c r="D335" s="23">
        <v>14</v>
      </c>
      <c r="E335" s="5" t="s">
        <v>16</v>
      </c>
      <c r="F335" s="24">
        <v>240.297</v>
      </c>
      <c r="G335" s="23">
        <v>7</v>
      </c>
      <c r="H335" s="5" t="s">
        <v>16</v>
      </c>
      <c r="I335" s="24">
        <v>100.953055</v>
      </c>
      <c r="J335" s="10">
        <v>22</v>
      </c>
      <c r="K335" s="24">
        <v>8.293291748592582</v>
      </c>
      <c r="L335" s="24">
        <v>349.54334674859257</v>
      </c>
      <c r="M335" s="26">
        <f>_xlfn.CONCAT("'",$B335,"'","!","$N$3:$V$80")</f>
      </c>
      <c r="N335" s="26">
        <f>_xlfn.CONCAT("'",$B335,"'","!","$M$2:$M$80")</f>
      </c>
      <c r="O335" s="26">
        <f>_xlfn.CONCAT("'",$B335,"'","!","$N$2:$W$2")</f>
      </c>
      <c r="P335" s="2"/>
      <c r="Q335" s="2"/>
      <c r="R335" s="2"/>
      <c r="S335" s="2"/>
      <c r="T335" s="2"/>
      <c r="U335" s="2"/>
      <c r="V335" s="2"/>
      <c r="W335" s="2"/>
      <c r="X335" s="2"/>
      <c r="Y335" s="2"/>
    </row>
    <row x14ac:dyDescent="0.25" r="336" customHeight="1" ht="17.25">
      <c r="A336" s="10">
        <v>19</v>
      </c>
      <c r="B336" s="10">
        <v>2020</v>
      </c>
      <c r="C336" s="2" t="s">
        <v>123</v>
      </c>
      <c r="D336" s="23">
        <v>19</v>
      </c>
      <c r="E336" s="5" t="s">
        <v>16</v>
      </c>
      <c r="F336" s="24">
        <v>221.547336</v>
      </c>
      <c r="G336" s="23">
        <v>17</v>
      </c>
      <c r="H336" s="5" t="s">
        <v>16</v>
      </c>
      <c r="I336" s="24">
        <v>59.636677</v>
      </c>
      <c r="J336" s="10">
        <v>10</v>
      </c>
      <c r="K336" s="24">
        <v>9.555636575003035</v>
      </c>
      <c r="L336" s="24">
        <v>290.739649575003</v>
      </c>
      <c r="M336" s="26">
        <f>_xlfn.CONCAT("'",$B336,"'","!","$N$3:$V$80")</f>
      </c>
      <c r="N336" s="26">
        <f>_xlfn.CONCAT("'",$B336,"'","!","$M$2:$M$80")</f>
      </c>
      <c r="O336" s="26">
        <f>_xlfn.CONCAT("'",$B336,"'","!","$N$2:$W$2")</f>
      </c>
      <c r="P336" s="2"/>
      <c r="Q336" s="2"/>
      <c r="R336" s="2"/>
      <c r="S336" s="2"/>
      <c r="T336" s="2"/>
      <c r="U336" s="2"/>
      <c r="V336" s="2"/>
      <c r="W336" s="2"/>
      <c r="X336" s="2"/>
      <c r="Y336" s="2"/>
    </row>
    <row x14ac:dyDescent="0.25" r="337" customHeight="1" ht="17.25">
      <c r="A337" s="10">
        <v>20</v>
      </c>
      <c r="B337" s="10">
        <v>2020</v>
      </c>
      <c r="C337" s="2" t="s">
        <v>124</v>
      </c>
      <c r="D337" s="23">
        <v>6</v>
      </c>
      <c r="E337" s="5" t="s">
        <v>16</v>
      </c>
      <c r="F337" s="24">
        <v>18.423288</v>
      </c>
      <c r="G337" s="23">
        <v>0</v>
      </c>
      <c r="H337" s="5" t="s">
        <v>16</v>
      </c>
      <c r="I337" s="23">
        <v>0</v>
      </c>
      <c r="J337" s="10">
        <v>23</v>
      </c>
      <c r="K337" s="24">
        <v>23.772166715305158</v>
      </c>
      <c r="L337" s="24">
        <v>42.19545471530516</v>
      </c>
      <c r="M337" s="26">
        <f>_xlfn.CONCAT("'",$B337,"'","!","$N$3:$V$80")</f>
      </c>
      <c r="N337" s="26">
        <f>_xlfn.CONCAT("'",$B337,"'","!","$M$2:$M$80")</f>
      </c>
      <c r="O337" s="26">
        <f>_xlfn.CONCAT("'",$B337,"'","!","$N$2:$W$2")</f>
      </c>
      <c r="P337" s="2"/>
      <c r="Q337" s="2"/>
      <c r="R337" s="2"/>
      <c r="S337" s="2"/>
      <c r="T337" s="2"/>
      <c r="U337" s="2"/>
      <c r="V337" s="2"/>
      <c r="W337" s="2"/>
      <c r="X337" s="2"/>
      <c r="Y337" s="2"/>
    </row>
    <row x14ac:dyDescent="0.25" r="338" customHeight="1" ht="17.25">
      <c r="A338" s="10">
        <v>21</v>
      </c>
      <c r="B338" s="10">
        <v>2020</v>
      </c>
      <c r="C338" s="2" t="s">
        <v>125</v>
      </c>
      <c r="D338" s="23">
        <v>10</v>
      </c>
      <c r="E338" s="5" t="s">
        <v>16</v>
      </c>
      <c r="F338" s="24">
        <v>164.695801</v>
      </c>
      <c r="G338" s="23">
        <v>0</v>
      </c>
      <c r="H338" s="5" t="s">
        <v>16</v>
      </c>
      <c r="I338" s="23">
        <v>0</v>
      </c>
      <c r="J338" s="10">
        <v>6</v>
      </c>
      <c r="K338" s="24">
        <v>4.7502824154256515</v>
      </c>
      <c r="L338" s="24">
        <v>169.44608341542565</v>
      </c>
      <c r="M338" s="26">
        <f>_xlfn.CONCAT("'",$B338,"'","!","$N$3:$V$80")</f>
      </c>
      <c r="N338" s="26">
        <f>_xlfn.CONCAT("'",$B338,"'","!","$M$2:$M$80")</f>
      </c>
      <c r="O338" s="26">
        <f>_xlfn.CONCAT("'",$B338,"'","!","$N$2:$W$2")</f>
      </c>
      <c r="P338" s="2"/>
      <c r="Q338" s="2"/>
      <c r="R338" s="2"/>
      <c r="S338" s="2"/>
      <c r="T338" s="2"/>
      <c r="U338" s="2"/>
      <c r="V338" s="2"/>
      <c r="W338" s="2"/>
      <c r="X338" s="2"/>
      <c r="Y338" s="2"/>
    </row>
    <row x14ac:dyDescent="0.25" r="339" customHeight="1" ht="17.25">
      <c r="A339" s="10">
        <v>22</v>
      </c>
      <c r="B339" s="10">
        <v>2020</v>
      </c>
      <c r="C339" s="2" t="s">
        <v>126</v>
      </c>
      <c r="D339" s="23">
        <v>16</v>
      </c>
      <c r="E339" s="5" t="s">
        <v>16</v>
      </c>
      <c r="F339" s="24">
        <v>465.985472</v>
      </c>
      <c r="G339" s="23">
        <v>2</v>
      </c>
      <c r="H339" s="5" t="s">
        <v>16</v>
      </c>
      <c r="I339" s="24">
        <v>14.88</v>
      </c>
      <c r="J339" s="10">
        <v>16</v>
      </c>
      <c r="K339" s="24">
        <v>24.793811429801156</v>
      </c>
      <c r="L339" s="24">
        <v>505.6592834298012</v>
      </c>
      <c r="M339" s="26">
        <f>_xlfn.CONCAT("'",$B339,"'","!","$N$3:$V$80")</f>
      </c>
      <c r="N339" s="26">
        <f>_xlfn.CONCAT("'",$B339,"'","!","$M$2:$M$80")</f>
      </c>
      <c r="O339" s="26">
        <f>_xlfn.CONCAT("'",$B339,"'","!","$N$2:$W$2")</f>
      </c>
      <c r="P339" s="2"/>
      <c r="Q339" s="2"/>
      <c r="R339" s="2"/>
      <c r="S339" s="2"/>
      <c r="T339" s="2"/>
      <c r="U339" s="2"/>
      <c r="V339" s="2"/>
      <c r="W339" s="2"/>
      <c r="X339" s="2"/>
      <c r="Y339" s="2"/>
    </row>
    <row x14ac:dyDescent="0.25" r="340" customHeight="1" ht="17.25">
      <c r="A340" s="10">
        <v>23</v>
      </c>
      <c r="B340" s="10">
        <v>2020</v>
      </c>
      <c r="C340" s="2" t="s">
        <v>127</v>
      </c>
      <c r="D340" s="23">
        <v>1</v>
      </c>
      <c r="E340" s="5" t="s">
        <v>16</v>
      </c>
      <c r="F340" s="24">
        <v>0.215</v>
      </c>
      <c r="G340" s="23">
        <v>0</v>
      </c>
      <c r="H340" s="5" t="s">
        <v>16</v>
      </c>
      <c r="I340" s="23">
        <v>0</v>
      </c>
      <c r="J340" s="10">
        <v>3</v>
      </c>
      <c r="K340" s="24">
        <v>0.2028062322458467</v>
      </c>
      <c r="L340" s="24">
        <v>0.4178062322458467</v>
      </c>
      <c r="M340" s="26">
        <f>_xlfn.CONCAT("'",$B340,"'","!","$N$3:$V$80")</f>
      </c>
      <c r="N340" s="26">
        <f>_xlfn.CONCAT("'",$B340,"'","!","$M$2:$M$80")</f>
      </c>
      <c r="O340" s="26">
        <f>_xlfn.CONCAT("'",$B340,"'","!","$N$2:$W$2")</f>
      </c>
      <c r="P340" s="2"/>
      <c r="Q340" s="2"/>
      <c r="R340" s="2"/>
      <c r="S340" s="2"/>
      <c r="T340" s="2"/>
      <c r="U340" s="2"/>
      <c r="V340" s="2"/>
      <c r="W340" s="2"/>
      <c r="X340" s="2"/>
      <c r="Y340" s="2"/>
    </row>
    <row x14ac:dyDescent="0.25" r="341" customHeight="1" ht="17.25">
      <c r="A341" s="10">
        <v>24</v>
      </c>
      <c r="B341" s="10">
        <v>2020</v>
      </c>
      <c r="C341" s="2" t="s">
        <v>128</v>
      </c>
      <c r="D341" s="23">
        <v>5</v>
      </c>
      <c r="E341" s="5" t="s">
        <v>16</v>
      </c>
      <c r="F341" s="24">
        <v>30.255674</v>
      </c>
      <c r="G341" s="23">
        <v>2</v>
      </c>
      <c r="H341" s="5" t="s">
        <v>16</v>
      </c>
      <c r="I341" s="24">
        <v>13.446827</v>
      </c>
      <c r="J341" s="10">
        <v>116</v>
      </c>
      <c r="K341" s="24">
        <v>32.86312072213825</v>
      </c>
      <c r="L341" s="24">
        <v>76.56562172213825</v>
      </c>
      <c r="M341" s="26">
        <f>_xlfn.CONCAT("'",$B341,"'","!","$N$3:$V$80")</f>
      </c>
      <c r="N341" s="26">
        <f>_xlfn.CONCAT("'",$B341,"'","!","$M$2:$M$80")</f>
      </c>
      <c r="O341" s="26">
        <f>_xlfn.CONCAT("'",$B341,"'","!","$N$2:$W$2")</f>
      </c>
      <c r="P341" s="2"/>
      <c r="Q341" s="2"/>
      <c r="R341" s="2"/>
      <c r="S341" s="2"/>
      <c r="T341" s="2"/>
      <c r="U341" s="2"/>
      <c r="V341" s="2"/>
      <c r="W341" s="2"/>
      <c r="X341" s="2"/>
      <c r="Y341" s="2"/>
    </row>
    <row x14ac:dyDescent="0.25" r="342" customHeight="1" ht="17.25">
      <c r="A342" s="10">
        <v>25</v>
      </c>
      <c r="B342" s="10">
        <v>2020</v>
      </c>
      <c r="C342" s="2" t="s">
        <v>129</v>
      </c>
      <c r="D342" s="23">
        <v>8</v>
      </c>
      <c r="E342" s="5" t="s">
        <v>16</v>
      </c>
      <c r="F342" s="24">
        <v>34.102478</v>
      </c>
      <c r="G342" s="23">
        <v>10</v>
      </c>
      <c r="H342" s="5" t="s">
        <v>16</v>
      </c>
      <c r="I342" s="24">
        <v>-97.555726</v>
      </c>
      <c r="J342" s="10">
        <v>15</v>
      </c>
      <c r="K342" s="24">
        <v>27.355556615305158</v>
      </c>
      <c r="L342" s="24">
        <v>-36.097691384694855</v>
      </c>
      <c r="M342" s="26">
        <f>_xlfn.CONCAT("'",$B342,"'","!","$N$3:$V$80")</f>
      </c>
      <c r="N342" s="26">
        <f>_xlfn.CONCAT("'",$B342,"'","!","$M$2:$M$80")</f>
      </c>
      <c r="O342" s="26">
        <f>_xlfn.CONCAT("'",$B342,"'","!","$N$2:$W$2")</f>
      </c>
      <c r="P342" s="2"/>
      <c r="Q342" s="2"/>
      <c r="R342" s="2"/>
      <c r="S342" s="2"/>
      <c r="T342" s="2"/>
      <c r="U342" s="2"/>
      <c r="V342" s="2"/>
      <c r="W342" s="2"/>
      <c r="X342" s="2"/>
      <c r="Y342" s="2"/>
    </row>
    <row x14ac:dyDescent="0.25" r="343" customHeight="1" ht="17.25">
      <c r="A343" s="10">
        <v>26</v>
      </c>
      <c r="B343" s="10">
        <v>2020</v>
      </c>
      <c r="C343" s="2" t="s">
        <v>130</v>
      </c>
      <c r="D343" s="23">
        <v>6</v>
      </c>
      <c r="E343" s="5" t="s">
        <v>16</v>
      </c>
      <c r="F343" s="24">
        <v>77.767494</v>
      </c>
      <c r="G343" s="23">
        <v>3</v>
      </c>
      <c r="H343" s="5" t="s">
        <v>16</v>
      </c>
      <c r="I343" s="24">
        <v>1.187215</v>
      </c>
      <c r="J343" s="10">
        <v>27</v>
      </c>
      <c r="K343" s="24">
        <v>21.493678009041403</v>
      </c>
      <c r="L343" s="24">
        <v>100.4483870090414</v>
      </c>
      <c r="M343" s="26">
        <f>_xlfn.CONCAT("'",$B343,"'","!","$N$3:$V$80")</f>
      </c>
      <c r="N343" s="26">
        <f>_xlfn.CONCAT("'",$B343,"'","!","$M$2:$M$80")</f>
      </c>
      <c r="O343" s="26">
        <f>_xlfn.CONCAT("'",$B343,"'","!","$N$2:$W$2")</f>
      </c>
      <c r="P343" s="2"/>
      <c r="Q343" s="2"/>
      <c r="R343" s="2"/>
      <c r="S343" s="2"/>
      <c r="T343" s="2"/>
      <c r="U343" s="2"/>
      <c r="V343" s="2"/>
      <c r="W343" s="2"/>
      <c r="X343" s="2"/>
      <c r="Y343" s="2"/>
    </row>
    <row x14ac:dyDescent="0.25" r="344" customHeight="1" ht="17.25">
      <c r="A344" s="10">
        <v>27</v>
      </c>
      <c r="B344" s="10">
        <v>2020</v>
      </c>
      <c r="C344" s="2" t="s">
        <v>131</v>
      </c>
      <c r="D344" s="23">
        <v>6</v>
      </c>
      <c r="E344" s="5" t="s">
        <v>16</v>
      </c>
      <c r="F344" s="24">
        <v>104.42</v>
      </c>
      <c r="G344" s="23">
        <v>9</v>
      </c>
      <c r="H344" s="5" t="s">
        <v>16</v>
      </c>
      <c r="I344" s="24">
        <v>52.521399</v>
      </c>
      <c r="J344" s="10">
        <v>1</v>
      </c>
      <c r="K344" s="24">
        <v>82.835341</v>
      </c>
      <c r="L344" s="24">
        <v>239.77674</v>
      </c>
      <c r="M344" s="26">
        <f>_xlfn.CONCAT("'",$B344,"'","!","$N$3:$V$80")</f>
      </c>
      <c r="N344" s="26">
        <f>_xlfn.CONCAT("'",$B344,"'","!","$M$2:$M$80")</f>
      </c>
      <c r="O344" s="26">
        <f>_xlfn.CONCAT("'",$B344,"'","!","$N$2:$W$2")</f>
      </c>
      <c r="P344" s="2"/>
      <c r="Q344" s="2"/>
      <c r="R344" s="2"/>
      <c r="S344" s="2"/>
      <c r="T344" s="2"/>
      <c r="U344" s="2"/>
      <c r="V344" s="2"/>
      <c r="W344" s="2"/>
      <c r="X344" s="2"/>
      <c r="Y344" s="2"/>
    </row>
    <row x14ac:dyDescent="0.25" r="345" customHeight="1" ht="17.25">
      <c r="A345" s="10">
        <v>28</v>
      </c>
      <c r="B345" s="10">
        <v>2020</v>
      </c>
      <c r="C345" s="2" t="s">
        <v>132</v>
      </c>
      <c r="D345" s="23">
        <v>7</v>
      </c>
      <c r="E345" s="5" t="s">
        <v>16</v>
      </c>
      <c r="F345" s="24">
        <v>29.605566</v>
      </c>
      <c r="G345" s="23">
        <v>2</v>
      </c>
      <c r="H345" s="5" t="s">
        <v>16</v>
      </c>
      <c r="I345" s="23">
        <v>42</v>
      </c>
      <c r="J345" s="10">
        <v>5</v>
      </c>
      <c r="K345" s="24">
        <v>44.126392938021866</v>
      </c>
      <c r="L345" s="24">
        <v>115.73195893802186</v>
      </c>
      <c r="M345" s="26">
        <f>_xlfn.CONCAT("'",$B345,"'","!","$N$3:$V$80")</f>
      </c>
      <c r="N345" s="26">
        <f>_xlfn.CONCAT("'",$B345,"'","!","$M$2:$M$80")</f>
      </c>
      <c r="O345" s="26">
        <f>_xlfn.CONCAT("'",$B345,"'","!","$N$2:$W$2")</f>
      </c>
      <c r="P345" s="2"/>
      <c r="Q345" s="2"/>
      <c r="R345" s="2"/>
      <c r="S345" s="2"/>
      <c r="T345" s="2"/>
      <c r="U345" s="2"/>
      <c r="V345" s="2"/>
      <c r="W345" s="2"/>
      <c r="X345" s="2"/>
      <c r="Y345" s="2"/>
    </row>
    <row x14ac:dyDescent="0.25" r="346" customHeight="1" ht="17.25">
      <c r="A346" s="10">
        <v>29</v>
      </c>
      <c r="B346" s="10">
        <v>2020</v>
      </c>
      <c r="C346" s="2" t="s">
        <v>133</v>
      </c>
      <c r="D346" s="23">
        <v>3</v>
      </c>
      <c r="E346" s="5" t="s">
        <v>16</v>
      </c>
      <c r="F346" s="24">
        <v>64.025</v>
      </c>
      <c r="G346" s="23">
        <v>7</v>
      </c>
      <c r="H346" s="5" t="s">
        <v>16</v>
      </c>
      <c r="I346" s="24">
        <v>63.3</v>
      </c>
      <c r="J346" s="10">
        <v>3</v>
      </c>
      <c r="K346" s="24">
        <v>4.247556598089008</v>
      </c>
      <c r="L346" s="24">
        <v>131.57255659808902</v>
      </c>
      <c r="M346" s="26">
        <f>_xlfn.CONCAT("'",$B346,"'","!","$N$3:$V$80")</f>
      </c>
      <c r="N346" s="26">
        <f>_xlfn.CONCAT("'",$B346,"'","!","$M$2:$M$80")</f>
      </c>
      <c r="O346" s="26">
        <f>_xlfn.CONCAT("'",$B346,"'","!","$N$2:$W$2")</f>
      </c>
      <c r="P346" s="2"/>
      <c r="Q346" s="2"/>
      <c r="R346" s="2"/>
      <c r="S346" s="2"/>
      <c r="T346" s="2"/>
      <c r="U346" s="2"/>
      <c r="V346" s="2"/>
      <c r="W346" s="2"/>
      <c r="X346" s="2"/>
      <c r="Y346" s="2"/>
    </row>
    <row x14ac:dyDescent="0.25" r="347" customHeight="1" ht="17.25">
      <c r="A347" s="10">
        <v>30</v>
      </c>
      <c r="B347" s="10">
        <v>2020</v>
      </c>
      <c r="C347" s="2" t="s">
        <v>134</v>
      </c>
      <c r="D347" s="23">
        <v>0</v>
      </c>
      <c r="E347" s="5" t="s">
        <v>16</v>
      </c>
      <c r="F347" s="23">
        <v>0</v>
      </c>
      <c r="G347" s="23">
        <v>2</v>
      </c>
      <c r="H347" s="5" t="s">
        <v>16</v>
      </c>
      <c r="I347" s="24">
        <v>-158.507083</v>
      </c>
      <c r="J347" s="10">
        <v>9</v>
      </c>
      <c r="K347" s="24">
        <v>23.220940999980197</v>
      </c>
      <c r="L347" s="24">
        <v>-135.2861420000198</v>
      </c>
      <c r="M347" s="26">
        <f>_xlfn.CONCAT("'",$B347,"'","!","$N$3:$V$80")</f>
      </c>
      <c r="N347" s="26">
        <f>_xlfn.CONCAT("'",$B347,"'","!","$M$2:$M$80")</f>
      </c>
      <c r="O347" s="26">
        <f>_xlfn.CONCAT("'",$B347,"'","!","$N$2:$W$2")</f>
      </c>
      <c r="P347" s="2"/>
      <c r="Q347" s="2"/>
      <c r="R347" s="2"/>
      <c r="S347" s="2"/>
      <c r="T347" s="2"/>
      <c r="U347" s="2"/>
      <c r="V347" s="2"/>
      <c r="W347" s="2"/>
      <c r="X347" s="2"/>
      <c r="Y347" s="2"/>
    </row>
    <row x14ac:dyDescent="0.25" r="348" customHeight="1" ht="17.25">
      <c r="A348" s="10">
        <v>31</v>
      </c>
      <c r="B348" s="10">
        <v>2020</v>
      </c>
      <c r="C348" s="2" t="s">
        <v>135</v>
      </c>
      <c r="D348" s="23">
        <v>1</v>
      </c>
      <c r="E348" s="5" t="s">
        <v>16</v>
      </c>
      <c r="F348" s="23">
        <v>4000</v>
      </c>
      <c r="G348" s="23">
        <v>0</v>
      </c>
      <c r="H348" s="5" t="s">
        <v>16</v>
      </c>
      <c r="I348" s="23">
        <v>0</v>
      </c>
      <c r="J348" s="10">
        <v>0</v>
      </c>
      <c r="K348" s="23">
        <v>0</v>
      </c>
      <c r="L348" s="23">
        <v>4000</v>
      </c>
      <c r="M348" s="26">
        <f>_xlfn.CONCAT("'",$B348,"'","!","$N$3:$V$80")</f>
      </c>
      <c r="N348" s="26">
        <f>_xlfn.CONCAT("'",$B348,"'","!","$M$2:$M$80")</f>
      </c>
      <c r="O348" s="26">
        <f>_xlfn.CONCAT("'",$B348,"'","!","$N$2:$W$2")</f>
      </c>
      <c r="P348" s="2"/>
      <c r="Q348" s="2"/>
      <c r="R348" s="2"/>
      <c r="S348" s="2"/>
      <c r="T348" s="2"/>
      <c r="U348" s="2"/>
      <c r="V348" s="2"/>
      <c r="W348" s="2"/>
      <c r="X348" s="2"/>
      <c r="Y348" s="2"/>
    </row>
    <row x14ac:dyDescent="0.25" r="349" customHeight="1" ht="17.25">
      <c r="A349" s="10">
        <v>32</v>
      </c>
      <c r="B349" s="10">
        <v>2020</v>
      </c>
      <c r="C349" s="2" t="s">
        <v>136</v>
      </c>
      <c r="D349" s="23">
        <v>2</v>
      </c>
      <c r="E349" s="5" t="s">
        <v>16</v>
      </c>
      <c r="F349" s="24">
        <v>70.387843</v>
      </c>
      <c r="G349" s="23">
        <v>5</v>
      </c>
      <c r="H349" s="5" t="s">
        <v>16</v>
      </c>
      <c r="I349" s="24">
        <v>-18.762944</v>
      </c>
      <c r="J349" s="10">
        <v>1</v>
      </c>
      <c r="K349" s="24">
        <v>0.52485</v>
      </c>
      <c r="L349" s="24">
        <v>52.149749</v>
      </c>
      <c r="M349" s="26">
        <f>_xlfn.CONCAT("'",$B349,"'","!","$N$3:$V$80")</f>
      </c>
      <c r="N349" s="26">
        <f>_xlfn.CONCAT("'",$B349,"'","!","$M$2:$M$80")</f>
      </c>
      <c r="O349" s="26">
        <f>_xlfn.CONCAT("'",$B349,"'","!","$N$2:$W$2")</f>
      </c>
      <c r="P349" s="2"/>
      <c r="Q349" s="2"/>
      <c r="R349" s="2"/>
      <c r="S349" s="2"/>
      <c r="T349" s="2"/>
      <c r="U349" s="2"/>
      <c r="V349" s="2"/>
      <c r="W349" s="2"/>
      <c r="X349" s="2"/>
      <c r="Y349" s="2"/>
    </row>
    <row x14ac:dyDescent="0.25" r="350" customHeight="1" ht="17.25">
      <c r="A350" s="10">
        <v>33</v>
      </c>
      <c r="B350" s="10">
        <v>2020</v>
      </c>
      <c r="C350" s="2" t="s">
        <v>137</v>
      </c>
      <c r="D350" s="23">
        <v>3</v>
      </c>
      <c r="E350" s="5" t="s">
        <v>16</v>
      </c>
      <c r="F350" s="24">
        <v>2.78851</v>
      </c>
      <c r="G350" s="23">
        <v>4</v>
      </c>
      <c r="H350" s="5" t="s">
        <v>16</v>
      </c>
      <c r="I350" s="24">
        <v>31.628034</v>
      </c>
      <c r="J350" s="10">
        <v>15</v>
      </c>
      <c r="K350" s="24">
        <v>83.07432734681933</v>
      </c>
      <c r="L350" s="24">
        <v>117.49087134681933</v>
      </c>
      <c r="M350" s="26">
        <f>_xlfn.CONCAT("'",$B350,"'","!","$N$3:$V$80")</f>
      </c>
      <c r="N350" s="26">
        <f>_xlfn.CONCAT("'",$B350,"'","!","$M$2:$M$80")</f>
      </c>
      <c r="O350" s="26">
        <f>_xlfn.CONCAT("'",$B350,"'","!","$N$2:$W$2")</f>
      </c>
      <c r="P350" s="2"/>
      <c r="Q350" s="2"/>
      <c r="R350" s="2"/>
      <c r="S350" s="2"/>
      <c r="T350" s="2"/>
      <c r="U350" s="2"/>
      <c r="V350" s="2"/>
      <c r="W350" s="2"/>
      <c r="X350" s="2"/>
      <c r="Y350" s="2"/>
    </row>
    <row x14ac:dyDescent="0.25" r="351" customHeight="1" ht="17.25">
      <c r="A351" s="10">
        <v>34</v>
      </c>
      <c r="B351" s="10">
        <v>2020</v>
      </c>
      <c r="C351" s="2" t="s">
        <v>138</v>
      </c>
      <c r="D351" s="23">
        <v>4</v>
      </c>
      <c r="E351" s="5" t="s">
        <v>16</v>
      </c>
      <c r="F351" s="24">
        <v>10.934782</v>
      </c>
      <c r="G351" s="23">
        <v>3</v>
      </c>
      <c r="H351" s="5" t="s">
        <v>16</v>
      </c>
      <c r="I351" s="24">
        <v>4.852584</v>
      </c>
      <c r="J351" s="10">
        <v>15</v>
      </c>
      <c r="K351" s="24">
        <v>29.21151570477232</v>
      </c>
      <c r="L351" s="24">
        <v>44.99888170477232</v>
      </c>
      <c r="M351" s="26">
        <f>_xlfn.CONCAT("'",$B351,"'","!","$N$3:$V$80")</f>
      </c>
      <c r="N351" s="26">
        <f>_xlfn.CONCAT("'",$B351,"'","!","$M$2:$M$80")</f>
      </c>
      <c r="O351" s="26">
        <f>_xlfn.CONCAT("'",$B351,"'","!","$N$2:$W$2")</f>
      </c>
      <c r="P351" s="2"/>
      <c r="Q351" s="2"/>
      <c r="R351" s="2"/>
      <c r="S351" s="2"/>
      <c r="T351" s="2"/>
      <c r="U351" s="2"/>
      <c r="V351" s="2"/>
      <c r="W351" s="2"/>
      <c r="X351" s="2"/>
      <c r="Y351" s="2"/>
    </row>
    <row x14ac:dyDescent="0.25" r="352" customHeight="1" ht="17.25">
      <c r="A352" s="10">
        <v>35</v>
      </c>
      <c r="B352" s="10">
        <v>2020</v>
      </c>
      <c r="C352" s="2" t="s">
        <v>139</v>
      </c>
      <c r="D352" s="23">
        <v>1</v>
      </c>
      <c r="E352" s="5" t="s">
        <v>16</v>
      </c>
      <c r="F352" s="24">
        <v>40.772532</v>
      </c>
      <c r="G352" s="23">
        <v>0</v>
      </c>
      <c r="H352" s="5" t="s">
        <v>16</v>
      </c>
      <c r="I352" s="23">
        <v>0</v>
      </c>
      <c r="J352" s="10">
        <v>1</v>
      </c>
      <c r="K352" s="24">
        <v>0.043040371868812904</v>
      </c>
      <c r="L352" s="24">
        <v>40.81557237186881</v>
      </c>
      <c r="M352" s="26">
        <f>_xlfn.CONCAT("'",$B352,"'","!","$N$3:$V$80")</f>
      </c>
      <c r="N352" s="26">
        <f>_xlfn.CONCAT("'",$B352,"'","!","$M$2:$M$80")</f>
      </c>
      <c r="O352" s="26">
        <f>_xlfn.CONCAT("'",$B352,"'","!","$N$2:$W$2")</f>
      </c>
      <c r="P352" s="2"/>
      <c r="Q352" s="2"/>
      <c r="R352" s="2"/>
      <c r="S352" s="2"/>
      <c r="T352" s="2"/>
      <c r="U352" s="2"/>
      <c r="V352" s="2"/>
      <c r="W352" s="2"/>
      <c r="X352" s="2"/>
      <c r="Y352" s="2"/>
    </row>
    <row x14ac:dyDescent="0.25" r="353" customHeight="1" ht="17.25">
      <c r="A353" s="10">
        <v>36</v>
      </c>
      <c r="B353" s="10">
        <v>2020</v>
      </c>
      <c r="C353" s="2" t="s">
        <v>140</v>
      </c>
      <c r="D353" s="23">
        <v>1</v>
      </c>
      <c r="E353" s="5" t="s">
        <v>16</v>
      </c>
      <c r="F353" s="23">
        <v>5</v>
      </c>
      <c r="G353" s="23">
        <v>0</v>
      </c>
      <c r="H353" s="5" t="s">
        <v>16</v>
      </c>
      <c r="I353" s="23">
        <v>0</v>
      </c>
      <c r="J353" s="10">
        <v>1</v>
      </c>
      <c r="K353" s="24">
        <v>0.0817767065507446</v>
      </c>
      <c r="L353" s="24">
        <v>5.081776706550745</v>
      </c>
      <c r="M353" s="26">
        <f>_xlfn.CONCAT("'",$B353,"'","!","$N$3:$V$80")</f>
      </c>
      <c r="N353" s="26">
        <f>_xlfn.CONCAT("'",$B353,"'","!","$M$2:$M$80")</f>
      </c>
      <c r="O353" s="26">
        <f>_xlfn.CONCAT("'",$B353,"'","!","$N$2:$W$2")</f>
      </c>
      <c r="P353" s="2"/>
      <c r="Q353" s="2"/>
      <c r="R353" s="2"/>
      <c r="S353" s="2"/>
      <c r="T353" s="2"/>
      <c r="U353" s="2"/>
      <c r="V353" s="2"/>
      <c r="W353" s="2"/>
      <c r="X353" s="2"/>
      <c r="Y353" s="2"/>
    </row>
    <row x14ac:dyDescent="0.25" r="354" customHeight="1" ht="17.25">
      <c r="A354" s="10">
        <v>37</v>
      </c>
      <c r="B354" s="10">
        <v>2020</v>
      </c>
      <c r="C354" s="2" t="s">
        <v>141</v>
      </c>
      <c r="D354" s="23">
        <v>5</v>
      </c>
      <c r="E354" s="5" t="s">
        <v>16</v>
      </c>
      <c r="F354" s="24">
        <v>31.717624</v>
      </c>
      <c r="G354" s="23">
        <v>1</v>
      </c>
      <c r="H354" s="5" t="s">
        <v>16</v>
      </c>
      <c r="I354" s="24">
        <v>0.468421</v>
      </c>
      <c r="J354" s="10">
        <v>11</v>
      </c>
      <c r="K354" s="24">
        <v>11.43468552247224</v>
      </c>
      <c r="L354" s="24">
        <v>43.62073052247224</v>
      </c>
      <c r="M354" s="26">
        <f>_xlfn.CONCAT("'",$B354,"'","!","$N$3:$V$80")</f>
      </c>
      <c r="N354" s="26">
        <f>_xlfn.CONCAT("'",$B354,"'","!","$M$2:$M$80")</f>
      </c>
      <c r="O354" s="26">
        <f>_xlfn.CONCAT("'",$B354,"'","!","$N$2:$W$2")</f>
      </c>
      <c r="P354" s="2"/>
      <c r="Q354" s="2"/>
      <c r="R354" s="2"/>
      <c r="S354" s="2"/>
      <c r="T354" s="2"/>
      <c r="U354" s="2"/>
      <c r="V354" s="2"/>
      <c r="W354" s="2"/>
      <c r="X354" s="2"/>
      <c r="Y354" s="2"/>
    </row>
    <row x14ac:dyDescent="0.25" r="355" customHeight="1" ht="17.25">
      <c r="A355" s="10">
        <v>38</v>
      </c>
      <c r="B355" s="10">
        <v>2020</v>
      </c>
      <c r="C355" s="2" t="s">
        <v>142</v>
      </c>
      <c r="D355" s="23">
        <v>11</v>
      </c>
      <c r="E355" s="5" t="s">
        <v>16</v>
      </c>
      <c r="F355" s="24">
        <v>82.808165</v>
      </c>
      <c r="G355" s="23">
        <v>1</v>
      </c>
      <c r="H355" s="5" t="s">
        <v>16</v>
      </c>
      <c r="I355" s="24">
        <v>0.295894</v>
      </c>
      <c r="J355" s="10">
        <v>9</v>
      </c>
      <c r="K355" s="24">
        <v>7.783400288370488</v>
      </c>
      <c r="L355" s="24">
        <v>90.8874592883705</v>
      </c>
      <c r="M355" s="26">
        <f>_xlfn.CONCAT("'",$B355,"'","!","$N$3:$V$80")</f>
      </c>
      <c r="N355" s="26">
        <f>_xlfn.CONCAT("'",$B355,"'","!","$M$2:$M$80")</f>
      </c>
      <c r="O355" s="26">
        <f>_xlfn.CONCAT("'",$B355,"'","!","$N$2:$W$2")</f>
      </c>
      <c r="P355" s="2"/>
      <c r="Q355" s="2"/>
      <c r="R355" s="2"/>
      <c r="S355" s="2"/>
      <c r="T355" s="2"/>
      <c r="U355" s="2"/>
      <c r="V355" s="2"/>
      <c r="W355" s="2"/>
      <c r="X355" s="2"/>
      <c r="Y355" s="2"/>
    </row>
    <row x14ac:dyDescent="0.25" r="356" customHeight="1" ht="17.25">
      <c r="A356" s="10">
        <v>39</v>
      </c>
      <c r="B356" s="10">
        <v>2020</v>
      </c>
      <c r="C356" s="2" t="s">
        <v>143</v>
      </c>
      <c r="D356" s="23">
        <v>1</v>
      </c>
      <c r="E356" s="5" t="s">
        <v>16</v>
      </c>
      <c r="F356" s="24">
        <v>1.833132</v>
      </c>
      <c r="G356" s="23">
        <v>1</v>
      </c>
      <c r="H356" s="5" t="s">
        <v>16</v>
      </c>
      <c r="I356" s="24">
        <v>1.5</v>
      </c>
      <c r="J356" s="10">
        <v>1</v>
      </c>
      <c r="K356" s="24">
        <v>2.36459671171559</v>
      </c>
      <c r="L356" s="24">
        <v>5.69772871171559</v>
      </c>
      <c r="M356" s="26">
        <f>_xlfn.CONCAT("'",$B356,"'","!","$N$3:$V$80")</f>
      </c>
      <c r="N356" s="26">
        <f>_xlfn.CONCAT("'",$B356,"'","!","$M$2:$M$80")</f>
      </c>
      <c r="O356" s="26">
        <f>_xlfn.CONCAT("'",$B356,"'","!","$N$2:$W$2")</f>
      </c>
      <c r="P356" s="2"/>
      <c r="Q356" s="2"/>
      <c r="R356" s="2"/>
      <c r="S356" s="2"/>
      <c r="T356" s="2"/>
      <c r="U356" s="2"/>
      <c r="V356" s="2"/>
      <c r="W356" s="2"/>
      <c r="X356" s="2"/>
      <c r="Y356" s="2"/>
    </row>
    <row x14ac:dyDescent="0.25" r="357" customHeight="1" ht="17.25">
      <c r="A357" s="10">
        <v>40</v>
      </c>
      <c r="B357" s="10">
        <v>2020</v>
      </c>
      <c r="C357" s="2" t="s">
        <v>144</v>
      </c>
      <c r="D357" s="23">
        <v>16</v>
      </c>
      <c r="E357" s="5" t="s">
        <v>16</v>
      </c>
      <c r="F357" s="24">
        <v>50.940392</v>
      </c>
      <c r="G357" s="23">
        <v>8</v>
      </c>
      <c r="H357" s="5" t="s">
        <v>16</v>
      </c>
      <c r="I357" s="24">
        <v>20.21715</v>
      </c>
      <c r="J357" s="10">
        <v>19</v>
      </c>
      <c r="K357" s="24">
        <v>26.75080095665811</v>
      </c>
      <c r="L357" s="24">
        <v>97.90834295665812</v>
      </c>
      <c r="M357" s="26">
        <f>_xlfn.CONCAT("'",$B357,"'","!","$N$3:$V$80")</f>
      </c>
      <c r="N357" s="26">
        <f>_xlfn.CONCAT("'",$B357,"'","!","$M$2:$M$80")</f>
      </c>
      <c r="O357" s="26">
        <f>_xlfn.CONCAT("'",$B357,"'","!","$N$2:$W$2")</f>
      </c>
      <c r="P357" s="2"/>
      <c r="Q357" s="2"/>
      <c r="R357" s="2"/>
      <c r="S357" s="2"/>
      <c r="T357" s="2"/>
      <c r="U357" s="2"/>
      <c r="V357" s="2"/>
      <c r="W357" s="2"/>
      <c r="X357" s="2"/>
      <c r="Y357" s="2"/>
    </row>
    <row x14ac:dyDescent="0.25" r="358" customHeight="1" ht="17.25">
      <c r="A358" s="10">
        <v>41</v>
      </c>
      <c r="B358" s="10">
        <v>2020</v>
      </c>
      <c r="C358" s="2" t="s">
        <v>145</v>
      </c>
      <c r="D358" s="23">
        <v>8</v>
      </c>
      <c r="E358" s="5" t="s">
        <v>16</v>
      </c>
      <c r="F358" s="24">
        <v>541.124808</v>
      </c>
      <c r="G358" s="23">
        <v>2</v>
      </c>
      <c r="H358" s="5" t="s">
        <v>16</v>
      </c>
      <c r="I358" s="24">
        <v>5.619565</v>
      </c>
      <c r="J358" s="10">
        <v>7</v>
      </c>
      <c r="K358" s="24">
        <v>21.9575916499957</v>
      </c>
      <c r="L358" s="24">
        <v>568.7019646499957</v>
      </c>
      <c r="M358" s="26">
        <f>_xlfn.CONCAT("'",$B358,"'","!","$N$3:$V$80")</f>
      </c>
      <c r="N358" s="26">
        <f>_xlfn.CONCAT("'",$B358,"'","!","$M$2:$M$80")</f>
      </c>
      <c r="O358" s="26">
        <f>_xlfn.CONCAT("'",$B358,"'","!","$N$2:$W$2")</f>
      </c>
      <c r="P358" s="2"/>
      <c r="Q358" s="2"/>
      <c r="R358" s="2"/>
      <c r="S358" s="2"/>
      <c r="T358" s="2"/>
      <c r="U358" s="2"/>
      <c r="V358" s="2"/>
      <c r="W358" s="2"/>
      <c r="X358" s="2"/>
      <c r="Y358" s="2"/>
    </row>
    <row x14ac:dyDescent="0.25" r="359" customHeight="1" ht="17.25">
      <c r="A359" s="10">
        <v>42</v>
      </c>
      <c r="B359" s="10">
        <v>2020</v>
      </c>
      <c r="C359" s="2" t="s">
        <v>146</v>
      </c>
      <c r="D359" s="23">
        <v>2</v>
      </c>
      <c r="E359" s="5" t="s">
        <v>16</v>
      </c>
      <c r="F359" s="24">
        <v>10.282039</v>
      </c>
      <c r="G359" s="23">
        <v>0</v>
      </c>
      <c r="H359" s="5" t="s">
        <v>16</v>
      </c>
      <c r="I359" s="23">
        <v>0</v>
      </c>
      <c r="J359" s="10">
        <v>8</v>
      </c>
      <c r="K359" s="24">
        <v>5.291235920332268</v>
      </c>
      <c r="L359" s="24">
        <v>15.573274920332267</v>
      </c>
      <c r="M359" s="26">
        <f>_xlfn.CONCAT("'",$B359,"'","!","$N$3:$V$80")</f>
      </c>
      <c r="N359" s="26">
        <f>_xlfn.CONCAT("'",$B359,"'","!","$M$2:$M$80")</f>
      </c>
      <c r="O359" s="26">
        <f>_xlfn.CONCAT("'",$B359,"'","!","$N$2:$W$2")</f>
      </c>
      <c r="P359" s="2"/>
      <c r="Q359" s="2"/>
      <c r="R359" s="2"/>
      <c r="S359" s="2"/>
      <c r="T359" s="2"/>
      <c r="U359" s="2"/>
      <c r="V359" s="2"/>
      <c r="W359" s="2"/>
      <c r="X359" s="2"/>
      <c r="Y359" s="2"/>
    </row>
    <row x14ac:dyDescent="0.25" r="360" customHeight="1" ht="17.25">
      <c r="A360" s="10">
        <v>43</v>
      </c>
      <c r="B360" s="10">
        <v>2020</v>
      </c>
      <c r="C360" s="2" t="s">
        <v>147</v>
      </c>
      <c r="D360" s="23">
        <v>3</v>
      </c>
      <c r="E360" s="5" t="s">
        <v>16</v>
      </c>
      <c r="F360" s="23">
        <v>10</v>
      </c>
      <c r="G360" s="23">
        <v>0</v>
      </c>
      <c r="H360" s="5" t="s">
        <v>16</v>
      </c>
      <c r="I360" s="23">
        <v>0</v>
      </c>
      <c r="J360" s="10">
        <v>41</v>
      </c>
      <c r="K360" s="24">
        <v>8.336143923043805</v>
      </c>
      <c r="L360" s="24">
        <v>18.336143923043807</v>
      </c>
      <c r="M360" s="26">
        <f>_xlfn.CONCAT("'",$B360,"'","!","$N$3:$V$80")</f>
      </c>
      <c r="N360" s="26">
        <f>_xlfn.CONCAT("'",$B360,"'","!","$M$2:$M$80")</f>
      </c>
      <c r="O360" s="26">
        <f>_xlfn.CONCAT("'",$B360,"'","!","$N$2:$W$2")</f>
      </c>
      <c r="P360" s="2"/>
      <c r="Q360" s="2"/>
      <c r="R360" s="2"/>
      <c r="S360" s="2"/>
      <c r="T360" s="2"/>
      <c r="U360" s="2"/>
      <c r="V360" s="2"/>
      <c r="W360" s="2"/>
      <c r="X360" s="2"/>
      <c r="Y360" s="2"/>
    </row>
    <row x14ac:dyDescent="0.25" r="361" customHeight="1" ht="17.25">
      <c r="A361" s="10">
        <v>44</v>
      </c>
      <c r="B361" s="10">
        <v>2020</v>
      </c>
      <c r="C361" s="2" t="s">
        <v>148</v>
      </c>
      <c r="D361" s="23">
        <v>1</v>
      </c>
      <c r="E361" s="5" t="s">
        <v>16</v>
      </c>
      <c r="F361" s="23">
        <v>5</v>
      </c>
      <c r="G361" s="23">
        <v>0</v>
      </c>
      <c r="H361" s="5" t="s">
        <v>16</v>
      </c>
      <c r="I361" s="23">
        <v>0</v>
      </c>
      <c r="J361" s="10">
        <v>19</v>
      </c>
      <c r="K361" s="24">
        <v>9.316927778256007</v>
      </c>
      <c r="L361" s="24">
        <v>14.316927778256007</v>
      </c>
      <c r="M361" s="26">
        <f>_xlfn.CONCAT("'",$B361,"'","!","$N$3:$V$80")</f>
      </c>
      <c r="N361" s="26">
        <f>_xlfn.CONCAT("'",$B361,"'","!","$M$2:$M$80")</f>
      </c>
      <c r="O361" s="26">
        <f>_xlfn.CONCAT("'",$B361,"'","!","$N$2:$W$2")</f>
      </c>
      <c r="P361" s="2"/>
      <c r="Q361" s="2"/>
      <c r="R361" s="2"/>
      <c r="S361" s="2"/>
      <c r="T361" s="2"/>
      <c r="U361" s="2"/>
      <c r="V361" s="2"/>
      <c r="W361" s="2"/>
      <c r="X361" s="2"/>
      <c r="Y361" s="2"/>
    </row>
    <row x14ac:dyDescent="0.25" r="362" customHeight="1" ht="17.25">
      <c r="A362" s="10">
        <v>45</v>
      </c>
      <c r="B362" s="10">
        <v>2020</v>
      </c>
      <c r="C362" s="2" t="s">
        <v>149</v>
      </c>
      <c r="D362" s="23">
        <v>0</v>
      </c>
      <c r="E362" s="5" t="s">
        <v>16</v>
      </c>
      <c r="F362" s="23">
        <v>0</v>
      </c>
      <c r="G362" s="23">
        <v>1</v>
      </c>
      <c r="H362" s="5" t="s">
        <v>16</v>
      </c>
      <c r="I362" s="24">
        <v>10.1</v>
      </c>
      <c r="J362" s="10">
        <v>5</v>
      </c>
      <c r="K362" s="24">
        <v>10.07450488370195</v>
      </c>
      <c r="L362" s="24">
        <v>20.17450488370195</v>
      </c>
      <c r="M362" s="26">
        <f>_xlfn.CONCAT("'",$B362,"'","!","$N$3:$V$80")</f>
      </c>
      <c r="N362" s="26">
        <f>_xlfn.CONCAT("'",$B362,"'","!","$M$2:$M$80")</f>
      </c>
      <c r="O362" s="26">
        <f>_xlfn.CONCAT("'",$B362,"'","!","$N$2:$W$2")</f>
      </c>
      <c r="P362" s="2"/>
      <c r="Q362" s="2"/>
      <c r="R362" s="2"/>
      <c r="S362" s="2"/>
      <c r="T362" s="2"/>
      <c r="U362" s="2"/>
      <c r="V362" s="2"/>
      <c r="W362" s="2"/>
      <c r="X362" s="2"/>
      <c r="Y362" s="2"/>
    </row>
    <row x14ac:dyDescent="0.25" r="363" customHeight="1" ht="17.25">
      <c r="A363" s="10">
        <v>46</v>
      </c>
      <c r="B363" s="10">
        <v>2020</v>
      </c>
      <c r="C363" s="2" t="s">
        <v>150</v>
      </c>
      <c r="D363" s="23">
        <v>1</v>
      </c>
      <c r="E363" s="5" t="s">
        <v>16</v>
      </c>
      <c r="F363" s="23">
        <v>12</v>
      </c>
      <c r="G363" s="23">
        <v>0</v>
      </c>
      <c r="H363" s="5" t="s">
        <v>16</v>
      </c>
      <c r="I363" s="23">
        <v>0</v>
      </c>
      <c r="J363" s="10">
        <v>4</v>
      </c>
      <c r="K363" s="24">
        <v>2.2957520493242662</v>
      </c>
      <c r="L363" s="24">
        <v>14.295752049324266</v>
      </c>
      <c r="M363" s="26">
        <f>_xlfn.CONCAT("'",$B363,"'","!","$N$3:$V$80")</f>
      </c>
      <c r="N363" s="26">
        <f>_xlfn.CONCAT("'",$B363,"'","!","$M$2:$M$80")</f>
      </c>
      <c r="O363" s="26">
        <f>_xlfn.CONCAT("'",$B363,"'","!","$N$2:$W$2")</f>
      </c>
      <c r="P363" s="2"/>
      <c r="Q363" s="2"/>
      <c r="R363" s="2"/>
      <c r="S363" s="2"/>
      <c r="T363" s="2"/>
      <c r="U363" s="2"/>
      <c r="V363" s="2"/>
      <c r="W363" s="2"/>
      <c r="X363" s="2"/>
      <c r="Y363" s="2"/>
    </row>
    <row x14ac:dyDescent="0.25" r="364" customHeight="1" ht="17.25">
      <c r="A364" s="10">
        <v>47</v>
      </c>
      <c r="B364" s="10">
        <v>2020</v>
      </c>
      <c r="C364" s="2" t="s">
        <v>151</v>
      </c>
      <c r="D364" s="23">
        <v>0</v>
      </c>
      <c r="E364" s="5" t="s">
        <v>16</v>
      </c>
      <c r="F364" s="23">
        <v>0</v>
      </c>
      <c r="G364" s="23">
        <v>1</v>
      </c>
      <c r="H364" s="5" t="s">
        <v>16</v>
      </c>
      <c r="I364" s="24">
        <v>1.726817</v>
      </c>
      <c r="J364" s="10">
        <v>6</v>
      </c>
      <c r="K364" s="24">
        <v>14.482927175690804</v>
      </c>
      <c r="L364" s="24">
        <v>16.209744175690805</v>
      </c>
      <c r="M364" s="26">
        <f>_xlfn.CONCAT("'",$B364,"'","!","$N$3:$V$80")</f>
      </c>
      <c r="N364" s="26">
        <f>_xlfn.CONCAT("'",$B364,"'","!","$M$2:$M$80")</f>
      </c>
      <c r="O364" s="26">
        <f>_xlfn.CONCAT("'",$B364,"'","!","$N$2:$W$2")</f>
      </c>
      <c r="P364" s="2"/>
      <c r="Q364" s="2"/>
      <c r="R364" s="2"/>
      <c r="S364" s="2"/>
      <c r="T364" s="2"/>
      <c r="U364" s="2"/>
      <c r="V364" s="2"/>
      <c r="W364" s="2"/>
      <c r="X364" s="2"/>
      <c r="Y364" s="2"/>
    </row>
    <row x14ac:dyDescent="0.25" r="365" customHeight="1" ht="17.25">
      <c r="A365" s="10">
        <v>48</v>
      </c>
      <c r="B365" s="10">
        <v>2020</v>
      </c>
      <c r="C365" s="2" t="s">
        <v>152</v>
      </c>
      <c r="D365" s="23">
        <v>1</v>
      </c>
      <c r="E365" s="5" t="s">
        <v>16</v>
      </c>
      <c r="F365" s="24">
        <v>2.019156</v>
      </c>
      <c r="G365" s="23">
        <v>1</v>
      </c>
      <c r="H365" s="5" t="s">
        <v>16</v>
      </c>
      <c r="I365" s="24">
        <v>0.680312</v>
      </c>
      <c r="J365" s="10">
        <v>10</v>
      </c>
      <c r="K365" s="24">
        <v>5.582428250150646</v>
      </c>
      <c r="L365" s="24">
        <v>8.281896250150647</v>
      </c>
      <c r="M365" s="26">
        <f>_xlfn.CONCAT("'",$B365,"'","!","$N$3:$V$80")</f>
      </c>
      <c r="N365" s="26">
        <f>_xlfn.CONCAT("'",$B365,"'","!","$M$2:$M$80")</f>
      </c>
      <c r="O365" s="26">
        <f>_xlfn.CONCAT("'",$B365,"'","!","$N$2:$W$2")</f>
      </c>
      <c r="P365" s="2"/>
      <c r="Q365" s="2"/>
      <c r="R365" s="2"/>
      <c r="S365" s="2"/>
      <c r="T365" s="2"/>
      <c r="U365" s="2"/>
      <c r="V365" s="2"/>
      <c r="W365" s="2"/>
      <c r="X365" s="2"/>
      <c r="Y365" s="2"/>
    </row>
    <row x14ac:dyDescent="0.25" r="366" customHeight="1" ht="17.25">
      <c r="A366" s="10">
        <v>49</v>
      </c>
      <c r="B366" s="10">
        <v>2020</v>
      </c>
      <c r="C366" s="2" t="s">
        <v>153</v>
      </c>
      <c r="D366" s="23">
        <v>0</v>
      </c>
      <c r="E366" s="5" t="s">
        <v>16</v>
      </c>
      <c r="F366" s="23">
        <v>0</v>
      </c>
      <c r="G366" s="23">
        <v>0</v>
      </c>
      <c r="H366" s="5" t="s">
        <v>16</v>
      </c>
      <c r="I366" s="23">
        <v>0</v>
      </c>
      <c r="J366" s="10">
        <v>3</v>
      </c>
      <c r="K366" s="24">
        <v>0.3086425066712571</v>
      </c>
      <c r="L366" s="24">
        <v>0.3086425066712571</v>
      </c>
      <c r="M366" s="26">
        <f>_xlfn.CONCAT("'",$B366,"'","!","$N$3:$V$80")</f>
      </c>
      <c r="N366" s="26">
        <f>_xlfn.CONCAT("'",$B366,"'","!","$M$2:$M$80")</f>
      </c>
      <c r="O366" s="26">
        <f>_xlfn.CONCAT("'",$B366,"'","!","$N$2:$W$2")</f>
      </c>
      <c r="P366" s="2"/>
      <c r="Q366" s="2"/>
      <c r="R366" s="2"/>
      <c r="S366" s="2"/>
      <c r="T366" s="2"/>
      <c r="U366" s="2"/>
      <c r="V366" s="2"/>
      <c r="W366" s="2"/>
      <c r="X366" s="2"/>
      <c r="Y366" s="2"/>
    </row>
    <row x14ac:dyDescent="0.25" r="367" customHeight="1" ht="17.25">
      <c r="A367" s="10">
        <v>50</v>
      </c>
      <c r="B367" s="10">
        <v>2020</v>
      </c>
      <c r="C367" s="2" t="s">
        <v>154</v>
      </c>
      <c r="D367" s="30" t="s">
        <v>16</v>
      </c>
      <c r="E367" s="5" t="s">
        <v>16</v>
      </c>
      <c r="F367" s="25" t="s">
        <v>16</v>
      </c>
      <c r="G367" s="30" t="s">
        <v>16</v>
      </c>
      <c r="H367" s="5" t="s">
        <v>16</v>
      </c>
      <c r="I367" s="25" t="s">
        <v>16</v>
      </c>
      <c r="J367" s="5" t="s">
        <v>16</v>
      </c>
      <c r="K367" s="25" t="s">
        <v>16</v>
      </c>
      <c r="L367" s="25" t="s">
        <v>16</v>
      </c>
      <c r="M367" s="26">
        <f>_xlfn.CONCAT("'",$B367,"'","!","$N$3:$V$80")</f>
      </c>
      <c r="N367" s="26">
        <f>_xlfn.CONCAT("'",$B367,"'","!","$M$2:$M$80")</f>
      </c>
      <c r="O367" s="26">
        <f>_xlfn.CONCAT("'",$B367,"'","!","$N$2:$W$2")</f>
      </c>
      <c r="P367" s="2"/>
      <c r="Q367" s="2"/>
      <c r="R367" s="2"/>
      <c r="S367" s="2"/>
      <c r="T367" s="2"/>
      <c r="U367" s="2"/>
      <c r="V367" s="2"/>
      <c r="W367" s="2"/>
      <c r="X367" s="2"/>
      <c r="Y367" s="2"/>
    </row>
    <row x14ac:dyDescent="0.25" r="368" customHeight="1" ht="17.25">
      <c r="A368" s="10">
        <v>51</v>
      </c>
      <c r="B368" s="10">
        <v>2020</v>
      </c>
      <c r="C368" s="2" t="s">
        <v>155</v>
      </c>
      <c r="D368" s="23">
        <v>1</v>
      </c>
      <c r="E368" s="5" t="s">
        <v>16</v>
      </c>
      <c r="F368" s="24">
        <v>4.052247</v>
      </c>
      <c r="G368" s="23">
        <v>0</v>
      </c>
      <c r="H368" s="5" t="s">
        <v>16</v>
      </c>
      <c r="I368" s="23">
        <v>0</v>
      </c>
      <c r="J368" s="10">
        <v>0</v>
      </c>
      <c r="K368" s="23">
        <v>0</v>
      </c>
      <c r="L368" s="24">
        <v>4.052247</v>
      </c>
      <c r="M368" s="26">
        <f>_xlfn.CONCAT("'",$B368,"'","!","$N$3:$V$80")</f>
      </c>
      <c r="N368" s="26">
        <f>_xlfn.CONCAT("'",$B368,"'","!","$M$2:$M$80")</f>
      </c>
      <c r="O368" s="26">
        <f>_xlfn.CONCAT("'",$B368,"'","!","$N$2:$W$2")</f>
      </c>
      <c r="P368" s="2"/>
      <c r="Q368" s="2"/>
      <c r="R368" s="2"/>
      <c r="S368" s="2"/>
      <c r="T368" s="2"/>
      <c r="U368" s="2"/>
      <c r="V368" s="2"/>
      <c r="W368" s="2"/>
      <c r="X368" s="2"/>
      <c r="Y368" s="2"/>
    </row>
    <row x14ac:dyDescent="0.25" r="369" customHeight="1" ht="17.25">
      <c r="A369" s="10">
        <v>52</v>
      </c>
      <c r="B369" s="10">
        <v>2020</v>
      </c>
      <c r="C369" s="2" t="s">
        <v>156</v>
      </c>
      <c r="D369" s="30" t="s">
        <v>16</v>
      </c>
      <c r="E369" s="5" t="s">
        <v>16</v>
      </c>
      <c r="F369" s="25" t="s">
        <v>16</v>
      </c>
      <c r="G369" s="30" t="s">
        <v>16</v>
      </c>
      <c r="H369" s="5" t="s">
        <v>16</v>
      </c>
      <c r="I369" s="25" t="s">
        <v>16</v>
      </c>
      <c r="J369" s="5" t="s">
        <v>16</v>
      </c>
      <c r="K369" s="25" t="s">
        <v>16</v>
      </c>
      <c r="L369" s="25" t="s">
        <v>16</v>
      </c>
      <c r="M369" s="26">
        <f>_xlfn.CONCAT("'",$B369,"'","!","$N$3:$V$80")</f>
      </c>
      <c r="N369" s="26">
        <f>_xlfn.CONCAT("'",$B369,"'","!","$M$2:$M$80")</f>
      </c>
      <c r="O369" s="26">
        <f>_xlfn.CONCAT("'",$B369,"'","!","$N$2:$W$2")</f>
      </c>
      <c r="P369" s="2"/>
      <c r="Q369" s="2"/>
      <c r="R369" s="2"/>
      <c r="S369" s="2"/>
      <c r="T369" s="2"/>
      <c r="U369" s="2"/>
      <c r="V369" s="2"/>
      <c r="W369" s="2"/>
      <c r="X369" s="2"/>
      <c r="Y369" s="2"/>
    </row>
    <row x14ac:dyDescent="0.25" r="370" customHeight="1" ht="17.25">
      <c r="A370" s="10">
        <v>53</v>
      </c>
      <c r="B370" s="10">
        <v>2020</v>
      </c>
      <c r="C370" s="2" t="s">
        <v>157</v>
      </c>
      <c r="D370" s="23">
        <v>0</v>
      </c>
      <c r="E370" s="5" t="s">
        <v>16</v>
      </c>
      <c r="F370" s="23">
        <v>0</v>
      </c>
      <c r="G370" s="23">
        <v>0</v>
      </c>
      <c r="H370" s="5" t="s">
        <v>16</v>
      </c>
      <c r="I370" s="23">
        <v>0</v>
      </c>
      <c r="J370" s="10">
        <v>1</v>
      </c>
      <c r="K370" s="24">
        <v>0.115132994749075</v>
      </c>
      <c r="L370" s="24">
        <v>0.115132994749075</v>
      </c>
      <c r="M370" s="26">
        <f>_xlfn.CONCAT("'",$B370,"'","!","$N$3:$V$80")</f>
      </c>
      <c r="N370" s="26">
        <f>_xlfn.CONCAT("'",$B370,"'","!","$M$2:$M$80")</f>
      </c>
      <c r="O370" s="26">
        <f>_xlfn.CONCAT("'",$B370,"'","!","$N$2:$W$2")</f>
      </c>
      <c r="P370" s="2"/>
      <c r="Q370" s="2"/>
      <c r="R370" s="2"/>
      <c r="S370" s="2"/>
      <c r="T370" s="2"/>
      <c r="U370" s="2"/>
      <c r="V370" s="2"/>
      <c r="W370" s="2"/>
      <c r="X370" s="2"/>
      <c r="Y370" s="2"/>
    </row>
    <row x14ac:dyDescent="0.25" r="371" customHeight="1" ht="17.25">
      <c r="A371" s="10">
        <v>54</v>
      </c>
      <c r="B371" s="10">
        <v>2020</v>
      </c>
      <c r="C371" s="2" t="s">
        <v>158</v>
      </c>
      <c r="D371" s="23">
        <v>1</v>
      </c>
      <c r="E371" s="5" t="s">
        <v>16</v>
      </c>
      <c r="F371" s="24">
        <v>2.2556</v>
      </c>
      <c r="G371" s="23">
        <v>0</v>
      </c>
      <c r="H371" s="5" t="s">
        <v>16</v>
      </c>
      <c r="I371" s="23">
        <v>0</v>
      </c>
      <c r="J371" s="10">
        <v>1</v>
      </c>
      <c r="K371" s="24">
        <v>5.3989842472239</v>
      </c>
      <c r="L371" s="24">
        <v>7.6545842472239</v>
      </c>
      <c r="M371" s="26">
        <f>_xlfn.CONCAT("'",$B371,"'","!","$N$3:$V$80")</f>
      </c>
      <c r="N371" s="26">
        <f>_xlfn.CONCAT("'",$B371,"'","!","$M$2:$M$80")</f>
      </c>
      <c r="O371" s="26">
        <f>_xlfn.CONCAT("'",$B371,"'","!","$N$2:$W$2")</f>
      </c>
      <c r="P371" s="2"/>
      <c r="Q371" s="2"/>
      <c r="R371" s="2"/>
      <c r="S371" s="2"/>
      <c r="T371" s="2"/>
      <c r="U371" s="2"/>
      <c r="V371" s="2"/>
      <c r="W371" s="2"/>
      <c r="X371" s="2"/>
      <c r="Y371" s="2"/>
    </row>
    <row x14ac:dyDescent="0.25" r="372" customHeight="1" ht="17.25">
      <c r="A372" s="10">
        <v>55</v>
      </c>
      <c r="B372" s="10">
        <v>2020</v>
      </c>
      <c r="C372" s="2" t="s">
        <v>159</v>
      </c>
      <c r="D372" s="23">
        <v>3</v>
      </c>
      <c r="E372" s="5" t="s">
        <v>16</v>
      </c>
      <c r="F372" s="24">
        <v>295.113973</v>
      </c>
      <c r="G372" s="23">
        <v>1</v>
      </c>
      <c r="H372" s="5" t="s">
        <v>16</v>
      </c>
      <c r="I372" s="24">
        <v>-10.967</v>
      </c>
      <c r="J372" s="10">
        <v>2</v>
      </c>
      <c r="K372" s="24">
        <v>0.11621330808298187</v>
      </c>
      <c r="L372" s="24">
        <v>284.263186308083</v>
      </c>
      <c r="M372" s="26">
        <f>_xlfn.CONCAT("'",$B372,"'","!","$N$3:$V$80")</f>
      </c>
      <c r="N372" s="26">
        <f>_xlfn.CONCAT("'",$B372,"'","!","$M$2:$M$80")</f>
      </c>
      <c r="O372" s="26">
        <f>_xlfn.CONCAT("'",$B372,"'","!","$N$2:$W$2")</f>
      </c>
      <c r="P372" s="2"/>
      <c r="Q372" s="2"/>
      <c r="R372" s="2"/>
      <c r="S372" s="2"/>
      <c r="T372" s="2"/>
      <c r="U372" s="2"/>
      <c r="V372" s="2"/>
      <c r="W372" s="2"/>
      <c r="X372" s="2"/>
      <c r="Y372" s="2"/>
    </row>
    <row x14ac:dyDescent="0.25" r="373" customHeight="1" ht="17.25">
      <c r="A373" s="10">
        <v>56</v>
      </c>
      <c r="B373" s="10">
        <v>2020</v>
      </c>
      <c r="C373" s="2" t="s">
        <v>160</v>
      </c>
      <c r="D373" s="30" t="s">
        <v>16</v>
      </c>
      <c r="E373" s="5" t="s">
        <v>16</v>
      </c>
      <c r="F373" s="25" t="s">
        <v>16</v>
      </c>
      <c r="G373" s="30" t="s">
        <v>16</v>
      </c>
      <c r="H373" s="5" t="s">
        <v>16</v>
      </c>
      <c r="I373" s="25" t="s">
        <v>16</v>
      </c>
      <c r="J373" s="5" t="s">
        <v>16</v>
      </c>
      <c r="K373" s="25" t="s">
        <v>16</v>
      </c>
      <c r="L373" s="25" t="s">
        <v>16</v>
      </c>
      <c r="M373" s="26">
        <f>_xlfn.CONCAT("'",$B373,"'","!","$N$3:$V$80")</f>
      </c>
      <c r="N373" s="26">
        <f>_xlfn.CONCAT("'",$B373,"'","!","$M$2:$M$80")</f>
      </c>
      <c r="O373" s="26">
        <f>_xlfn.CONCAT("'",$B373,"'","!","$N$2:$W$2")</f>
      </c>
      <c r="P373" s="2"/>
      <c r="Q373" s="2"/>
      <c r="R373" s="2"/>
      <c r="S373" s="2"/>
      <c r="T373" s="2"/>
      <c r="U373" s="2"/>
      <c r="V373" s="2"/>
      <c r="W373" s="2"/>
      <c r="X373" s="2"/>
      <c r="Y373" s="2"/>
    </row>
    <row x14ac:dyDescent="0.25" r="374" customHeight="1" ht="17.25">
      <c r="A374" s="10">
        <v>57</v>
      </c>
      <c r="B374" s="10">
        <v>2020</v>
      </c>
      <c r="C374" s="2" t="s">
        <v>161</v>
      </c>
      <c r="D374" s="23">
        <v>0</v>
      </c>
      <c r="E374" s="5" t="s">
        <v>16</v>
      </c>
      <c r="F374" s="23">
        <v>0</v>
      </c>
      <c r="G374" s="23">
        <v>0</v>
      </c>
      <c r="H374" s="5" t="s">
        <v>16</v>
      </c>
      <c r="I374" s="23">
        <v>0</v>
      </c>
      <c r="J374" s="10">
        <v>1</v>
      </c>
      <c r="K374" s="24">
        <v>0.878927433933029</v>
      </c>
      <c r="L374" s="24">
        <v>0.878927433933029</v>
      </c>
      <c r="M374" s="26">
        <f>_xlfn.CONCAT("'",$B374,"'","!","$N$3:$V$80")</f>
      </c>
      <c r="N374" s="26">
        <f>_xlfn.CONCAT("'",$B374,"'","!","$M$2:$M$80")</f>
      </c>
      <c r="O374" s="26">
        <f>_xlfn.CONCAT("'",$B374,"'","!","$N$2:$W$2")</f>
      </c>
      <c r="P374" s="2"/>
      <c r="Q374" s="2"/>
      <c r="R374" s="2"/>
      <c r="S374" s="2"/>
      <c r="T374" s="2"/>
      <c r="U374" s="2"/>
      <c r="V374" s="2"/>
      <c r="W374" s="2"/>
      <c r="X374" s="2"/>
      <c r="Y374" s="2"/>
    </row>
    <row x14ac:dyDescent="0.25" r="375" customHeight="1" ht="17.25">
      <c r="A375" s="10">
        <v>58</v>
      </c>
      <c r="B375" s="10">
        <v>2020</v>
      </c>
      <c r="C375" s="2" t="s">
        <v>162</v>
      </c>
      <c r="D375" s="23">
        <v>4</v>
      </c>
      <c r="E375" s="5" t="s">
        <v>16</v>
      </c>
      <c r="F375" s="24">
        <v>149.622883</v>
      </c>
      <c r="G375" s="23">
        <v>0</v>
      </c>
      <c r="H375" s="5" t="s">
        <v>16</v>
      </c>
      <c r="I375" s="23">
        <v>0</v>
      </c>
      <c r="J375" s="10">
        <v>1</v>
      </c>
      <c r="K375" s="24">
        <v>0.135846617285013</v>
      </c>
      <c r="L375" s="24">
        <v>149.758729617285</v>
      </c>
      <c r="M375" s="26">
        <f>_xlfn.CONCAT("'",$B375,"'","!","$N$3:$V$80")</f>
      </c>
      <c r="N375" s="26">
        <f>_xlfn.CONCAT("'",$B375,"'","!","$M$2:$M$80")</f>
      </c>
      <c r="O375" s="26">
        <f>_xlfn.CONCAT("'",$B375,"'","!","$N$2:$W$2")</f>
      </c>
      <c r="P375" s="2"/>
      <c r="Q375" s="2"/>
      <c r="R375" s="2"/>
      <c r="S375" s="2"/>
      <c r="T375" s="2"/>
      <c r="U375" s="2"/>
      <c r="V375" s="2"/>
      <c r="W375" s="2"/>
      <c r="X375" s="2"/>
      <c r="Y375" s="2"/>
    </row>
    <row x14ac:dyDescent="0.25" r="376" customHeight="1" ht="17.25">
      <c r="A376" s="10">
        <v>59</v>
      </c>
      <c r="B376" s="10">
        <v>2020</v>
      </c>
      <c r="C376" s="2" t="s">
        <v>163</v>
      </c>
      <c r="D376" s="23">
        <v>0</v>
      </c>
      <c r="E376" s="5" t="s">
        <v>16</v>
      </c>
      <c r="F376" s="23">
        <v>0</v>
      </c>
      <c r="G376" s="23">
        <v>0</v>
      </c>
      <c r="H376" s="5" t="s">
        <v>16</v>
      </c>
      <c r="I376" s="23">
        <v>0</v>
      </c>
      <c r="J376" s="10">
        <v>1</v>
      </c>
      <c r="K376" s="24">
        <v>0.084090746061806</v>
      </c>
      <c r="L376" s="24">
        <v>0.084090746061806</v>
      </c>
      <c r="M376" s="26">
        <f>_xlfn.CONCAT("'",$B376,"'","!","$N$3:$V$80")</f>
      </c>
      <c r="N376" s="26">
        <f>_xlfn.CONCAT("'",$B376,"'","!","$M$2:$M$80")</f>
      </c>
      <c r="O376" s="26">
        <f>_xlfn.CONCAT("'",$B376,"'","!","$N$2:$W$2")</f>
      </c>
      <c r="P376" s="2"/>
      <c r="Q376" s="2"/>
      <c r="R376" s="2"/>
      <c r="S376" s="2"/>
      <c r="T376" s="2"/>
      <c r="U376" s="2"/>
      <c r="V376" s="2"/>
      <c r="W376" s="2"/>
      <c r="X376" s="2"/>
      <c r="Y376" s="2"/>
    </row>
    <row x14ac:dyDescent="0.25" r="377" customHeight="1" ht="17.25">
      <c r="A377" s="10">
        <v>60</v>
      </c>
      <c r="B377" s="10">
        <v>2020</v>
      </c>
      <c r="C377" s="2" t="s">
        <v>164</v>
      </c>
      <c r="D377" s="30" t="s">
        <v>16</v>
      </c>
      <c r="E377" s="5" t="s">
        <v>16</v>
      </c>
      <c r="F377" s="25" t="s">
        <v>16</v>
      </c>
      <c r="G377" s="30" t="s">
        <v>16</v>
      </c>
      <c r="H377" s="5" t="s">
        <v>16</v>
      </c>
      <c r="I377" s="25" t="s">
        <v>16</v>
      </c>
      <c r="J377" s="5" t="s">
        <v>16</v>
      </c>
      <c r="K377" s="25" t="s">
        <v>16</v>
      </c>
      <c r="L377" s="25" t="s">
        <v>16</v>
      </c>
      <c r="M377" s="26">
        <f>_xlfn.CONCAT("'",$B377,"'","!","$N$3:$V$80")</f>
      </c>
      <c r="N377" s="26">
        <f>_xlfn.CONCAT("'",$B377,"'","!","$M$2:$M$80")</f>
      </c>
      <c r="O377" s="26">
        <f>_xlfn.CONCAT("'",$B377,"'","!","$N$2:$W$2")</f>
      </c>
      <c r="P377" s="2"/>
      <c r="Q377" s="2"/>
      <c r="R377" s="2"/>
      <c r="S377" s="2"/>
      <c r="T377" s="2"/>
      <c r="U377" s="2"/>
      <c r="V377" s="2"/>
      <c r="W377" s="2"/>
      <c r="X377" s="2"/>
      <c r="Y377" s="2"/>
    </row>
    <row x14ac:dyDescent="0.25" r="378" customHeight="1" ht="17.25">
      <c r="A378" s="10">
        <v>61</v>
      </c>
      <c r="B378" s="10">
        <v>2020</v>
      </c>
      <c r="C378" s="2" t="s">
        <v>165</v>
      </c>
      <c r="D378" s="23">
        <v>2</v>
      </c>
      <c r="E378" s="5" t="s">
        <v>16</v>
      </c>
      <c r="F378" s="24">
        <v>3.58</v>
      </c>
      <c r="G378" s="23">
        <v>3</v>
      </c>
      <c r="H378" s="5" t="s">
        <v>16</v>
      </c>
      <c r="I378" s="24">
        <v>8.860358</v>
      </c>
      <c r="J378" s="10">
        <v>9</v>
      </c>
      <c r="K378" s="24">
        <v>11.838211242145142</v>
      </c>
      <c r="L378" s="24">
        <v>24.278569242145142</v>
      </c>
      <c r="M378" s="26">
        <f>_xlfn.CONCAT("'",$B378,"'","!","$N$3:$V$80")</f>
      </c>
      <c r="N378" s="26">
        <f>_xlfn.CONCAT("'",$B378,"'","!","$M$2:$M$80")</f>
      </c>
      <c r="O378" s="26">
        <f>_xlfn.CONCAT("'",$B378,"'","!","$N$2:$W$2")</f>
      </c>
      <c r="P378" s="2"/>
      <c r="Q378" s="2"/>
      <c r="R378" s="2"/>
      <c r="S378" s="2"/>
      <c r="T378" s="2"/>
      <c r="U378" s="2"/>
      <c r="V378" s="2"/>
      <c r="W378" s="2"/>
      <c r="X378" s="2"/>
      <c r="Y378" s="2"/>
    </row>
    <row x14ac:dyDescent="0.25" r="379" customHeight="1" ht="17.25">
      <c r="A379" s="10">
        <v>62</v>
      </c>
      <c r="B379" s="10">
        <v>2020</v>
      </c>
      <c r="C379" s="2" t="s">
        <v>166</v>
      </c>
      <c r="D379" s="23">
        <v>1</v>
      </c>
      <c r="E379" s="5" t="s">
        <v>16</v>
      </c>
      <c r="F379" s="23">
        <v>7</v>
      </c>
      <c r="G379" s="23">
        <v>1</v>
      </c>
      <c r="H379" s="5" t="s">
        <v>16</v>
      </c>
      <c r="I379" s="24">
        <v>0.432254</v>
      </c>
      <c r="J379" s="10">
        <v>2</v>
      </c>
      <c r="K379" s="24">
        <v>0.8608074373762584</v>
      </c>
      <c r="L379" s="24">
        <v>8.29306143737626</v>
      </c>
      <c r="M379" s="26">
        <f>_xlfn.CONCAT("'",$B379,"'","!","$N$3:$V$80")</f>
      </c>
      <c r="N379" s="26">
        <f>_xlfn.CONCAT("'",$B379,"'","!","$M$2:$M$80")</f>
      </c>
      <c r="O379" s="26">
        <f>_xlfn.CONCAT("'",$B379,"'","!","$N$2:$W$2")</f>
      </c>
      <c r="P379" s="2"/>
      <c r="Q379" s="2"/>
      <c r="R379" s="2"/>
      <c r="S379" s="2"/>
      <c r="T379" s="2"/>
      <c r="U379" s="2"/>
      <c r="V379" s="2"/>
      <c r="W379" s="2"/>
      <c r="X379" s="2"/>
      <c r="Y379" s="2"/>
    </row>
    <row x14ac:dyDescent="0.25" r="380" customHeight="1" ht="17.25">
      <c r="A380" s="10">
        <v>63</v>
      </c>
      <c r="B380" s="10">
        <v>2020</v>
      </c>
      <c r="C380" s="2" t="s">
        <v>167</v>
      </c>
      <c r="D380" s="23">
        <v>2523</v>
      </c>
      <c r="E380" s="10">
        <v>0</v>
      </c>
      <c r="F380" s="24">
        <v>14646.417346000006</v>
      </c>
      <c r="G380" s="23">
        <v>1140</v>
      </c>
      <c r="H380" s="10">
        <v>0</v>
      </c>
      <c r="I380" s="24">
        <v>6414.485640460002</v>
      </c>
      <c r="J380" s="10">
        <v>6141</v>
      </c>
      <c r="K380" s="24">
        <v>7469.19813196292</v>
      </c>
      <c r="L380" s="24">
        <v>28530.10111842292</v>
      </c>
      <c r="M380" s="26">
        <f>_xlfn.CONCAT("'",$B380,"'","!","$N$3:$V$80")</f>
      </c>
      <c r="N380" s="26">
        <f>_xlfn.CONCAT("'",$B380,"'","!","$M$2:$M$80")</f>
      </c>
      <c r="O380" s="26">
        <f>_xlfn.CONCAT("'",$B380,"'","!","$N$2:$W$2")</f>
      </c>
      <c r="P380" s="2"/>
      <c r="Q380" s="2"/>
      <c r="R380" s="2"/>
      <c r="S380" s="2"/>
      <c r="T380" s="2"/>
      <c r="U380" s="2"/>
      <c r="V380" s="2"/>
      <c r="W380" s="2"/>
      <c r="X380" s="2"/>
      <c r="Y380" s="2"/>
    </row>
    <row x14ac:dyDescent="0.25" r="381" customHeight="1" ht="17.25">
      <c r="A381" s="10">
        <v>1</v>
      </c>
      <c r="B381" s="10">
        <v>2021</v>
      </c>
      <c r="C381" s="2" t="s">
        <v>104</v>
      </c>
      <c r="D381" s="23">
        <v>633</v>
      </c>
      <c r="E381" s="5" t="s">
        <v>16</v>
      </c>
      <c r="F381" s="24">
        <v>686.6319967100002</v>
      </c>
      <c r="G381" s="23">
        <v>178</v>
      </c>
      <c r="H381" s="5" t="s">
        <v>16</v>
      </c>
      <c r="I381" s="24">
        <v>1124.2848928828125</v>
      </c>
      <c r="J381" s="10">
        <v>2289</v>
      </c>
      <c r="K381" s="24">
        <v>1927.2088600800002</v>
      </c>
      <c r="L381" s="24">
        <v>3738.125749672813</v>
      </c>
      <c r="M381" s="26">
        <f>_xlfn.CONCAT("'",$B381,"'","!","$N$3:$V$80")</f>
      </c>
      <c r="N381" s="26">
        <f>_xlfn.CONCAT("'",$B381,"'","!","$M$2:$M$80")</f>
      </c>
      <c r="O381" s="26">
        <f>_xlfn.CONCAT("'",$B381,"'","!","$N$2:$W$2")</f>
      </c>
      <c r="P381" s="2"/>
      <c r="Q381" s="2"/>
      <c r="R381" s="2"/>
      <c r="S381" s="2"/>
      <c r="T381" s="2"/>
      <c r="U381" s="2"/>
      <c r="V381" s="2"/>
      <c r="W381" s="2"/>
      <c r="X381" s="2"/>
      <c r="Y381" s="2"/>
    </row>
    <row x14ac:dyDescent="0.25" r="382" customHeight="1" ht="17.25">
      <c r="A382" s="10">
        <v>2</v>
      </c>
      <c r="B382" s="10">
        <v>2021</v>
      </c>
      <c r="C382" s="2" t="s">
        <v>105</v>
      </c>
      <c r="D382" s="23">
        <v>75</v>
      </c>
      <c r="E382" s="5" t="s">
        <v>16</v>
      </c>
      <c r="F382" s="24">
        <v>629.557201</v>
      </c>
      <c r="G382" s="23">
        <v>26</v>
      </c>
      <c r="H382" s="5" t="s">
        <v>16</v>
      </c>
      <c r="I382" s="24">
        <v>669.5231390859375</v>
      </c>
      <c r="J382" s="10">
        <v>202</v>
      </c>
      <c r="K382" s="24">
        <v>834.0462116900001</v>
      </c>
      <c r="L382" s="24">
        <v>2133.1265517759375</v>
      </c>
      <c r="M382" s="26">
        <f>_xlfn.CONCAT("'",$B382,"'","!","$N$3:$V$80")</f>
      </c>
      <c r="N382" s="26">
        <f>_xlfn.CONCAT("'",$B382,"'","!","$M$2:$M$80")</f>
      </c>
      <c r="O382" s="26">
        <f>_xlfn.CONCAT("'",$B382,"'","!","$N$2:$W$2")</f>
      </c>
      <c r="P382" s="2"/>
      <c r="Q382" s="2"/>
      <c r="R382" s="2"/>
      <c r="S382" s="2"/>
      <c r="T382" s="2"/>
      <c r="U382" s="2"/>
      <c r="V382" s="2"/>
      <c r="W382" s="2"/>
      <c r="X382" s="2"/>
      <c r="Y382" s="2"/>
    </row>
    <row x14ac:dyDescent="0.25" r="383" customHeight="1" ht="17.25">
      <c r="A383" s="10">
        <v>3</v>
      </c>
      <c r="B383" s="10">
        <v>2021</v>
      </c>
      <c r="C383" s="2" t="s">
        <v>106</v>
      </c>
      <c r="D383" s="23">
        <v>51</v>
      </c>
      <c r="E383" s="5" t="s">
        <v>16</v>
      </c>
      <c r="F383" s="24">
        <v>295.44167649</v>
      </c>
      <c r="G383" s="23">
        <v>49</v>
      </c>
      <c r="H383" s="5" t="s">
        <v>16</v>
      </c>
      <c r="I383" s="24">
        <v>466.968004</v>
      </c>
      <c r="J383" s="10">
        <v>87</v>
      </c>
      <c r="K383" s="24">
        <v>597.2740968</v>
      </c>
      <c r="L383" s="24">
        <v>1359.68377729</v>
      </c>
      <c r="M383" s="26">
        <f>_xlfn.CONCAT("'",$B383,"'","!","$N$3:$V$80")</f>
      </c>
      <c r="N383" s="26">
        <f>_xlfn.CONCAT("'",$B383,"'","!","$M$2:$M$80")</f>
      </c>
      <c r="O383" s="26">
        <f>_xlfn.CONCAT("'",$B383,"'","!","$N$2:$W$2")</f>
      </c>
      <c r="P383" s="2"/>
      <c r="Q383" s="2"/>
      <c r="R383" s="2"/>
      <c r="S383" s="2"/>
      <c r="T383" s="2"/>
      <c r="U383" s="2"/>
      <c r="V383" s="2"/>
      <c r="W383" s="2"/>
      <c r="X383" s="2"/>
      <c r="Y383" s="2"/>
    </row>
    <row x14ac:dyDescent="0.25" r="384" customHeight="1" ht="17.25">
      <c r="A384" s="10">
        <v>4</v>
      </c>
      <c r="B384" s="10">
        <v>2021</v>
      </c>
      <c r="C384" s="2" t="s">
        <v>108</v>
      </c>
      <c r="D384" s="23">
        <v>126</v>
      </c>
      <c r="E384" s="5" t="s">
        <v>16</v>
      </c>
      <c r="F384" s="24">
        <v>1170.505469</v>
      </c>
      <c r="G384" s="23">
        <v>96</v>
      </c>
      <c r="H384" s="5" t="s">
        <v>16</v>
      </c>
      <c r="I384" s="24">
        <v>320.564038828125</v>
      </c>
      <c r="J384" s="10">
        <v>113</v>
      </c>
      <c r="K384" s="24">
        <v>171.7052967099999</v>
      </c>
      <c r="L384" s="24">
        <v>1662.7748045381247</v>
      </c>
      <c r="M384" s="26">
        <f>_xlfn.CONCAT("'",$B384,"'","!","$N$3:$V$80")</f>
      </c>
      <c r="N384" s="26">
        <f>_xlfn.CONCAT("'",$B384,"'","!","$M$2:$M$80")</f>
      </c>
      <c r="O384" s="26">
        <f>_xlfn.CONCAT("'",$B384,"'","!","$N$2:$W$2")</f>
      </c>
      <c r="P384" s="2"/>
      <c r="Q384" s="2"/>
      <c r="R384" s="2"/>
      <c r="S384" s="2"/>
      <c r="T384" s="2"/>
      <c r="U384" s="2"/>
      <c r="V384" s="2"/>
      <c r="W384" s="2"/>
      <c r="X384" s="2"/>
      <c r="Y384" s="2"/>
    </row>
    <row x14ac:dyDescent="0.25" r="385" customHeight="1" ht="17.25">
      <c r="A385" s="10">
        <v>5</v>
      </c>
      <c r="B385" s="10">
        <v>2021</v>
      </c>
      <c r="C385" s="2" t="s">
        <v>109</v>
      </c>
      <c r="D385" s="23">
        <v>48</v>
      </c>
      <c r="E385" s="5" t="s">
        <v>16</v>
      </c>
      <c r="F385" s="24">
        <v>317.07539567000003</v>
      </c>
      <c r="G385" s="23">
        <v>65</v>
      </c>
      <c r="H385" s="5" t="s">
        <v>16</v>
      </c>
      <c r="I385" s="24">
        <v>2727.590212</v>
      </c>
      <c r="J385" s="10">
        <v>35</v>
      </c>
      <c r="K385" s="24">
        <v>2217.57518327</v>
      </c>
      <c r="L385" s="24">
        <v>5262.24079094</v>
      </c>
      <c r="M385" s="26">
        <f>_xlfn.CONCAT("'",$B385,"'","!","$N$3:$V$80")</f>
      </c>
      <c r="N385" s="26">
        <f>_xlfn.CONCAT("'",$B385,"'","!","$M$2:$M$80")</f>
      </c>
      <c r="O385" s="26">
        <f>_xlfn.CONCAT("'",$B385,"'","!","$N$2:$W$2")</f>
      </c>
      <c r="P385" s="2"/>
      <c r="Q385" s="2"/>
      <c r="R385" s="2"/>
      <c r="S385" s="2"/>
      <c r="T385" s="2"/>
      <c r="U385" s="2"/>
      <c r="V385" s="2"/>
      <c r="W385" s="2"/>
      <c r="X385" s="2"/>
      <c r="Y385" s="2"/>
    </row>
    <row x14ac:dyDescent="0.25" r="386" customHeight="1" ht="17.25">
      <c r="A386" s="10">
        <v>6</v>
      </c>
      <c r="B386" s="10">
        <v>2021</v>
      </c>
      <c r="C386" s="2" t="s">
        <v>110</v>
      </c>
      <c r="D386" s="23">
        <v>16</v>
      </c>
      <c r="E386" s="5" t="s">
        <v>16</v>
      </c>
      <c r="F386" s="24">
        <v>247.898691</v>
      </c>
      <c r="G386" s="23">
        <v>26</v>
      </c>
      <c r="H386" s="5" t="s">
        <v>16</v>
      </c>
      <c r="I386" s="24">
        <v>573.887369</v>
      </c>
      <c r="J386" s="10">
        <v>8</v>
      </c>
      <c r="K386" s="24">
        <v>1.6897235800000003</v>
      </c>
      <c r="L386" s="24">
        <v>823.47578358</v>
      </c>
      <c r="M386" s="26">
        <f>_xlfn.CONCAT("'",$B386,"'","!","$N$3:$V$80")</f>
      </c>
      <c r="N386" s="26">
        <f>_xlfn.CONCAT("'",$B386,"'","!","$M$2:$M$80")</f>
      </c>
      <c r="O386" s="26">
        <f>_xlfn.CONCAT("'",$B386,"'","!","$N$2:$W$2")</f>
      </c>
      <c r="P386" s="2"/>
      <c r="Q386" s="2"/>
      <c r="R386" s="2"/>
      <c r="S386" s="2"/>
      <c r="T386" s="2"/>
      <c r="U386" s="2"/>
      <c r="V386" s="2"/>
      <c r="W386" s="2"/>
      <c r="X386" s="2"/>
      <c r="Y386" s="2"/>
    </row>
    <row x14ac:dyDescent="0.25" r="387" customHeight="1" ht="17.25">
      <c r="A387" s="10">
        <v>7</v>
      </c>
      <c r="B387" s="10">
        <v>2021</v>
      </c>
      <c r="C387" s="2" t="s">
        <v>111</v>
      </c>
      <c r="D387" s="23">
        <v>21</v>
      </c>
      <c r="E387" s="5" t="s">
        <v>16</v>
      </c>
      <c r="F387" s="24">
        <v>621.838696</v>
      </c>
      <c r="G387" s="23">
        <v>45</v>
      </c>
      <c r="H387" s="5" t="s">
        <v>16</v>
      </c>
      <c r="I387" s="24">
        <v>652.708227</v>
      </c>
      <c r="J387" s="10">
        <v>40</v>
      </c>
      <c r="K387" s="24">
        <v>39.5976206</v>
      </c>
      <c r="L387" s="24">
        <v>1314.1445436</v>
      </c>
      <c r="M387" s="26">
        <f>_xlfn.CONCAT("'",$B387,"'","!","$N$3:$V$80")</f>
      </c>
      <c r="N387" s="26">
        <f>_xlfn.CONCAT("'",$B387,"'","!","$M$2:$M$80")</f>
      </c>
      <c r="O387" s="26">
        <f>_xlfn.CONCAT("'",$B387,"'","!","$N$2:$W$2")</f>
      </c>
      <c r="P387" s="2"/>
      <c r="Q387" s="2"/>
      <c r="R387" s="2"/>
      <c r="S387" s="2"/>
      <c r="T387" s="2"/>
      <c r="U387" s="2"/>
      <c r="V387" s="2"/>
      <c r="W387" s="2"/>
      <c r="X387" s="2"/>
      <c r="Y387" s="2"/>
    </row>
    <row x14ac:dyDescent="0.25" r="388" customHeight="1" ht="17.25">
      <c r="A388" s="10">
        <v>8</v>
      </c>
      <c r="B388" s="10">
        <v>2021</v>
      </c>
      <c r="C388" s="2" t="s">
        <v>112</v>
      </c>
      <c r="D388" s="23">
        <v>21</v>
      </c>
      <c r="E388" s="5" t="s">
        <v>16</v>
      </c>
      <c r="F388" s="24">
        <v>345.0847</v>
      </c>
      <c r="G388" s="23">
        <v>10</v>
      </c>
      <c r="H388" s="5" t="s">
        <v>16</v>
      </c>
      <c r="I388" s="24">
        <v>10.424977</v>
      </c>
      <c r="J388" s="10">
        <v>23</v>
      </c>
      <c r="K388" s="24">
        <v>42.65521196</v>
      </c>
      <c r="L388" s="24">
        <v>398.16488896</v>
      </c>
      <c r="M388" s="26">
        <f>_xlfn.CONCAT("'",$B388,"'","!","$N$3:$V$80")</f>
      </c>
      <c r="N388" s="26">
        <f>_xlfn.CONCAT("'",$B388,"'","!","$M$2:$M$80")</f>
      </c>
      <c r="O388" s="26">
        <f>_xlfn.CONCAT("'",$B388,"'","!","$N$2:$W$2")</f>
      </c>
      <c r="P388" s="2"/>
      <c r="Q388" s="2"/>
      <c r="R388" s="2"/>
      <c r="S388" s="2"/>
      <c r="T388" s="2"/>
      <c r="U388" s="2"/>
      <c r="V388" s="2"/>
      <c r="W388" s="2"/>
      <c r="X388" s="2"/>
      <c r="Y388" s="2"/>
    </row>
    <row x14ac:dyDescent="0.25" r="389" customHeight="1" ht="17.25">
      <c r="A389" s="10">
        <v>9</v>
      </c>
      <c r="B389" s="10">
        <v>2021</v>
      </c>
      <c r="C389" s="2" t="s">
        <v>113</v>
      </c>
      <c r="D389" s="23">
        <v>20</v>
      </c>
      <c r="E389" s="5" t="s">
        <v>16</v>
      </c>
      <c r="F389" s="24">
        <v>237.246614</v>
      </c>
      <c r="G389" s="23">
        <v>28</v>
      </c>
      <c r="H389" s="5" t="s">
        <v>16</v>
      </c>
      <c r="I389" s="24">
        <v>68.639651</v>
      </c>
      <c r="J389" s="10">
        <v>3</v>
      </c>
      <c r="K389" s="24">
        <v>1.99091133</v>
      </c>
      <c r="L389" s="24">
        <v>307.87717633</v>
      </c>
      <c r="M389" s="26">
        <f>_xlfn.CONCAT("'",$B389,"'","!","$N$3:$V$80")</f>
      </c>
      <c r="N389" s="26">
        <f>_xlfn.CONCAT("'",$B389,"'","!","$M$2:$M$80")</f>
      </c>
      <c r="O389" s="26">
        <f>_xlfn.CONCAT("'",$B389,"'","!","$N$2:$W$2")</f>
      </c>
      <c r="P389" s="2"/>
      <c r="Q389" s="2"/>
      <c r="R389" s="2"/>
      <c r="S389" s="2"/>
      <c r="T389" s="2"/>
      <c r="U389" s="2"/>
      <c r="V389" s="2"/>
      <c r="W389" s="2"/>
      <c r="X389" s="2"/>
      <c r="Y389" s="2"/>
    </row>
    <row x14ac:dyDescent="0.25" r="390" customHeight="1" ht="17.25">
      <c r="A390" s="10">
        <v>10</v>
      </c>
      <c r="B390" s="10">
        <v>2021</v>
      </c>
      <c r="C390" s="2" t="s">
        <v>114</v>
      </c>
      <c r="D390" s="23">
        <v>54</v>
      </c>
      <c r="E390" s="5" t="s">
        <v>16</v>
      </c>
      <c r="F390" s="24">
        <v>3518.84488904</v>
      </c>
      <c r="G390" s="23">
        <v>65</v>
      </c>
      <c r="H390" s="5" t="s">
        <v>16</v>
      </c>
      <c r="I390" s="24">
        <v>255.2436595</v>
      </c>
      <c r="J390" s="10">
        <v>43</v>
      </c>
      <c r="K390" s="24">
        <v>68.8906499</v>
      </c>
      <c r="L390" s="24">
        <v>3842.97919844</v>
      </c>
      <c r="M390" s="26">
        <f>_xlfn.CONCAT("'",$B390,"'","!","$N$3:$V$80")</f>
      </c>
      <c r="N390" s="26">
        <f>_xlfn.CONCAT("'",$B390,"'","!","$M$2:$M$80")</f>
      </c>
      <c r="O390" s="26">
        <f>_xlfn.CONCAT("'",$B390,"'","!","$N$2:$W$2")</f>
      </c>
      <c r="P390" s="2"/>
      <c r="Q390" s="2"/>
      <c r="R390" s="2"/>
      <c r="S390" s="2"/>
      <c r="T390" s="2"/>
      <c r="U390" s="2"/>
      <c r="V390" s="2"/>
      <c r="W390" s="2"/>
      <c r="X390" s="2"/>
      <c r="Y390" s="2"/>
    </row>
    <row x14ac:dyDescent="0.25" r="391" customHeight="1" ht="17.25">
      <c r="A391" s="10">
        <v>11</v>
      </c>
      <c r="B391" s="10">
        <v>2021</v>
      </c>
      <c r="C391" s="2" t="s">
        <v>115</v>
      </c>
      <c r="D391" s="23">
        <v>17</v>
      </c>
      <c r="E391" s="5" t="s">
        <v>16</v>
      </c>
      <c r="F391" s="24">
        <v>110.245331</v>
      </c>
      <c r="G391" s="23">
        <v>43</v>
      </c>
      <c r="H391" s="5" t="s">
        <v>16</v>
      </c>
      <c r="I391" s="24">
        <v>195.049664</v>
      </c>
      <c r="J391" s="10">
        <v>50</v>
      </c>
      <c r="K391" s="24">
        <v>26.30664583</v>
      </c>
      <c r="L391" s="24">
        <v>331.60164082999995</v>
      </c>
      <c r="M391" s="26">
        <f>_xlfn.CONCAT("'",$B391,"'","!","$N$3:$V$80")</f>
      </c>
      <c r="N391" s="26">
        <f>_xlfn.CONCAT("'",$B391,"'","!","$M$2:$M$80")</f>
      </c>
      <c r="O391" s="26">
        <f>_xlfn.CONCAT("'",$B391,"'","!","$N$2:$W$2")</f>
      </c>
      <c r="P391" s="2"/>
      <c r="Q391" s="2"/>
      <c r="R391" s="2"/>
      <c r="S391" s="2"/>
      <c r="T391" s="2"/>
      <c r="U391" s="2"/>
      <c r="V391" s="2"/>
      <c r="W391" s="2"/>
      <c r="X391" s="2"/>
      <c r="Y391" s="2"/>
    </row>
    <row x14ac:dyDescent="0.25" r="392" customHeight="1" ht="17.25">
      <c r="A392" s="10">
        <v>12</v>
      </c>
      <c r="B392" s="10">
        <v>2021</v>
      </c>
      <c r="C392" s="2" t="s">
        <v>116</v>
      </c>
      <c r="D392" s="23">
        <v>15</v>
      </c>
      <c r="E392" s="5" t="s">
        <v>16</v>
      </c>
      <c r="F392" s="24">
        <v>111.33558</v>
      </c>
      <c r="G392" s="23">
        <v>15</v>
      </c>
      <c r="H392" s="5" t="s">
        <v>16</v>
      </c>
      <c r="I392" s="24">
        <v>104.631026</v>
      </c>
      <c r="J392" s="10">
        <v>8</v>
      </c>
      <c r="K392" s="24">
        <v>4.33207672</v>
      </c>
      <c r="L392" s="24">
        <v>220.29868272000002</v>
      </c>
      <c r="M392" s="26">
        <f>_xlfn.CONCAT("'",$B392,"'","!","$N$3:$V$80")</f>
      </c>
      <c r="N392" s="26">
        <f>_xlfn.CONCAT("'",$B392,"'","!","$M$2:$M$80")</f>
      </c>
      <c r="O392" s="26">
        <f>_xlfn.CONCAT("'",$B392,"'","!","$N$2:$W$2")</f>
      </c>
      <c r="P392" s="2"/>
      <c r="Q392" s="2"/>
      <c r="R392" s="2"/>
      <c r="S392" s="2"/>
      <c r="T392" s="2"/>
      <c r="U392" s="2"/>
      <c r="V392" s="2"/>
      <c r="W392" s="2"/>
      <c r="X392" s="2"/>
      <c r="Y392" s="2"/>
    </row>
    <row x14ac:dyDescent="0.25" r="393" customHeight="1" ht="17.25">
      <c r="A393" s="10">
        <v>13</v>
      </c>
      <c r="B393" s="10">
        <v>2021</v>
      </c>
      <c r="C393" s="2" t="s">
        <v>117</v>
      </c>
      <c r="D393" s="23">
        <v>27</v>
      </c>
      <c r="E393" s="5" t="s">
        <v>16</v>
      </c>
      <c r="F393" s="24">
        <v>703.142904</v>
      </c>
      <c r="G393" s="23">
        <v>8</v>
      </c>
      <c r="H393" s="5" t="s">
        <v>16</v>
      </c>
      <c r="I393" s="24">
        <v>33.209525</v>
      </c>
      <c r="J393" s="10">
        <v>13</v>
      </c>
      <c r="K393" s="24">
        <v>7.67762388</v>
      </c>
      <c r="L393" s="24">
        <v>744.0300528800001</v>
      </c>
      <c r="M393" s="26">
        <f>_xlfn.CONCAT("'",$B393,"'","!","$N$3:$V$80")</f>
      </c>
      <c r="N393" s="26">
        <f>_xlfn.CONCAT("'",$B393,"'","!","$M$2:$M$80")</f>
      </c>
      <c r="O393" s="26">
        <f>_xlfn.CONCAT("'",$B393,"'","!","$N$2:$W$2")</f>
      </c>
      <c r="P393" s="2"/>
      <c r="Q393" s="2"/>
      <c r="R393" s="2"/>
      <c r="S393" s="2"/>
      <c r="T393" s="2"/>
      <c r="U393" s="2"/>
      <c r="V393" s="2"/>
      <c r="W393" s="2"/>
      <c r="X393" s="2"/>
      <c r="Y393" s="2"/>
    </row>
    <row x14ac:dyDescent="0.25" r="394" customHeight="1" ht="17.25">
      <c r="A394" s="10">
        <v>14</v>
      </c>
      <c r="B394" s="10">
        <v>2021</v>
      </c>
      <c r="C394" s="2" t="s">
        <v>118</v>
      </c>
      <c r="D394" s="23">
        <v>40</v>
      </c>
      <c r="E394" s="5" t="s">
        <v>16</v>
      </c>
      <c r="F394" s="24">
        <v>150.001955</v>
      </c>
      <c r="G394" s="23">
        <v>19</v>
      </c>
      <c r="H394" s="5" t="s">
        <v>16</v>
      </c>
      <c r="I394" s="24">
        <v>10.6069719375</v>
      </c>
      <c r="J394" s="10">
        <v>51</v>
      </c>
      <c r="K394" s="24">
        <v>11.732700099999999</v>
      </c>
      <c r="L394" s="24">
        <v>172.3416270375</v>
      </c>
      <c r="M394" s="26">
        <f>_xlfn.CONCAT("'",$B394,"'","!","$N$3:$V$80")</f>
      </c>
      <c r="N394" s="26">
        <f>_xlfn.CONCAT("'",$B394,"'","!","$M$2:$M$80")</f>
      </c>
      <c r="O394" s="26">
        <f>_xlfn.CONCAT("'",$B394,"'","!","$N$2:$W$2")</f>
      </c>
      <c r="P394" s="2"/>
      <c r="Q394" s="2"/>
      <c r="R394" s="2"/>
      <c r="S394" s="2"/>
      <c r="T394" s="2"/>
      <c r="U394" s="2"/>
      <c r="V394" s="2"/>
      <c r="W394" s="2"/>
      <c r="X394" s="2"/>
      <c r="Y394" s="2"/>
    </row>
    <row x14ac:dyDescent="0.25" r="395" customHeight="1" ht="17.25">
      <c r="A395" s="10">
        <v>15</v>
      </c>
      <c r="B395" s="10">
        <v>2021</v>
      </c>
      <c r="C395" s="2" t="s">
        <v>119</v>
      </c>
      <c r="D395" s="23">
        <v>28</v>
      </c>
      <c r="E395" s="5" t="s">
        <v>16</v>
      </c>
      <c r="F395" s="24">
        <v>393.80411</v>
      </c>
      <c r="G395" s="23">
        <v>38</v>
      </c>
      <c r="H395" s="5" t="s">
        <v>16</v>
      </c>
      <c r="I395" s="24">
        <v>272.5907721796875</v>
      </c>
      <c r="J395" s="10">
        <v>34</v>
      </c>
      <c r="K395" s="24">
        <v>45.73723589</v>
      </c>
      <c r="L395" s="24">
        <v>712.1321180696875</v>
      </c>
      <c r="M395" s="26">
        <f>_xlfn.CONCAT("'",$B395,"'","!","$N$3:$V$80")</f>
      </c>
      <c r="N395" s="26">
        <f>_xlfn.CONCAT("'",$B395,"'","!","$M$2:$M$80")</f>
      </c>
      <c r="O395" s="26">
        <f>_xlfn.CONCAT("'",$B395,"'","!","$N$2:$W$2")</f>
      </c>
      <c r="P395" s="2"/>
      <c r="Q395" s="2"/>
      <c r="R395" s="2"/>
      <c r="S395" s="2"/>
      <c r="T395" s="2"/>
      <c r="U395" s="2"/>
      <c r="V395" s="2"/>
      <c r="W395" s="2"/>
      <c r="X395" s="2"/>
      <c r="Y395" s="2"/>
    </row>
    <row x14ac:dyDescent="0.25" r="396" customHeight="1" ht="17.25">
      <c r="A396" s="10">
        <v>16</v>
      </c>
      <c r="B396" s="10">
        <v>2021</v>
      </c>
      <c r="C396" s="2" t="s">
        <v>120</v>
      </c>
      <c r="D396" s="23">
        <v>49</v>
      </c>
      <c r="E396" s="5" t="s">
        <v>16</v>
      </c>
      <c r="F396" s="24">
        <v>327.52064355</v>
      </c>
      <c r="G396" s="23">
        <v>32</v>
      </c>
      <c r="H396" s="5" t="s">
        <v>16</v>
      </c>
      <c r="I396" s="24">
        <v>109.371286</v>
      </c>
      <c r="J396" s="10">
        <v>13</v>
      </c>
      <c r="K396" s="24">
        <v>13.479669229999999</v>
      </c>
      <c r="L396" s="24">
        <v>450.37159878</v>
      </c>
      <c r="M396" s="26">
        <f>_xlfn.CONCAT("'",$B396,"'","!","$N$3:$V$80")</f>
      </c>
      <c r="N396" s="26">
        <f>_xlfn.CONCAT("'",$B396,"'","!","$M$2:$M$80")</f>
      </c>
      <c r="O396" s="26">
        <f>_xlfn.CONCAT("'",$B396,"'","!","$N$2:$W$2")</f>
      </c>
      <c r="P396" s="2"/>
      <c r="Q396" s="2"/>
      <c r="R396" s="2"/>
      <c r="S396" s="2"/>
      <c r="T396" s="2"/>
      <c r="U396" s="2"/>
      <c r="V396" s="2"/>
      <c r="W396" s="2"/>
      <c r="X396" s="2"/>
      <c r="Y396" s="2"/>
    </row>
    <row x14ac:dyDescent="0.25" r="397" customHeight="1" ht="17.25">
      <c r="A397" s="10">
        <v>17</v>
      </c>
      <c r="B397" s="10">
        <v>2021</v>
      </c>
      <c r="C397" s="2" t="s">
        <v>121</v>
      </c>
      <c r="D397" s="23">
        <v>2</v>
      </c>
      <c r="E397" s="5" t="s">
        <v>16</v>
      </c>
      <c r="F397" s="24">
        <v>2.059</v>
      </c>
      <c r="G397" s="23">
        <v>4</v>
      </c>
      <c r="H397" s="5" t="s">
        <v>16</v>
      </c>
      <c r="I397" s="24">
        <v>134.4</v>
      </c>
      <c r="J397" s="10">
        <v>3</v>
      </c>
      <c r="K397" s="24">
        <v>1.4653288899999999</v>
      </c>
      <c r="L397" s="24">
        <v>137.92432889</v>
      </c>
      <c r="M397" s="26">
        <f>_xlfn.CONCAT("'",$B397,"'","!","$N$3:$V$80")</f>
      </c>
      <c r="N397" s="26">
        <f>_xlfn.CONCAT("'",$B397,"'","!","$M$2:$M$80")</f>
      </c>
      <c r="O397" s="26">
        <f>_xlfn.CONCAT("'",$B397,"'","!","$N$2:$W$2")</f>
      </c>
      <c r="P397" s="2"/>
      <c r="Q397" s="2"/>
      <c r="R397" s="2"/>
      <c r="S397" s="2"/>
      <c r="T397" s="2"/>
      <c r="U397" s="2"/>
      <c r="V397" s="2"/>
      <c r="W397" s="2"/>
      <c r="X397" s="2"/>
      <c r="Y397" s="2"/>
    </row>
    <row x14ac:dyDescent="0.25" r="398" customHeight="1" ht="17.25">
      <c r="A398" s="10">
        <v>18</v>
      </c>
      <c r="B398" s="10">
        <v>2021</v>
      </c>
      <c r="C398" s="2" t="s">
        <v>122</v>
      </c>
      <c r="D398" s="23">
        <v>11</v>
      </c>
      <c r="E398" s="5" t="s">
        <v>16</v>
      </c>
      <c r="F398" s="24">
        <v>137.441141</v>
      </c>
      <c r="G398" s="23">
        <v>8</v>
      </c>
      <c r="H398" s="5" t="s">
        <v>16</v>
      </c>
      <c r="I398" s="24">
        <v>42.432306</v>
      </c>
      <c r="J398" s="10">
        <v>7</v>
      </c>
      <c r="K398" s="24">
        <v>12.963728080000003</v>
      </c>
      <c r="L398" s="24">
        <v>192.83717508</v>
      </c>
      <c r="M398" s="26">
        <f>_xlfn.CONCAT("'",$B398,"'","!","$N$3:$V$80")</f>
      </c>
      <c r="N398" s="26">
        <f>_xlfn.CONCAT("'",$B398,"'","!","$M$2:$M$80")</f>
      </c>
      <c r="O398" s="26">
        <f>_xlfn.CONCAT("'",$B398,"'","!","$N$2:$W$2")</f>
      </c>
      <c r="P398" s="2"/>
      <c r="Q398" s="2"/>
      <c r="R398" s="2"/>
      <c r="S398" s="2"/>
      <c r="T398" s="2"/>
      <c r="U398" s="2"/>
      <c r="V398" s="2"/>
      <c r="W398" s="2"/>
      <c r="X398" s="2"/>
      <c r="Y398" s="2"/>
    </row>
    <row x14ac:dyDescent="0.25" r="399" customHeight="1" ht="17.25">
      <c r="A399" s="10">
        <v>19</v>
      </c>
      <c r="B399" s="10">
        <v>2021</v>
      </c>
      <c r="C399" s="2" t="s">
        <v>123</v>
      </c>
      <c r="D399" s="23">
        <v>15</v>
      </c>
      <c r="E399" s="5" t="s">
        <v>16</v>
      </c>
      <c r="F399" s="24">
        <v>434.236733</v>
      </c>
      <c r="G399" s="23">
        <v>16</v>
      </c>
      <c r="H399" s="5" t="s">
        <v>16</v>
      </c>
      <c r="I399" s="24">
        <v>133.549029</v>
      </c>
      <c r="J399" s="10">
        <v>7</v>
      </c>
      <c r="K399" s="24">
        <v>9.59815775</v>
      </c>
      <c r="L399" s="24">
        <v>577.38391975</v>
      </c>
      <c r="M399" s="26">
        <f>_xlfn.CONCAT("'",$B399,"'","!","$N$3:$V$80")</f>
      </c>
      <c r="N399" s="26">
        <f>_xlfn.CONCAT("'",$B399,"'","!","$M$2:$M$80")</f>
      </c>
      <c r="O399" s="26">
        <f>_xlfn.CONCAT("'",$B399,"'","!","$N$2:$W$2")</f>
      </c>
      <c r="P399" s="2"/>
      <c r="Q399" s="2"/>
      <c r="R399" s="2"/>
      <c r="S399" s="2"/>
      <c r="T399" s="2"/>
      <c r="U399" s="2"/>
      <c r="V399" s="2"/>
      <c r="W399" s="2"/>
      <c r="X399" s="2"/>
      <c r="Y399" s="2"/>
    </row>
    <row x14ac:dyDescent="0.25" r="400" customHeight="1" ht="17.25">
      <c r="A400" s="10">
        <v>20</v>
      </c>
      <c r="B400" s="10">
        <v>2021</v>
      </c>
      <c r="C400" s="2" t="s">
        <v>124</v>
      </c>
      <c r="D400" s="23">
        <v>3</v>
      </c>
      <c r="E400" s="5" t="s">
        <v>16</v>
      </c>
      <c r="F400" s="24">
        <v>165.558366</v>
      </c>
      <c r="G400" s="23">
        <v>2</v>
      </c>
      <c r="H400" s="5" t="s">
        <v>16</v>
      </c>
      <c r="I400" s="24">
        <v>16.3</v>
      </c>
      <c r="J400" s="10">
        <v>11</v>
      </c>
      <c r="K400" s="24">
        <v>1.62469497</v>
      </c>
      <c r="L400" s="24">
        <v>183.48306097000003</v>
      </c>
      <c r="M400" s="26">
        <f>_xlfn.CONCAT("'",$B400,"'","!","$N$3:$V$80")</f>
      </c>
      <c r="N400" s="26">
        <f>_xlfn.CONCAT("'",$B400,"'","!","$M$2:$M$80")</f>
      </c>
      <c r="O400" s="26">
        <f>_xlfn.CONCAT("'",$B400,"'","!","$N$2:$W$2")</f>
      </c>
      <c r="P400" s="2"/>
      <c r="Q400" s="2"/>
      <c r="R400" s="2"/>
      <c r="S400" s="2"/>
      <c r="T400" s="2"/>
      <c r="U400" s="2"/>
      <c r="V400" s="2"/>
      <c r="W400" s="2"/>
      <c r="X400" s="2"/>
      <c r="Y400" s="2"/>
    </row>
    <row x14ac:dyDescent="0.25" r="401" customHeight="1" ht="17.25">
      <c r="A401" s="10">
        <v>21</v>
      </c>
      <c r="B401" s="10">
        <v>2021</v>
      </c>
      <c r="C401" s="2" t="s">
        <v>125</v>
      </c>
      <c r="D401" s="23">
        <v>9</v>
      </c>
      <c r="E401" s="5" t="s">
        <v>16</v>
      </c>
      <c r="F401" s="24">
        <v>283.184702</v>
      </c>
      <c r="G401" s="23">
        <v>6</v>
      </c>
      <c r="H401" s="5" t="s">
        <v>16</v>
      </c>
      <c r="I401" s="24">
        <v>34.67384475</v>
      </c>
      <c r="J401" s="10">
        <v>3</v>
      </c>
      <c r="K401" s="24">
        <v>0.6642563</v>
      </c>
      <c r="L401" s="24">
        <v>318.52280305</v>
      </c>
      <c r="M401" s="26">
        <f>_xlfn.CONCAT("'",$B401,"'","!","$N$3:$V$80")</f>
      </c>
      <c r="N401" s="26">
        <f>_xlfn.CONCAT("'",$B401,"'","!","$M$2:$M$80")</f>
      </c>
      <c r="O401" s="26">
        <f>_xlfn.CONCAT("'",$B401,"'","!","$N$2:$W$2")</f>
      </c>
      <c r="P401" s="2"/>
      <c r="Q401" s="2"/>
      <c r="R401" s="2"/>
      <c r="S401" s="2"/>
      <c r="T401" s="2"/>
      <c r="U401" s="2"/>
      <c r="V401" s="2"/>
      <c r="W401" s="2"/>
      <c r="X401" s="2"/>
      <c r="Y401" s="2"/>
    </row>
    <row x14ac:dyDescent="0.25" r="402" customHeight="1" ht="17.25">
      <c r="A402" s="10">
        <v>22</v>
      </c>
      <c r="B402" s="10">
        <v>2021</v>
      </c>
      <c r="C402" s="2" t="s">
        <v>126</v>
      </c>
      <c r="D402" s="23">
        <v>10</v>
      </c>
      <c r="E402" s="5" t="s">
        <v>16</v>
      </c>
      <c r="F402" s="24">
        <v>1011.547296</v>
      </c>
      <c r="G402" s="23">
        <v>4</v>
      </c>
      <c r="H402" s="5" t="s">
        <v>16</v>
      </c>
      <c r="I402" s="24">
        <v>113.950922</v>
      </c>
      <c r="J402" s="10">
        <v>11</v>
      </c>
      <c r="K402" s="24">
        <v>31.165627689999994</v>
      </c>
      <c r="L402" s="24">
        <v>1156.66384569</v>
      </c>
      <c r="M402" s="26">
        <f>_xlfn.CONCAT("'",$B402,"'","!","$N$3:$V$80")</f>
      </c>
      <c r="N402" s="26">
        <f>_xlfn.CONCAT("'",$B402,"'","!","$M$2:$M$80")</f>
      </c>
      <c r="O402" s="26">
        <f>_xlfn.CONCAT("'",$B402,"'","!","$N$2:$W$2")</f>
      </c>
      <c r="P402" s="2"/>
      <c r="Q402" s="2"/>
      <c r="R402" s="2"/>
      <c r="S402" s="2"/>
      <c r="T402" s="2"/>
      <c r="U402" s="2"/>
      <c r="V402" s="2"/>
      <c r="W402" s="2"/>
      <c r="X402" s="2"/>
      <c r="Y402" s="2"/>
    </row>
    <row x14ac:dyDescent="0.25" r="403" customHeight="1" ht="17.25">
      <c r="A403" s="10">
        <v>23</v>
      </c>
      <c r="B403" s="10">
        <v>2021</v>
      </c>
      <c r="C403" s="2" t="s">
        <v>127</v>
      </c>
      <c r="D403" s="23">
        <v>1</v>
      </c>
      <c r="E403" s="5" t="s">
        <v>16</v>
      </c>
      <c r="F403" s="24">
        <v>1.109319</v>
      </c>
      <c r="G403" s="23">
        <v>0</v>
      </c>
      <c r="H403" s="5" t="s">
        <v>16</v>
      </c>
      <c r="I403" s="23">
        <v>0</v>
      </c>
      <c r="J403" s="10">
        <v>0</v>
      </c>
      <c r="K403" s="23">
        <v>0</v>
      </c>
      <c r="L403" s="24">
        <v>1.109319</v>
      </c>
      <c r="M403" s="26">
        <f>_xlfn.CONCAT("'",$B403,"'","!","$N$3:$V$80")</f>
      </c>
      <c r="N403" s="26">
        <f>_xlfn.CONCAT("'",$B403,"'","!","$M$2:$M$80")</f>
      </c>
      <c r="O403" s="26">
        <f>_xlfn.CONCAT("'",$B403,"'","!","$N$2:$W$2")</f>
      </c>
      <c r="P403" s="2"/>
      <c r="Q403" s="2"/>
      <c r="R403" s="2"/>
      <c r="S403" s="2"/>
      <c r="T403" s="2"/>
      <c r="U403" s="2"/>
      <c r="V403" s="2"/>
      <c r="W403" s="2"/>
      <c r="X403" s="2"/>
      <c r="Y403" s="2"/>
    </row>
    <row x14ac:dyDescent="0.25" r="404" customHeight="1" ht="17.25">
      <c r="A404" s="10">
        <v>24</v>
      </c>
      <c r="B404" s="10">
        <v>2021</v>
      </c>
      <c r="C404" s="2" t="s">
        <v>128</v>
      </c>
      <c r="D404" s="23">
        <v>1</v>
      </c>
      <c r="E404" s="5" t="s">
        <v>16</v>
      </c>
      <c r="F404" s="24">
        <v>6.75</v>
      </c>
      <c r="G404" s="23">
        <v>5</v>
      </c>
      <c r="H404" s="5" t="s">
        <v>16</v>
      </c>
      <c r="I404" s="24">
        <v>25.139394</v>
      </c>
      <c r="J404" s="10">
        <v>63</v>
      </c>
      <c r="K404" s="24">
        <v>5.893242059999997</v>
      </c>
      <c r="L404" s="24">
        <v>37.782636059999994</v>
      </c>
      <c r="M404" s="26">
        <f>_xlfn.CONCAT("'",$B404,"'","!","$N$3:$V$80")</f>
      </c>
      <c r="N404" s="26">
        <f>_xlfn.CONCAT("'",$B404,"'","!","$M$2:$M$80")</f>
      </c>
      <c r="O404" s="26">
        <f>_xlfn.CONCAT("'",$B404,"'","!","$N$2:$W$2")</f>
      </c>
      <c r="P404" s="2"/>
      <c r="Q404" s="2"/>
      <c r="R404" s="2"/>
      <c r="S404" s="2"/>
      <c r="T404" s="2"/>
      <c r="U404" s="2"/>
      <c r="V404" s="2"/>
      <c r="W404" s="2"/>
      <c r="X404" s="2"/>
      <c r="Y404" s="2"/>
    </row>
    <row x14ac:dyDescent="0.25" r="405" customHeight="1" ht="17.25">
      <c r="A405" s="10">
        <v>25</v>
      </c>
      <c r="B405" s="10">
        <v>2021</v>
      </c>
      <c r="C405" s="2" t="s">
        <v>129</v>
      </c>
      <c r="D405" s="23">
        <v>7</v>
      </c>
      <c r="E405" s="5" t="s">
        <v>16</v>
      </c>
      <c r="F405" s="24">
        <v>15.207852</v>
      </c>
      <c r="G405" s="23">
        <v>6</v>
      </c>
      <c r="H405" s="5" t="s">
        <v>16</v>
      </c>
      <c r="I405" s="24">
        <v>13.092245</v>
      </c>
      <c r="J405" s="10">
        <v>40</v>
      </c>
      <c r="K405" s="24">
        <v>11.65513059</v>
      </c>
      <c r="L405" s="24">
        <v>39.95522759</v>
      </c>
      <c r="M405" s="26">
        <f>_xlfn.CONCAT("'",$B405,"'","!","$N$3:$V$80")</f>
      </c>
      <c r="N405" s="26">
        <f>_xlfn.CONCAT("'",$B405,"'","!","$M$2:$M$80")</f>
      </c>
      <c r="O405" s="26">
        <f>_xlfn.CONCAT("'",$B405,"'","!","$N$2:$W$2")</f>
      </c>
      <c r="P405" s="2"/>
      <c r="Q405" s="2"/>
      <c r="R405" s="2"/>
      <c r="S405" s="2"/>
      <c r="T405" s="2"/>
      <c r="U405" s="2"/>
      <c r="V405" s="2"/>
      <c r="W405" s="2"/>
      <c r="X405" s="2"/>
      <c r="Y405" s="2"/>
    </row>
    <row x14ac:dyDescent="0.25" r="406" customHeight="1" ht="17.25">
      <c r="A406" s="10">
        <v>26</v>
      </c>
      <c r="B406" s="10">
        <v>2021</v>
      </c>
      <c r="C406" s="2" t="s">
        <v>130</v>
      </c>
      <c r="D406" s="23">
        <v>2</v>
      </c>
      <c r="E406" s="5" t="s">
        <v>16</v>
      </c>
      <c r="F406" s="24">
        <v>12.348071</v>
      </c>
      <c r="G406" s="23">
        <v>0</v>
      </c>
      <c r="H406" s="5" t="s">
        <v>16</v>
      </c>
      <c r="I406" s="23">
        <v>0</v>
      </c>
      <c r="J406" s="10">
        <v>10</v>
      </c>
      <c r="K406" s="24">
        <v>2.1022177099999997</v>
      </c>
      <c r="L406" s="24">
        <v>14.450288709999999</v>
      </c>
      <c r="M406" s="26">
        <f>_xlfn.CONCAT("'",$B406,"'","!","$N$3:$V$80")</f>
      </c>
      <c r="N406" s="26">
        <f>_xlfn.CONCAT("'",$B406,"'","!","$M$2:$M$80")</f>
      </c>
      <c r="O406" s="26">
        <f>_xlfn.CONCAT("'",$B406,"'","!","$N$2:$W$2")</f>
      </c>
      <c r="P406" s="2"/>
      <c r="Q406" s="2"/>
      <c r="R406" s="2"/>
      <c r="S406" s="2"/>
      <c r="T406" s="2"/>
      <c r="U406" s="2"/>
      <c r="V406" s="2"/>
      <c r="W406" s="2"/>
      <c r="X406" s="2"/>
      <c r="Y406" s="2"/>
    </row>
    <row x14ac:dyDescent="0.25" r="407" customHeight="1" ht="17.25">
      <c r="A407" s="10">
        <v>27</v>
      </c>
      <c r="B407" s="10">
        <v>2021</v>
      </c>
      <c r="C407" s="2" t="s">
        <v>131</v>
      </c>
      <c r="D407" s="23">
        <v>6</v>
      </c>
      <c r="E407" s="5" t="s">
        <v>16</v>
      </c>
      <c r="F407" s="24">
        <v>13.742829</v>
      </c>
      <c r="G407" s="23">
        <v>6</v>
      </c>
      <c r="H407" s="5" t="s">
        <v>16</v>
      </c>
      <c r="I407" s="24">
        <v>33.68879415625</v>
      </c>
      <c r="J407" s="10">
        <v>3</v>
      </c>
      <c r="K407" s="24">
        <v>2.87690301</v>
      </c>
      <c r="L407" s="24">
        <v>50.30852616625</v>
      </c>
      <c r="M407" s="26">
        <f>_xlfn.CONCAT("'",$B407,"'","!","$N$3:$V$80")</f>
      </c>
      <c r="N407" s="26">
        <f>_xlfn.CONCAT("'",$B407,"'","!","$M$2:$M$80")</f>
      </c>
      <c r="O407" s="26">
        <f>_xlfn.CONCAT("'",$B407,"'","!","$N$2:$W$2")</f>
      </c>
      <c r="P407" s="2"/>
      <c r="Q407" s="2"/>
      <c r="R407" s="2"/>
      <c r="S407" s="2"/>
      <c r="T407" s="2"/>
      <c r="U407" s="2"/>
      <c r="V407" s="2"/>
      <c r="W407" s="2"/>
      <c r="X407" s="2"/>
      <c r="Y407" s="2"/>
    </row>
    <row x14ac:dyDescent="0.25" r="408" customHeight="1" ht="17.25">
      <c r="A408" s="10">
        <v>28</v>
      </c>
      <c r="B408" s="10">
        <v>2021</v>
      </c>
      <c r="C408" s="2" t="s">
        <v>132</v>
      </c>
      <c r="D408" s="23">
        <v>7</v>
      </c>
      <c r="E408" s="5" t="s">
        <v>16</v>
      </c>
      <c r="F408" s="24">
        <v>83.759542</v>
      </c>
      <c r="G408" s="23">
        <v>2</v>
      </c>
      <c r="H408" s="5" t="s">
        <v>16</v>
      </c>
      <c r="I408" s="23">
        <v>22</v>
      </c>
      <c r="J408" s="10">
        <v>11</v>
      </c>
      <c r="K408" s="24">
        <v>51.084819010000004</v>
      </c>
      <c r="L408" s="24">
        <v>156.84436101</v>
      </c>
      <c r="M408" s="26">
        <f>_xlfn.CONCAT("'",$B408,"'","!","$N$3:$V$80")</f>
      </c>
      <c r="N408" s="26">
        <f>_xlfn.CONCAT("'",$B408,"'","!","$M$2:$M$80")</f>
      </c>
      <c r="O408" s="26">
        <f>_xlfn.CONCAT("'",$B408,"'","!","$N$2:$W$2")</f>
      </c>
      <c r="P408" s="2"/>
      <c r="Q408" s="2"/>
      <c r="R408" s="2"/>
      <c r="S408" s="2"/>
      <c r="T408" s="2"/>
      <c r="U408" s="2"/>
      <c r="V408" s="2"/>
      <c r="W408" s="2"/>
      <c r="X408" s="2"/>
      <c r="Y408" s="2"/>
    </row>
    <row x14ac:dyDescent="0.25" r="409" customHeight="1" ht="17.25">
      <c r="A409" s="10">
        <v>29</v>
      </c>
      <c r="B409" s="10">
        <v>2021</v>
      </c>
      <c r="C409" s="2" t="s">
        <v>133</v>
      </c>
      <c r="D409" s="23">
        <v>2</v>
      </c>
      <c r="E409" s="5" t="s">
        <v>16</v>
      </c>
      <c r="F409" s="24">
        <v>24.95</v>
      </c>
      <c r="G409" s="23">
        <v>2</v>
      </c>
      <c r="H409" s="5" t="s">
        <v>16</v>
      </c>
      <c r="I409" s="24">
        <v>17.06</v>
      </c>
      <c r="J409" s="10">
        <v>0</v>
      </c>
      <c r="K409" s="23">
        <v>0</v>
      </c>
      <c r="L409" s="24">
        <v>42.01</v>
      </c>
      <c r="M409" s="26">
        <f>_xlfn.CONCAT("'",$B409,"'","!","$N$3:$V$80")</f>
      </c>
      <c r="N409" s="26">
        <f>_xlfn.CONCAT("'",$B409,"'","!","$M$2:$M$80")</f>
      </c>
      <c r="O409" s="26">
        <f>_xlfn.CONCAT("'",$B409,"'","!","$N$2:$W$2")</f>
      </c>
      <c r="P409" s="2"/>
      <c r="Q409" s="2"/>
      <c r="R409" s="2"/>
      <c r="S409" s="2"/>
      <c r="T409" s="2"/>
      <c r="U409" s="2"/>
      <c r="V409" s="2"/>
      <c r="W409" s="2"/>
      <c r="X409" s="2"/>
      <c r="Y409" s="2"/>
    </row>
    <row x14ac:dyDescent="0.25" r="410" customHeight="1" ht="17.25">
      <c r="A410" s="10">
        <v>30</v>
      </c>
      <c r="B410" s="10">
        <v>2021</v>
      </c>
      <c r="C410" s="2" t="s">
        <v>134</v>
      </c>
      <c r="D410" s="23">
        <v>1</v>
      </c>
      <c r="E410" s="5" t="s">
        <v>16</v>
      </c>
      <c r="F410" s="23">
        <v>4</v>
      </c>
      <c r="G410" s="23">
        <v>0</v>
      </c>
      <c r="H410" s="5" t="s">
        <v>16</v>
      </c>
      <c r="I410" s="23">
        <v>0</v>
      </c>
      <c r="J410" s="10">
        <v>12</v>
      </c>
      <c r="K410" s="24">
        <v>74.75700603</v>
      </c>
      <c r="L410" s="24">
        <v>78.75700603</v>
      </c>
      <c r="M410" s="26">
        <f>_xlfn.CONCAT("'",$B410,"'","!","$N$3:$V$80")</f>
      </c>
      <c r="N410" s="26">
        <f>_xlfn.CONCAT("'",$B410,"'","!","$M$2:$M$80")</f>
      </c>
      <c r="O410" s="26">
        <f>_xlfn.CONCAT("'",$B410,"'","!","$N$2:$W$2")</f>
      </c>
      <c r="P410" s="2"/>
      <c r="Q410" s="2"/>
      <c r="R410" s="2"/>
      <c r="S410" s="2"/>
      <c r="T410" s="2"/>
      <c r="U410" s="2"/>
      <c r="V410" s="2"/>
      <c r="W410" s="2"/>
      <c r="X410" s="2"/>
      <c r="Y410" s="2"/>
    </row>
    <row x14ac:dyDescent="0.25" r="411" customHeight="1" ht="17.25">
      <c r="A411" s="10">
        <v>31</v>
      </c>
      <c r="B411" s="10">
        <v>2021</v>
      </c>
      <c r="C411" s="2" t="s">
        <v>135</v>
      </c>
      <c r="D411" s="23">
        <v>1</v>
      </c>
      <c r="E411" s="5" t="s">
        <v>16</v>
      </c>
      <c r="F411" s="24">
        <v>0.004316</v>
      </c>
      <c r="G411" s="23">
        <v>0</v>
      </c>
      <c r="H411" s="5" t="s">
        <v>16</v>
      </c>
      <c r="I411" s="23">
        <v>0</v>
      </c>
      <c r="J411" s="10">
        <v>1</v>
      </c>
      <c r="K411" s="24">
        <v>0.20077720000000002</v>
      </c>
      <c r="L411" s="24">
        <v>0.20509320000000003</v>
      </c>
      <c r="M411" s="26">
        <f>_xlfn.CONCAT("'",$B411,"'","!","$N$3:$V$80")</f>
      </c>
      <c r="N411" s="26">
        <f>_xlfn.CONCAT("'",$B411,"'","!","$M$2:$M$80")</f>
      </c>
      <c r="O411" s="26">
        <f>_xlfn.CONCAT("'",$B411,"'","!","$N$2:$W$2")</f>
      </c>
      <c r="P411" s="2"/>
      <c r="Q411" s="2"/>
      <c r="R411" s="2"/>
      <c r="S411" s="2"/>
      <c r="T411" s="2"/>
      <c r="U411" s="2"/>
      <c r="V411" s="2"/>
      <c r="W411" s="2"/>
      <c r="X411" s="2"/>
      <c r="Y411" s="2"/>
    </row>
    <row x14ac:dyDescent="0.25" r="412" customHeight="1" ht="17.25">
      <c r="A412" s="10">
        <v>32</v>
      </c>
      <c r="B412" s="10">
        <v>2021</v>
      </c>
      <c r="C412" s="2" t="s">
        <v>136</v>
      </c>
      <c r="D412" s="23">
        <v>0</v>
      </c>
      <c r="E412" s="5" t="s">
        <v>16</v>
      </c>
      <c r="F412" s="23">
        <v>0</v>
      </c>
      <c r="G412" s="23">
        <v>1</v>
      </c>
      <c r="H412" s="5" t="s">
        <v>16</v>
      </c>
      <c r="I412" s="24">
        <v>0.5</v>
      </c>
      <c r="J412" s="10">
        <v>0</v>
      </c>
      <c r="K412" s="23">
        <v>0</v>
      </c>
      <c r="L412" s="24">
        <v>0.5</v>
      </c>
      <c r="M412" s="26">
        <f>_xlfn.CONCAT("'",$B412,"'","!","$N$3:$V$80")</f>
      </c>
      <c r="N412" s="26">
        <f>_xlfn.CONCAT("'",$B412,"'","!","$M$2:$M$80")</f>
      </c>
      <c r="O412" s="26">
        <f>_xlfn.CONCAT("'",$B412,"'","!","$N$2:$W$2")</f>
      </c>
      <c r="P412" s="2"/>
      <c r="Q412" s="2"/>
      <c r="R412" s="2"/>
      <c r="S412" s="2"/>
      <c r="T412" s="2"/>
      <c r="U412" s="2"/>
      <c r="V412" s="2"/>
      <c r="W412" s="2"/>
      <c r="X412" s="2"/>
      <c r="Y412" s="2"/>
    </row>
    <row x14ac:dyDescent="0.25" r="413" customHeight="1" ht="17.25">
      <c r="A413" s="10">
        <v>33</v>
      </c>
      <c r="B413" s="10">
        <v>2021</v>
      </c>
      <c r="C413" s="2" t="s">
        <v>137</v>
      </c>
      <c r="D413" s="23">
        <v>1</v>
      </c>
      <c r="E413" s="5" t="s">
        <v>16</v>
      </c>
      <c r="F413" s="24">
        <v>0.25</v>
      </c>
      <c r="G413" s="23">
        <v>2</v>
      </c>
      <c r="H413" s="5" t="s">
        <v>16</v>
      </c>
      <c r="I413" s="24">
        <v>8.707138</v>
      </c>
      <c r="J413" s="10">
        <v>4</v>
      </c>
      <c r="K413" s="24">
        <v>3.09426919</v>
      </c>
      <c r="L413" s="24">
        <v>12.05140719</v>
      </c>
      <c r="M413" s="26">
        <f>_xlfn.CONCAT("'",$B413,"'","!","$N$3:$V$80")</f>
      </c>
      <c r="N413" s="26">
        <f>_xlfn.CONCAT("'",$B413,"'","!","$M$2:$M$80")</f>
      </c>
      <c r="O413" s="26">
        <f>_xlfn.CONCAT("'",$B413,"'","!","$N$2:$W$2")</f>
      </c>
      <c r="P413" s="2"/>
      <c r="Q413" s="2"/>
      <c r="R413" s="2"/>
      <c r="S413" s="2"/>
      <c r="T413" s="2"/>
      <c r="U413" s="2"/>
      <c r="V413" s="2"/>
      <c r="W413" s="2"/>
      <c r="X413" s="2"/>
      <c r="Y413" s="2"/>
    </row>
    <row x14ac:dyDescent="0.25" r="414" customHeight="1" ht="17.25">
      <c r="A414" s="10">
        <v>34</v>
      </c>
      <c r="B414" s="10">
        <v>2021</v>
      </c>
      <c r="C414" s="2" t="s">
        <v>138</v>
      </c>
      <c r="D414" s="23">
        <v>4</v>
      </c>
      <c r="E414" s="5" t="s">
        <v>16</v>
      </c>
      <c r="F414" s="24">
        <v>80.342</v>
      </c>
      <c r="G414" s="23">
        <v>3</v>
      </c>
      <c r="H414" s="5" t="s">
        <v>16</v>
      </c>
      <c r="I414" s="24">
        <v>12.401764</v>
      </c>
      <c r="J414" s="10">
        <v>12</v>
      </c>
      <c r="K414" s="24">
        <v>21.14896388</v>
      </c>
      <c r="L414" s="24">
        <v>113.89272788</v>
      </c>
      <c r="M414" s="26">
        <f>_xlfn.CONCAT("'",$B414,"'","!","$N$3:$V$80")</f>
      </c>
      <c r="N414" s="26">
        <f>_xlfn.CONCAT("'",$B414,"'","!","$M$2:$M$80")</f>
      </c>
      <c r="O414" s="26">
        <f>_xlfn.CONCAT("'",$B414,"'","!","$N$2:$W$2")</f>
      </c>
      <c r="P414" s="2"/>
      <c r="Q414" s="2"/>
      <c r="R414" s="2"/>
      <c r="S414" s="2"/>
      <c r="T414" s="2"/>
      <c r="U414" s="2"/>
      <c r="V414" s="2"/>
      <c r="W414" s="2"/>
      <c r="X414" s="2"/>
      <c r="Y414" s="2"/>
    </row>
    <row x14ac:dyDescent="0.25" r="415" customHeight="1" ht="17.25">
      <c r="A415" s="10">
        <v>35</v>
      </c>
      <c r="B415" s="10">
        <v>2021</v>
      </c>
      <c r="C415" s="2" t="s">
        <v>139</v>
      </c>
      <c r="D415" s="23">
        <v>1</v>
      </c>
      <c r="E415" s="5" t="s">
        <v>16</v>
      </c>
      <c r="F415" s="24">
        <v>4.309983</v>
      </c>
      <c r="G415" s="23">
        <v>1</v>
      </c>
      <c r="H415" s="5" t="s">
        <v>16</v>
      </c>
      <c r="I415" s="24">
        <v>0.878869</v>
      </c>
      <c r="J415" s="10">
        <v>2</v>
      </c>
      <c r="K415" s="24">
        <v>30.149335630000003</v>
      </c>
      <c r="L415" s="24">
        <v>35.33818763</v>
      </c>
      <c r="M415" s="26">
        <f>_xlfn.CONCAT("'",$B415,"'","!","$N$3:$V$80")</f>
      </c>
      <c r="N415" s="26">
        <f>_xlfn.CONCAT("'",$B415,"'","!","$M$2:$M$80")</f>
      </c>
      <c r="O415" s="26">
        <f>_xlfn.CONCAT("'",$B415,"'","!","$N$2:$W$2")</f>
      </c>
      <c r="P415" s="2"/>
      <c r="Q415" s="2"/>
      <c r="R415" s="2"/>
      <c r="S415" s="2"/>
      <c r="T415" s="2"/>
      <c r="U415" s="2"/>
      <c r="V415" s="2"/>
      <c r="W415" s="2"/>
      <c r="X415" s="2"/>
      <c r="Y415" s="2"/>
    </row>
    <row x14ac:dyDescent="0.25" r="416" customHeight="1" ht="17.25">
      <c r="A416" s="10">
        <v>36</v>
      </c>
      <c r="B416" s="10">
        <v>2021</v>
      </c>
      <c r="C416" s="2" t="s">
        <v>140</v>
      </c>
      <c r="D416" s="23">
        <v>6</v>
      </c>
      <c r="E416" s="5" t="s">
        <v>16</v>
      </c>
      <c r="F416" s="24">
        <v>145.537834</v>
      </c>
      <c r="G416" s="23">
        <v>2</v>
      </c>
      <c r="H416" s="5" t="s">
        <v>16</v>
      </c>
      <c r="I416" s="23">
        <v>8</v>
      </c>
      <c r="J416" s="10">
        <v>3</v>
      </c>
      <c r="K416" s="24">
        <v>0.50049957</v>
      </c>
      <c r="L416" s="24">
        <v>154.03833357</v>
      </c>
      <c r="M416" s="26">
        <f>_xlfn.CONCAT("'",$B416,"'","!","$N$3:$V$80")</f>
      </c>
      <c r="N416" s="26">
        <f>_xlfn.CONCAT("'",$B416,"'","!","$M$2:$M$80")</f>
      </c>
      <c r="O416" s="26">
        <f>_xlfn.CONCAT("'",$B416,"'","!","$N$2:$W$2")</f>
      </c>
      <c r="P416" s="2"/>
      <c r="Q416" s="2"/>
      <c r="R416" s="2"/>
      <c r="S416" s="2"/>
      <c r="T416" s="2"/>
      <c r="U416" s="2"/>
      <c r="V416" s="2"/>
      <c r="W416" s="2"/>
      <c r="X416" s="2"/>
      <c r="Y416" s="2"/>
    </row>
    <row x14ac:dyDescent="0.25" r="417" customHeight="1" ht="17.25">
      <c r="A417" s="10">
        <v>37</v>
      </c>
      <c r="B417" s="10">
        <v>2021</v>
      </c>
      <c r="C417" s="2" t="s">
        <v>141</v>
      </c>
      <c r="D417" s="23">
        <v>5</v>
      </c>
      <c r="E417" s="5" t="s">
        <v>16</v>
      </c>
      <c r="F417" s="24">
        <v>1316.816784</v>
      </c>
      <c r="G417" s="23">
        <v>1</v>
      </c>
      <c r="H417" s="5" t="s">
        <v>16</v>
      </c>
      <c r="I417" s="23">
        <v>9</v>
      </c>
      <c r="J417" s="10">
        <v>7</v>
      </c>
      <c r="K417" s="24">
        <v>1.45682112</v>
      </c>
      <c r="L417" s="24">
        <v>1327.2736051200002</v>
      </c>
      <c r="M417" s="26">
        <f>_xlfn.CONCAT("'",$B417,"'","!","$N$3:$V$80")</f>
      </c>
      <c r="N417" s="26">
        <f>_xlfn.CONCAT("'",$B417,"'","!","$M$2:$M$80")</f>
      </c>
      <c r="O417" s="26">
        <f>_xlfn.CONCAT("'",$B417,"'","!","$N$2:$W$2")</f>
      </c>
      <c r="P417" s="2"/>
      <c r="Q417" s="2"/>
      <c r="R417" s="2"/>
      <c r="S417" s="2"/>
      <c r="T417" s="2"/>
      <c r="U417" s="2"/>
      <c r="V417" s="2"/>
      <c r="W417" s="2"/>
      <c r="X417" s="2"/>
      <c r="Y417" s="2"/>
    </row>
    <row x14ac:dyDescent="0.25" r="418" customHeight="1" ht="17.25">
      <c r="A418" s="10">
        <v>38</v>
      </c>
      <c r="B418" s="10">
        <v>2021</v>
      </c>
      <c r="C418" s="2" t="s">
        <v>142</v>
      </c>
      <c r="D418" s="23">
        <v>6</v>
      </c>
      <c r="E418" s="5" t="s">
        <v>16</v>
      </c>
      <c r="F418" s="24">
        <v>459.851975</v>
      </c>
      <c r="G418" s="23">
        <v>1</v>
      </c>
      <c r="H418" s="5" t="s">
        <v>16</v>
      </c>
      <c r="I418" s="24">
        <v>1.435577</v>
      </c>
      <c r="J418" s="10">
        <v>3</v>
      </c>
      <c r="K418" s="24">
        <v>1.35180393</v>
      </c>
      <c r="L418" s="24">
        <v>462.63935593</v>
      </c>
      <c r="M418" s="26">
        <f>_xlfn.CONCAT("'",$B418,"'","!","$N$3:$V$80")</f>
      </c>
      <c r="N418" s="26">
        <f>_xlfn.CONCAT("'",$B418,"'","!","$M$2:$M$80")</f>
      </c>
      <c r="O418" s="26">
        <f>_xlfn.CONCAT("'",$B418,"'","!","$N$2:$W$2")</f>
      </c>
      <c r="P418" s="2"/>
      <c r="Q418" s="2"/>
      <c r="R418" s="2"/>
      <c r="S418" s="2"/>
      <c r="T418" s="2"/>
      <c r="U418" s="2"/>
      <c r="V418" s="2"/>
      <c r="W418" s="2"/>
      <c r="X418" s="2"/>
      <c r="Y418" s="2"/>
    </row>
    <row x14ac:dyDescent="0.25" r="419" customHeight="1" ht="17.25">
      <c r="A419" s="10">
        <v>39</v>
      </c>
      <c r="B419" s="10">
        <v>2021</v>
      </c>
      <c r="C419" s="2" t="s">
        <v>143</v>
      </c>
      <c r="D419" s="23">
        <v>1</v>
      </c>
      <c r="E419" s="5" t="s">
        <v>16</v>
      </c>
      <c r="F419" s="23">
        <v>11</v>
      </c>
      <c r="G419" s="23">
        <v>0</v>
      </c>
      <c r="H419" s="5" t="s">
        <v>16</v>
      </c>
      <c r="I419" s="23">
        <v>0</v>
      </c>
      <c r="J419" s="10">
        <v>3</v>
      </c>
      <c r="K419" s="24">
        <v>0.93827</v>
      </c>
      <c r="L419" s="24">
        <v>11.93827</v>
      </c>
      <c r="M419" s="26">
        <f>_xlfn.CONCAT("'",$B419,"'","!","$N$3:$V$80")</f>
      </c>
      <c r="N419" s="26">
        <f>_xlfn.CONCAT("'",$B419,"'","!","$M$2:$M$80")</f>
      </c>
      <c r="O419" s="26">
        <f>_xlfn.CONCAT("'",$B419,"'","!","$N$2:$W$2")</f>
      </c>
      <c r="P419" s="2"/>
      <c r="Q419" s="2"/>
      <c r="R419" s="2"/>
      <c r="S419" s="2"/>
      <c r="T419" s="2"/>
      <c r="U419" s="2"/>
      <c r="V419" s="2"/>
      <c r="W419" s="2"/>
      <c r="X419" s="2"/>
      <c r="Y419" s="2"/>
    </row>
    <row x14ac:dyDescent="0.25" r="420" customHeight="1" ht="17.25">
      <c r="A420" s="10">
        <v>40</v>
      </c>
      <c r="B420" s="10">
        <v>2021</v>
      </c>
      <c r="C420" s="2" t="s">
        <v>144</v>
      </c>
      <c r="D420" s="23">
        <v>3</v>
      </c>
      <c r="E420" s="5" t="s">
        <v>16</v>
      </c>
      <c r="F420" s="24">
        <v>3.6</v>
      </c>
      <c r="G420" s="23">
        <v>15</v>
      </c>
      <c r="H420" s="5" t="s">
        <v>16</v>
      </c>
      <c r="I420" s="24">
        <v>55.76708</v>
      </c>
      <c r="J420" s="10">
        <v>7</v>
      </c>
      <c r="K420" s="24">
        <v>89.70823503999999</v>
      </c>
      <c r="L420" s="24">
        <v>149.07531504</v>
      </c>
      <c r="M420" s="26">
        <f>_xlfn.CONCAT("'",$B420,"'","!","$N$3:$V$80")</f>
      </c>
      <c r="N420" s="26">
        <f>_xlfn.CONCAT("'",$B420,"'","!","$M$2:$M$80")</f>
      </c>
      <c r="O420" s="26">
        <f>_xlfn.CONCAT("'",$B420,"'","!","$N$2:$W$2")</f>
      </c>
      <c r="P420" s="2"/>
      <c r="Q420" s="2"/>
      <c r="R420" s="2"/>
      <c r="S420" s="2"/>
      <c r="T420" s="2"/>
      <c r="U420" s="2"/>
      <c r="V420" s="2"/>
      <c r="W420" s="2"/>
      <c r="X420" s="2"/>
      <c r="Y420" s="2"/>
    </row>
    <row x14ac:dyDescent="0.25" r="421" customHeight="1" ht="17.25">
      <c r="A421" s="10">
        <v>41</v>
      </c>
      <c r="B421" s="10">
        <v>2021</v>
      </c>
      <c r="C421" s="2" t="s">
        <v>145</v>
      </c>
      <c r="D421" s="23">
        <v>3</v>
      </c>
      <c r="E421" s="5" t="s">
        <v>16</v>
      </c>
      <c r="F421" s="24">
        <v>63.132355</v>
      </c>
      <c r="G421" s="23">
        <v>5</v>
      </c>
      <c r="H421" s="5" t="s">
        <v>16</v>
      </c>
      <c r="I421" s="24">
        <v>-91.759601</v>
      </c>
      <c r="J421" s="10">
        <v>6</v>
      </c>
      <c r="K421" s="24">
        <v>12.52597263</v>
      </c>
      <c r="L421" s="24">
        <v>-16.10127337000001</v>
      </c>
      <c r="M421" s="26">
        <f>_xlfn.CONCAT("'",$B421,"'","!","$N$3:$V$80")</f>
      </c>
      <c r="N421" s="26">
        <f>_xlfn.CONCAT("'",$B421,"'","!","$M$2:$M$80")</f>
      </c>
      <c r="O421" s="26">
        <f>_xlfn.CONCAT("'",$B421,"'","!","$N$2:$W$2")</f>
      </c>
      <c r="P421" s="2"/>
      <c r="Q421" s="2"/>
      <c r="R421" s="2"/>
      <c r="S421" s="2"/>
      <c r="T421" s="2"/>
      <c r="U421" s="2"/>
      <c r="V421" s="2"/>
      <c r="W421" s="2"/>
      <c r="X421" s="2"/>
      <c r="Y421" s="2"/>
    </row>
    <row x14ac:dyDescent="0.25" r="422" customHeight="1" ht="17.25">
      <c r="A422" s="10">
        <v>42</v>
      </c>
      <c r="B422" s="10">
        <v>2021</v>
      </c>
      <c r="C422" s="2" t="s">
        <v>146</v>
      </c>
      <c r="D422" s="23">
        <v>0</v>
      </c>
      <c r="E422" s="5" t="s">
        <v>16</v>
      </c>
      <c r="F422" s="23">
        <v>0</v>
      </c>
      <c r="G422" s="23">
        <v>0</v>
      </c>
      <c r="H422" s="5" t="s">
        <v>16</v>
      </c>
      <c r="I422" s="23">
        <v>0</v>
      </c>
      <c r="J422" s="10">
        <v>13</v>
      </c>
      <c r="K422" s="24">
        <v>11.75114219</v>
      </c>
      <c r="L422" s="24">
        <v>11.75114219</v>
      </c>
      <c r="M422" s="26">
        <f>_xlfn.CONCAT("'",$B422,"'","!","$N$3:$V$80")</f>
      </c>
      <c r="N422" s="26">
        <f>_xlfn.CONCAT("'",$B422,"'","!","$M$2:$M$80")</f>
      </c>
      <c r="O422" s="26">
        <f>_xlfn.CONCAT("'",$B422,"'","!","$N$2:$W$2")</f>
      </c>
      <c r="P422" s="2"/>
      <c r="Q422" s="2"/>
      <c r="R422" s="2"/>
      <c r="S422" s="2"/>
      <c r="T422" s="2"/>
      <c r="U422" s="2"/>
      <c r="V422" s="2"/>
      <c r="W422" s="2"/>
      <c r="X422" s="2"/>
      <c r="Y422" s="2"/>
    </row>
    <row x14ac:dyDescent="0.25" r="423" customHeight="1" ht="17.25">
      <c r="A423" s="10">
        <v>43</v>
      </c>
      <c r="B423" s="10">
        <v>2021</v>
      </c>
      <c r="C423" s="2" t="s">
        <v>147</v>
      </c>
      <c r="D423" s="23">
        <v>1</v>
      </c>
      <c r="E423" s="5" t="s">
        <v>16</v>
      </c>
      <c r="F423" s="23">
        <v>2</v>
      </c>
      <c r="G423" s="23">
        <v>2</v>
      </c>
      <c r="H423" s="5" t="s">
        <v>16</v>
      </c>
      <c r="I423" s="24">
        <v>3.367358</v>
      </c>
      <c r="J423" s="10">
        <v>31</v>
      </c>
      <c r="K423" s="24">
        <v>7.21950857</v>
      </c>
      <c r="L423" s="24">
        <v>12.58686657</v>
      </c>
      <c r="M423" s="26">
        <f>_xlfn.CONCAT("'",$B423,"'","!","$N$3:$V$80")</f>
      </c>
      <c r="N423" s="26">
        <f>_xlfn.CONCAT("'",$B423,"'","!","$M$2:$M$80")</f>
      </c>
      <c r="O423" s="26">
        <f>_xlfn.CONCAT("'",$B423,"'","!","$N$2:$W$2")</f>
      </c>
      <c r="P423" s="2"/>
      <c r="Q423" s="2"/>
      <c r="R423" s="2"/>
      <c r="S423" s="2"/>
      <c r="T423" s="2"/>
      <c r="U423" s="2"/>
      <c r="V423" s="2"/>
      <c r="W423" s="2"/>
      <c r="X423" s="2"/>
      <c r="Y423" s="2"/>
    </row>
    <row x14ac:dyDescent="0.25" r="424" customHeight="1" ht="17.25">
      <c r="A424" s="10">
        <v>44</v>
      </c>
      <c r="B424" s="10">
        <v>2021</v>
      </c>
      <c r="C424" s="2" t="s">
        <v>148</v>
      </c>
      <c r="D424" s="23">
        <v>0</v>
      </c>
      <c r="E424" s="5" t="s">
        <v>16</v>
      </c>
      <c r="F424" s="23">
        <v>0</v>
      </c>
      <c r="G424" s="23">
        <v>0</v>
      </c>
      <c r="H424" s="5" t="s">
        <v>16</v>
      </c>
      <c r="I424" s="23">
        <v>0</v>
      </c>
      <c r="J424" s="10">
        <v>22</v>
      </c>
      <c r="K424" s="24">
        <v>6.387289430000001</v>
      </c>
      <c r="L424" s="24">
        <v>6.387289430000001</v>
      </c>
      <c r="M424" s="26">
        <f>_xlfn.CONCAT("'",$B424,"'","!","$N$3:$V$80")</f>
      </c>
      <c r="N424" s="26">
        <f>_xlfn.CONCAT("'",$B424,"'","!","$M$2:$M$80")</f>
      </c>
      <c r="O424" s="26">
        <f>_xlfn.CONCAT("'",$B424,"'","!","$N$2:$W$2")</f>
      </c>
      <c r="P424" s="2"/>
      <c r="Q424" s="2"/>
      <c r="R424" s="2"/>
      <c r="S424" s="2"/>
      <c r="T424" s="2"/>
      <c r="U424" s="2"/>
      <c r="V424" s="2"/>
      <c r="W424" s="2"/>
      <c r="X424" s="2"/>
      <c r="Y424" s="2"/>
    </row>
    <row x14ac:dyDescent="0.25" r="425" customHeight="1" ht="17.25">
      <c r="A425" s="10">
        <v>45</v>
      </c>
      <c r="B425" s="10">
        <v>2021</v>
      </c>
      <c r="C425" s="2" t="s">
        <v>149</v>
      </c>
      <c r="D425" s="23">
        <v>2</v>
      </c>
      <c r="E425" s="5" t="s">
        <v>16</v>
      </c>
      <c r="F425" s="24">
        <v>91.75673</v>
      </c>
      <c r="G425" s="23">
        <v>0</v>
      </c>
      <c r="H425" s="5" t="s">
        <v>16</v>
      </c>
      <c r="I425" s="23">
        <v>0</v>
      </c>
      <c r="J425" s="10">
        <v>2</v>
      </c>
      <c r="K425" s="24">
        <v>11.02604199</v>
      </c>
      <c r="L425" s="24">
        <v>102.78277199</v>
      </c>
      <c r="M425" s="26">
        <f>_xlfn.CONCAT("'",$B425,"'","!","$N$3:$V$80")</f>
      </c>
      <c r="N425" s="26">
        <f>_xlfn.CONCAT("'",$B425,"'","!","$M$2:$M$80")</f>
      </c>
      <c r="O425" s="26">
        <f>_xlfn.CONCAT("'",$B425,"'","!","$N$2:$W$2")</f>
      </c>
      <c r="P425" s="2"/>
      <c r="Q425" s="2"/>
      <c r="R425" s="2"/>
      <c r="S425" s="2"/>
      <c r="T425" s="2"/>
      <c r="U425" s="2"/>
      <c r="V425" s="2"/>
      <c r="W425" s="2"/>
      <c r="X425" s="2"/>
      <c r="Y425" s="2"/>
    </row>
    <row x14ac:dyDescent="0.25" r="426" customHeight="1" ht="17.25">
      <c r="A426" s="10">
        <v>46</v>
      </c>
      <c r="B426" s="10">
        <v>2021</v>
      </c>
      <c r="C426" s="2" t="s">
        <v>150</v>
      </c>
      <c r="D426" s="23">
        <v>1</v>
      </c>
      <c r="E426" s="5" t="s">
        <v>16</v>
      </c>
      <c r="F426" s="23">
        <v>2</v>
      </c>
      <c r="G426" s="23">
        <v>1</v>
      </c>
      <c r="H426" s="5" t="s">
        <v>16</v>
      </c>
      <c r="I426" s="24">
        <v>-15.073753</v>
      </c>
      <c r="J426" s="10">
        <v>1</v>
      </c>
      <c r="K426" s="24">
        <v>0.36755784999999996</v>
      </c>
      <c r="L426" s="24">
        <v>-12.70619515</v>
      </c>
      <c r="M426" s="26">
        <f>_xlfn.CONCAT("'",$B426,"'","!","$N$3:$V$80")</f>
      </c>
      <c r="N426" s="26">
        <f>_xlfn.CONCAT("'",$B426,"'","!","$M$2:$M$80")</f>
      </c>
      <c r="O426" s="26">
        <f>_xlfn.CONCAT("'",$B426,"'","!","$N$2:$W$2")</f>
      </c>
      <c r="P426" s="2"/>
      <c r="Q426" s="2"/>
      <c r="R426" s="2"/>
      <c r="S426" s="2"/>
      <c r="T426" s="2"/>
      <c r="U426" s="2"/>
      <c r="V426" s="2"/>
      <c r="W426" s="2"/>
      <c r="X426" s="2"/>
      <c r="Y426" s="2"/>
    </row>
    <row x14ac:dyDescent="0.25" r="427" customHeight="1" ht="17.25">
      <c r="A427" s="10">
        <v>47</v>
      </c>
      <c r="B427" s="10">
        <v>2021</v>
      </c>
      <c r="C427" s="2" t="s">
        <v>151</v>
      </c>
      <c r="D427" s="23">
        <v>4</v>
      </c>
      <c r="E427" s="5" t="s">
        <v>16</v>
      </c>
      <c r="F427" s="24">
        <v>42.757704</v>
      </c>
      <c r="G427" s="23">
        <v>0</v>
      </c>
      <c r="H427" s="5" t="s">
        <v>16</v>
      </c>
      <c r="I427" s="23">
        <v>0</v>
      </c>
      <c r="J427" s="10">
        <v>4</v>
      </c>
      <c r="K427" s="24">
        <v>4.95461658</v>
      </c>
      <c r="L427" s="24">
        <v>47.71232058</v>
      </c>
      <c r="M427" s="26">
        <f>_xlfn.CONCAT("'",$B427,"'","!","$N$3:$V$80")</f>
      </c>
      <c r="N427" s="26">
        <f>_xlfn.CONCAT("'",$B427,"'","!","$M$2:$M$80")</f>
      </c>
      <c r="O427" s="26">
        <f>_xlfn.CONCAT("'",$B427,"'","!","$N$2:$W$2")</f>
      </c>
      <c r="P427" s="2"/>
      <c r="Q427" s="2"/>
      <c r="R427" s="2"/>
      <c r="S427" s="2"/>
      <c r="T427" s="2"/>
      <c r="U427" s="2"/>
      <c r="V427" s="2"/>
      <c r="W427" s="2"/>
      <c r="X427" s="2"/>
      <c r="Y427" s="2"/>
    </row>
    <row x14ac:dyDescent="0.25" r="428" customHeight="1" ht="17.25">
      <c r="A428" s="10">
        <v>48</v>
      </c>
      <c r="B428" s="10">
        <v>2021</v>
      </c>
      <c r="C428" s="2" t="s">
        <v>152</v>
      </c>
      <c r="D428" s="23">
        <v>7</v>
      </c>
      <c r="E428" s="5" t="s">
        <v>16</v>
      </c>
      <c r="F428" s="24">
        <v>48.501919</v>
      </c>
      <c r="G428" s="23">
        <v>0</v>
      </c>
      <c r="H428" s="5" t="s">
        <v>16</v>
      </c>
      <c r="I428" s="23">
        <v>0</v>
      </c>
      <c r="J428" s="10">
        <v>7</v>
      </c>
      <c r="K428" s="24">
        <v>6.7657854</v>
      </c>
      <c r="L428" s="24">
        <v>55.2677044</v>
      </c>
      <c r="M428" s="26">
        <f>_xlfn.CONCAT("'",$B428,"'","!","$N$3:$V$80")</f>
      </c>
      <c r="N428" s="26">
        <f>_xlfn.CONCAT("'",$B428,"'","!","$M$2:$M$80")</f>
      </c>
      <c r="O428" s="26">
        <f>_xlfn.CONCAT("'",$B428,"'","!","$N$2:$W$2")</f>
      </c>
      <c r="P428" s="2"/>
      <c r="Q428" s="2"/>
      <c r="R428" s="2"/>
      <c r="S428" s="2"/>
      <c r="T428" s="2"/>
      <c r="U428" s="2"/>
      <c r="V428" s="2"/>
      <c r="W428" s="2"/>
      <c r="X428" s="2"/>
      <c r="Y428" s="2"/>
    </row>
    <row x14ac:dyDescent="0.25" r="429" customHeight="1" ht="17.25">
      <c r="A429" s="10">
        <v>49</v>
      </c>
      <c r="B429" s="10">
        <v>2021</v>
      </c>
      <c r="C429" s="2" t="s">
        <v>153</v>
      </c>
      <c r="D429" s="23">
        <v>1</v>
      </c>
      <c r="E429" s="5" t="s">
        <v>16</v>
      </c>
      <c r="F429" s="24">
        <v>152.865802</v>
      </c>
      <c r="G429" s="23">
        <v>0</v>
      </c>
      <c r="H429" s="5" t="s">
        <v>16</v>
      </c>
      <c r="I429" s="23">
        <v>0</v>
      </c>
      <c r="J429" s="10">
        <v>1</v>
      </c>
      <c r="K429" s="24">
        <v>0.52840443</v>
      </c>
      <c r="L429" s="24">
        <v>153.39420643</v>
      </c>
      <c r="M429" s="26">
        <f>_xlfn.CONCAT("'",$B429,"'","!","$N$3:$V$80")</f>
      </c>
      <c r="N429" s="26">
        <f>_xlfn.CONCAT("'",$B429,"'","!","$M$2:$M$80")</f>
      </c>
      <c r="O429" s="26">
        <f>_xlfn.CONCAT("'",$B429,"'","!","$N$2:$W$2")</f>
      </c>
      <c r="P429" s="2"/>
      <c r="Q429" s="2"/>
      <c r="R429" s="2"/>
      <c r="S429" s="2"/>
      <c r="T429" s="2"/>
      <c r="U429" s="2"/>
      <c r="V429" s="2"/>
      <c r="W429" s="2"/>
      <c r="X429" s="2"/>
      <c r="Y429" s="2"/>
    </row>
    <row x14ac:dyDescent="0.25" r="430" customHeight="1" ht="17.25">
      <c r="A430" s="10">
        <v>50</v>
      </c>
      <c r="B430" s="10">
        <v>2021</v>
      </c>
      <c r="C430" s="2" t="s">
        <v>154</v>
      </c>
      <c r="D430" s="30" t="s">
        <v>16</v>
      </c>
      <c r="E430" s="5" t="s">
        <v>16</v>
      </c>
      <c r="F430" s="25" t="s">
        <v>16</v>
      </c>
      <c r="G430" s="30" t="s">
        <v>16</v>
      </c>
      <c r="H430" s="5" t="s">
        <v>16</v>
      </c>
      <c r="I430" s="25" t="s">
        <v>16</v>
      </c>
      <c r="J430" s="5" t="s">
        <v>16</v>
      </c>
      <c r="K430" s="25" t="s">
        <v>16</v>
      </c>
      <c r="L430" s="25" t="s">
        <v>16</v>
      </c>
      <c r="M430" s="26">
        <f>_xlfn.CONCAT("'",$B430,"'","!","$N$3:$V$80")</f>
      </c>
      <c r="N430" s="26">
        <f>_xlfn.CONCAT("'",$B430,"'","!","$M$2:$M$80")</f>
      </c>
      <c r="O430" s="26">
        <f>_xlfn.CONCAT("'",$B430,"'","!","$N$2:$W$2")</f>
      </c>
      <c r="P430" s="2"/>
      <c r="Q430" s="2"/>
      <c r="R430" s="2"/>
      <c r="S430" s="2"/>
      <c r="T430" s="2"/>
      <c r="U430" s="2"/>
      <c r="V430" s="2"/>
      <c r="W430" s="2"/>
      <c r="X430" s="2"/>
      <c r="Y430" s="2"/>
    </row>
    <row x14ac:dyDescent="0.25" r="431" customHeight="1" ht="17.25">
      <c r="A431" s="10">
        <v>51</v>
      </c>
      <c r="B431" s="10">
        <v>2021</v>
      </c>
      <c r="C431" s="2" t="s">
        <v>155</v>
      </c>
      <c r="D431" s="23">
        <v>8</v>
      </c>
      <c r="E431" s="5" t="s">
        <v>16</v>
      </c>
      <c r="F431" s="24">
        <v>454.8817</v>
      </c>
      <c r="G431" s="23">
        <v>0</v>
      </c>
      <c r="H431" s="5" t="s">
        <v>16</v>
      </c>
      <c r="I431" s="23">
        <v>0</v>
      </c>
      <c r="J431" s="10">
        <v>2</v>
      </c>
      <c r="K431" s="24">
        <v>0.217982</v>
      </c>
      <c r="L431" s="24">
        <v>455.09968200000003</v>
      </c>
      <c r="M431" s="26">
        <f>_xlfn.CONCAT("'",$B431,"'","!","$N$3:$V$80")</f>
      </c>
      <c r="N431" s="26">
        <f>_xlfn.CONCAT("'",$B431,"'","!","$M$2:$M$80")</f>
      </c>
      <c r="O431" s="26">
        <f>_xlfn.CONCAT("'",$B431,"'","!","$N$2:$W$2")</f>
      </c>
      <c r="P431" s="2"/>
      <c r="Q431" s="2"/>
      <c r="R431" s="2"/>
      <c r="S431" s="2"/>
      <c r="T431" s="2"/>
      <c r="U431" s="2"/>
      <c r="V431" s="2"/>
      <c r="W431" s="2"/>
      <c r="X431" s="2"/>
      <c r="Y431" s="2"/>
    </row>
    <row x14ac:dyDescent="0.25" r="432" customHeight="1" ht="17.25">
      <c r="A432" s="10">
        <v>52</v>
      </c>
      <c r="B432" s="10">
        <v>2021</v>
      </c>
      <c r="C432" s="2" t="s">
        <v>156</v>
      </c>
      <c r="D432" s="23">
        <v>0</v>
      </c>
      <c r="E432" s="5" t="s">
        <v>16</v>
      </c>
      <c r="F432" s="23">
        <v>0</v>
      </c>
      <c r="G432" s="23">
        <v>0</v>
      </c>
      <c r="H432" s="5" t="s">
        <v>16</v>
      </c>
      <c r="I432" s="23">
        <v>0</v>
      </c>
      <c r="J432" s="10">
        <v>1</v>
      </c>
      <c r="K432" s="24">
        <v>5.99618698</v>
      </c>
      <c r="L432" s="24">
        <v>5.99618698</v>
      </c>
      <c r="M432" s="26">
        <f>_xlfn.CONCAT("'",$B432,"'","!","$N$3:$V$80")</f>
      </c>
      <c r="N432" s="26">
        <f>_xlfn.CONCAT("'",$B432,"'","!","$M$2:$M$80")</f>
      </c>
      <c r="O432" s="26">
        <f>_xlfn.CONCAT("'",$B432,"'","!","$N$2:$W$2")</f>
      </c>
      <c r="P432" s="2"/>
      <c r="Q432" s="2"/>
      <c r="R432" s="2"/>
      <c r="S432" s="2"/>
      <c r="T432" s="2"/>
      <c r="U432" s="2"/>
      <c r="V432" s="2"/>
      <c r="W432" s="2"/>
      <c r="X432" s="2"/>
      <c r="Y432" s="2"/>
    </row>
    <row x14ac:dyDescent="0.25" r="433" customHeight="1" ht="17.25">
      <c r="A433" s="10">
        <v>53</v>
      </c>
      <c r="B433" s="10">
        <v>2021</v>
      </c>
      <c r="C433" s="2" t="s">
        <v>157</v>
      </c>
      <c r="D433" s="30" t="s">
        <v>16</v>
      </c>
      <c r="E433" s="5" t="s">
        <v>16</v>
      </c>
      <c r="F433" s="25" t="s">
        <v>16</v>
      </c>
      <c r="G433" s="30" t="s">
        <v>16</v>
      </c>
      <c r="H433" s="5" t="s">
        <v>16</v>
      </c>
      <c r="I433" s="25" t="s">
        <v>16</v>
      </c>
      <c r="J433" s="5" t="s">
        <v>16</v>
      </c>
      <c r="K433" s="25" t="s">
        <v>16</v>
      </c>
      <c r="L433" s="25" t="s">
        <v>16</v>
      </c>
      <c r="M433" s="26">
        <f>_xlfn.CONCAT("'",$B433,"'","!","$N$3:$V$80")</f>
      </c>
      <c r="N433" s="26">
        <f>_xlfn.CONCAT("'",$B433,"'","!","$M$2:$M$80")</f>
      </c>
      <c r="O433" s="26">
        <f>_xlfn.CONCAT("'",$B433,"'","!","$N$2:$W$2")</f>
      </c>
      <c r="P433" s="2"/>
      <c r="Q433" s="2"/>
      <c r="R433" s="2"/>
      <c r="S433" s="2"/>
      <c r="T433" s="2"/>
      <c r="U433" s="2"/>
      <c r="V433" s="2"/>
      <c r="W433" s="2"/>
      <c r="X433" s="2"/>
      <c r="Y433" s="2"/>
    </row>
    <row x14ac:dyDescent="0.25" r="434" customHeight="1" ht="17.25">
      <c r="A434" s="10">
        <v>54</v>
      </c>
      <c r="B434" s="10">
        <v>2021</v>
      </c>
      <c r="C434" s="2" t="s">
        <v>158</v>
      </c>
      <c r="D434" s="23">
        <v>1</v>
      </c>
      <c r="E434" s="5" t="s">
        <v>16</v>
      </c>
      <c r="F434" s="24">
        <v>3.93</v>
      </c>
      <c r="G434" s="23">
        <v>0</v>
      </c>
      <c r="H434" s="5" t="s">
        <v>16</v>
      </c>
      <c r="I434" s="23">
        <v>0</v>
      </c>
      <c r="J434" s="10">
        <v>1</v>
      </c>
      <c r="K434" s="24">
        <v>7.56665341</v>
      </c>
      <c r="L434" s="24">
        <v>11.49665341</v>
      </c>
      <c r="M434" s="26">
        <f>_xlfn.CONCAT("'",$B434,"'","!","$N$3:$V$80")</f>
      </c>
      <c r="N434" s="26">
        <f>_xlfn.CONCAT("'",$B434,"'","!","$M$2:$M$80")</f>
      </c>
      <c r="O434" s="26">
        <f>_xlfn.CONCAT("'",$B434,"'","!","$N$2:$W$2")</f>
      </c>
      <c r="P434" s="2"/>
      <c r="Q434" s="2"/>
      <c r="R434" s="2"/>
      <c r="S434" s="2"/>
      <c r="T434" s="2"/>
      <c r="U434" s="2"/>
      <c r="V434" s="2"/>
      <c r="W434" s="2"/>
      <c r="X434" s="2"/>
      <c r="Y434" s="2"/>
    </row>
    <row x14ac:dyDescent="0.25" r="435" customHeight="1" ht="17.25">
      <c r="A435" s="10">
        <v>55</v>
      </c>
      <c r="B435" s="10">
        <v>2021</v>
      </c>
      <c r="C435" s="2" t="s">
        <v>159</v>
      </c>
      <c r="D435" s="23">
        <v>1</v>
      </c>
      <c r="E435" s="5" t="s">
        <v>16</v>
      </c>
      <c r="F435" s="24">
        <v>54.6</v>
      </c>
      <c r="G435" s="23">
        <v>0</v>
      </c>
      <c r="H435" s="5" t="s">
        <v>16</v>
      </c>
      <c r="I435" s="23">
        <v>0</v>
      </c>
      <c r="J435" s="10">
        <v>3</v>
      </c>
      <c r="K435" s="24">
        <v>1.47991867</v>
      </c>
      <c r="L435" s="24">
        <v>56.07991867</v>
      </c>
      <c r="M435" s="26">
        <f>_xlfn.CONCAT("'",$B435,"'","!","$N$3:$V$80")</f>
      </c>
      <c r="N435" s="26">
        <f>_xlfn.CONCAT("'",$B435,"'","!","$M$2:$M$80")</f>
      </c>
      <c r="O435" s="26">
        <f>_xlfn.CONCAT("'",$B435,"'","!","$N$2:$W$2")</f>
      </c>
      <c r="P435" s="2"/>
      <c r="Q435" s="2"/>
      <c r="R435" s="2"/>
      <c r="S435" s="2"/>
      <c r="T435" s="2"/>
      <c r="U435" s="2"/>
      <c r="V435" s="2"/>
      <c r="W435" s="2"/>
      <c r="X435" s="2"/>
      <c r="Y435" s="2"/>
    </row>
    <row x14ac:dyDescent="0.25" r="436" customHeight="1" ht="17.25">
      <c r="A436" s="10">
        <v>56</v>
      </c>
      <c r="B436" s="10">
        <v>2021</v>
      </c>
      <c r="C436" s="2" t="s">
        <v>160</v>
      </c>
      <c r="D436" s="30" t="s">
        <v>16</v>
      </c>
      <c r="E436" s="5" t="s">
        <v>16</v>
      </c>
      <c r="F436" s="25" t="s">
        <v>16</v>
      </c>
      <c r="G436" s="30" t="s">
        <v>16</v>
      </c>
      <c r="H436" s="5" t="s">
        <v>16</v>
      </c>
      <c r="I436" s="25" t="s">
        <v>16</v>
      </c>
      <c r="J436" s="5" t="s">
        <v>16</v>
      </c>
      <c r="K436" s="25" t="s">
        <v>16</v>
      </c>
      <c r="L436" s="25" t="s">
        <v>16</v>
      </c>
      <c r="M436" s="26">
        <f>_xlfn.CONCAT("'",$B436,"'","!","$N$3:$V$80")</f>
      </c>
      <c r="N436" s="26">
        <f>_xlfn.CONCAT("'",$B436,"'","!","$M$2:$M$80")</f>
      </c>
      <c r="O436" s="26">
        <f>_xlfn.CONCAT("'",$B436,"'","!","$N$2:$W$2")</f>
      </c>
      <c r="P436" s="2"/>
      <c r="Q436" s="2"/>
      <c r="R436" s="2"/>
      <c r="S436" s="2"/>
      <c r="T436" s="2"/>
      <c r="U436" s="2"/>
      <c r="V436" s="2"/>
      <c r="W436" s="2"/>
      <c r="X436" s="2"/>
      <c r="Y436" s="2"/>
    </row>
    <row x14ac:dyDescent="0.25" r="437" customHeight="1" ht="17.25">
      <c r="A437" s="10">
        <v>57</v>
      </c>
      <c r="B437" s="10">
        <v>2021</v>
      </c>
      <c r="C437" s="2" t="s">
        <v>161</v>
      </c>
      <c r="D437" s="30" t="s">
        <v>16</v>
      </c>
      <c r="E437" s="5" t="s">
        <v>16</v>
      </c>
      <c r="F437" s="25" t="s">
        <v>16</v>
      </c>
      <c r="G437" s="30" t="s">
        <v>16</v>
      </c>
      <c r="H437" s="5" t="s">
        <v>16</v>
      </c>
      <c r="I437" s="25" t="s">
        <v>16</v>
      </c>
      <c r="J437" s="5" t="s">
        <v>16</v>
      </c>
      <c r="K437" s="25" t="s">
        <v>16</v>
      </c>
      <c r="L437" s="25" t="s">
        <v>16</v>
      </c>
      <c r="M437" s="26">
        <f>_xlfn.CONCAT("'",$B437,"'","!","$N$3:$V$80")</f>
      </c>
      <c r="N437" s="26">
        <f>_xlfn.CONCAT("'",$B437,"'","!","$M$2:$M$80")</f>
      </c>
      <c r="O437" s="26">
        <f>_xlfn.CONCAT("'",$B437,"'","!","$N$2:$W$2")</f>
      </c>
      <c r="P437" s="2"/>
      <c r="Q437" s="2"/>
      <c r="R437" s="2"/>
      <c r="S437" s="2"/>
      <c r="T437" s="2"/>
      <c r="U437" s="2"/>
      <c r="V437" s="2"/>
      <c r="W437" s="2"/>
      <c r="X437" s="2"/>
      <c r="Y437" s="2"/>
    </row>
    <row x14ac:dyDescent="0.25" r="438" customHeight="1" ht="17.25">
      <c r="A438" s="10">
        <v>58</v>
      </c>
      <c r="B438" s="10">
        <v>2021</v>
      </c>
      <c r="C438" s="2" t="s">
        <v>162</v>
      </c>
      <c r="D438" s="23">
        <v>1</v>
      </c>
      <c r="E438" s="5" t="s">
        <v>16</v>
      </c>
      <c r="F438" s="24">
        <v>7.64548</v>
      </c>
      <c r="G438" s="23">
        <v>0</v>
      </c>
      <c r="H438" s="5" t="s">
        <v>16</v>
      </c>
      <c r="I438" s="23">
        <v>0</v>
      </c>
      <c r="J438" s="10">
        <v>0</v>
      </c>
      <c r="K438" s="23">
        <v>0</v>
      </c>
      <c r="L438" s="24">
        <v>7.64548</v>
      </c>
      <c r="M438" s="26">
        <f>_xlfn.CONCAT("'",$B438,"'","!","$N$3:$V$80")</f>
      </c>
      <c r="N438" s="26">
        <f>_xlfn.CONCAT("'",$B438,"'","!","$M$2:$M$80")</f>
      </c>
      <c r="O438" s="26">
        <f>_xlfn.CONCAT("'",$B438,"'","!","$N$2:$W$2")</f>
      </c>
      <c r="P438" s="2"/>
      <c r="Q438" s="2"/>
      <c r="R438" s="2"/>
      <c r="S438" s="2"/>
      <c r="T438" s="2"/>
      <c r="U438" s="2"/>
      <c r="V438" s="2"/>
      <c r="W438" s="2"/>
      <c r="X438" s="2"/>
      <c r="Y438" s="2"/>
    </row>
    <row x14ac:dyDescent="0.25" r="439" customHeight="1" ht="17.25">
      <c r="A439" s="10">
        <v>59</v>
      </c>
      <c r="B439" s="10">
        <v>2021</v>
      </c>
      <c r="C439" s="2" t="s">
        <v>163</v>
      </c>
      <c r="D439" s="23">
        <v>0</v>
      </c>
      <c r="E439" s="5" t="s">
        <v>16</v>
      </c>
      <c r="F439" s="23">
        <v>0</v>
      </c>
      <c r="G439" s="23">
        <v>0</v>
      </c>
      <c r="H439" s="5" t="s">
        <v>16</v>
      </c>
      <c r="I439" s="23">
        <v>0</v>
      </c>
      <c r="J439" s="10">
        <v>1</v>
      </c>
      <c r="K439" s="24">
        <v>0.8633341999999999</v>
      </c>
      <c r="L439" s="24">
        <v>0.8633341999999999</v>
      </c>
      <c r="M439" s="26">
        <f>_xlfn.CONCAT("'",$B439,"'","!","$N$3:$V$80")</f>
      </c>
      <c r="N439" s="26">
        <f>_xlfn.CONCAT("'",$B439,"'","!","$M$2:$M$80")</f>
      </c>
      <c r="O439" s="26">
        <f>_xlfn.CONCAT("'",$B439,"'","!","$N$2:$W$2")</f>
      </c>
      <c r="P439" s="2"/>
      <c r="Q439" s="2"/>
      <c r="R439" s="2"/>
      <c r="S439" s="2"/>
      <c r="T439" s="2"/>
      <c r="U439" s="2"/>
      <c r="V439" s="2"/>
      <c r="W439" s="2"/>
      <c r="X439" s="2"/>
      <c r="Y439" s="2"/>
    </row>
    <row x14ac:dyDescent="0.25" r="440" customHeight="1" ht="17.25">
      <c r="A440" s="10">
        <v>60</v>
      </c>
      <c r="B440" s="10">
        <v>2021</v>
      </c>
      <c r="C440" s="2" t="s">
        <v>164</v>
      </c>
      <c r="D440" s="23">
        <v>0</v>
      </c>
      <c r="E440" s="5" t="s">
        <v>16</v>
      </c>
      <c r="F440" s="23">
        <v>0</v>
      </c>
      <c r="G440" s="23">
        <v>0</v>
      </c>
      <c r="H440" s="5" t="s">
        <v>16</v>
      </c>
      <c r="I440" s="23">
        <v>0</v>
      </c>
      <c r="J440" s="10">
        <v>2</v>
      </c>
      <c r="K440" s="24">
        <v>0.54577154</v>
      </c>
      <c r="L440" s="24">
        <v>0.54577154</v>
      </c>
      <c r="M440" s="26">
        <f>_xlfn.CONCAT("'",$B440,"'","!","$N$3:$V$80")</f>
      </c>
      <c r="N440" s="26">
        <f>_xlfn.CONCAT("'",$B440,"'","!","$M$2:$M$80")</f>
      </c>
      <c r="O440" s="26">
        <f>_xlfn.CONCAT("'",$B440,"'","!","$N$2:$W$2")</f>
      </c>
      <c r="P440" s="2"/>
      <c r="Q440" s="2"/>
      <c r="R440" s="2"/>
      <c r="S440" s="2"/>
      <c r="T440" s="2"/>
      <c r="U440" s="2"/>
      <c r="V440" s="2"/>
      <c r="W440" s="2"/>
      <c r="X440" s="2"/>
      <c r="Y440" s="2"/>
    </row>
    <row x14ac:dyDescent="0.25" r="441" customHeight="1" ht="17.25">
      <c r="A441" s="10">
        <v>61</v>
      </c>
      <c r="B441" s="10">
        <v>2021</v>
      </c>
      <c r="C441" s="2" t="s">
        <v>165</v>
      </c>
      <c r="D441" s="23">
        <v>0</v>
      </c>
      <c r="E441" s="5" t="s">
        <v>16</v>
      </c>
      <c r="F441" s="23">
        <v>0</v>
      </c>
      <c r="G441" s="23">
        <v>0</v>
      </c>
      <c r="H441" s="5" t="s">
        <v>16</v>
      </c>
      <c r="I441" s="23">
        <v>0</v>
      </c>
      <c r="J441" s="10">
        <v>2</v>
      </c>
      <c r="K441" s="24">
        <v>0.12017741</v>
      </c>
      <c r="L441" s="24">
        <v>0.12017741</v>
      </c>
      <c r="M441" s="26">
        <f>_xlfn.CONCAT("'",$B441,"'","!","$N$3:$V$80")</f>
      </c>
      <c r="N441" s="26">
        <f>_xlfn.CONCAT("'",$B441,"'","!","$M$2:$M$80")</f>
      </c>
      <c r="O441" s="26">
        <f>_xlfn.CONCAT("'",$B441,"'","!","$N$2:$W$2")</f>
      </c>
      <c r="P441" s="2"/>
      <c r="Q441" s="2"/>
      <c r="R441" s="2"/>
      <c r="S441" s="2"/>
      <c r="T441" s="2"/>
      <c r="U441" s="2"/>
      <c r="V441" s="2"/>
      <c r="W441" s="2"/>
      <c r="X441" s="2"/>
      <c r="Y441" s="2"/>
    </row>
    <row x14ac:dyDescent="0.25" r="442" customHeight="1" ht="17.25">
      <c r="A442" s="10">
        <v>62</v>
      </c>
      <c r="B442" s="10">
        <v>2021</v>
      </c>
      <c r="C442" s="2" t="s">
        <v>166</v>
      </c>
      <c r="D442" s="23">
        <v>0</v>
      </c>
      <c r="E442" s="5" t="s">
        <v>16</v>
      </c>
      <c r="F442" s="23">
        <v>0</v>
      </c>
      <c r="G442" s="23">
        <v>1</v>
      </c>
      <c r="H442" s="5" t="s">
        <v>16</v>
      </c>
      <c r="I442" s="24">
        <v>1.2</v>
      </c>
      <c r="J442" s="10">
        <v>1</v>
      </c>
      <c r="K442" s="24">
        <v>0.40919639</v>
      </c>
      <c r="L442" s="24">
        <v>1.60919639</v>
      </c>
      <c r="M442" s="26">
        <f>_xlfn.CONCAT("'",$B442,"'","!","$N$3:$V$80")</f>
      </c>
      <c r="N442" s="26">
        <f>_xlfn.CONCAT("'",$B442,"'","!","$M$2:$M$80")</f>
      </c>
      <c r="O442" s="26">
        <f>_xlfn.CONCAT("'",$B442,"'","!","$N$2:$W$2")</f>
      </c>
      <c r="P442" s="2"/>
      <c r="Q442" s="2"/>
      <c r="R442" s="2"/>
      <c r="S442" s="2"/>
      <c r="T442" s="2"/>
      <c r="U442" s="2"/>
      <c r="V442" s="2"/>
      <c r="W442" s="2"/>
      <c r="X442" s="2"/>
      <c r="Y442" s="2"/>
    </row>
    <row x14ac:dyDescent="0.25" r="443" customHeight="1" ht="17.25">
      <c r="A443" s="10">
        <v>63</v>
      </c>
      <c r="B443" s="10">
        <v>2021</v>
      </c>
      <c r="C443" s="2" t="s">
        <v>167</v>
      </c>
      <c r="D443" s="23">
        <v>1738</v>
      </c>
      <c r="E443" s="10">
        <v>0</v>
      </c>
      <c r="F443" s="24">
        <v>15245.40318079</v>
      </c>
      <c r="G443" s="23">
        <v>985</v>
      </c>
      <c r="H443" s="10">
        <v>0</v>
      </c>
      <c r="I443" s="24">
        <v>9014.772418609373</v>
      </c>
      <c r="J443" s="10">
        <v>3797</v>
      </c>
      <c r="K443" s="24">
        <v>6893.163508471738</v>
      </c>
      <c r="L443" s="24">
        <v>31153.339107871103</v>
      </c>
      <c r="M443" s="26">
        <f>_xlfn.CONCAT("'",$B443,"'","!","$N$3:$V$80")</f>
      </c>
      <c r="N443" s="26">
        <f>_xlfn.CONCAT("'",$B443,"'","!","$M$2:$M$80")</f>
      </c>
      <c r="O443" s="26">
        <f>_xlfn.CONCAT("'",$B443,"'","!","$N$2:$W$2")</f>
      </c>
      <c r="P443" s="2"/>
      <c r="Q443" s="2"/>
      <c r="R443" s="2"/>
      <c r="S443" s="2"/>
      <c r="T443" s="2"/>
      <c r="U443" s="2"/>
      <c r="V443" s="2"/>
      <c r="W443" s="2"/>
      <c r="X443" s="2"/>
      <c r="Y443" s="2"/>
    </row>
    <row x14ac:dyDescent="0.25" r="444" customHeight="1" ht="17.25">
      <c r="A444" s="10">
        <v>1</v>
      </c>
      <c r="B444" s="10">
        <v>2022</v>
      </c>
      <c r="C444" s="2" t="s">
        <v>104</v>
      </c>
      <c r="D444" s="23">
        <v>893</v>
      </c>
      <c r="E444" s="5" t="s">
        <v>16</v>
      </c>
      <c r="F444" s="24">
        <v>601.07350723</v>
      </c>
      <c r="G444" s="23">
        <v>192</v>
      </c>
      <c r="H444" s="5" t="s">
        <v>16</v>
      </c>
      <c r="I444" s="24">
        <v>1600.7169918457032</v>
      </c>
      <c r="J444" s="10">
        <v>2411</v>
      </c>
      <c r="K444" s="24">
        <v>1738.6137775100003</v>
      </c>
      <c r="L444" s="24">
        <v>3940.404276585704</v>
      </c>
      <c r="M444" s="26">
        <f>_xlfn.CONCAT("'",$B444,"'","!","$N$3:$V$80")</f>
      </c>
      <c r="N444" s="26">
        <f>_xlfn.CONCAT("'",$B444,"'","!","$M$2:$M$80")</f>
      </c>
      <c r="O444" s="26">
        <f>_xlfn.CONCAT("'",$B444,"'","!","$N$2:$W$2")</f>
      </c>
      <c r="P444" s="2"/>
      <c r="Q444" s="2"/>
      <c r="R444" s="2"/>
      <c r="S444" s="2"/>
      <c r="T444" s="2"/>
      <c r="U444" s="2"/>
      <c r="V444" s="2"/>
      <c r="W444" s="2"/>
      <c r="X444" s="2"/>
      <c r="Y444" s="2"/>
    </row>
    <row x14ac:dyDescent="0.25" r="445" customHeight="1" ht="17.25">
      <c r="A445" s="10">
        <v>2</v>
      </c>
      <c r="B445" s="10">
        <v>2022</v>
      </c>
      <c r="C445" s="2" t="s">
        <v>105</v>
      </c>
      <c r="D445" s="23">
        <v>68</v>
      </c>
      <c r="E445" s="5" t="s">
        <v>16</v>
      </c>
      <c r="F445" s="24">
        <v>1909.081449</v>
      </c>
      <c r="G445" s="23">
        <v>26</v>
      </c>
      <c r="H445" s="5" t="s">
        <v>16</v>
      </c>
      <c r="I445" s="24">
        <v>37.10693</v>
      </c>
      <c r="J445" s="10">
        <v>186</v>
      </c>
      <c r="K445" s="24">
        <v>1196.4831572700007</v>
      </c>
      <c r="L445" s="24">
        <v>3142.6715362700006</v>
      </c>
      <c r="M445" s="26">
        <f>_xlfn.CONCAT("'",$B445,"'","!","$N$3:$V$80")</f>
      </c>
      <c r="N445" s="26">
        <f>_xlfn.CONCAT("'",$B445,"'","!","$M$2:$M$80")</f>
      </c>
      <c r="O445" s="26">
        <f>_xlfn.CONCAT("'",$B445,"'","!","$N$2:$W$2")</f>
      </c>
      <c r="P445" s="2"/>
      <c r="Q445" s="2"/>
      <c r="R445" s="2"/>
      <c r="S445" s="2"/>
      <c r="T445" s="2"/>
      <c r="U445" s="2"/>
      <c r="V445" s="2"/>
      <c r="W445" s="2"/>
      <c r="X445" s="2"/>
      <c r="Y445" s="2"/>
    </row>
    <row x14ac:dyDescent="0.25" r="446" customHeight="1" ht="17.25">
      <c r="A446" s="10">
        <v>3</v>
      </c>
      <c r="B446" s="10">
        <v>2022</v>
      </c>
      <c r="C446" s="2" t="s">
        <v>106</v>
      </c>
      <c r="D446" s="23">
        <v>51</v>
      </c>
      <c r="E446" s="5" t="s">
        <v>16</v>
      </c>
      <c r="F446" s="24">
        <v>485.188061</v>
      </c>
      <c r="G446" s="23">
        <v>90</v>
      </c>
      <c r="H446" s="5" t="s">
        <v>16</v>
      </c>
      <c r="I446" s="24">
        <v>593.53859133375</v>
      </c>
      <c r="J446" s="10">
        <v>66</v>
      </c>
      <c r="K446" s="24">
        <v>173.36632086999998</v>
      </c>
      <c r="L446" s="24">
        <v>1252.09297320375</v>
      </c>
      <c r="M446" s="26">
        <f>_xlfn.CONCAT("'",$B446,"'","!","$N$3:$V$80")</f>
      </c>
      <c r="N446" s="26">
        <f>_xlfn.CONCAT("'",$B446,"'","!","$M$2:$M$80")</f>
      </c>
      <c r="O446" s="26">
        <f>_xlfn.CONCAT("'",$B446,"'","!","$N$2:$W$2")</f>
      </c>
      <c r="P446" s="2"/>
      <c r="Q446" s="2"/>
      <c r="R446" s="2"/>
      <c r="S446" s="2"/>
      <c r="T446" s="2"/>
      <c r="U446" s="2"/>
      <c r="V446" s="2"/>
      <c r="W446" s="2"/>
      <c r="X446" s="2"/>
      <c r="Y446" s="2"/>
    </row>
    <row x14ac:dyDescent="0.25" r="447" customHeight="1" ht="17.25">
      <c r="A447" s="10">
        <v>4</v>
      </c>
      <c r="B447" s="10">
        <v>2022</v>
      </c>
      <c r="C447" s="2" t="s">
        <v>108</v>
      </c>
      <c r="D447" s="23">
        <v>147</v>
      </c>
      <c r="E447" s="5" t="s">
        <v>16</v>
      </c>
      <c r="F447" s="24">
        <v>503.08780029</v>
      </c>
      <c r="G447" s="23">
        <v>123</v>
      </c>
      <c r="H447" s="5" t="s">
        <v>16</v>
      </c>
      <c r="I447" s="24">
        <v>1685.6250685375062</v>
      </c>
      <c r="J447" s="10">
        <v>60</v>
      </c>
      <c r="K447" s="24">
        <v>55.18678786000001</v>
      </c>
      <c r="L447" s="24">
        <v>2243.899656687506</v>
      </c>
      <c r="M447" s="26">
        <f>_xlfn.CONCAT("'",$B447,"'","!","$N$3:$V$80")</f>
      </c>
      <c r="N447" s="26">
        <f>_xlfn.CONCAT("'",$B447,"'","!","$M$2:$M$80")</f>
      </c>
      <c r="O447" s="26">
        <f>_xlfn.CONCAT("'",$B447,"'","!","$N$2:$W$2")</f>
      </c>
      <c r="P447" s="2"/>
      <c r="Q447" s="2"/>
      <c r="R447" s="2"/>
      <c r="S447" s="2"/>
      <c r="T447" s="2"/>
      <c r="U447" s="2"/>
      <c r="V447" s="2"/>
      <c r="W447" s="2"/>
      <c r="X447" s="2"/>
      <c r="Y447" s="2"/>
    </row>
    <row x14ac:dyDescent="0.25" r="448" customHeight="1" ht="17.25">
      <c r="A448" s="10">
        <v>5</v>
      </c>
      <c r="B448" s="10">
        <v>2022</v>
      </c>
      <c r="C448" s="2" t="s">
        <v>109</v>
      </c>
      <c r="D448" s="23">
        <v>91</v>
      </c>
      <c r="E448" s="5" t="s">
        <v>16</v>
      </c>
      <c r="F448" s="24">
        <v>1139.0042105</v>
      </c>
      <c r="G448" s="23">
        <v>41</v>
      </c>
      <c r="H448" s="5" t="s">
        <v>16</v>
      </c>
      <c r="I448" s="24">
        <v>792.73843621875</v>
      </c>
      <c r="J448" s="10">
        <v>26</v>
      </c>
      <c r="K448" s="24">
        <v>31.483740909999998</v>
      </c>
      <c r="L448" s="24">
        <v>1963.2263876287502</v>
      </c>
      <c r="M448" s="26">
        <f>_xlfn.CONCAT("'",$B448,"'","!","$N$3:$V$80")</f>
      </c>
      <c r="N448" s="26">
        <f>_xlfn.CONCAT("'",$B448,"'","!","$M$2:$M$80")</f>
      </c>
      <c r="O448" s="26">
        <f>_xlfn.CONCAT("'",$B448,"'","!","$N$2:$W$2")</f>
      </c>
      <c r="P448" s="2"/>
      <c r="Q448" s="2"/>
      <c r="R448" s="2"/>
      <c r="S448" s="2"/>
      <c r="T448" s="2"/>
      <c r="U448" s="2"/>
      <c r="V448" s="2"/>
      <c r="W448" s="2"/>
      <c r="X448" s="2"/>
      <c r="Y448" s="2"/>
    </row>
    <row x14ac:dyDescent="0.25" r="449" customHeight="1" ht="17.25">
      <c r="A449" s="10">
        <v>6</v>
      </c>
      <c r="B449" s="10">
        <v>2022</v>
      </c>
      <c r="C449" s="2" t="s">
        <v>110</v>
      </c>
      <c r="D449" s="23">
        <v>18</v>
      </c>
      <c r="E449" s="5" t="s">
        <v>16</v>
      </c>
      <c r="F449" s="24">
        <v>537.800975</v>
      </c>
      <c r="G449" s="23">
        <v>19</v>
      </c>
      <c r="H449" s="5" t="s">
        <v>16</v>
      </c>
      <c r="I449" s="24">
        <v>155.0333326875</v>
      </c>
      <c r="J449" s="10">
        <v>7</v>
      </c>
      <c r="K449" s="24">
        <v>5.4872517599999995</v>
      </c>
      <c r="L449" s="24">
        <v>698.3215594475</v>
      </c>
      <c r="M449" s="26">
        <f>_xlfn.CONCAT("'",$B449,"'","!","$N$3:$V$80")</f>
      </c>
      <c r="N449" s="26">
        <f>_xlfn.CONCAT("'",$B449,"'","!","$M$2:$M$80")</f>
      </c>
      <c r="O449" s="26">
        <f>_xlfn.CONCAT("'",$B449,"'","!","$N$2:$W$2")</f>
      </c>
      <c r="P449" s="2"/>
      <c r="Q449" s="2"/>
      <c r="R449" s="2"/>
      <c r="S449" s="2"/>
      <c r="T449" s="2"/>
      <c r="U449" s="2"/>
      <c r="V449" s="2"/>
      <c r="W449" s="2"/>
      <c r="X449" s="2"/>
      <c r="Y449" s="2"/>
    </row>
    <row x14ac:dyDescent="0.25" r="450" customHeight="1" ht="17.25">
      <c r="A450" s="10">
        <v>7</v>
      </c>
      <c r="B450" s="10">
        <v>2022</v>
      </c>
      <c r="C450" s="2" t="s">
        <v>111</v>
      </c>
      <c r="D450" s="23">
        <v>36</v>
      </c>
      <c r="E450" s="5" t="s">
        <v>16</v>
      </c>
      <c r="F450" s="24">
        <v>438.960417</v>
      </c>
      <c r="G450" s="23">
        <v>45</v>
      </c>
      <c r="H450" s="5" t="s">
        <v>16</v>
      </c>
      <c r="I450" s="24">
        <v>678.163281</v>
      </c>
      <c r="J450" s="10">
        <v>30</v>
      </c>
      <c r="K450" s="24">
        <v>97.50466775999999</v>
      </c>
      <c r="L450" s="24">
        <v>1214.62836576</v>
      </c>
      <c r="M450" s="26">
        <f>_xlfn.CONCAT("'",$B450,"'","!","$N$3:$V$80")</f>
      </c>
      <c r="N450" s="26">
        <f>_xlfn.CONCAT("'",$B450,"'","!","$M$2:$M$80")</f>
      </c>
      <c r="O450" s="26">
        <f>_xlfn.CONCAT("'",$B450,"'","!","$N$2:$W$2")</f>
      </c>
      <c r="P450" s="2"/>
      <c r="Q450" s="2"/>
      <c r="R450" s="2"/>
      <c r="S450" s="2"/>
      <c r="T450" s="2"/>
      <c r="U450" s="2"/>
      <c r="V450" s="2"/>
      <c r="W450" s="2"/>
      <c r="X450" s="2"/>
      <c r="Y450" s="2"/>
    </row>
    <row x14ac:dyDescent="0.25" r="451" customHeight="1" ht="17.25">
      <c r="A451" s="10">
        <v>8</v>
      </c>
      <c r="B451" s="10">
        <v>2022</v>
      </c>
      <c r="C451" s="2" t="s">
        <v>112</v>
      </c>
      <c r="D451" s="23">
        <v>17</v>
      </c>
      <c r="E451" s="5" t="s">
        <v>16</v>
      </c>
      <c r="F451" s="24">
        <v>282.131725</v>
      </c>
      <c r="G451" s="23">
        <v>7</v>
      </c>
      <c r="H451" s="5" t="s">
        <v>16</v>
      </c>
      <c r="I451" s="24">
        <v>50.223269837890626</v>
      </c>
      <c r="J451" s="10">
        <v>22</v>
      </c>
      <c r="K451" s="24">
        <v>621.87116701</v>
      </c>
      <c r="L451" s="24">
        <v>954.2261618478907</v>
      </c>
      <c r="M451" s="26">
        <f>_xlfn.CONCAT("'",$B451,"'","!","$N$3:$V$80")</f>
      </c>
      <c r="N451" s="26">
        <f>_xlfn.CONCAT("'",$B451,"'","!","$M$2:$M$80")</f>
      </c>
      <c r="O451" s="26">
        <f>_xlfn.CONCAT("'",$B451,"'","!","$N$2:$W$2")</f>
      </c>
      <c r="P451" s="2"/>
      <c r="Q451" s="2"/>
      <c r="R451" s="2"/>
      <c r="S451" s="2"/>
      <c r="T451" s="2"/>
      <c r="U451" s="2"/>
      <c r="V451" s="2"/>
      <c r="W451" s="2"/>
      <c r="X451" s="2"/>
      <c r="Y451" s="2"/>
    </row>
    <row x14ac:dyDescent="0.25" r="452" customHeight="1" ht="17.25">
      <c r="A452" s="10">
        <v>9</v>
      </c>
      <c r="B452" s="10">
        <v>2022</v>
      </c>
      <c r="C452" s="2" t="s">
        <v>113</v>
      </c>
      <c r="D452" s="23">
        <v>19</v>
      </c>
      <c r="E452" s="5" t="s">
        <v>16</v>
      </c>
      <c r="F452" s="24">
        <v>176.861156</v>
      </c>
      <c r="G452" s="23">
        <v>38</v>
      </c>
      <c r="H452" s="5" t="s">
        <v>16</v>
      </c>
      <c r="I452" s="24">
        <v>350.591592625</v>
      </c>
      <c r="J452" s="10">
        <v>3</v>
      </c>
      <c r="K452" s="24">
        <v>0.7580396299999999</v>
      </c>
      <c r="L452" s="24">
        <v>528.2107882549999</v>
      </c>
      <c r="M452" s="26">
        <f>_xlfn.CONCAT("'",$B452,"'","!","$N$3:$V$80")</f>
      </c>
      <c r="N452" s="26">
        <f>_xlfn.CONCAT("'",$B452,"'","!","$M$2:$M$80")</f>
      </c>
      <c r="O452" s="26">
        <f>_xlfn.CONCAT("'",$B452,"'","!","$N$2:$W$2")</f>
      </c>
      <c r="P452" s="2"/>
      <c r="Q452" s="2"/>
      <c r="R452" s="2"/>
      <c r="S452" s="2"/>
      <c r="T452" s="2"/>
      <c r="U452" s="2"/>
      <c r="V452" s="2"/>
      <c r="W452" s="2"/>
      <c r="X452" s="2"/>
      <c r="Y452" s="2"/>
    </row>
    <row x14ac:dyDescent="0.25" r="453" customHeight="1" ht="17.25">
      <c r="A453" s="10">
        <v>10</v>
      </c>
      <c r="B453" s="10">
        <v>2022</v>
      </c>
      <c r="C453" s="2" t="s">
        <v>114</v>
      </c>
      <c r="D453" s="23">
        <v>61</v>
      </c>
      <c r="E453" s="5" t="s">
        <v>16</v>
      </c>
      <c r="F453" s="24">
        <v>468.8896985</v>
      </c>
      <c r="G453" s="23">
        <v>83</v>
      </c>
      <c r="H453" s="5" t="s">
        <v>16</v>
      </c>
      <c r="I453" s="24">
        <v>315.1476614257812</v>
      </c>
      <c r="J453" s="10">
        <v>58</v>
      </c>
      <c r="K453" s="24">
        <v>62.34159681000001</v>
      </c>
      <c r="L453" s="24">
        <v>846.3789567357812</v>
      </c>
      <c r="M453" s="26">
        <f>_xlfn.CONCAT("'",$B453,"'","!","$N$3:$V$80")</f>
      </c>
      <c r="N453" s="26">
        <f>_xlfn.CONCAT("'",$B453,"'","!","$M$2:$M$80")</f>
      </c>
      <c r="O453" s="26">
        <f>_xlfn.CONCAT("'",$B453,"'","!","$N$2:$W$2")</f>
      </c>
      <c r="P453" s="2"/>
      <c r="Q453" s="2"/>
      <c r="R453" s="2"/>
      <c r="S453" s="2"/>
      <c r="T453" s="2"/>
      <c r="U453" s="2"/>
      <c r="V453" s="2"/>
      <c r="W453" s="2"/>
      <c r="X453" s="2"/>
      <c r="Y453" s="2"/>
    </row>
    <row x14ac:dyDescent="0.25" r="454" customHeight="1" ht="17.25">
      <c r="A454" s="10">
        <v>11</v>
      </c>
      <c r="B454" s="10">
        <v>2022</v>
      </c>
      <c r="C454" s="2" t="s">
        <v>115</v>
      </c>
      <c r="D454" s="23">
        <v>17</v>
      </c>
      <c r="E454" s="5" t="s">
        <v>16</v>
      </c>
      <c r="F454" s="24">
        <v>59.436507</v>
      </c>
      <c r="G454" s="23">
        <v>33</v>
      </c>
      <c r="H454" s="5" t="s">
        <v>16</v>
      </c>
      <c r="I454" s="24">
        <v>306.00791696875</v>
      </c>
      <c r="J454" s="10">
        <v>21</v>
      </c>
      <c r="K454" s="24">
        <v>5.1632978</v>
      </c>
      <c r="L454" s="24">
        <v>370.60772176875</v>
      </c>
      <c r="M454" s="26">
        <f>_xlfn.CONCAT("'",$B454,"'","!","$N$3:$V$80")</f>
      </c>
      <c r="N454" s="26">
        <f>_xlfn.CONCAT("'",$B454,"'","!","$M$2:$M$80")</f>
      </c>
      <c r="O454" s="26">
        <f>_xlfn.CONCAT("'",$B454,"'","!","$N$2:$W$2")</f>
      </c>
      <c r="P454" s="2"/>
      <c r="Q454" s="2"/>
      <c r="R454" s="2"/>
      <c r="S454" s="2"/>
      <c r="T454" s="2"/>
      <c r="U454" s="2"/>
      <c r="V454" s="2"/>
      <c r="W454" s="2"/>
      <c r="X454" s="2"/>
      <c r="Y454" s="2"/>
    </row>
    <row x14ac:dyDescent="0.25" r="455" customHeight="1" ht="17.25">
      <c r="A455" s="10">
        <v>12</v>
      </c>
      <c r="B455" s="10">
        <v>2022</v>
      </c>
      <c r="C455" s="2" t="s">
        <v>116</v>
      </c>
      <c r="D455" s="23">
        <v>5</v>
      </c>
      <c r="E455" s="5" t="s">
        <v>16</v>
      </c>
      <c r="F455" s="23">
        <v>323</v>
      </c>
      <c r="G455" s="23">
        <v>11</v>
      </c>
      <c r="H455" s="5" t="s">
        <v>16</v>
      </c>
      <c r="I455" s="24">
        <v>1212.158736</v>
      </c>
      <c r="J455" s="10">
        <v>7</v>
      </c>
      <c r="K455" s="24">
        <v>10.465306</v>
      </c>
      <c r="L455" s="24">
        <v>1545.6240420000001</v>
      </c>
      <c r="M455" s="26">
        <f>_xlfn.CONCAT("'",$B455,"'","!","$N$3:$V$80")</f>
      </c>
      <c r="N455" s="26">
        <f>_xlfn.CONCAT("'",$B455,"'","!","$M$2:$M$80")</f>
      </c>
      <c r="O455" s="26">
        <f>_xlfn.CONCAT("'",$B455,"'","!","$N$2:$W$2")</f>
      </c>
      <c r="P455" s="2"/>
      <c r="Q455" s="2"/>
      <c r="R455" s="2"/>
      <c r="S455" s="2"/>
      <c r="T455" s="2"/>
      <c r="U455" s="2"/>
      <c r="V455" s="2"/>
      <c r="W455" s="2"/>
      <c r="X455" s="2"/>
      <c r="Y455" s="2"/>
    </row>
    <row x14ac:dyDescent="0.25" r="456" customHeight="1" ht="17.25">
      <c r="A456" s="10">
        <v>13</v>
      </c>
      <c r="B456" s="10">
        <v>2022</v>
      </c>
      <c r="C456" s="2" t="s">
        <v>117</v>
      </c>
      <c r="D456" s="23">
        <v>28</v>
      </c>
      <c r="E456" s="5" t="s">
        <v>16</v>
      </c>
      <c r="F456" s="24">
        <v>225.473035</v>
      </c>
      <c r="G456" s="23">
        <v>3</v>
      </c>
      <c r="H456" s="5" t="s">
        <v>16</v>
      </c>
      <c r="I456" s="24">
        <v>18.444907</v>
      </c>
      <c r="J456" s="10">
        <v>4</v>
      </c>
      <c r="K456" s="24">
        <v>0.60570908</v>
      </c>
      <c r="L456" s="24">
        <v>244.52365108</v>
      </c>
      <c r="M456" s="26">
        <f>_xlfn.CONCAT("'",$B456,"'","!","$N$3:$V$80")</f>
      </c>
      <c r="N456" s="26">
        <f>_xlfn.CONCAT("'",$B456,"'","!","$M$2:$M$80")</f>
      </c>
      <c r="O456" s="26">
        <f>_xlfn.CONCAT("'",$B456,"'","!","$N$2:$W$2")</f>
      </c>
      <c r="P456" s="2"/>
      <c r="Q456" s="2"/>
      <c r="R456" s="2"/>
      <c r="S456" s="2"/>
      <c r="T456" s="2"/>
      <c r="U456" s="2"/>
      <c r="V456" s="2"/>
      <c r="W456" s="2"/>
      <c r="X456" s="2"/>
      <c r="Y456" s="2"/>
    </row>
    <row x14ac:dyDescent="0.25" r="457" customHeight="1" ht="17.25">
      <c r="A457" s="10">
        <v>14</v>
      </c>
      <c r="B457" s="10">
        <v>2022</v>
      </c>
      <c r="C457" s="2" t="s">
        <v>118</v>
      </c>
      <c r="D457" s="23">
        <v>47</v>
      </c>
      <c r="E457" s="5" t="s">
        <v>16</v>
      </c>
      <c r="F457" s="24">
        <v>69.87921953</v>
      </c>
      <c r="G457" s="23">
        <v>35</v>
      </c>
      <c r="H457" s="5" t="s">
        <v>16</v>
      </c>
      <c r="I457" s="24">
        <v>5.7854757890625</v>
      </c>
      <c r="J457" s="10">
        <v>49</v>
      </c>
      <c r="K457" s="24">
        <v>58.329016939999995</v>
      </c>
      <c r="L457" s="24">
        <v>133.9937122590625</v>
      </c>
      <c r="M457" s="26">
        <f>_xlfn.CONCAT("'",$B457,"'","!","$N$3:$V$80")</f>
      </c>
      <c r="N457" s="26">
        <f>_xlfn.CONCAT("'",$B457,"'","!","$M$2:$M$80")</f>
      </c>
      <c r="O457" s="26">
        <f>_xlfn.CONCAT("'",$B457,"'","!","$N$2:$W$2")</f>
      </c>
      <c r="P457" s="2"/>
      <c r="Q457" s="2"/>
      <c r="R457" s="2"/>
      <c r="S457" s="2"/>
      <c r="T457" s="2"/>
      <c r="U457" s="2"/>
      <c r="V457" s="2"/>
      <c r="W457" s="2"/>
      <c r="X457" s="2"/>
      <c r="Y457" s="2"/>
    </row>
    <row x14ac:dyDescent="0.25" r="458" customHeight="1" ht="17.25">
      <c r="A458" s="10">
        <v>15</v>
      </c>
      <c r="B458" s="10">
        <v>2022</v>
      </c>
      <c r="C458" s="2" t="s">
        <v>119</v>
      </c>
      <c r="D458" s="23">
        <v>21</v>
      </c>
      <c r="E458" s="5" t="s">
        <v>16</v>
      </c>
      <c r="F458" s="24">
        <v>316.765474</v>
      </c>
      <c r="G458" s="23">
        <v>58</v>
      </c>
      <c r="H458" s="5" t="s">
        <v>16</v>
      </c>
      <c r="I458" s="24">
        <v>387.34681565625</v>
      </c>
      <c r="J458" s="10">
        <v>19</v>
      </c>
      <c r="K458" s="24">
        <v>41.98736971000001</v>
      </c>
      <c r="L458" s="24">
        <v>746.09965936625</v>
      </c>
      <c r="M458" s="26">
        <f>_xlfn.CONCAT("'",$B458,"'","!","$N$3:$V$80")</f>
      </c>
      <c r="N458" s="26">
        <f>_xlfn.CONCAT("'",$B458,"'","!","$M$2:$M$80")</f>
      </c>
      <c r="O458" s="26">
        <f>_xlfn.CONCAT("'",$B458,"'","!","$N$2:$W$2")</f>
      </c>
      <c r="P458" s="2"/>
      <c r="Q458" s="2"/>
      <c r="R458" s="2"/>
      <c r="S458" s="2"/>
      <c r="T458" s="2"/>
      <c r="U458" s="2"/>
      <c r="V458" s="2"/>
      <c r="W458" s="2"/>
      <c r="X458" s="2"/>
      <c r="Y458" s="2"/>
    </row>
    <row x14ac:dyDescent="0.25" r="459" customHeight="1" ht="17.25">
      <c r="A459" s="10">
        <v>16</v>
      </c>
      <c r="B459" s="10">
        <v>2022</v>
      </c>
      <c r="C459" s="2" t="s">
        <v>120</v>
      </c>
      <c r="D459" s="23">
        <v>33</v>
      </c>
      <c r="E459" s="5" t="s">
        <v>16</v>
      </c>
      <c r="F459" s="24">
        <v>121.02974389999999</v>
      </c>
      <c r="G459" s="23">
        <v>21</v>
      </c>
      <c r="H459" s="5" t="s">
        <v>16</v>
      </c>
      <c r="I459" s="24">
        <v>93.19482794999695</v>
      </c>
      <c r="J459" s="10">
        <v>4</v>
      </c>
      <c r="K459" s="24">
        <v>11.668916629999998</v>
      </c>
      <c r="L459" s="24">
        <v>225.89348847999696</v>
      </c>
      <c r="M459" s="26">
        <f>_xlfn.CONCAT("'",$B459,"'","!","$N$3:$V$80")</f>
      </c>
      <c r="N459" s="26">
        <f>_xlfn.CONCAT("'",$B459,"'","!","$M$2:$M$80")</f>
      </c>
      <c r="O459" s="26">
        <f>_xlfn.CONCAT("'",$B459,"'","!","$N$2:$W$2")</f>
      </c>
      <c r="P459" s="2"/>
      <c r="Q459" s="2"/>
      <c r="R459" s="2"/>
      <c r="S459" s="2"/>
      <c r="T459" s="2"/>
      <c r="U459" s="2"/>
      <c r="V459" s="2"/>
      <c r="W459" s="2"/>
      <c r="X459" s="2"/>
      <c r="Y459" s="2"/>
    </row>
    <row x14ac:dyDescent="0.25" r="460" customHeight="1" ht="17.25">
      <c r="A460" s="10">
        <v>17</v>
      </c>
      <c r="B460" s="10">
        <v>2022</v>
      </c>
      <c r="C460" s="2" t="s">
        <v>121</v>
      </c>
      <c r="D460" s="23">
        <v>9</v>
      </c>
      <c r="E460" s="5" t="s">
        <v>16</v>
      </c>
      <c r="F460" s="24">
        <v>40.677</v>
      </c>
      <c r="G460" s="23">
        <v>4</v>
      </c>
      <c r="H460" s="5" t="s">
        <v>16</v>
      </c>
      <c r="I460" s="24">
        <v>181.045409</v>
      </c>
      <c r="J460" s="10">
        <v>1</v>
      </c>
      <c r="K460" s="24">
        <v>0.038094</v>
      </c>
      <c r="L460" s="24">
        <v>221.760503</v>
      </c>
      <c r="M460" s="26">
        <f>_xlfn.CONCAT("'",$B460,"'","!","$N$3:$V$80")</f>
      </c>
      <c r="N460" s="26">
        <f>_xlfn.CONCAT("'",$B460,"'","!","$M$2:$M$80")</f>
      </c>
      <c r="O460" s="26">
        <f>_xlfn.CONCAT("'",$B460,"'","!","$N$2:$W$2")</f>
      </c>
      <c r="P460" s="2"/>
      <c r="Q460" s="2"/>
      <c r="R460" s="2"/>
      <c r="S460" s="2"/>
      <c r="T460" s="2"/>
      <c r="U460" s="2"/>
      <c r="V460" s="2"/>
      <c r="W460" s="2"/>
      <c r="X460" s="2"/>
      <c r="Y460" s="2"/>
    </row>
    <row x14ac:dyDescent="0.25" r="461" customHeight="1" ht="17.25">
      <c r="A461" s="10">
        <v>18</v>
      </c>
      <c r="B461" s="10">
        <v>2022</v>
      </c>
      <c r="C461" s="2" t="s">
        <v>122</v>
      </c>
      <c r="D461" s="23">
        <v>7</v>
      </c>
      <c r="E461" s="5" t="s">
        <v>16</v>
      </c>
      <c r="F461" s="24">
        <v>69.328</v>
      </c>
      <c r="G461" s="23">
        <v>5</v>
      </c>
      <c r="H461" s="5" t="s">
        <v>16</v>
      </c>
      <c r="I461" s="24">
        <v>27.400684</v>
      </c>
      <c r="J461" s="10">
        <v>4</v>
      </c>
      <c r="K461" s="24">
        <v>0.77907538</v>
      </c>
      <c r="L461" s="24">
        <v>97.50775938</v>
      </c>
      <c r="M461" s="26">
        <f>_xlfn.CONCAT("'",$B461,"'","!","$N$3:$V$80")</f>
      </c>
      <c r="N461" s="26">
        <f>_xlfn.CONCAT("'",$B461,"'","!","$M$2:$M$80")</f>
      </c>
      <c r="O461" s="26">
        <f>_xlfn.CONCAT("'",$B461,"'","!","$N$2:$W$2")</f>
      </c>
      <c r="P461" s="2"/>
      <c r="Q461" s="2"/>
      <c r="R461" s="2"/>
      <c r="S461" s="2"/>
      <c r="T461" s="2"/>
      <c r="U461" s="2"/>
      <c r="V461" s="2"/>
      <c r="W461" s="2"/>
      <c r="X461" s="2"/>
      <c r="Y461" s="2"/>
    </row>
    <row x14ac:dyDescent="0.25" r="462" customHeight="1" ht="17.25">
      <c r="A462" s="10">
        <v>19</v>
      </c>
      <c r="B462" s="10">
        <v>2022</v>
      </c>
      <c r="C462" s="2" t="s">
        <v>123</v>
      </c>
      <c r="D462" s="23">
        <v>8</v>
      </c>
      <c r="E462" s="5" t="s">
        <v>16</v>
      </c>
      <c r="F462" s="24">
        <v>406.870097</v>
      </c>
      <c r="G462" s="23">
        <v>20</v>
      </c>
      <c r="H462" s="5" t="s">
        <v>16</v>
      </c>
      <c r="I462" s="24">
        <v>288.587007</v>
      </c>
      <c r="J462" s="10">
        <v>3</v>
      </c>
      <c r="K462" s="24">
        <v>5.212975950000001</v>
      </c>
      <c r="L462" s="24">
        <v>700.6700799500001</v>
      </c>
      <c r="M462" s="26">
        <f>_xlfn.CONCAT("'",$B462,"'","!","$N$3:$V$80")</f>
      </c>
      <c r="N462" s="26">
        <f>_xlfn.CONCAT("'",$B462,"'","!","$M$2:$M$80")</f>
      </c>
      <c r="O462" s="26">
        <f>_xlfn.CONCAT("'",$B462,"'","!","$N$2:$W$2")</f>
      </c>
      <c r="P462" s="2"/>
      <c r="Q462" s="2"/>
      <c r="R462" s="2"/>
      <c r="S462" s="2"/>
      <c r="T462" s="2"/>
      <c r="U462" s="2"/>
      <c r="V462" s="2"/>
      <c r="W462" s="2"/>
      <c r="X462" s="2"/>
      <c r="Y462" s="2"/>
    </row>
    <row x14ac:dyDescent="0.25" r="463" customHeight="1" ht="17.25">
      <c r="A463" s="10">
        <v>20</v>
      </c>
      <c r="B463" s="10">
        <v>2022</v>
      </c>
      <c r="C463" s="2" t="s">
        <v>124</v>
      </c>
      <c r="D463" s="23">
        <v>6</v>
      </c>
      <c r="E463" s="5" t="s">
        <v>16</v>
      </c>
      <c r="F463" s="24">
        <v>197.310411</v>
      </c>
      <c r="G463" s="23">
        <v>2</v>
      </c>
      <c r="H463" s="5" t="s">
        <v>16</v>
      </c>
      <c r="I463" s="24">
        <v>0.021363</v>
      </c>
      <c r="J463" s="10">
        <v>2</v>
      </c>
      <c r="K463" s="24">
        <v>0.165321</v>
      </c>
      <c r="L463" s="24">
        <v>197.497095</v>
      </c>
      <c r="M463" s="26">
        <f>_xlfn.CONCAT("'",$B463,"'","!","$N$3:$V$80")</f>
      </c>
      <c r="N463" s="26">
        <f>_xlfn.CONCAT("'",$B463,"'","!","$M$2:$M$80")</f>
      </c>
      <c r="O463" s="26">
        <f>_xlfn.CONCAT("'",$B463,"'","!","$N$2:$W$2")</f>
      </c>
      <c r="P463" s="2"/>
      <c r="Q463" s="2"/>
      <c r="R463" s="2"/>
      <c r="S463" s="2"/>
      <c r="T463" s="2"/>
      <c r="U463" s="2"/>
      <c r="V463" s="2"/>
      <c r="W463" s="2"/>
      <c r="X463" s="2"/>
      <c r="Y463" s="2"/>
    </row>
    <row x14ac:dyDescent="0.25" r="464" customHeight="1" ht="17.25">
      <c r="A464" s="10">
        <v>21</v>
      </c>
      <c r="B464" s="10">
        <v>2022</v>
      </c>
      <c r="C464" s="2" t="s">
        <v>125</v>
      </c>
      <c r="D464" s="23">
        <v>19</v>
      </c>
      <c r="E464" s="5" t="s">
        <v>16</v>
      </c>
      <c r="F464" s="24">
        <v>490.505141</v>
      </c>
      <c r="G464" s="23">
        <v>2</v>
      </c>
      <c r="H464" s="5" t="s">
        <v>16</v>
      </c>
      <c r="I464" s="23">
        <v>400</v>
      </c>
      <c r="J464" s="10">
        <v>2</v>
      </c>
      <c r="K464" s="24">
        <v>0.16963856</v>
      </c>
      <c r="L464" s="24">
        <v>890.6747795599999</v>
      </c>
      <c r="M464" s="26">
        <f>_xlfn.CONCAT("'",$B464,"'","!","$N$3:$V$80")</f>
      </c>
      <c r="N464" s="26">
        <f>_xlfn.CONCAT("'",$B464,"'","!","$M$2:$M$80")</f>
      </c>
      <c r="O464" s="26">
        <f>_xlfn.CONCAT("'",$B464,"'","!","$N$2:$W$2")</f>
      </c>
      <c r="P464" s="2"/>
      <c r="Q464" s="2"/>
      <c r="R464" s="2"/>
      <c r="S464" s="2"/>
      <c r="T464" s="2"/>
      <c r="U464" s="2"/>
      <c r="V464" s="2"/>
      <c r="W464" s="2"/>
      <c r="X464" s="2"/>
      <c r="Y464" s="2"/>
    </row>
    <row x14ac:dyDescent="0.25" r="465" customHeight="1" ht="17.25">
      <c r="A465" s="10">
        <v>22</v>
      </c>
      <c r="B465" s="10">
        <v>2022</v>
      </c>
      <c r="C465" s="2" t="s">
        <v>126</v>
      </c>
      <c r="D465" s="23">
        <v>9</v>
      </c>
      <c r="E465" s="5" t="s">
        <v>16</v>
      </c>
      <c r="F465" s="24">
        <v>2181.169915</v>
      </c>
      <c r="G465" s="23">
        <v>0</v>
      </c>
      <c r="H465" s="5" t="s">
        <v>16</v>
      </c>
      <c r="I465" s="23">
        <v>0</v>
      </c>
      <c r="J465" s="10">
        <v>6</v>
      </c>
      <c r="K465" s="24">
        <v>186.99053985000003</v>
      </c>
      <c r="L465" s="24">
        <v>2368.16045485</v>
      </c>
      <c r="M465" s="26">
        <f>_xlfn.CONCAT("'",$B465,"'","!","$N$3:$V$80")</f>
      </c>
      <c r="N465" s="26">
        <f>_xlfn.CONCAT("'",$B465,"'","!","$M$2:$M$80")</f>
      </c>
      <c r="O465" s="26">
        <f>_xlfn.CONCAT("'",$B465,"'","!","$N$2:$W$2")</f>
      </c>
      <c r="P465" s="2"/>
      <c r="Q465" s="2"/>
      <c r="R465" s="2"/>
      <c r="S465" s="2"/>
      <c r="T465" s="2"/>
      <c r="U465" s="2"/>
      <c r="V465" s="2"/>
      <c r="W465" s="2"/>
      <c r="X465" s="2"/>
      <c r="Y465" s="2"/>
    </row>
    <row x14ac:dyDescent="0.25" r="466" customHeight="1" ht="17.25">
      <c r="A466" s="10">
        <v>23</v>
      </c>
      <c r="B466" s="10">
        <v>2022</v>
      </c>
      <c r="C466" s="2" t="s">
        <v>127</v>
      </c>
      <c r="D466" s="23">
        <v>0</v>
      </c>
      <c r="E466" s="5" t="s">
        <v>16</v>
      </c>
      <c r="F466" s="23">
        <v>0</v>
      </c>
      <c r="G466" s="23">
        <v>0</v>
      </c>
      <c r="H466" s="5" t="s">
        <v>16</v>
      </c>
      <c r="I466" s="23">
        <v>0</v>
      </c>
      <c r="J466" s="10">
        <v>2</v>
      </c>
      <c r="K466" s="24">
        <v>1.82677172</v>
      </c>
      <c r="L466" s="24">
        <v>1.82677172</v>
      </c>
      <c r="M466" s="26">
        <f>_xlfn.CONCAT("'",$B466,"'","!","$N$3:$V$80")</f>
      </c>
      <c r="N466" s="26">
        <f>_xlfn.CONCAT("'",$B466,"'","!","$M$2:$M$80")</f>
      </c>
      <c r="O466" s="26">
        <f>_xlfn.CONCAT("'",$B466,"'","!","$N$2:$W$2")</f>
      </c>
      <c r="P466" s="2"/>
      <c r="Q466" s="2"/>
      <c r="R466" s="2"/>
      <c r="S466" s="2"/>
      <c r="T466" s="2"/>
      <c r="U466" s="2"/>
      <c r="V466" s="2"/>
      <c r="W466" s="2"/>
      <c r="X466" s="2"/>
      <c r="Y466" s="2"/>
    </row>
    <row x14ac:dyDescent="0.25" r="467" customHeight="1" ht="17.25">
      <c r="A467" s="10">
        <v>24</v>
      </c>
      <c r="B467" s="10">
        <v>2022</v>
      </c>
      <c r="C467" s="2" t="s">
        <v>128</v>
      </c>
      <c r="D467" s="23">
        <v>1</v>
      </c>
      <c r="E467" s="5" t="s">
        <v>16</v>
      </c>
      <c r="F467" s="24">
        <v>0.76524</v>
      </c>
      <c r="G467" s="23">
        <v>0</v>
      </c>
      <c r="H467" s="5" t="s">
        <v>16</v>
      </c>
      <c r="I467" s="23">
        <v>0</v>
      </c>
      <c r="J467" s="10">
        <v>55</v>
      </c>
      <c r="K467" s="24">
        <v>7.923142050000001</v>
      </c>
      <c r="L467" s="24">
        <v>8.688382050000001</v>
      </c>
      <c r="M467" s="26">
        <f>_xlfn.CONCAT("'",$B467,"'","!","$N$3:$V$80")</f>
      </c>
      <c r="N467" s="26">
        <f>_xlfn.CONCAT("'",$B467,"'","!","$M$2:$M$80")</f>
      </c>
      <c r="O467" s="26">
        <f>_xlfn.CONCAT("'",$B467,"'","!","$N$2:$W$2")</f>
      </c>
      <c r="P467" s="2"/>
      <c r="Q467" s="2"/>
      <c r="R467" s="2"/>
      <c r="S467" s="2"/>
      <c r="T467" s="2"/>
      <c r="U467" s="2"/>
      <c r="V467" s="2"/>
      <c r="W467" s="2"/>
      <c r="X467" s="2"/>
      <c r="Y467" s="2"/>
    </row>
    <row x14ac:dyDescent="0.25" r="468" customHeight="1" ht="17.25">
      <c r="A468" s="10">
        <v>25</v>
      </c>
      <c r="B468" s="10">
        <v>2022</v>
      </c>
      <c r="C468" s="2" t="s">
        <v>129</v>
      </c>
      <c r="D468" s="23">
        <v>5</v>
      </c>
      <c r="E468" s="5" t="s">
        <v>16</v>
      </c>
      <c r="F468" s="24">
        <v>68.243</v>
      </c>
      <c r="G468" s="23">
        <v>3</v>
      </c>
      <c r="H468" s="5" t="s">
        <v>16</v>
      </c>
      <c r="I468" s="24">
        <v>1.7</v>
      </c>
      <c r="J468" s="10">
        <v>19</v>
      </c>
      <c r="K468" s="24">
        <v>9.302652430000002</v>
      </c>
      <c r="L468" s="24">
        <v>79.24565243</v>
      </c>
      <c r="M468" s="26">
        <f>_xlfn.CONCAT("'",$B468,"'","!","$N$3:$V$80")</f>
      </c>
      <c r="N468" s="26">
        <f>_xlfn.CONCAT("'",$B468,"'","!","$M$2:$M$80")</f>
      </c>
      <c r="O468" s="26">
        <f>_xlfn.CONCAT("'",$B468,"'","!","$N$2:$W$2")</f>
      </c>
      <c r="P468" s="2"/>
      <c r="Q468" s="2"/>
      <c r="R468" s="2"/>
      <c r="S468" s="2"/>
      <c r="T468" s="2"/>
      <c r="U468" s="2"/>
      <c r="V468" s="2"/>
      <c r="W468" s="2"/>
      <c r="X468" s="2"/>
      <c r="Y468" s="2"/>
    </row>
    <row x14ac:dyDescent="0.25" r="469" customHeight="1" ht="17.25">
      <c r="A469" s="10">
        <v>26</v>
      </c>
      <c r="B469" s="10">
        <v>2022</v>
      </c>
      <c r="C469" s="2" t="s">
        <v>130</v>
      </c>
      <c r="D469" s="23">
        <v>2</v>
      </c>
      <c r="E469" s="5" t="s">
        <v>16</v>
      </c>
      <c r="F469" s="24">
        <v>16.063357</v>
      </c>
      <c r="G469" s="23">
        <v>1</v>
      </c>
      <c r="H469" s="5" t="s">
        <v>16</v>
      </c>
      <c r="I469" s="24">
        <v>0.21495</v>
      </c>
      <c r="J469" s="10">
        <v>5</v>
      </c>
      <c r="K469" s="24">
        <v>8.51022702</v>
      </c>
      <c r="L469" s="24">
        <v>24.78853402</v>
      </c>
      <c r="M469" s="26">
        <f>_xlfn.CONCAT("'",$B469,"'","!","$N$3:$V$80")</f>
      </c>
      <c r="N469" s="26">
        <f>_xlfn.CONCAT("'",$B469,"'","!","$M$2:$M$80")</f>
      </c>
      <c r="O469" s="26">
        <f>_xlfn.CONCAT("'",$B469,"'","!","$N$2:$W$2")</f>
      </c>
      <c r="P469" s="2"/>
      <c r="Q469" s="2"/>
      <c r="R469" s="2"/>
      <c r="S469" s="2"/>
      <c r="T469" s="2"/>
      <c r="U469" s="2"/>
      <c r="V469" s="2"/>
      <c r="W469" s="2"/>
      <c r="X469" s="2"/>
      <c r="Y469" s="2"/>
    </row>
    <row x14ac:dyDescent="0.25" r="470" customHeight="1" ht="17.25">
      <c r="A470" s="10">
        <v>27</v>
      </c>
      <c r="B470" s="10">
        <v>2022</v>
      </c>
      <c r="C470" s="2" t="s">
        <v>131</v>
      </c>
      <c r="D470" s="23">
        <v>4</v>
      </c>
      <c r="E470" s="5" t="s">
        <v>16</v>
      </c>
      <c r="F470" s="24">
        <v>102.235267</v>
      </c>
      <c r="G470" s="23">
        <v>12</v>
      </c>
      <c r="H470" s="5" t="s">
        <v>16</v>
      </c>
      <c r="I470" s="24">
        <v>53.58914805859375</v>
      </c>
      <c r="J470" s="10">
        <v>1</v>
      </c>
      <c r="K470" s="24">
        <v>0.12923793</v>
      </c>
      <c r="L470" s="24">
        <v>155.95365298859372</v>
      </c>
      <c r="M470" s="26">
        <f>_xlfn.CONCAT("'",$B470,"'","!","$N$3:$V$80")</f>
      </c>
      <c r="N470" s="26">
        <f>_xlfn.CONCAT("'",$B470,"'","!","$M$2:$M$80")</f>
      </c>
      <c r="O470" s="26">
        <f>_xlfn.CONCAT("'",$B470,"'","!","$N$2:$W$2")</f>
      </c>
      <c r="P470" s="2"/>
      <c r="Q470" s="2"/>
      <c r="R470" s="2"/>
      <c r="S470" s="2"/>
      <c r="T470" s="2"/>
      <c r="U470" s="2"/>
      <c r="V470" s="2"/>
      <c r="W470" s="2"/>
      <c r="X470" s="2"/>
      <c r="Y470" s="2"/>
    </row>
    <row x14ac:dyDescent="0.25" r="471" customHeight="1" ht="17.25">
      <c r="A471" s="10">
        <v>28</v>
      </c>
      <c r="B471" s="10">
        <v>2022</v>
      </c>
      <c r="C471" s="2" t="s">
        <v>132</v>
      </c>
      <c r="D471" s="23">
        <v>5</v>
      </c>
      <c r="E471" s="5" t="s">
        <v>16</v>
      </c>
      <c r="F471" s="24">
        <v>16.513836</v>
      </c>
      <c r="G471" s="23">
        <v>1</v>
      </c>
      <c r="H471" s="5" t="s">
        <v>16</v>
      </c>
      <c r="I471" s="24">
        <v>2.02</v>
      </c>
      <c r="J471" s="10">
        <v>5</v>
      </c>
      <c r="K471" s="24">
        <v>48.836924200000006</v>
      </c>
      <c r="L471" s="24">
        <v>67.3707602</v>
      </c>
      <c r="M471" s="26">
        <f>_xlfn.CONCAT("'",$B471,"'","!","$N$3:$V$80")</f>
      </c>
      <c r="N471" s="26">
        <f>_xlfn.CONCAT("'",$B471,"'","!","$M$2:$M$80")</f>
      </c>
      <c r="O471" s="26">
        <f>_xlfn.CONCAT("'",$B471,"'","!","$N$2:$W$2")</f>
      </c>
      <c r="P471" s="2"/>
      <c r="Q471" s="2"/>
      <c r="R471" s="2"/>
      <c r="S471" s="2"/>
      <c r="T471" s="2"/>
      <c r="U471" s="2"/>
      <c r="V471" s="2"/>
      <c r="W471" s="2"/>
      <c r="X471" s="2"/>
      <c r="Y471" s="2"/>
    </row>
    <row x14ac:dyDescent="0.25" r="472" customHeight="1" ht="17.25">
      <c r="A472" s="10">
        <v>29</v>
      </c>
      <c r="B472" s="10">
        <v>2022</v>
      </c>
      <c r="C472" s="2" t="s">
        <v>133</v>
      </c>
      <c r="D472" s="23">
        <v>4</v>
      </c>
      <c r="E472" s="5" t="s">
        <v>16</v>
      </c>
      <c r="F472" s="24">
        <v>73.4233</v>
      </c>
      <c r="G472" s="23">
        <v>2</v>
      </c>
      <c r="H472" s="5" t="s">
        <v>16</v>
      </c>
      <c r="I472" s="24">
        <v>13.5</v>
      </c>
      <c r="J472" s="10">
        <v>1</v>
      </c>
      <c r="K472" s="24">
        <v>0.00035427</v>
      </c>
      <c r="L472" s="24">
        <v>86.92365427</v>
      </c>
      <c r="M472" s="26">
        <f>_xlfn.CONCAT("'",$B472,"'","!","$N$3:$V$80")</f>
      </c>
      <c r="N472" s="26">
        <f>_xlfn.CONCAT("'",$B472,"'","!","$M$2:$M$80")</f>
      </c>
      <c r="O472" s="26">
        <f>_xlfn.CONCAT("'",$B472,"'","!","$N$2:$W$2")</f>
      </c>
      <c r="P472" s="2"/>
      <c r="Q472" s="2"/>
      <c r="R472" s="2"/>
      <c r="S472" s="2"/>
      <c r="T472" s="2"/>
      <c r="U472" s="2"/>
      <c r="V472" s="2"/>
      <c r="W472" s="2"/>
      <c r="X472" s="2"/>
      <c r="Y472" s="2"/>
    </row>
    <row x14ac:dyDescent="0.25" r="473" customHeight="1" ht="17.25">
      <c r="A473" s="10">
        <v>30</v>
      </c>
      <c r="B473" s="10">
        <v>2022</v>
      </c>
      <c r="C473" s="2" t="s">
        <v>134</v>
      </c>
      <c r="D473" s="23">
        <v>1</v>
      </c>
      <c r="E473" s="5" t="s">
        <v>16</v>
      </c>
      <c r="F473" s="23">
        <v>6</v>
      </c>
      <c r="G473" s="23">
        <v>0</v>
      </c>
      <c r="H473" s="5" t="s">
        <v>16</v>
      </c>
      <c r="I473" s="23">
        <v>0</v>
      </c>
      <c r="J473" s="10">
        <v>12</v>
      </c>
      <c r="K473" s="24">
        <v>81.56493067</v>
      </c>
      <c r="L473" s="24">
        <v>87.56493067</v>
      </c>
      <c r="M473" s="26">
        <f>_xlfn.CONCAT("'",$B473,"'","!","$N$3:$V$80")</f>
      </c>
      <c r="N473" s="26">
        <f>_xlfn.CONCAT("'",$B473,"'","!","$M$2:$M$80")</f>
      </c>
      <c r="O473" s="26">
        <f>_xlfn.CONCAT("'",$B473,"'","!","$N$2:$W$2")</f>
      </c>
      <c r="P473" s="2"/>
      <c r="Q473" s="2"/>
      <c r="R473" s="2"/>
      <c r="S473" s="2"/>
      <c r="T473" s="2"/>
      <c r="U473" s="2"/>
      <c r="V473" s="2"/>
      <c r="W473" s="2"/>
      <c r="X473" s="2"/>
      <c r="Y473" s="2"/>
    </row>
    <row x14ac:dyDescent="0.25" r="474" customHeight="1" ht="17.25">
      <c r="A474" s="10">
        <v>31</v>
      </c>
      <c r="B474" s="10">
        <v>2022</v>
      </c>
      <c r="C474" s="2" t="s">
        <v>135</v>
      </c>
      <c r="D474" s="23">
        <v>1</v>
      </c>
      <c r="E474" s="5" t="s">
        <v>16</v>
      </c>
      <c r="F474" s="24">
        <v>18.35</v>
      </c>
      <c r="G474" s="23">
        <v>1</v>
      </c>
      <c r="H474" s="5" t="s">
        <v>16</v>
      </c>
      <c r="I474" s="24">
        <v>-79.29512</v>
      </c>
      <c r="J474" s="10">
        <v>0</v>
      </c>
      <c r="K474" s="23">
        <v>0</v>
      </c>
      <c r="L474" s="24">
        <v>-60.945119999999996</v>
      </c>
      <c r="M474" s="26">
        <f>_xlfn.CONCAT("'",$B474,"'","!","$N$3:$V$80")</f>
      </c>
      <c r="N474" s="26">
        <f>_xlfn.CONCAT("'",$B474,"'","!","$M$2:$M$80")</f>
      </c>
      <c r="O474" s="26">
        <f>_xlfn.CONCAT("'",$B474,"'","!","$N$2:$W$2")</f>
      </c>
      <c r="P474" s="2"/>
      <c r="Q474" s="2"/>
      <c r="R474" s="2"/>
      <c r="S474" s="2"/>
      <c r="T474" s="2"/>
      <c r="U474" s="2"/>
      <c r="V474" s="2"/>
      <c r="W474" s="2"/>
      <c r="X474" s="2"/>
      <c r="Y474" s="2"/>
    </row>
    <row x14ac:dyDescent="0.25" r="475" customHeight="1" ht="17.25">
      <c r="A475" s="10">
        <v>32</v>
      </c>
      <c r="B475" s="10">
        <v>2022</v>
      </c>
      <c r="C475" s="2" t="s">
        <v>136</v>
      </c>
      <c r="D475" s="23">
        <v>2</v>
      </c>
      <c r="E475" s="5" t="s">
        <v>16</v>
      </c>
      <c r="F475" s="24">
        <v>110.032701</v>
      </c>
      <c r="G475" s="23">
        <v>1</v>
      </c>
      <c r="H475" s="5" t="s">
        <v>16</v>
      </c>
      <c r="I475" s="24">
        <v>1.8</v>
      </c>
      <c r="J475" s="10">
        <v>1</v>
      </c>
      <c r="K475" s="24">
        <v>4.5428163</v>
      </c>
      <c r="L475" s="24">
        <v>116.3755173</v>
      </c>
      <c r="M475" s="26">
        <f>_xlfn.CONCAT("'",$B475,"'","!","$N$3:$V$80")</f>
      </c>
      <c r="N475" s="26">
        <f>_xlfn.CONCAT("'",$B475,"'","!","$M$2:$M$80")</f>
      </c>
      <c r="O475" s="26">
        <f>_xlfn.CONCAT("'",$B475,"'","!","$N$2:$W$2")</f>
      </c>
      <c r="P475" s="2"/>
      <c r="Q475" s="2"/>
      <c r="R475" s="2"/>
      <c r="S475" s="2"/>
      <c r="T475" s="2"/>
      <c r="U475" s="2"/>
      <c r="V475" s="2"/>
      <c r="W475" s="2"/>
      <c r="X475" s="2"/>
      <c r="Y475" s="2"/>
    </row>
    <row x14ac:dyDescent="0.25" r="476" customHeight="1" ht="17.25">
      <c r="A476" s="10">
        <v>33</v>
      </c>
      <c r="B476" s="10">
        <v>2022</v>
      </c>
      <c r="C476" s="2" t="s">
        <v>137</v>
      </c>
      <c r="D476" s="23">
        <v>1</v>
      </c>
      <c r="E476" s="5" t="s">
        <v>16</v>
      </c>
      <c r="F476" s="23">
        <v>3</v>
      </c>
      <c r="G476" s="23">
        <v>1</v>
      </c>
      <c r="H476" s="5" t="s">
        <v>16</v>
      </c>
      <c r="I476" s="24">
        <v>0.030078</v>
      </c>
      <c r="J476" s="10">
        <v>0</v>
      </c>
      <c r="K476" s="23">
        <v>0</v>
      </c>
      <c r="L476" s="24">
        <v>3.030078</v>
      </c>
      <c r="M476" s="26">
        <f>_xlfn.CONCAT("'",$B476,"'","!","$N$3:$V$80")</f>
      </c>
      <c r="N476" s="26">
        <f>_xlfn.CONCAT("'",$B476,"'","!","$M$2:$M$80")</f>
      </c>
      <c r="O476" s="26">
        <f>_xlfn.CONCAT("'",$B476,"'","!","$N$2:$W$2")</f>
      </c>
      <c r="P476" s="2"/>
      <c r="Q476" s="2"/>
      <c r="R476" s="2"/>
      <c r="S476" s="2"/>
      <c r="T476" s="2"/>
      <c r="U476" s="2"/>
      <c r="V476" s="2"/>
      <c r="W476" s="2"/>
      <c r="X476" s="2"/>
      <c r="Y476" s="2"/>
    </row>
    <row x14ac:dyDescent="0.25" r="477" customHeight="1" ht="17.25">
      <c r="A477" s="10">
        <v>34</v>
      </c>
      <c r="B477" s="10">
        <v>2022</v>
      </c>
      <c r="C477" s="2" t="s">
        <v>138</v>
      </c>
      <c r="D477" s="23">
        <v>2</v>
      </c>
      <c r="E477" s="5" t="s">
        <v>16</v>
      </c>
      <c r="F477" s="24">
        <v>4.318334</v>
      </c>
      <c r="G477" s="23">
        <v>2</v>
      </c>
      <c r="H477" s="5" t="s">
        <v>16</v>
      </c>
      <c r="I477" s="24">
        <v>15.153307</v>
      </c>
      <c r="J477" s="10">
        <v>6</v>
      </c>
      <c r="K477" s="24">
        <v>14.73824225</v>
      </c>
      <c r="L477" s="24">
        <v>34.20988325</v>
      </c>
      <c r="M477" s="26">
        <f>_xlfn.CONCAT("'",$B477,"'","!","$N$3:$V$80")</f>
      </c>
      <c r="N477" s="26">
        <f>_xlfn.CONCAT("'",$B477,"'","!","$M$2:$M$80")</f>
      </c>
      <c r="O477" s="26">
        <f>_xlfn.CONCAT("'",$B477,"'","!","$N$2:$W$2")</f>
      </c>
      <c r="P477" s="2"/>
      <c r="Q477" s="2"/>
      <c r="R477" s="2"/>
      <c r="S477" s="2"/>
      <c r="T477" s="2"/>
      <c r="U477" s="2"/>
      <c r="V477" s="2"/>
      <c r="W477" s="2"/>
      <c r="X477" s="2"/>
      <c r="Y477" s="2"/>
    </row>
    <row x14ac:dyDescent="0.25" r="478" customHeight="1" ht="17.25">
      <c r="A478" s="10">
        <v>35</v>
      </c>
      <c r="B478" s="10">
        <v>2022</v>
      </c>
      <c r="C478" s="2" t="s">
        <v>139</v>
      </c>
      <c r="D478" s="23">
        <v>0</v>
      </c>
      <c r="E478" s="5" t="s">
        <v>16</v>
      </c>
      <c r="F478" s="23">
        <v>0</v>
      </c>
      <c r="G478" s="23">
        <v>0</v>
      </c>
      <c r="H478" s="5" t="s">
        <v>16</v>
      </c>
      <c r="I478" s="23">
        <v>0</v>
      </c>
      <c r="J478" s="10">
        <v>2</v>
      </c>
      <c r="K478" s="24">
        <v>0.14466173</v>
      </c>
      <c r="L478" s="24">
        <v>0.14466173</v>
      </c>
      <c r="M478" s="26">
        <f>_xlfn.CONCAT("'",$B478,"'","!","$N$3:$V$80")</f>
      </c>
      <c r="N478" s="26">
        <f>_xlfn.CONCAT("'",$B478,"'","!","$M$2:$M$80")</f>
      </c>
      <c r="O478" s="26">
        <f>_xlfn.CONCAT("'",$B478,"'","!","$N$2:$W$2")</f>
      </c>
      <c r="P478" s="2"/>
      <c r="Q478" s="2"/>
      <c r="R478" s="2"/>
      <c r="S478" s="2"/>
      <c r="T478" s="2"/>
      <c r="U478" s="2"/>
      <c r="V478" s="2"/>
      <c r="W478" s="2"/>
      <c r="X478" s="2"/>
      <c r="Y478" s="2"/>
    </row>
    <row x14ac:dyDescent="0.25" r="479" customHeight="1" ht="17.25">
      <c r="A479" s="10">
        <v>36</v>
      </c>
      <c r="B479" s="10">
        <v>2022</v>
      </c>
      <c r="C479" s="2" t="s">
        <v>140</v>
      </c>
      <c r="D479" s="23">
        <v>1</v>
      </c>
      <c r="E479" s="5" t="s">
        <v>16</v>
      </c>
      <c r="F479" s="24">
        <v>0.01</v>
      </c>
      <c r="G479" s="23">
        <v>0</v>
      </c>
      <c r="H479" s="5" t="s">
        <v>16</v>
      </c>
      <c r="I479" s="23">
        <v>0</v>
      </c>
      <c r="J479" s="10">
        <v>3</v>
      </c>
      <c r="K479" s="24">
        <v>0.28005339</v>
      </c>
      <c r="L479" s="24">
        <v>0.29005339</v>
      </c>
      <c r="M479" s="26">
        <f>_xlfn.CONCAT("'",$B479,"'","!","$N$3:$V$80")</f>
      </c>
      <c r="N479" s="26">
        <f>_xlfn.CONCAT("'",$B479,"'","!","$M$2:$M$80")</f>
      </c>
      <c r="O479" s="26">
        <f>_xlfn.CONCAT("'",$B479,"'","!","$N$2:$W$2")</f>
      </c>
      <c r="P479" s="2"/>
      <c r="Q479" s="2"/>
      <c r="R479" s="2"/>
      <c r="S479" s="2"/>
      <c r="T479" s="2"/>
      <c r="U479" s="2"/>
      <c r="V479" s="2"/>
      <c r="W479" s="2"/>
      <c r="X479" s="2"/>
      <c r="Y479" s="2"/>
    </row>
    <row x14ac:dyDescent="0.25" r="480" customHeight="1" ht="17.25">
      <c r="A480" s="10">
        <v>37</v>
      </c>
      <c r="B480" s="10">
        <v>2022</v>
      </c>
      <c r="C480" s="2" t="s">
        <v>141</v>
      </c>
      <c r="D480" s="23">
        <v>6</v>
      </c>
      <c r="E480" s="5" t="s">
        <v>16</v>
      </c>
      <c r="F480" s="24">
        <v>174.23413106</v>
      </c>
      <c r="G480" s="23">
        <v>2</v>
      </c>
      <c r="H480" s="5" t="s">
        <v>16</v>
      </c>
      <c r="I480" s="24">
        <v>2.342305</v>
      </c>
      <c r="J480" s="10">
        <v>9</v>
      </c>
      <c r="K480" s="24">
        <v>9.39438265</v>
      </c>
      <c r="L480" s="24">
        <v>185.97081871000003</v>
      </c>
      <c r="M480" s="26">
        <f>_xlfn.CONCAT("'",$B480,"'","!","$N$3:$V$80")</f>
      </c>
      <c r="N480" s="26">
        <f>_xlfn.CONCAT("'",$B480,"'","!","$M$2:$M$80")</f>
      </c>
      <c r="O480" s="26">
        <f>_xlfn.CONCAT("'",$B480,"'","!","$N$2:$W$2")</f>
      </c>
      <c r="P480" s="2"/>
      <c r="Q480" s="2"/>
      <c r="R480" s="2"/>
      <c r="S480" s="2"/>
      <c r="T480" s="2"/>
      <c r="U480" s="2"/>
      <c r="V480" s="2"/>
      <c r="W480" s="2"/>
      <c r="X480" s="2"/>
      <c r="Y480" s="2"/>
    </row>
    <row x14ac:dyDescent="0.25" r="481" customHeight="1" ht="17.25">
      <c r="A481" s="10">
        <v>38</v>
      </c>
      <c r="B481" s="10">
        <v>2022</v>
      </c>
      <c r="C481" s="2" t="s">
        <v>142</v>
      </c>
      <c r="D481" s="23">
        <v>8</v>
      </c>
      <c r="E481" s="5" t="s">
        <v>16</v>
      </c>
      <c r="F481" s="24">
        <v>219.819749</v>
      </c>
      <c r="G481" s="23">
        <v>5</v>
      </c>
      <c r="H481" s="5" t="s">
        <v>16</v>
      </c>
      <c r="I481" s="24">
        <v>86.29269</v>
      </c>
      <c r="J481" s="10">
        <v>2</v>
      </c>
      <c r="K481" s="24">
        <v>1.75284892</v>
      </c>
      <c r="L481" s="24">
        <v>307.86528792</v>
      </c>
      <c r="M481" s="26">
        <f>_xlfn.CONCAT("'",$B481,"'","!","$N$3:$V$80")</f>
      </c>
      <c r="N481" s="26">
        <f>_xlfn.CONCAT("'",$B481,"'","!","$M$2:$M$80")</f>
      </c>
      <c r="O481" s="26">
        <f>_xlfn.CONCAT("'",$B481,"'","!","$N$2:$W$2")</f>
      </c>
      <c r="P481" s="2"/>
      <c r="Q481" s="2"/>
      <c r="R481" s="2"/>
      <c r="S481" s="2"/>
      <c r="T481" s="2"/>
      <c r="U481" s="2"/>
      <c r="V481" s="2"/>
      <c r="W481" s="2"/>
      <c r="X481" s="2"/>
      <c r="Y481" s="2"/>
    </row>
    <row x14ac:dyDescent="0.25" r="482" customHeight="1" ht="17.25">
      <c r="A482" s="10">
        <v>39</v>
      </c>
      <c r="B482" s="10">
        <v>2022</v>
      </c>
      <c r="C482" s="2" t="s">
        <v>143</v>
      </c>
      <c r="D482" s="23">
        <v>2</v>
      </c>
      <c r="E482" s="5" t="s">
        <v>16</v>
      </c>
      <c r="F482" s="23">
        <v>23</v>
      </c>
      <c r="G482" s="23">
        <v>1</v>
      </c>
      <c r="H482" s="5" t="s">
        <v>16</v>
      </c>
      <c r="I482" s="24">
        <v>1.5</v>
      </c>
      <c r="J482" s="10">
        <v>2</v>
      </c>
      <c r="K482" s="24">
        <v>0.13692053</v>
      </c>
      <c r="L482" s="24">
        <v>24.63692053</v>
      </c>
      <c r="M482" s="26">
        <f>_xlfn.CONCAT("'",$B482,"'","!","$N$3:$V$80")</f>
      </c>
      <c r="N482" s="26">
        <f>_xlfn.CONCAT("'",$B482,"'","!","$M$2:$M$80")</f>
      </c>
      <c r="O482" s="26">
        <f>_xlfn.CONCAT("'",$B482,"'","!","$N$2:$W$2")</f>
      </c>
      <c r="P482" s="2"/>
      <c r="Q482" s="2"/>
      <c r="R482" s="2"/>
      <c r="S482" s="2"/>
      <c r="T482" s="2"/>
      <c r="U482" s="2"/>
      <c r="V482" s="2"/>
      <c r="W482" s="2"/>
      <c r="X482" s="2"/>
      <c r="Y482" s="2"/>
    </row>
    <row x14ac:dyDescent="0.25" r="483" customHeight="1" ht="17.25">
      <c r="A483" s="10">
        <v>40</v>
      </c>
      <c r="B483" s="10">
        <v>2022</v>
      </c>
      <c r="C483" s="2" t="s">
        <v>144</v>
      </c>
      <c r="D483" s="23">
        <v>7</v>
      </c>
      <c r="E483" s="5" t="s">
        <v>16</v>
      </c>
      <c r="F483" s="24">
        <v>43.02363</v>
      </c>
      <c r="G483" s="23">
        <v>4</v>
      </c>
      <c r="H483" s="5" t="s">
        <v>16</v>
      </c>
      <c r="I483" s="24">
        <v>2.949579</v>
      </c>
      <c r="J483" s="10">
        <v>6</v>
      </c>
      <c r="K483" s="24">
        <v>11.624876270000001</v>
      </c>
      <c r="L483" s="24">
        <v>57.59808527</v>
      </c>
      <c r="M483" s="26">
        <f>_xlfn.CONCAT("'",$B483,"'","!","$N$3:$V$80")</f>
      </c>
      <c r="N483" s="26">
        <f>_xlfn.CONCAT("'",$B483,"'","!","$M$2:$M$80")</f>
      </c>
      <c r="O483" s="26">
        <f>_xlfn.CONCAT("'",$B483,"'","!","$N$2:$W$2")</f>
      </c>
      <c r="P483" s="2"/>
      <c r="Q483" s="2"/>
      <c r="R483" s="2"/>
      <c r="S483" s="2"/>
      <c r="T483" s="2"/>
      <c r="U483" s="2"/>
      <c r="V483" s="2"/>
      <c r="W483" s="2"/>
      <c r="X483" s="2"/>
      <c r="Y483" s="2"/>
    </row>
    <row x14ac:dyDescent="0.25" r="484" customHeight="1" ht="17.25">
      <c r="A484" s="10">
        <v>41</v>
      </c>
      <c r="B484" s="10">
        <v>2022</v>
      </c>
      <c r="C484" s="2" t="s">
        <v>145</v>
      </c>
      <c r="D484" s="23">
        <v>1</v>
      </c>
      <c r="E484" s="5" t="s">
        <v>16</v>
      </c>
      <c r="F484" s="24">
        <v>1.082803</v>
      </c>
      <c r="G484" s="23">
        <v>1</v>
      </c>
      <c r="H484" s="5" t="s">
        <v>16</v>
      </c>
      <c r="I484" s="24">
        <v>-0.445</v>
      </c>
      <c r="J484" s="10">
        <v>3</v>
      </c>
      <c r="K484" s="24">
        <v>2.225598</v>
      </c>
      <c r="L484" s="24">
        <v>2.863401</v>
      </c>
      <c r="M484" s="26">
        <f>_xlfn.CONCAT("'",$B484,"'","!","$N$3:$V$80")</f>
      </c>
      <c r="N484" s="26">
        <f>_xlfn.CONCAT("'",$B484,"'","!","$M$2:$M$80")</f>
      </c>
      <c r="O484" s="26">
        <f>_xlfn.CONCAT("'",$B484,"'","!","$N$2:$W$2")</f>
      </c>
      <c r="P484" s="2"/>
      <c r="Q484" s="2"/>
      <c r="R484" s="2"/>
      <c r="S484" s="2"/>
      <c r="T484" s="2"/>
      <c r="U484" s="2"/>
      <c r="V484" s="2"/>
      <c r="W484" s="2"/>
      <c r="X484" s="2"/>
      <c r="Y484" s="2"/>
    </row>
    <row x14ac:dyDescent="0.25" r="485" customHeight="1" ht="17.25">
      <c r="A485" s="10">
        <v>42</v>
      </c>
      <c r="B485" s="10">
        <v>2022</v>
      </c>
      <c r="C485" s="2" t="s">
        <v>146</v>
      </c>
      <c r="D485" s="23">
        <v>1</v>
      </c>
      <c r="E485" s="5" t="s">
        <v>16</v>
      </c>
      <c r="F485" s="23">
        <v>275</v>
      </c>
      <c r="G485" s="23">
        <v>0</v>
      </c>
      <c r="H485" s="5" t="s">
        <v>16</v>
      </c>
      <c r="I485" s="23">
        <v>0</v>
      </c>
      <c r="J485" s="10">
        <v>2</v>
      </c>
      <c r="K485" s="24">
        <v>1.12803625</v>
      </c>
      <c r="L485" s="24">
        <v>276.12803625</v>
      </c>
      <c r="M485" s="26">
        <f>_xlfn.CONCAT("'",$B485,"'","!","$N$3:$V$80")</f>
      </c>
      <c r="N485" s="26">
        <f>_xlfn.CONCAT("'",$B485,"'","!","$M$2:$M$80")</f>
      </c>
      <c r="O485" s="26">
        <f>_xlfn.CONCAT("'",$B485,"'","!","$N$2:$W$2")</f>
      </c>
      <c r="P485" s="2"/>
      <c r="Q485" s="2"/>
      <c r="R485" s="2"/>
      <c r="S485" s="2"/>
      <c r="T485" s="2"/>
      <c r="U485" s="2"/>
      <c r="V485" s="2"/>
      <c r="W485" s="2"/>
      <c r="X485" s="2"/>
      <c r="Y485" s="2"/>
    </row>
    <row x14ac:dyDescent="0.25" r="486" customHeight="1" ht="17.25">
      <c r="A486" s="10">
        <v>43</v>
      </c>
      <c r="B486" s="10">
        <v>2022</v>
      </c>
      <c r="C486" s="2" t="s">
        <v>147</v>
      </c>
      <c r="D486" s="23">
        <v>1</v>
      </c>
      <c r="E486" s="5" t="s">
        <v>16</v>
      </c>
      <c r="F486" s="24">
        <v>0.04302</v>
      </c>
      <c r="G486" s="23">
        <v>3</v>
      </c>
      <c r="H486" s="5" t="s">
        <v>16</v>
      </c>
      <c r="I486" s="24">
        <v>-9.3780588125</v>
      </c>
      <c r="J486" s="10">
        <v>17</v>
      </c>
      <c r="K486" s="24">
        <v>3.0204535799999994</v>
      </c>
      <c r="L486" s="24">
        <v>-6.314585232500001</v>
      </c>
      <c r="M486" s="26">
        <f>_xlfn.CONCAT("'",$B486,"'","!","$N$3:$V$80")</f>
      </c>
      <c r="N486" s="26">
        <f>_xlfn.CONCAT("'",$B486,"'","!","$M$2:$M$80")</f>
      </c>
      <c r="O486" s="26">
        <f>_xlfn.CONCAT("'",$B486,"'","!","$N$2:$W$2")</f>
      </c>
      <c r="P486" s="2"/>
      <c r="Q486" s="2"/>
      <c r="R486" s="2"/>
      <c r="S486" s="2"/>
      <c r="T486" s="2"/>
      <c r="U486" s="2"/>
      <c r="V486" s="2"/>
      <c r="W486" s="2"/>
      <c r="X486" s="2"/>
      <c r="Y486" s="2"/>
    </row>
    <row x14ac:dyDescent="0.25" r="487" customHeight="1" ht="17.25">
      <c r="A487" s="10">
        <v>44</v>
      </c>
      <c r="B487" s="10">
        <v>2022</v>
      </c>
      <c r="C487" s="2" t="s">
        <v>148</v>
      </c>
      <c r="D487" s="23">
        <v>1</v>
      </c>
      <c r="E487" s="5" t="s">
        <v>16</v>
      </c>
      <c r="F487" s="23">
        <v>2</v>
      </c>
      <c r="G487" s="23">
        <v>0</v>
      </c>
      <c r="H487" s="5" t="s">
        <v>16</v>
      </c>
      <c r="I487" s="23">
        <v>0</v>
      </c>
      <c r="J487" s="10">
        <v>11</v>
      </c>
      <c r="K487" s="24">
        <v>2.6680168899999996</v>
      </c>
      <c r="L487" s="24">
        <v>4.66801689</v>
      </c>
      <c r="M487" s="26">
        <f>_xlfn.CONCAT("'",$B487,"'","!","$N$3:$V$80")</f>
      </c>
      <c r="N487" s="26">
        <f>_xlfn.CONCAT("'",$B487,"'","!","$M$2:$M$80")</f>
      </c>
      <c r="O487" s="26">
        <f>_xlfn.CONCAT("'",$B487,"'","!","$N$2:$W$2")</f>
      </c>
      <c r="P487" s="2"/>
      <c r="Q487" s="2"/>
      <c r="R487" s="2"/>
      <c r="S487" s="2"/>
      <c r="T487" s="2"/>
      <c r="U487" s="2"/>
      <c r="V487" s="2"/>
      <c r="W487" s="2"/>
      <c r="X487" s="2"/>
      <c r="Y487" s="2"/>
    </row>
    <row x14ac:dyDescent="0.25" r="488" customHeight="1" ht="17.25">
      <c r="A488" s="10">
        <v>45</v>
      </c>
      <c r="B488" s="10">
        <v>2022</v>
      </c>
      <c r="C488" s="2" t="s">
        <v>149</v>
      </c>
      <c r="D488" s="23">
        <v>0</v>
      </c>
      <c r="E488" s="5" t="s">
        <v>16</v>
      </c>
      <c r="F488" s="23">
        <v>0</v>
      </c>
      <c r="G488" s="23">
        <v>0</v>
      </c>
      <c r="H488" s="5" t="s">
        <v>16</v>
      </c>
      <c r="I488" s="23">
        <v>0</v>
      </c>
      <c r="J488" s="10">
        <v>3</v>
      </c>
      <c r="K488" s="24">
        <v>0.4681614</v>
      </c>
      <c r="L488" s="24">
        <v>0.4681614</v>
      </c>
      <c r="M488" s="26">
        <f>_xlfn.CONCAT("'",$B488,"'","!","$N$3:$V$80")</f>
      </c>
      <c r="N488" s="26">
        <f>_xlfn.CONCAT("'",$B488,"'","!","$M$2:$M$80")</f>
      </c>
      <c r="O488" s="26">
        <f>_xlfn.CONCAT("'",$B488,"'","!","$N$2:$W$2")</f>
      </c>
      <c r="P488" s="2"/>
      <c r="Q488" s="2"/>
      <c r="R488" s="2"/>
      <c r="S488" s="2"/>
      <c r="T488" s="2"/>
      <c r="U488" s="2"/>
      <c r="V488" s="2"/>
      <c r="W488" s="2"/>
      <c r="X488" s="2"/>
      <c r="Y488" s="2"/>
    </row>
    <row x14ac:dyDescent="0.25" r="489" customHeight="1" ht="17.25">
      <c r="A489" s="10">
        <v>46</v>
      </c>
      <c r="B489" s="10">
        <v>2022</v>
      </c>
      <c r="C489" s="2" t="s">
        <v>150</v>
      </c>
      <c r="D489" s="23">
        <v>0</v>
      </c>
      <c r="E489" s="5" t="s">
        <v>16</v>
      </c>
      <c r="F489" s="23">
        <v>0</v>
      </c>
      <c r="G489" s="23">
        <v>0</v>
      </c>
      <c r="H489" s="5" t="s">
        <v>16</v>
      </c>
      <c r="I489" s="23">
        <v>0</v>
      </c>
      <c r="J489" s="10">
        <v>4</v>
      </c>
      <c r="K489" s="24">
        <v>0.86432255</v>
      </c>
      <c r="L489" s="24">
        <v>0.86432255</v>
      </c>
      <c r="M489" s="26">
        <f>_xlfn.CONCAT("'",$B489,"'","!","$N$3:$V$80")</f>
      </c>
      <c r="N489" s="26">
        <f>_xlfn.CONCAT("'",$B489,"'","!","$M$2:$M$80")</f>
      </c>
      <c r="O489" s="26">
        <f>_xlfn.CONCAT("'",$B489,"'","!","$N$2:$W$2")</f>
      </c>
      <c r="P489" s="2"/>
      <c r="Q489" s="2"/>
      <c r="R489" s="2"/>
      <c r="S489" s="2"/>
      <c r="T489" s="2"/>
      <c r="U489" s="2"/>
      <c r="V489" s="2"/>
      <c r="W489" s="2"/>
      <c r="X489" s="2"/>
      <c r="Y489" s="2"/>
    </row>
    <row x14ac:dyDescent="0.25" r="490" customHeight="1" ht="17.25">
      <c r="A490" s="10">
        <v>47</v>
      </c>
      <c r="B490" s="10">
        <v>2022</v>
      </c>
      <c r="C490" s="2" t="s">
        <v>151</v>
      </c>
      <c r="D490" s="30" t="s">
        <v>16</v>
      </c>
      <c r="E490" s="5" t="s">
        <v>16</v>
      </c>
      <c r="F490" s="25" t="s">
        <v>16</v>
      </c>
      <c r="G490" s="30" t="s">
        <v>16</v>
      </c>
      <c r="H490" s="5" t="s">
        <v>16</v>
      </c>
      <c r="I490" s="25" t="s">
        <v>16</v>
      </c>
      <c r="J490" s="5" t="s">
        <v>16</v>
      </c>
      <c r="K490" s="25" t="s">
        <v>16</v>
      </c>
      <c r="L490" s="25" t="s">
        <v>16</v>
      </c>
      <c r="M490" s="26">
        <f>_xlfn.CONCAT("'",$B490,"'","!","$N$3:$V$80")</f>
      </c>
      <c r="N490" s="26">
        <f>_xlfn.CONCAT("'",$B490,"'","!","$M$2:$M$80")</f>
      </c>
      <c r="O490" s="26">
        <f>_xlfn.CONCAT("'",$B490,"'","!","$N$2:$W$2")</f>
      </c>
      <c r="P490" s="2"/>
      <c r="Q490" s="2"/>
      <c r="R490" s="2"/>
      <c r="S490" s="2"/>
      <c r="T490" s="2"/>
      <c r="U490" s="2"/>
      <c r="V490" s="2"/>
      <c r="W490" s="2"/>
      <c r="X490" s="2"/>
      <c r="Y490" s="2"/>
    </row>
    <row x14ac:dyDescent="0.25" r="491" customHeight="1" ht="17.25">
      <c r="A491" s="10">
        <v>48</v>
      </c>
      <c r="B491" s="10">
        <v>2022</v>
      </c>
      <c r="C491" s="2" t="s">
        <v>152</v>
      </c>
      <c r="D491" s="23">
        <v>3</v>
      </c>
      <c r="E491" s="5" t="s">
        <v>16</v>
      </c>
      <c r="F491" s="24">
        <v>6.611875</v>
      </c>
      <c r="G491" s="23">
        <v>0</v>
      </c>
      <c r="H491" s="5" t="s">
        <v>16</v>
      </c>
      <c r="I491" s="23">
        <v>0</v>
      </c>
      <c r="J491" s="10">
        <v>6</v>
      </c>
      <c r="K491" s="24">
        <v>3.0967129399999997</v>
      </c>
      <c r="L491" s="24">
        <v>9.708587940000001</v>
      </c>
      <c r="M491" s="26">
        <f>_xlfn.CONCAT("'",$B491,"'","!","$N$3:$V$80")</f>
      </c>
      <c r="N491" s="26">
        <f>_xlfn.CONCAT("'",$B491,"'","!","$M$2:$M$80")</f>
      </c>
      <c r="O491" s="26">
        <f>_xlfn.CONCAT("'",$B491,"'","!","$N$2:$W$2")</f>
      </c>
      <c r="P491" s="2"/>
      <c r="Q491" s="2"/>
      <c r="R491" s="2"/>
      <c r="S491" s="2"/>
      <c r="T491" s="2"/>
      <c r="U491" s="2"/>
      <c r="V491" s="2"/>
      <c r="W491" s="2"/>
      <c r="X491" s="2"/>
      <c r="Y491" s="2"/>
    </row>
    <row x14ac:dyDescent="0.25" r="492" customHeight="1" ht="17.25">
      <c r="A492" s="10">
        <v>49</v>
      </c>
      <c r="B492" s="10">
        <v>2022</v>
      </c>
      <c r="C492" s="2" t="s">
        <v>153</v>
      </c>
      <c r="D492" s="23">
        <v>0</v>
      </c>
      <c r="E492" s="5" t="s">
        <v>16</v>
      </c>
      <c r="F492" s="23">
        <v>0</v>
      </c>
      <c r="G492" s="23">
        <v>0</v>
      </c>
      <c r="H492" s="5" t="s">
        <v>16</v>
      </c>
      <c r="I492" s="23">
        <v>0</v>
      </c>
      <c r="J492" s="10">
        <v>3</v>
      </c>
      <c r="K492" s="24">
        <v>0.57247375</v>
      </c>
      <c r="L492" s="24">
        <v>0.57247375</v>
      </c>
      <c r="M492" s="26">
        <f>_xlfn.CONCAT("'",$B492,"'","!","$N$3:$V$80")</f>
      </c>
      <c r="N492" s="26">
        <f>_xlfn.CONCAT("'",$B492,"'","!","$M$2:$M$80")</f>
      </c>
      <c r="O492" s="26">
        <f>_xlfn.CONCAT("'",$B492,"'","!","$N$2:$W$2")</f>
      </c>
      <c r="P492" s="2"/>
      <c r="Q492" s="2"/>
      <c r="R492" s="2"/>
      <c r="S492" s="2"/>
      <c r="T492" s="2"/>
      <c r="U492" s="2"/>
      <c r="V492" s="2"/>
      <c r="W492" s="2"/>
      <c r="X492" s="2"/>
      <c r="Y492" s="2"/>
    </row>
    <row x14ac:dyDescent="0.25" r="493" customHeight="1" ht="17.25">
      <c r="A493" s="10">
        <v>50</v>
      </c>
      <c r="B493" s="10">
        <v>2022</v>
      </c>
      <c r="C493" s="2" t="s">
        <v>154</v>
      </c>
      <c r="D493" s="30" t="s">
        <v>16</v>
      </c>
      <c r="E493" s="5" t="s">
        <v>16</v>
      </c>
      <c r="F493" s="25" t="s">
        <v>16</v>
      </c>
      <c r="G493" s="30" t="s">
        <v>16</v>
      </c>
      <c r="H493" s="5" t="s">
        <v>16</v>
      </c>
      <c r="I493" s="25" t="s">
        <v>16</v>
      </c>
      <c r="J493" s="5" t="s">
        <v>16</v>
      </c>
      <c r="K493" s="25" t="s">
        <v>16</v>
      </c>
      <c r="L493" s="25" t="s">
        <v>16</v>
      </c>
      <c r="M493" s="26">
        <f>_xlfn.CONCAT("'",$B493,"'","!","$N$3:$V$80")</f>
      </c>
      <c r="N493" s="26">
        <f>_xlfn.CONCAT("'",$B493,"'","!","$M$2:$M$80")</f>
      </c>
      <c r="O493" s="26">
        <f>_xlfn.CONCAT("'",$B493,"'","!","$N$2:$W$2")</f>
      </c>
      <c r="P493" s="2"/>
      <c r="Q493" s="2"/>
      <c r="R493" s="2"/>
      <c r="S493" s="2"/>
      <c r="T493" s="2"/>
      <c r="U493" s="2"/>
      <c r="V493" s="2"/>
      <c r="W493" s="2"/>
      <c r="X493" s="2"/>
      <c r="Y493" s="2"/>
    </row>
    <row x14ac:dyDescent="0.25" r="494" customHeight="1" ht="17.25">
      <c r="A494" s="10">
        <v>51</v>
      </c>
      <c r="B494" s="10">
        <v>2022</v>
      </c>
      <c r="C494" s="2" t="s">
        <v>155</v>
      </c>
      <c r="D494" s="23">
        <v>2</v>
      </c>
      <c r="E494" s="5" t="s">
        <v>16</v>
      </c>
      <c r="F494" s="24">
        <v>5.652173</v>
      </c>
      <c r="G494" s="23">
        <v>2</v>
      </c>
      <c r="H494" s="5" t="s">
        <v>16</v>
      </c>
      <c r="I494" s="24">
        <v>3.939335</v>
      </c>
      <c r="J494" s="10">
        <v>2</v>
      </c>
      <c r="K494" s="24">
        <v>1.2426292700000001</v>
      </c>
      <c r="L494" s="24">
        <v>10.834137270000001</v>
      </c>
      <c r="M494" s="26">
        <f>_xlfn.CONCAT("'",$B494,"'","!","$N$3:$V$80")</f>
      </c>
      <c r="N494" s="26">
        <f>_xlfn.CONCAT("'",$B494,"'","!","$M$2:$M$80")</f>
      </c>
      <c r="O494" s="26">
        <f>_xlfn.CONCAT("'",$B494,"'","!","$N$2:$W$2")</f>
      </c>
      <c r="P494" s="2"/>
      <c r="Q494" s="2"/>
      <c r="R494" s="2"/>
      <c r="S494" s="2"/>
      <c r="T494" s="2"/>
      <c r="U494" s="2"/>
      <c r="V494" s="2"/>
      <c r="W494" s="2"/>
      <c r="X494" s="2"/>
      <c r="Y494" s="2"/>
    </row>
    <row x14ac:dyDescent="0.25" r="495" customHeight="1" ht="17.25">
      <c r="A495" s="10">
        <v>52</v>
      </c>
      <c r="B495" s="10">
        <v>2022</v>
      </c>
      <c r="C495" s="2" t="s">
        <v>156</v>
      </c>
      <c r="D495" s="23">
        <v>0</v>
      </c>
      <c r="E495" s="5" t="s">
        <v>16</v>
      </c>
      <c r="F495" s="23">
        <v>0</v>
      </c>
      <c r="G495" s="23">
        <v>0</v>
      </c>
      <c r="H495" s="5" t="s">
        <v>16</v>
      </c>
      <c r="I495" s="23">
        <v>0</v>
      </c>
      <c r="J495" s="10">
        <v>1</v>
      </c>
      <c r="K495" s="24">
        <v>1.7231723600000002</v>
      </c>
      <c r="L495" s="24">
        <v>1.7231723600000002</v>
      </c>
      <c r="M495" s="26">
        <f>_xlfn.CONCAT("'",$B495,"'","!","$N$3:$V$80")</f>
      </c>
      <c r="N495" s="26">
        <f>_xlfn.CONCAT("'",$B495,"'","!","$M$2:$M$80")</f>
      </c>
      <c r="O495" s="26">
        <f>_xlfn.CONCAT("'",$B495,"'","!","$N$2:$W$2")</f>
      </c>
      <c r="P495" s="2"/>
      <c r="Q495" s="2"/>
      <c r="R495" s="2"/>
      <c r="S495" s="2"/>
      <c r="T495" s="2"/>
      <c r="U495" s="2"/>
      <c r="V495" s="2"/>
      <c r="W495" s="2"/>
      <c r="X495" s="2"/>
      <c r="Y495" s="2"/>
    </row>
    <row x14ac:dyDescent="0.25" r="496" customHeight="1" ht="17.25">
      <c r="A496" s="10">
        <v>53</v>
      </c>
      <c r="B496" s="10">
        <v>2022</v>
      </c>
      <c r="C496" s="2" t="s">
        <v>157</v>
      </c>
      <c r="D496" s="30" t="s">
        <v>16</v>
      </c>
      <c r="E496" s="5" t="s">
        <v>16</v>
      </c>
      <c r="F496" s="25" t="s">
        <v>16</v>
      </c>
      <c r="G496" s="30" t="s">
        <v>16</v>
      </c>
      <c r="H496" s="5" t="s">
        <v>16</v>
      </c>
      <c r="I496" s="25" t="s">
        <v>16</v>
      </c>
      <c r="J496" s="5" t="s">
        <v>16</v>
      </c>
      <c r="K496" s="25" t="s">
        <v>16</v>
      </c>
      <c r="L496" s="25" t="s">
        <v>16</v>
      </c>
      <c r="M496" s="26">
        <f>_xlfn.CONCAT("'",$B496,"'","!","$N$3:$V$80")</f>
      </c>
      <c r="N496" s="26">
        <f>_xlfn.CONCAT("'",$B496,"'","!","$M$2:$M$80")</f>
      </c>
      <c r="O496" s="26">
        <f>_xlfn.CONCAT("'",$B496,"'","!","$N$2:$W$2")</f>
      </c>
      <c r="P496" s="2"/>
      <c r="Q496" s="2"/>
      <c r="R496" s="2"/>
      <c r="S496" s="2"/>
      <c r="T496" s="2"/>
      <c r="U496" s="2"/>
      <c r="V496" s="2"/>
      <c r="W496" s="2"/>
      <c r="X496" s="2"/>
      <c r="Y496" s="2"/>
    </row>
    <row x14ac:dyDescent="0.25" r="497" customHeight="1" ht="17.25">
      <c r="A497" s="10">
        <v>54</v>
      </c>
      <c r="B497" s="10">
        <v>2022</v>
      </c>
      <c r="C497" s="2" t="s">
        <v>158</v>
      </c>
      <c r="D497" s="30" t="s">
        <v>16</v>
      </c>
      <c r="E497" s="5" t="s">
        <v>16</v>
      </c>
      <c r="F497" s="25" t="s">
        <v>16</v>
      </c>
      <c r="G497" s="30" t="s">
        <v>16</v>
      </c>
      <c r="H497" s="5" t="s">
        <v>16</v>
      </c>
      <c r="I497" s="25" t="s">
        <v>16</v>
      </c>
      <c r="J497" s="5" t="s">
        <v>16</v>
      </c>
      <c r="K497" s="25" t="s">
        <v>16</v>
      </c>
      <c r="L497" s="25" t="s">
        <v>16</v>
      </c>
      <c r="M497" s="26">
        <f>_xlfn.CONCAT("'",$B497,"'","!","$N$3:$V$80")</f>
      </c>
      <c r="N497" s="26">
        <f>_xlfn.CONCAT("'",$B497,"'","!","$M$2:$M$80")</f>
      </c>
      <c r="O497" s="26">
        <f>_xlfn.CONCAT("'",$B497,"'","!","$N$2:$W$2")</f>
      </c>
      <c r="P497" s="2"/>
      <c r="Q497" s="2"/>
      <c r="R497" s="2"/>
      <c r="S497" s="2"/>
      <c r="T497" s="2"/>
      <c r="U497" s="2"/>
      <c r="V497" s="2"/>
      <c r="W497" s="2"/>
      <c r="X497" s="2"/>
      <c r="Y497" s="2"/>
    </row>
    <row x14ac:dyDescent="0.25" r="498" customHeight="1" ht="17.25">
      <c r="A498" s="10">
        <v>55</v>
      </c>
      <c r="B498" s="10">
        <v>2022</v>
      </c>
      <c r="C498" s="2" t="s">
        <v>159</v>
      </c>
      <c r="D498" s="30" t="s">
        <v>16</v>
      </c>
      <c r="E498" s="5" t="s">
        <v>16</v>
      </c>
      <c r="F498" s="25" t="s">
        <v>16</v>
      </c>
      <c r="G498" s="30" t="s">
        <v>16</v>
      </c>
      <c r="H498" s="5" t="s">
        <v>16</v>
      </c>
      <c r="I498" s="25" t="s">
        <v>16</v>
      </c>
      <c r="J498" s="5" t="s">
        <v>16</v>
      </c>
      <c r="K498" s="25" t="s">
        <v>16</v>
      </c>
      <c r="L498" s="25" t="s">
        <v>16</v>
      </c>
      <c r="M498" s="26">
        <f>_xlfn.CONCAT("'",$B498,"'","!","$N$3:$V$80")</f>
      </c>
      <c r="N498" s="26">
        <f>_xlfn.CONCAT("'",$B498,"'","!","$M$2:$M$80")</f>
      </c>
      <c r="O498" s="26">
        <f>_xlfn.CONCAT("'",$B498,"'","!","$N$2:$W$2")</f>
      </c>
      <c r="P498" s="2"/>
      <c r="Q498" s="2"/>
      <c r="R498" s="2"/>
      <c r="S498" s="2"/>
      <c r="T498" s="2"/>
      <c r="U498" s="2"/>
      <c r="V498" s="2"/>
      <c r="W498" s="2"/>
      <c r="X498" s="2"/>
      <c r="Y498" s="2"/>
    </row>
    <row x14ac:dyDescent="0.25" r="499" customHeight="1" ht="17.25">
      <c r="A499" s="10">
        <v>56</v>
      </c>
      <c r="B499" s="10">
        <v>2022</v>
      </c>
      <c r="C499" s="2" t="s">
        <v>160</v>
      </c>
      <c r="D499" s="30" t="s">
        <v>16</v>
      </c>
      <c r="E499" s="5" t="s">
        <v>16</v>
      </c>
      <c r="F499" s="25" t="s">
        <v>16</v>
      </c>
      <c r="G499" s="30" t="s">
        <v>16</v>
      </c>
      <c r="H499" s="5" t="s">
        <v>16</v>
      </c>
      <c r="I499" s="25" t="s">
        <v>16</v>
      </c>
      <c r="J499" s="5" t="s">
        <v>16</v>
      </c>
      <c r="K499" s="25" t="s">
        <v>16</v>
      </c>
      <c r="L499" s="25" t="s">
        <v>16</v>
      </c>
      <c r="M499" s="26">
        <f>_xlfn.CONCAT("'",$B499,"'","!","$N$3:$V$80")</f>
      </c>
      <c r="N499" s="26">
        <f>_xlfn.CONCAT("'",$B499,"'","!","$M$2:$M$80")</f>
      </c>
      <c r="O499" s="26">
        <f>_xlfn.CONCAT("'",$B499,"'","!","$N$2:$W$2")</f>
      </c>
      <c r="P499" s="2"/>
      <c r="Q499" s="2"/>
      <c r="R499" s="2"/>
      <c r="S499" s="2"/>
      <c r="T499" s="2"/>
      <c r="U499" s="2"/>
      <c r="V499" s="2"/>
      <c r="W499" s="2"/>
      <c r="X499" s="2"/>
      <c r="Y499" s="2"/>
    </row>
    <row x14ac:dyDescent="0.25" r="500" customHeight="1" ht="17.25">
      <c r="A500" s="10">
        <v>57</v>
      </c>
      <c r="B500" s="10">
        <v>2022</v>
      </c>
      <c r="C500" s="2" t="s">
        <v>161</v>
      </c>
      <c r="D500" s="30" t="s">
        <v>16</v>
      </c>
      <c r="E500" s="5" t="s">
        <v>16</v>
      </c>
      <c r="F500" s="25" t="s">
        <v>16</v>
      </c>
      <c r="G500" s="30" t="s">
        <v>16</v>
      </c>
      <c r="H500" s="5" t="s">
        <v>16</v>
      </c>
      <c r="I500" s="25" t="s">
        <v>16</v>
      </c>
      <c r="J500" s="5" t="s">
        <v>16</v>
      </c>
      <c r="K500" s="25" t="s">
        <v>16</v>
      </c>
      <c r="L500" s="25" t="s">
        <v>16</v>
      </c>
      <c r="M500" s="26">
        <f>_xlfn.CONCAT("'",$B500,"'","!","$N$3:$V$80")</f>
      </c>
      <c r="N500" s="26">
        <f>_xlfn.CONCAT("'",$B500,"'","!","$M$2:$M$80")</f>
      </c>
      <c r="O500" s="26">
        <f>_xlfn.CONCAT("'",$B500,"'","!","$N$2:$W$2")</f>
      </c>
      <c r="P500" s="2"/>
      <c r="Q500" s="2"/>
      <c r="R500" s="2"/>
      <c r="S500" s="2"/>
      <c r="T500" s="2"/>
      <c r="U500" s="2"/>
      <c r="V500" s="2"/>
      <c r="W500" s="2"/>
      <c r="X500" s="2"/>
      <c r="Y500" s="2"/>
    </row>
    <row x14ac:dyDescent="0.25" r="501" customHeight="1" ht="17.25">
      <c r="A501" s="10">
        <v>58</v>
      </c>
      <c r="B501" s="10">
        <v>2022</v>
      </c>
      <c r="C501" s="2" t="s">
        <v>162</v>
      </c>
      <c r="D501" s="23">
        <v>0</v>
      </c>
      <c r="E501" s="5" t="s">
        <v>16</v>
      </c>
      <c r="F501" s="23">
        <v>0</v>
      </c>
      <c r="G501" s="23">
        <v>1</v>
      </c>
      <c r="H501" s="5" t="s">
        <v>16</v>
      </c>
      <c r="I501" s="24">
        <v>0.490573</v>
      </c>
      <c r="J501" s="10">
        <v>1</v>
      </c>
      <c r="K501" s="24">
        <v>0.12658228</v>
      </c>
      <c r="L501" s="24">
        <v>0.61715528</v>
      </c>
      <c r="M501" s="26">
        <f>_xlfn.CONCAT("'",$B501,"'","!","$N$3:$V$80")</f>
      </c>
      <c r="N501" s="26">
        <f>_xlfn.CONCAT("'",$B501,"'","!","$M$2:$M$80")</f>
      </c>
      <c r="O501" s="26">
        <f>_xlfn.CONCAT("'",$B501,"'","!","$N$2:$W$2")</f>
      </c>
      <c r="P501" s="2"/>
      <c r="Q501" s="2"/>
      <c r="R501" s="2"/>
      <c r="S501" s="2"/>
      <c r="T501" s="2"/>
      <c r="U501" s="2"/>
      <c r="V501" s="2"/>
      <c r="W501" s="2"/>
      <c r="X501" s="2"/>
      <c r="Y501" s="2"/>
    </row>
    <row x14ac:dyDescent="0.25" r="502" customHeight="1" ht="17.25">
      <c r="A502" s="10">
        <v>59</v>
      </c>
      <c r="B502" s="10">
        <v>2022</v>
      </c>
      <c r="C502" s="2" t="s">
        <v>163</v>
      </c>
      <c r="D502" s="30" t="s">
        <v>16</v>
      </c>
      <c r="E502" s="5" t="s">
        <v>16</v>
      </c>
      <c r="F502" s="25" t="s">
        <v>16</v>
      </c>
      <c r="G502" s="30" t="s">
        <v>16</v>
      </c>
      <c r="H502" s="5" t="s">
        <v>16</v>
      </c>
      <c r="I502" s="25" t="s">
        <v>16</v>
      </c>
      <c r="J502" s="5" t="s">
        <v>16</v>
      </c>
      <c r="K502" s="25" t="s">
        <v>16</v>
      </c>
      <c r="L502" s="25" t="s">
        <v>16</v>
      </c>
      <c r="M502" s="26">
        <f>_xlfn.CONCAT("'",$B502,"'","!","$N$3:$V$80")</f>
      </c>
      <c r="N502" s="26">
        <f>_xlfn.CONCAT("'",$B502,"'","!","$M$2:$M$80")</f>
      </c>
      <c r="O502" s="26">
        <f>_xlfn.CONCAT("'",$B502,"'","!","$N$2:$W$2")</f>
      </c>
      <c r="P502" s="2"/>
      <c r="Q502" s="2"/>
      <c r="R502" s="2"/>
      <c r="S502" s="2"/>
      <c r="T502" s="2"/>
      <c r="U502" s="2"/>
      <c r="V502" s="2"/>
      <c r="W502" s="2"/>
      <c r="X502" s="2"/>
      <c r="Y502" s="2"/>
    </row>
    <row x14ac:dyDescent="0.25" r="503" customHeight="1" ht="17.25">
      <c r="A503" s="10">
        <v>60</v>
      </c>
      <c r="B503" s="10">
        <v>2022</v>
      </c>
      <c r="C503" s="2" t="s">
        <v>164</v>
      </c>
      <c r="D503" s="30" t="s">
        <v>16</v>
      </c>
      <c r="E503" s="5" t="s">
        <v>16</v>
      </c>
      <c r="F503" s="25" t="s">
        <v>16</v>
      </c>
      <c r="G503" s="30" t="s">
        <v>16</v>
      </c>
      <c r="H503" s="5" t="s">
        <v>16</v>
      </c>
      <c r="I503" s="25" t="s">
        <v>16</v>
      </c>
      <c r="J503" s="5" t="s">
        <v>16</v>
      </c>
      <c r="K503" s="25" t="s">
        <v>16</v>
      </c>
      <c r="L503" s="25" t="s">
        <v>16</v>
      </c>
      <c r="M503" s="26">
        <f>_xlfn.CONCAT("'",$B503,"'","!","$N$3:$V$80")</f>
      </c>
      <c r="N503" s="26">
        <f>_xlfn.CONCAT("'",$B503,"'","!","$M$2:$M$80")</f>
      </c>
      <c r="O503" s="26">
        <f>_xlfn.CONCAT("'",$B503,"'","!","$N$2:$W$2")</f>
      </c>
      <c r="P503" s="2"/>
      <c r="Q503" s="2"/>
      <c r="R503" s="2"/>
      <c r="S503" s="2"/>
      <c r="T503" s="2"/>
      <c r="U503" s="2"/>
      <c r="V503" s="2"/>
      <c r="W503" s="2"/>
      <c r="X503" s="2"/>
      <c r="Y503" s="2"/>
    </row>
    <row x14ac:dyDescent="0.25" r="504" customHeight="1" ht="17.25">
      <c r="A504" s="10">
        <v>61</v>
      </c>
      <c r="B504" s="10">
        <v>2022</v>
      </c>
      <c r="C504" s="2" t="s">
        <v>165</v>
      </c>
      <c r="D504" s="23">
        <v>0</v>
      </c>
      <c r="E504" s="5" t="s">
        <v>16</v>
      </c>
      <c r="F504" s="23">
        <v>0</v>
      </c>
      <c r="G504" s="23">
        <v>0</v>
      </c>
      <c r="H504" s="5" t="s">
        <v>16</v>
      </c>
      <c r="I504" s="23">
        <v>0</v>
      </c>
      <c r="J504" s="10">
        <v>3</v>
      </c>
      <c r="K504" s="24">
        <v>1.44189385</v>
      </c>
      <c r="L504" s="24">
        <v>1.44189385</v>
      </c>
      <c r="M504" s="26">
        <f>_xlfn.CONCAT("'",$B504,"'","!","$N$3:$V$80")</f>
      </c>
      <c r="N504" s="26">
        <f>_xlfn.CONCAT("'",$B504,"'","!","$M$2:$M$80")</f>
      </c>
      <c r="O504" s="26">
        <f>_xlfn.CONCAT("'",$B504,"'","!","$N$2:$W$2")</f>
      </c>
      <c r="P504" s="2"/>
      <c r="Q504" s="2"/>
      <c r="R504" s="2"/>
      <c r="S504" s="2"/>
      <c r="T504" s="2"/>
      <c r="U504" s="2"/>
      <c r="V504" s="2"/>
      <c r="W504" s="2"/>
      <c r="X504" s="2"/>
      <c r="Y504" s="2"/>
    </row>
    <row x14ac:dyDescent="0.25" r="505" customHeight="1" ht="17.25">
      <c r="A505" s="10">
        <v>62</v>
      </c>
      <c r="B505" s="10">
        <v>2022</v>
      </c>
      <c r="C505" s="2" t="s">
        <v>166</v>
      </c>
      <c r="D505" s="23">
        <v>0</v>
      </c>
      <c r="E505" s="5" t="s">
        <v>16</v>
      </c>
      <c r="F505" s="23">
        <v>0</v>
      </c>
      <c r="G505" s="23">
        <v>0</v>
      </c>
      <c r="H505" s="5" t="s">
        <v>16</v>
      </c>
      <c r="I505" s="23">
        <v>0</v>
      </c>
      <c r="J505" s="10">
        <v>1</v>
      </c>
      <c r="K505" s="24">
        <v>0.10765653</v>
      </c>
      <c r="L505" s="24">
        <v>0.10765653</v>
      </c>
      <c r="M505" s="26">
        <f>_xlfn.CONCAT("'",$B505,"'","!","$N$3:$V$80")</f>
      </c>
      <c r="N505" s="26">
        <f>_xlfn.CONCAT("'",$B505,"'","!","$M$2:$M$80")</f>
      </c>
      <c r="O505" s="26">
        <f>_xlfn.CONCAT("'",$B505,"'","!","$N$2:$W$2")</f>
      </c>
      <c r="P505" s="2"/>
      <c r="Q505" s="2"/>
      <c r="R505" s="2"/>
      <c r="S505" s="2"/>
      <c r="T505" s="2"/>
      <c r="U505" s="2"/>
      <c r="V505" s="2"/>
      <c r="W505" s="2"/>
      <c r="X505" s="2"/>
      <c r="Y505" s="2"/>
    </row>
    <row x14ac:dyDescent="0.25" r="506" customHeight="1" ht="17.25">
      <c r="A506" s="10">
        <v>63</v>
      </c>
      <c r="B506" s="10">
        <v>2022</v>
      </c>
      <c r="C506" s="2" t="s">
        <v>167</v>
      </c>
      <c r="D506" s="23">
        <v>2036</v>
      </c>
      <c r="E506" s="10">
        <v>0</v>
      </c>
      <c r="F506" s="24">
        <v>12446.218701750004</v>
      </c>
      <c r="G506" s="23">
        <v>1107</v>
      </c>
      <c r="H506" s="10">
        <v>0</v>
      </c>
      <c r="I506" s="24">
        <v>10117.81309485086</v>
      </c>
      <c r="J506" s="10">
        <v>3566</v>
      </c>
      <c r="K506" s="24">
        <v>5154.098510410001</v>
      </c>
      <c r="L506" s="24">
        <v>27718.130307010862</v>
      </c>
      <c r="M506" s="26">
        <f>_xlfn.CONCAT("'",$B506,"'","!","$N$3:$V$80")</f>
      </c>
      <c r="N506" s="26">
        <f>_xlfn.CONCAT("'",$B506,"'","!","$M$2:$M$80")</f>
      </c>
      <c r="O506" s="26">
        <f>_xlfn.CONCAT("'",$B506,"'","!","$N$2:$W$2")</f>
      </c>
      <c r="P506" s="2"/>
      <c r="Q506" s="2"/>
      <c r="R506" s="2"/>
      <c r="S506" s="2"/>
      <c r="T506" s="2"/>
      <c r="U506" s="2"/>
      <c r="V506" s="2"/>
      <c r="W506" s="2"/>
      <c r="X506" s="2"/>
      <c r="Y506" s="2"/>
    </row>
    <row x14ac:dyDescent="0.25" r="507" customHeight="1" ht="17.25">
      <c r="A507" s="10">
        <v>1</v>
      </c>
      <c r="B507" s="10">
        <v>2023</v>
      </c>
      <c r="C507" s="2" t="s">
        <v>104</v>
      </c>
      <c r="D507" s="23">
        <v>1202</v>
      </c>
      <c r="E507" s="5" t="s">
        <v>16</v>
      </c>
      <c r="F507" s="24">
        <v>598.29865288</v>
      </c>
      <c r="G507" s="23">
        <v>296</v>
      </c>
      <c r="H507" s="5" t="s">
        <v>16</v>
      </c>
      <c r="I507" s="24">
        <v>964.9305494707718</v>
      </c>
      <c r="J507" s="10">
        <v>2314</v>
      </c>
      <c r="K507" s="24">
        <v>4288.72168014</v>
      </c>
      <c r="L507" s="24">
        <v>5851.950882490772</v>
      </c>
      <c r="M507" s="26">
        <f>_xlfn.CONCAT("'",$B507,"'","!","$N$3:$V$80")</f>
      </c>
      <c r="N507" s="26">
        <f>_xlfn.CONCAT("'",$B507,"'","!","$M$2:$M$80")</f>
      </c>
      <c r="O507" s="26">
        <f>_xlfn.CONCAT("'",$B507,"'","!","$N$2:$W$2")</f>
      </c>
      <c r="P507" s="2"/>
      <c r="Q507" s="2"/>
      <c r="R507" s="2"/>
      <c r="S507" s="2"/>
      <c r="T507" s="2"/>
      <c r="U507" s="2"/>
      <c r="V507" s="2"/>
      <c r="W507" s="2"/>
      <c r="X507" s="2"/>
      <c r="Y507" s="2"/>
    </row>
    <row x14ac:dyDescent="0.25" r="508" customHeight="1" ht="17.25">
      <c r="A508" s="10">
        <v>2</v>
      </c>
      <c r="B508" s="10">
        <v>2023</v>
      </c>
      <c r="C508" s="2" t="s">
        <v>105</v>
      </c>
      <c r="D508" s="23">
        <v>136</v>
      </c>
      <c r="E508" s="5" t="s">
        <v>16</v>
      </c>
      <c r="F508" s="24">
        <v>639.7975447800001</v>
      </c>
      <c r="G508" s="23">
        <v>50</v>
      </c>
      <c r="H508" s="5" t="s">
        <v>16</v>
      </c>
      <c r="I508" s="24">
        <v>39.41184823624757</v>
      </c>
      <c r="J508" s="10">
        <v>197</v>
      </c>
      <c r="K508" s="24">
        <v>894.7207161299998</v>
      </c>
      <c r="L508" s="24">
        <v>1573.9301091462476</v>
      </c>
      <c r="M508" s="26">
        <f>_xlfn.CONCAT("'",$B508,"'","!","$N$3:$V$80")</f>
      </c>
      <c r="N508" s="26">
        <f>_xlfn.CONCAT("'",$B508,"'","!","$M$2:$M$80")</f>
      </c>
      <c r="O508" s="26">
        <f>_xlfn.CONCAT("'",$B508,"'","!","$N$2:$W$2")</f>
      </c>
      <c r="P508" s="2"/>
      <c r="Q508" s="2"/>
      <c r="R508" s="2"/>
      <c r="S508" s="2"/>
      <c r="T508" s="2"/>
      <c r="U508" s="2"/>
      <c r="V508" s="2"/>
      <c r="W508" s="2"/>
      <c r="X508" s="2"/>
      <c r="Y508" s="2"/>
    </row>
    <row x14ac:dyDescent="0.25" r="509" customHeight="1" ht="17.25">
      <c r="A509" s="10">
        <v>3</v>
      </c>
      <c r="B509" s="10">
        <v>2023</v>
      </c>
      <c r="C509" s="2" t="s">
        <v>106</v>
      </c>
      <c r="D509" s="23">
        <v>85</v>
      </c>
      <c r="E509" s="5" t="s">
        <v>16</v>
      </c>
      <c r="F509" s="24">
        <v>558.9271034100001</v>
      </c>
      <c r="G509" s="23">
        <v>64</v>
      </c>
      <c r="H509" s="5" t="s">
        <v>16</v>
      </c>
      <c r="I509" s="24">
        <v>503.441602671875</v>
      </c>
      <c r="J509" s="10">
        <v>83</v>
      </c>
      <c r="K509" s="24">
        <v>451.80774392</v>
      </c>
      <c r="L509" s="24">
        <v>1514.1764500018753</v>
      </c>
      <c r="M509" s="26">
        <f>_xlfn.CONCAT("'",$B509,"'","!","$N$3:$V$80")</f>
      </c>
      <c r="N509" s="26">
        <f>_xlfn.CONCAT("'",$B509,"'","!","$M$2:$M$80")</f>
      </c>
      <c r="O509" s="26">
        <f>_xlfn.CONCAT("'",$B509,"'","!","$N$2:$W$2")</f>
      </c>
      <c r="P509" s="2"/>
      <c r="Q509" s="2"/>
      <c r="R509" s="2"/>
      <c r="S509" s="2"/>
      <c r="T509" s="2"/>
      <c r="U509" s="2"/>
      <c r="V509" s="2"/>
      <c r="W509" s="2"/>
      <c r="X509" s="2"/>
      <c r="Y509" s="2"/>
    </row>
    <row x14ac:dyDescent="0.25" r="510" customHeight="1" ht="17.25">
      <c r="A510" s="10">
        <v>4</v>
      </c>
      <c r="B510" s="10">
        <v>2023</v>
      </c>
      <c r="C510" s="2" t="s">
        <v>108</v>
      </c>
      <c r="D510" s="23">
        <v>384</v>
      </c>
      <c r="E510" s="5" t="s">
        <v>16</v>
      </c>
      <c r="F510" s="24">
        <v>1089.29023411</v>
      </c>
      <c r="G510" s="23">
        <v>162</v>
      </c>
      <c r="H510" s="5" t="s">
        <v>16</v>
      </c>
      <c r="I510" s="24">
        <v>634.9157719222657</v>
      </c>
      <c r="J510" s="10">
        <v>87</v>
      </c>
      <c r="K510" s="24">
        <v>45.53863077</v>
      </c>
      <c r="L510" s="24">
        <v>1769.7446368022656</v>
      </c>
      <c r="M510" s="26">
        <f>_xlfn.CONCAT("'",$B510,"'","!","$N$3:$V$80")</f>
      </c>
      <c r="N510" s="26">
        <f>_xlfn.CONCAT("'",$B510,"'","!","$M$2:$M$80")</f>
      </c>
      <c r="O510" s="26">
        <f>_xlfn.CONCAT("'",$B510,"'","!","$N$2:$W$2")</f>
      </c>
      <c r="P510" s="2"/>
      <c r="Q510" s="2"/>
      <c r="R510" s="2"/>
      <c r="S510" s="2"/>
      <c r="T510" s="2"/>
      <c r="U510" s="2"/>
      <c r="V510" s="2"/>
      <c r="W510" s="2"/>
      <c r="X510" s="2"/>
      <c r="Y510" s="2"/>
    </row>
    <row x14ac:dyDescent="0.25" r="511" customHeight="1" ht="17.25">
      <c r="A511" s="10">
        <v>5</v>
      </c>
      <c r="B511" s="10">
        <v>2023</v>
      </c>
      <c r="C511" s="2" t="s">
        <v>109</v>
      </c>
      <c r="D511" s="23">
        <v>119</v>
      </c>
      <c r="E511" s="5" t="s">
        <v>16</v>
      </c>
      <c r="F511" s="24">
        <v>1478.70012444</v>
      </c>
      <c r="G511" s="23">
        <v>51</v>
      </c>
      <c r="H511" s="5" t="s">
        <v>16</v>
      </c>
      <c r="I511" s="24">
        <v>1654.8340725</v>
      </c>
      <c r="J511" s="10">
        <v>49</v>
      </c>
      <c r="K511" s="24">
        <v>128.77857574</v>
      </c>
      <c r="L511" s="24">
        <v>3262.3127726800003</v>
      </c>
      <c r="M511" s="26">
        <f>_xlfn.CONCAT("'",$B511,"'","!","$N$3:$V$80")</f>
      </c>
      <c r="N511" s="26">
        <f>_xlfn.CONCAT("'",$B511,"'","!","$M$2:$M$80")</f>
      </c>
      <c r="O511" s="26">
        <f>_xlfn.CONCAT("'",$B511,"'","!","$N$2:$W$2")</f>
      </c>
      <c r="P511" s="2"/>
      <c r="Q511" s="2"/>
      <c r="R511" s="2"/>
      <c r="S511" s="2"/>
      <c r="T511" s="2"/>
      <c r="U511" s="2"/>
      <c r="V511" s="2"/>
      <c r="W511" s="2"/>
      <c r="X511" s="2"/>
      <c r="Y511" s="2"/>
    </row>
    <row x14ac:dyDescent="0.25" r="512" customHeight="1" ht="17.25">
      <c r="A512" s="10">
        <v>6</v>
      </c>
      <c r="B512" s="10">
        <v>2023</v>
      </c>
      <c r="C512" s="2" t="s">
        <v>110</v>
      </c>
      <c r="D512" s="23">
        <v>28</v>
      </c>
      <c r="E512" s="5" t="s">
        <v>16</v>
      </c>
      <c r="F512" s="24">
        <v>252.981332</v>
      </c>
      <c r="G512" s="23">
        <v>38</v>
      </c>
      <c r="H512" s="5" t="s">
        <v>16</v>
      </c>
      <c r="I512" s="24">
        <v>403.334656125</v>
      </c>
      <c r="J512" s="10">
        <v>4</v>
      </c>
      <c r="K512" s="24">
        <v>0.53955489</v>
      </c>
      <c r="L512" s="24">
        <v>656.855543015</v>
      </c>
      <c r="M512" s="26">
        <f>_xlfn.CONCAT("'",$B512,"'","!","$N$3:$V$80")</f>
      </c>
      <c r="N512" s="26">
        <f>_xlfn.CONCAT("'",$B512,"'","!","$M$2:$M$80")</f>
      </c>
      <c r="O512" s="26">
        <f>_xlfn.CONCAT("'",$B512,"'","!","$N$2:$W$2")</f>
      </c>
      <c r="P512" s="2"/>
      <c r="Q512" s="2"/>
      <c r="R512" s="2"/>
      <c r="S512" s="2"/>
      <c r="T512" s="2"/>
      <c r="U512" s="2"/>
      <c r="V512" s="2"/>
      <c r="W512" s="2"/>
      <c r="X512" s="2"/>
      <c r="Y512" s="2"/>
    </row>
    <row x14ac:dyDescent="0.25" r="513" customHeight="1" ht="17.25">
      <c r="A513" s="10">
        <v>7</v>
      </c>
      <c r="B513" s="10">
        <v>2023</v>
      </c>
      <c r="C513" s="2" t="s">
        <v>111</v>
      </c>
      <c r="D513" s="23">
        <v>92</v>
      </c>
      <c r="E513" s="5" t="s">
        <v>16</v>
      </c>
      <c r="F513" s="24">
        <v>1529.52937</v>
      </c>
      <c r="G513" s="23">
        <v>53</v>
      </c>
      <c r="H513" s="5" t="s">
        <v>16</v>
      </c>
      <c r="I513" s="24">
        <v>1445.496435</v>
      </c>
      <c r="J513" s="10">
        <v>51</v>
      </c>
      <c r="K513" s="24">
        <v>40.61291442</v>
      </c>
      <c r="L513" s="24">
        <v>3015.63871942</v>
      </c>
      <c r="M513" s="26">
        <f>_xlfn.CONCAT("'",$B513,"'","!","$N$3:$V$80")</f>
      </c>
      <c r="N513" s="26">
        <f>_xlfn.CONCAT("'",$B513,"'","!","$M$2:$M$80")</f>
      </c>
      <c r="O513" s="26">
        <f>_xlfn.CONCAT("'",$B513,"'","!","$N$2:$W$2")</f>
      </c>
      <c r="P513" s="2"/>
      <c r="Q513" s="2"/>
      <c r="R513" s="2"/>
      <c r="S513" s="2"/>
      <c r="T513" s="2"/>
      <c r="U513" s="2"/>
      <c r="V513" s="2"/>
      <c r="W513" s="2"/>
      <c r="X513" s="2"/>
      <c r="Y513" s="2"/>
    </row>
    <row x14ac:dyDescent="0.25" r="514" customHeight="1" ht="17.25">
      <c r="A514" s="10">
        <v>8</v>
      </c>
      <c r="B514" s="10">
        <v>2023</v>
      </c>
      <c r="C514" s="2" t="s">
        <v>112</v>
      </c>
      <c r="D514" s="23">
        <v>21</v>
      </c>
      <c r="E514" s="5" t="s">
        <v>16</v>
      </c>
      <c r="F514" s="24">
        <v>848.004047</v>
      </c>
      <c r="G514" s="23">
        <v>0</v>
      </c>
      <c r="H514" s="5" t="s">
        <v>16</v>
      </c>
      <c r="I514" s="23">
        <v>0</v>
      </c>
      <c r="J514" s="10">
        <v>27</v>
      </c>
      <c r="K514" s="24">
        <v>191.56463693999999</v>
      </c>
      <c r="L514" s="24">
        <v>1039.56868394</v>
      </c>
      <c r="M514" s="26">
        <f>_xlfn.CONCAT("'",$B514,"'","!","$N$3:$V$80")</f>
      </c>
      <c r="N514" s="26">
        <f>_xlfn.CONCAT("'",$B514,"'","!","$M$2:$M$80")</f>
      </c>
      <c r="O514" s="26">
        <f>_xlfn.CONCAT("'",$B514,"'","!","$N$2:$W$2")</f>
      </c>
      <c r="P514" s="2"/>
      <c r="Q514" s="2"/>
      <c r="R514" s="2"/>
      <c r="S514" s="2"/>
      <c r="T514" s="2"/>
      <c r="U514" s="2"/>
      <c r="V514" s="2"/>
      <c r="W514" s="2"/>
      <c r="X514" s="2"/>
      <c r="Y514" s="2"/>
    </row>
    <row x14ac:dyDescent="0.25" r="515" customHeight="1" ht="17.25">
      <c r="A515" s="10">
        <v>9</v>
      </c>
      <c r="B515" s="10">
        <v>2023</v>
      </c>
      <c r="C515" s="2" t="s">
        <v>113</v>
      </c>
      <c r="D515" s="23">
        <v>35</v>
      </c>
      <c r="E515" s="5" t="s">
        <v>16</v>
      </c>
      <c r="F515" s="24">
        <v>470.67468922</v>
      </c>
      <c r="G515" s="23">
        <v>23</v>
      </c>
      <c r="H515" s="5" t="s">
        <v>16</v>
      </c>
      <c r="I515" s="24">
        <v>231.0190056875</v>
      </c>
      <c r="J515" s="10">
        <v>5</v>
      </c>
      <c r="K515" s="24">
        <v>13.861131760000001</v>
      </c>
      <c r="L515" s="24">
        <v>715.5548266675</v>
      </c>
      <c r="M515" s="26">
        <f>_xlfn.CONCAT("'",$B515,"'","!","$N$3:$V$80")</f>
      </c>
      <c r="N515" s="26">
        <f>_xlfn.CONCAT("'",$B515,"'","!","$M$2:$M$80")</f>
      </c>
      <c r="O515" s="26">
        <f>_xlfn.CONCAT("'",$B515,"'","!","$N$2:$W$2")</f>
      </c>
      <c r="P515" s="2"/>
      <c r="Q515" s="2"/>
      <c r="R515" s="2"/>
      <c r="S515" s="2"/>
      <c r="T515" s="2"/>
      <c r="U515" s="2"/>
      <c r="V515" s="2"/>
      <c r="W515" s="2"/>
      <c r="X515" s="2"/>
      <c r="Y515" s="2"/>
    </row>
    <row x14ac:dyDescent="0.25" r="516" customHeight="1" ht="17.25">
      <c r="A516" s="10">
        <v>10</v>
      </c>
      <c r="B516" s="10">
        <v>2023</v>
      </c>
      <c r="C516" s="2" t="s">
        <v>114</v>
      </c>
      <c r="D516" s="23">
        <v>118</v>
      </c>
      <c r="E516" s="5" t="s">
        <v>16</v>
      </c>
      <c r="F516" s="24">
        <v>602.7669286999999</v>
      </c>
      <c r="G516" s="23">
        <v>81</v>
      </c>
      <c r="H516" s="5" t="s">
        <v>16</v>
      </c>
      <c r="I516" s="24">
        <v>117.88781366015625</v>
      </c>
      <c r="J516" s="10">
        <v>40</v>
      </c>
      <c r="K516" s="24">
        <v>32.6718656</v>
      </c>
      <c r="L516" s="24">
        <v>753.3266079601561</v>
      </c>
      <c r="M516" s="26">
        <f>_xlfn.CONCAT("'",$B516,"'","!","$N$3:$V$80")</f>
      </c>
      <c r="N516" s="26">
        <f>_xlfn.CONCAT("'",$B516,"'","!","$M$2:$M$80")</f>
      </c>
      <c r="O516" s="26">
        <f>_xlfn.CONCAT("'",$B516,"'","!","$N$2:$W$2")</f>
      </c>
      <c r="P516" s="2"/>
      <c r="Q516" s="2"/>
      <c r="R516" s="2"/>
      <c r="S516" s="2"/>
      <c r="T516" s="2"/>
      <c r="U516" s="2"/>
      <c r="V516" s="2"/>
      <c r="W516" s="2"/>
      <c r="X516" s="2"/>
      <c r="Y516" s="2"/>
    </row>
    <row x14ac:dyDescent="0.25" r="517" customHeight="1" ht="17.25">
      <c r="A517" s="10">
        <v>11</v>
      </c>
      <c r="B517" s="10">
        <v>2023</v>
      </c>
      <c r="C517" s="2" t="s">
        <v>115</v>
      </c>
      <c r="D517" s="23">
        <v>83</v>
      </c>
      <c r="E517" s="5" t="s">
        <v>16</v>
      </c>
      <c r="F517" s="24">
        <v>1059.872805</v>
      </c>
      <c r="G517" s="23">
        <v>29</v>
      </c>
      <c r="H517" s="5" t="s">
        <v>16</v>
      </c>
      <c r="I517" s="24">
        <v>142.803196</v>
      </c>
      <c r="J517" s="10">
        <v>23</v>
      </c>
      <c r="K517" s="24">
        <v>14.052826810000001</v>
      </c>
      <c r="L517" s="24">
        <v>1216.72882781</v>
      </c>
      <c r="M517" s="26">
        <f>_xlfn.CONCAT("'",$B517,"'","!","$N$3:$V$80")</f>
      </c>
      <c r="N517" s="26">
        <f>_xlfn.CONCAT("'",$B517,"'","!","$M$2:$M$80")</f>
      </c>
      <c r="O517" s="26">
        <f>_xlfn.CONCAT("'",$B517,"'","!","$N$2:$W$2")</f>
      </c>
      <c r="P517" s="2"/>
      <c r="Q517" s="2"/>
      <c r="R517" s="2"/>
      <c r="S517" s="2"/>
      <c r="T517" s="2"/>
      <c r="U517" s="2"/>
      <c r="V517" s="2"/>
      <c r="W517" s="2"/>
      <c r="X517" s="2"/>
      <c r="Y517" s="2"/>
    </row>
    <row x14ac:dyDescent="0.25" r="518" customHeight="1" ht="17.25">
      <c r="A518" s="10">
        <v>12</v>
      </c>
      <c r="B518" s="10">
        <v>2023</v>
      </c>
      <c r="C518" s="2" t="s">
        <v>116</v>
      </c>
      <c r="D518" s="23">
        <v>40</v>
      </c>
      <c r="E518" s="5" t="s">
        <v>16</v>
      </c>
      <c r="F518" s="24">
        <v>257.17745534</v>
      </c>
      <c r="G518" s="23">
        <v>17</v>
      </c>
      <c r="H518" s="5" t="s">
        <v>16</v>
      </c>
      <c r="I518" s="24">
        <v>70.7878501875</v>
      </c>
      <c r="J518" s="10">
        <v>9</v>
      </c>
      <c r="K518" s="24">
        <v>11.20401565</v>
      </c>
      <c r="L518" s="24">
        <v>339.16932117749997</v>
      </c>
      <c r="M518" s="26">
        <f>_xlfn.CONCAT("'",$B518,"'","!","$N$3:$V$80")</f>
      </c>
      <c r="N518" s="26">
        <f>_xlfn.CONCAT("'",$B518,"'","!","$M$2:$M$80")</f>
      </c>
      <c r="O518" s="26">
        <f>_xlfn.CONCAT("'",$B518,"'","!","$N$2:$W$2")</f>
      </c>
      <c r="P518" s="2"/>
      <c r="Q518" s="2"/>
      <c r="R518" s="2"/>
      <c r="S518" s="2"/>
      <c r="T518" s="2"/>
      <c r="U518" s="2"/>
      <c r="V518" s="2"/>
      <c r="W518" s="2"/>
      <c r="X518" s="2"/>
      <c r="Y518" s="2"/>
    </row>
    <row x14ac:dyDescent="0.25" r="519" customHeight="1" ht="17.25">
      <c r="A519" s="10">
        <v>13</v>
      </c>
      <c r="B519" s="10">
        <v>2023</v>
      </c>
      <c r="C519" s="2" t="s">
        <v>117</v>
      </c>
      <c r="D519" s="23">
        <v>29</v>
      </c>
      <c r="E519" s="5" t="s">
        <v>16</v>
      </c>
      <c r="F519" s="24">
        <v>282.042343</v>
      </c>
      <c r="G519" s="23">
        <v>8</v>
      </c>
      <c r="H519" s="5" t="s">
        <v>16</v>
      </c>
      <c r="I519" s="24">
        <v>19.416948</v>
      </c>
      <c r="J519" s="10">
        <v>6</v>
      </c>
      <c r="K519" s="24">
        <v>1.21429132</v>
      </c>
      <c r="L519" s="24">
        <v>302.67358232</v>
      </c>
      <c r="M519" s="26">
        <f>_xlfn.CONCAT("'",$B519,"'","!","$N$3:$V$80")</f>
      </c>
      <c r="N519" s="26">
        <f>_xlfn.CONCAT("'",$B519,"'","!","$M$2:$M$80")</f>
      </c>
      <c r="O519" s="26">
        <f>_xlfn.CONCAT("'",$B519,"'","!","$N$2:$W$2")</f>
      </c>
      <c r="P519" s="2"/>
      <c r="Q519" s="2"/>
      <c r="R519" s="2"/>
      <c r="S519" s="2"/>
      <c r="T519" s="2"/>
      <c r="U519" s="2"/>
      <c r="V519" s="2"/>
      <c r="W519" s="2"/>
      <c r="X519" s="2"/>
      <c r="Y519" s="2"/>
    </row>
    <row x14ac:dyDescent="0.25" r="520" customHeight="1" ht="17.25">
      <c r="A520" s="10">
        <v>14</v>
      </c>
      <c r="B520" s="10">
        <v>2023</v>
      </c>
      <c r="C520" s="2" t="s">
        <v>118</v>
      </c>
      <c r="D520" s="23">
        <v>104</v>
      </c>
      <c r="E520" s="5" t="s">
        <v>16</v>
      </c>
      <c r="F520" s="24">
        <v>151.19409156</v>
      </c>
      <c r="G520" s="23">
        <v>43</v>
      </c>
      <c r="H520" s="5" t="s">
        <v>16</v>
      </c>
      <c r="I520" s="24">
        <v>20.301149310546876</v>
      </c>
      <c r="J520" s="10">
        <v>35</v>
      </c>
      <c r="K520" s="24">
        <v>10.66654745</v>
      </c>
      <c r="L520" s="24">
        <v>182.16178832054686</v>
      </c>
      <c r="M520" s="26">
        <f>_xlfn.CONCAT("'",$B520,"'","!","$N$3:$V$80")</f>
      </c>
      <c r="N520" s="26">
        <f>_xlfn.CONCAT("'",$B520,"'","!","$M$2:$M$80")</f>
      </c>
      <c r="O520" s="26">
        <f>_xlfn.CONCAT("'",$B520,"'","!","$N$2:$W$2")</f>
      </c>
      <c r="P520" s="2"/>
      <c r="Q520" s="2"/>
      <c r="R520" s="2"/>
      <c r="S520" s="2"/>
      <c r="T520" s="2"/>
      <c r="U520" s="2"/>
      <c r="V520" s="2"/>
      <c r="W520" s="2"/>
      <c r="X520" s="2"/>
      <c r="Y520" s="2"/>
    </row>
    <row x14ac:dyDescent="0.25" r="521" customHeight="1" ht="17.25">
      <c r="A521" s="10">
        <v>15</v>
      </c>
      <c r="B521" s="10">
        <v>2023</v>
      </c>
      <c r="C521" s="2" t="s">
        <v>119</v>
      </c>
      <c r="D521" s="23">
        <v>50</v>
      </c>
      <c r="E521" s="5" t="s">
        <v>16</v>
      </c>
      <c r="F521" s="24">
        <v>651.710735</v>
      </c>
      <c r="G521" s="23">
        <v>48</v>
      </c>
      <c r="H521" s="5" t="s">
        <v>16</v>
      </c>
      <c r="I521" s="24">
        <v>258.055431125</v>
      </c>
      <c r="J521" s="10">
        <v>24</v>
      </c>
      <c r="K521" s="24">
        <v>18.76936531</v>
      </c>
      <c r="L521" s="24">
        <v>928.5355314349999</v>
      </c>
      <c r="M521" s="26">
        <f>_xlfn.CONCAT("'",$B521,"'","!","$N$3:$V$80")</f>
      </c>
      <c r="N521" s="26">
        <f>_xlfn.CONCAT("'",$B521,"'","!","$M$2:$M$80")</f>
      </c>
      <c r="O521" s="26">
        <f>_xlfn.CONCAT("'",$B521,"'","!","$N$2:$W$2")</f>
      </c>
      <c r="P521" s="2"/>
      <c r="Q521" s="2"/>
      <c r="R521" s="2"/>
      <c r="S521" s="2"/>
      <c r="T521" s="2"/>
      <c r="U521" s="2"/>
      <c r="V521" s="2"/>
      <c r="W521" s="2"/>
      <c r="X521" s="2"/>
      <c r="Y521" s="2"/>
    </row>
    <row x14ac:dyDescent="0.25" r="522" customHeight="1" ht="17.25">
      <c r="A522" s="10">
        <v>16</v>
      </c>
      <c r="B522" s="10">
        <v>2023</v>
      </c>
      <c r="C522" s="2" t="s">
        <v>120</v>
      </c>
      <c r="D522" s="23">
        <v>50</v>
      </c>
      <c r="E522" s="5" t="s">
        <v>16</v>
      </c>
      <c r="F522" s="24">
        <v>747.8738183999998</v>
      </c>
      <c r="G522" s="23">
        <v>38</v>
      </c>
      <c r="H522" s="5" t="s">
        <v>16</v>
      </c>
      <c r="I522" s="24">
        <v>6.96063725</v>
      </c>
      <c r="J522" s="10">
        <v>6</v>
      </c>
      <c r="K522" s="24">
        <v>2.74226091</v>
      </c>
      <c r="L522" s="24">
        <v>757.5767165599998</v>
      </c>
      <c r="M522" s="26">
        <f>_xlfn.CONCAT("'",$B522,"'","!","$N$3:$V$80")</f>
      </c>
      <c r="N522" s="26">
        <f>_xlfn.CONCAT("'",$B522,"'","!","$M$2:$M$80")</f>
      </c>
      <c r="O522" s="26">
        <f>_xlfn.CONCAT("'",$B522,"'","!","$N$2:$W$2")</f>
      </c>
      <c r="P522" s="2"/>
      <c r="Q522" s="2"/>
      <c r="R522" s="2"/>
      <c r="S522" s="2"/>
      <c r="T522" s="2"/>
      <c r="U522" s="2"/>
      <c r="V522" s="2"/>
      <c r="W522" s="2"/>
      <c r="X522" s="2"/>
      <c r="Y522" s="2"/>
    </row>
    <row x14ac:dyDescent="0.25" r="523" customHeight="1" ht="17.25">
      <c r="A523" s="10">
        <v>17</v>
      </c>
      <c r="B523" s="10">
        <v>2023</v>
      </c>
      <c r="C523" s="2" t="s">
        <v>121</v>
      </c>
      <c r="D523" s="23">
        <v>6</v>
      </c>
      <c r="E523" s="5" t="s">
        <v>16</v>
      </c>
      <c r="F523" s="24">
        <v>15.235497</v>
      </c>
      <c r="G523" s="23">
        <v>3</v>
      </c>
      <c r="H523" s="5" t="s">
        <v>16</v>
      </c>
      <c r="I523" s="24">
        <v>20.204752</v>
      </c>
      <c r="J523" s="10">
        <v>2</v>
      </c>
      <c r="K523" s="24">
        <v>0.09623694</v>
      </c>
      <c r="L523" s="24">
        <v>35.53648594</v>
      </c>
      <c r="M523" s="26">
        <f>_xlfn.CONCAT("'",$B523,"'","!","$N$3:$V$80")</f>
      </c>
      <c r="N523" s="26">
        <f>_xlfn.CONCAT("'",$B523,"'","!","$M$2:$M$80")</f>
      </c>
      <c r="O523" s="26">
        <f>_xlfn.CONCAT("'",$B523,"'","!","$N$2:$W$2")</f>
      </c>
      <c r="P523" s="2"/>
      <c r="Q523" s="2"/>
      <c r="R523" s="2"/>
      <c r="S523" s="2"/>
      <c r="T523" s="2"/>
      <c r="U523" s="2"/>
      <c r="V523" s="2"/>
      <c r="W523" s="2"/>
      <c r="X523" s="2"/>
      <c r="Y523" s="2"/>
    </row>
    <row x14ac:dyDescent="0.25" r="524" customHeight="1" ht="17.25">
      <c r="A524" s="10">
        <v>18</v>
      </c>
      <c r="B524" s="10">
        <v>2023</v>
      </c>
      <c r="C524" s="2" t="s">
        <v>122</v>
      </c>
      <c r="D524" s="23">
        <v>19</v>
      </c>
      <c r="E524" s="5" t="s">
        <v>16</v>
      </c>
      <c r="F524" s="24">
        <v>254.316403</v>
      </c>
      <c r="G524" s="23">
        <v>2</v>
      </c>
      <c r="H524" s="5" t="s">
        <v>16</v>
      </c>
      <c r="I524" s="24">
        <v>47.1</v>
      </c>
      <c r="J524" s="10">
        <v>9</v>
      </c>
      <c r="K524" s="24">
        <v>12.44274356</v>
      </c>
      <c r="L524" s="24">
        <v>313.85914656</v>
      </c>
      <c r="M524" s="26">
        <f>_xlfn.CONCAT("'",$B524,"'","!","$N$3:$V$80")</f>
      </c>
      <c r="N524" s="26">
        <f>_xlfn.CONCAT("'",$B524,"'","!","$M$2:$M$80")</f>
      </c>
      <c r="O524" s="26">
        <f>_xlfn.CONCAT("'",$B524,"'","!","$N$2:$W$2")</f>
      </c>
      <c r="P524" s="2"/>
      <c r="Q524" s="2"/>
      <c r="R524" s="2"/>
      <c r="S524" s="2"/>
      <c r="T524" s="2"/>
      <c r="U524" s="2"/>
      <c r="V524" s="2"/>
      <c r="W524" s="2"/>
      <c r="X524" s="2"/>
      <c r="Y524" s="2"/>
    </row>
    <row x14ac:dyDescent="0.25" r="525" customHeight="1" ht="17.25">
      <c r="A525" s="10">
        <v>19</v>
      </c>
      <c r="B525" s="10">
        <v>2023</v>
      </c>
      <c r="C525" s="2" t="s">
        <v>123</v>
      </c>
      <c r="D525" s="23">
        <v>8</v>
      </c>
      <c r="E525" s="5" t="s">
        <v>16</v>
      </c>
      <c r="F525" s="24">
        <v>53.892807</v>
      </c>
      <c r="G525" s="23">
        <v>15</v>
      </c>
      <c r="H525" s="5" t="s">
        <v>16</v>
      </c>
      <c r="I525" s="24">
        <v>186.370566</v>
      </c>
      <c r="J525" s="10">
        <v>3</v>
      </c>
      <c r="K525" s="24">
        <v>51.282133120000005</v>
      </c>
      <c r="L525" s="24">
        <v>291.54550612</v>
      </c>
      <c r="M525" s="26">
        <f>_xlfn.CONCAT("'",$B525,"'","!","$N$3:$V$80")</f>
      </c>
      <c r="N525" s="26">
        <f>_xlfn.CONCAT("'",$B525,"'","!","$M$2:$M$80")</f>
      </c>
      <c r="O525" s="26">
        <f>_xlfn.CONCAT("'",$B525,"'","!","$N$2:$W$2")</f>
      </c>
      <c r="P525" s="2"/>
      <c r="Q525" s="2"/>
      <c r="R525" s="2"/>
      <c r="S525" s="2"/>
      <c r="T525" s="2"/>
      <c r="U525" s="2"/>
      <c r="V525" s="2"/>
      <c r="W525" s="2"/>
      <c r="X525" s="2"/>
      <c r="Y525" s="2"/>
    </row>
    <row x14ac:dyDescent="0.25" r="526" customHeight="1" ht="17.25">
      <c r="A526" s="10">
        <v>20</v>
      </c>
      <c r="B526" s="10">
        <v>2023</v>
      </c>
      <c r="C526" s="2" t="s">
        <v>124</v>
      </c>
      <c r="D526" s="23">
        <v>10</v>
      </c>
      <c r="E526" s="5" t="s">
        <v>16</v>
      </c>
      <c r="F526" s="24">
        <v>46.788627</v>
      </c>
      <c r="G526" s="23">
        <v>1</v>
      </c>
      <c r="H526" s="5" t="s">
        <v>16</v>
      </c>
      <c r="I526" s="24">
        <v>-2.382</v>
      </c>
      <c r="J526" s="10">
        <v>7</v>
      </c>
      <c r="K526" s="24">
        <v>0.229572</v>
      </c>
      <c r="L526" s="24">
        <v>44.636199</v>
      </c>
      <c r="M526" s="26">
        <f>_xlfn.CONCAT("'",$B526,"'","!","$N$3:$V$80")</f>
      </c>
      <c r="N526" s="26">
        <f>_xlfn.CONCAT("'",$B526,"'","!","$M$2:$M$80")</f>
      </c>
      <c r="O526" s="26">
        <f>_xlfn.CONCAT("'",$B526,"'","!","$N$2:$W$2")</f>
      </c>
      <c r="P526" s="2"/>
      <c r="Q526" s="2"/>
      <c r="R526" s="2"/>
      <c r="S526" s="2"/>
      <c r="T526" s="2"/>
      <c r="U526" s="2"/>
      <c r="V526" s="2"/>
      <c r="W526" s="2"/>
      <c r="X526" s="2"/>
      <c r="Y526" s="2"/>
    </row>
    <row x14ac:dyDescent="0.25" r="527" customHeight="1" ht="17.25">
      <c r="A527" s="10">
        <v>21</v>
      </c>
      <c r="B527" s="10">
        <v>2023</v>
      </c>
      <c r="C527" s="2" t="s">
        <v>125</v>
      </c>
      <c r="D527" s="23">
        <v>19</v>
      </c>
      <c r="E527" s="5" t="s">
        <v>16</v>
      </c>
      <c r="F527" s="24">
        <v>1326.933632</v>
      </c>
      <c r="G527" s="23">
        <v>11</v>
      </c>
      <c r="H527" s="5" t="s">
        <v>16</v>
      </c>
      <c r="I527" s="24">
        <v>271.16996</v>
      </c>
      <c r="J527" s="10">
        <v>2</v>
      </c>
      <c r="K527" s="24">
        <v>5.18377587</v>
      </c>
      <c r="L527" s="24">
        <v>1603.28736787</v>
      </c>
      <c r="M527" s="26">
        <f>_xlfn.CONCAT("'",$B527,"'","!","$N$3:$V$80")</f>
      </c>
      <c r="N527" s="26">
        <f>_xlfn.CONCAT("'",$B527,"'","!","$M$2:$M$80")</f>
      </c>
      <c r="O527" s="26">
        <f>_xlfn.CONCAT("'",$B527,"'","!","$N$2:$W$2")</f>
      </c>
      <c r="P527" s="2"/>
      <c r="Q527" s="2"/>
      <c r="R527" s="2"/>
      <c r="S527" s="2"/>
      <c r="T527" s="2"/>
      <c r="U527" s="2"/>
      <c r="V527" s="2"/>
      <c r="W527" s="2"/>
      <c r="X527" s="2"/>
      <c r="Y527" s="2"/>
    </row>
    <row x14ac:dyDescent="0.25" r="528" customHeight="1" ht="17.25">
      <c r="A528" s="10">
        <v>22</v>
      </c>
      <c r="B528" s="10">
        <v>2023</v>
      </c>
      <c r="C528" s="2" t="s">
        <v>126</v>
      </c>
      <c r="D528" s="23">
        <v>26</v>
      </c>
      <c r="E528" s="5" t="s">
        <v>16</v>
      </c>
      <c r="F528" s="24">
        <v>3103.92572</v>
      </c>
      <c r="G528" s="23">
        <v>0</v>
      </c>
      <c r="H528" s="5" t="s">
        <v>16</v>
      </c>
      <c r="I528" s="23">
        <v>0</v>
      </c>
      <c r="J528" s="10">
        <v>4</v>
      </c>
      <c r="K528" s="24">
        <v>6.6460889299999995</v>
      </c>
      <c r="L528" s="24">
        <v>3110.5718089300003</v>
      </c>
      <c r="M528" s="26">
        <f>_xlfn.CONCAT("'",$B528,"'","!","$N$3:$V$80")</f>
      </c>
      <c r="N528" s="26">
        <f>_xlfn.CONCAT("'",$B528,"'","!","$M$2:$M$80")</f>
      </c>
      <c r="O528" s="26">
        <f>_xlfn.CONCAT("'",$B528,"'","!","$N$2:$W$2")</f>
      </c>
      <c r="P528" s="2"/>
      <c r="Q528" s="2"/>
      <c r="R528" s="2"/>
      <c r="S528" s="2"/>
      <c r="T528" s="2"/>
      <c r="U528" s="2"/>
      <c r="V528" s="2"/>
      <c r="W528" s="2"/>
      <c r="X528" s="2"/>
      <c r="Y528" s="2"/>
    </row>
    <row x14ac:dyDescent="0.25" r="529" customHeight="1" ht="17.25">
      <c r="A529" s="10">
        <v>23</v>
      </c>
      <c r="B529" s="10">
        <v>2023</v>
      </c>
      <c r="C529" s="2" t="s">
        <v>127</v>
      </c>
      <c r="D529" s="23">
        <v>3</v>
      </c>
      <c r="E529" s="5" t="s">
        <v>16</v>
      </c>
      <c r="F529" s="24">
        <v>3.732709</v>
      </c>
      <c r="G529" s="23">
        <v>0</v>
      </c>
      <c r="H529" s="5" t="s">
        <v>16</v>
      </c>
      <c r="I529" s="23">
        <v>0</v>
      </c>
      <c r="J529" s="10">
        <v>1</v>
      </c>
      <c r="K529" s="24">
        <v>0.20907379999999998</v>
      </c>
      <c r="L529" s="24">
        <v>3.9417828</v>
      </c>
      <c r="M529" s="26">
        <f>_xlfn.CONCAT("'",$B529,"'","!","$N$3:$V$80")</f>
      </c>
      <c r="N529" s="26">
        <f>_xlfn.CONCAT("'",$B529,"'","!","$M$2:$M$80")</f>
      </c>
      <c r="O529" s="26">
        <f>_xlfn.CONCAT("'",$B529,"'","!","$N$2:$W$2")</f>
      </c>
      <c r="P529" s="2"/>
      <c r="Q529" s="2"/>
      <c r="R529" s="2"/>
      <c r="S529" s="2"/>
      <c r="T529" s="2"/>
      <c r="U529" s="2"/>
      <c r="V529" s="2"/>
      <c r="W529" s="2"/>
      <c r="X529" s="2"/>
      <c r="Y529" s="2"/>
    </row>
    <row x14ac:dyDescent="0.25" r="530" customHeight="1" ht="17.25">
      <c r="A530" s="10">
        <v>24</v>
      </c>
      <c r="B530" s="10">
        <v>2023</v>
      </c>
      <c r="C530" s="2" t="s">
        <v>128</v>
      </c>
      <c r="D530" s="23">
        <v>3</v>
      </c>
      <c r="E530" s="5" t="s">
        <v>16</v>
      </c>
      <c r="F530" s="24">
        <v>1.22064</v>
      </c>
      <c r="G530" s="23">
        <v>5</v>
      </c>
      <c r="H530" s="5" t="s">
        <v>16</v>
      </c>
      <c r="I530" s="24">
        <v>45.51337644999999</v>
      </c>
      <c r="J530" s="10">
        <v>35</v>
      </c>
      <c r="K530" s="24">
        <v>2.0312373999999997</v>
      </c>
      <c r="L530" s="24">
        <v>48.76525384999999</v>
      </c>
      <c r="M530" s="26">
        <f>_xlfn.CONCAT("'",$B530,"'","!","$N$3:$V$80")</f>
      </c>
      <c r="N530" s="26">
        <f>_xlfn.CONCAT("'",$B530,"'","!","$M$2:$M$80")</f>
      </c>
      <c r="O530" s="26">
        <f>_xlfn.CONCAT("'",$B530,"'","!","$N$2:$W$2")</f>
      </c>
      <c r="P530" s="2"/>
      <c r="Q530" s="2"/>
      <c r="R530" s="2"/>
      <c r="S530" s="2"/>
      <c r="T530" s="2"/>
      <c r="U530" s="2"/>
      <c r="V530" s="2"/>
      <c r="W530" s="2"/>
      <c r="X530" s="2"/>
      <c r="Y530" s="2"/>
    </row>
    <row x14ac:dyDescent="0.25" r="531" customHeight="1" ht="17.25">
      <c r="A531" s="10">
        <v>25</v>
      </c>
      <c r="B531" s="10">
        <v>2023</v>
      </c>
      <c r="C531" s="2" t="s">
        <v>129</v>
      </c>
      <c r="D531" s="23">
        <v>1</v>
      </c>
      <c r="E531" s="5" t="s">
        <v>16</v>
      </c>
      <c r="F531" s="24">
        <v>0.7</v>
      </c>
      <c r="G531" s="23">
        <v>2</v>
      </c>
      <c r="H531" s="5" t="s">
        <v>16</v>
      </c>
      <c r="I531" s="24">
        <v>7.331216</v>
      </c>
      <c r="J531" s="10">
        <v>10</v>
      </c>
      <c r="K531" s="24">
        <v>3.7970856299999998</v>
      </c>
      <c r="L531" s="24">
        <v>11.82830163</v>
      </c>
      <c r="M531" s="26">
        <f>_xlfn.CONCAT("'",$B531,"'","!","$N$3:$V$80")</f>
      </c>
      <c r="N531" s="26">
        <f>_xlfn.CONCAT("'",$B531,"'","!","$M$2:$M$80")</f>
      </c>
      <c r="O531" s="26">
        <f>_xlfn.CONCAT("'",$B531,"'","!","$N$2:$W$2")</f>
      </c>
      <c r="P531" s="2"/>
      <c r="Q531" s="2"/>
      <c r="R531" s="2"/>
      <c r="S531" s="2"/>
      <c r="T531" s="2"/>
      <c r="U531" s="2"/>
      <c r="V531" s="2"/>
      <c r="W531" s="2"/>
      <c r="X531" s="2"/>
      <c r="Y531" s="2"/>
    </row>
    <row x14ac:dyDescent="0.25" r="532" customHeight="1" ht="17.25">
      <c r="A532" s="10">
        <v>26</v>
      </c>
      <c r="B532" s="10">
        <v>2023</v>
      </c>
      <c r="C532" s="2" t="s">
        <v>130</v>
      </c>
      <c r="D532" s="23">
        <v>2</v>
      </c>
      <c r="E532" s="5" t="s">
        <v>16</v>
      </c>
      <c r="F532" s="24">
        <v>6.6</v>
      </c>
      <c r="G532" s="23">
        <v>2</v>
      </c>
      <c r="H532" s="5" t="s">
        <v>16</v>
      </c>
      <c r="I532" s="24">
        <v>5.37</v>
      </c>
      <c r="J532" s="10">
        <v>6</v>
      </c>
      <c r="K532" s="24">
        <v>0.9780670600000001</v>
      </c>
      <c r="L532" s="24">
        <v>12.94806706</v>
      </c>
      <c r="M532" s="26">
        <f>_xlfn.CONCAT("'",$B532,"'","!","$N$3:$V$80")</f>
      </c>
      <c r="N532" s="26">
        <f>_xlfn.CONCAT("'",$B532,"'","!","$M$2:$M$80")</f>
      </c>
      <c r="O532" s="26">
        <f>_xlfn.CONCAT("'",$B532,"'","!","$N$2:$W$2")</f>
      </c>
      <c r="P532" s="2"/>
      <c r="Q532" s="2"/>
      <c r="R532" s="2"/>
      <c r="S532" s="2"/>
      <c r="T532" s="2"/>
      <c r="U532" s="2"/>
      <c r="V532" s="2"/>
      <c r="W532" s="2"/>
      <c r="X532" s="2"/>
      <c r="Y532" s="2"/>
    </row>
    <row x14ac:dyDescent="0.25" r="533" customHeight="1" ht="17.25">
      <c r="A533" s="10">
        <v>27</v>
      </c>
      <c r="B533" s="10">
        <v>2023</v>
      </c>
      <c r="C533" s="2" t="s">
        <v>131</v>
      </c>
      <c r="D533" s="23">
        <v>2</v>
      </c>
      <c r="E533" s="5" t="s">
        <v>16</v>
      </c>
      <c r="F533" s="24">
        <v>15.8099538</v>
      </c>
      <c r="G533" s="23">
        <v>9</v>
      </c>
      <c r="H533" s="5" t="s">
        <v>16</v>
      </c>
      <c r="I533" s="24">
        <v>62.95088475</v>
      </c>
      <c r="J533" s="10">
        <v>1</v>
      </c>
      <c r="K533" s="24">
        <v>0.28</v>
      </c>
      <c r="L533" s="24">
        <v>79.04083855</v>
      </c>
      <c r="M533" s="26">
        <f>_xlfn.CONCAT("'",$B533,"'","!","$N$3:$V$80")</f>
      </c>
      <c r="N533" s="26">
        <f>_xlfn.CONCAT("'",$B533,"'","!","$M$2:$M$80")</f>
      </c>
      <c r="O533" s="26">
        <f>_xlfn.CONCAT("'",$B533,"'","!","$N$2:$W$2")</f>
      </c>
      <c r="P533" s="2"/>
      <c r="Q533" s="2"/>
      <c r="R533" s="2"/>
      <c r="S533" s="2"/>
      <c r="T533" s="2"/>
      <c r="U533" s="2"/>
      <c r="V533" s="2"/>
      <c r="W533" s="2"/>
      <c r="X533" s="2"/>
      <c r="Y533" s="2"/>
    </row>
    <row x14ac:dyDescent="0.25" r="534" customHeight="1" ht="17.25">
      <c r="A534" s="10">
        <v>28</v>
      </c>
      <c r="B534" s="10">
        <v>2023</v>
      </c>
      <c r="C534" s="2" t="s">
        <v>132</v>
      </c>
      <c r="D534" s="23">
        <v>7</v>
      </c>
      <c r="E534" s="5" t="s">
        <v>16</v>
      </c>
      <c r="F534" s="24">
        <v>111.291028</v>
      </c>
      <c r="G534" s="23">
        <v>1</v>
      </c>
      <c r="H534" s="5" t="s">
        <v>16</v>
      </c>
      <c r="I534" s="23">
        <v>12</v>
      </c>
      <c r="J534" s="10">
        <v>1</v>
      </c>
      <c r="K534" s="24">
        <v>0.1702</v>
      </c>
      <c r="L534" s="24">
        <v>123.46122799999999</v>
      </c>
      <c r="M534" s="26">
        <f>_xlfn.CONCAT("'",$B534,"'","!","$N$3:$V$80")</f>
      </c>
      <c r="N534" s="26">
        <f>_xlfn.CONCAT("'",$B534,"'","!","$M$2:$M$80")</f>
      </c>
      <c r="O534" s="26">
        <f>_xlfn.CONCAT("'",$B534,"'","!","$N$2:$W$2")</f>
      </c>
      <c r="P534" s="2"/>
      <c r="Q534" s="2"/>
      <c r="R534" s="2"/>
      <c r="S534" s="2"/>
      <c r="T534" s="2"/>
      <c r="U534" s="2"/>
      <c r="V534" s="2"/>
      <c r="W534" s="2"/>
      <c r="X534" s="2"/>
      <c r="Y534" s="2"/>
    </row>
    <row x14ac:dyDescent="0.25" r="535" customHeight="1" ht="17.25">
      <c r="A535" s="10">
        <v>29</v>
      </c>
      <c r="B535" s="10">
        <v>2023</v>
      </c>
      <c r="C535" s="2" t="s">
        <v>133</v>
      </c>
      <c r="D535" s="23">
        <v>7</v>
      </c>
      <c r="E535" s="5" t="s">
        <v>16</v>
      </c>
      <c r="F535" s="24">
        <v>203.979847</v>
      </c>
      <c r="G535" s="23">
        <v>9</v>
      </c>
      <c r="H535" s="5" t="s">
        <v>16</v>
      </c>
      <c r="I535" s="24">
        <v>44.092332</v>
      </c>
      <c r="J535" s="10">
        <v>0</v>
      </c>
      <c r="K535" s="23">
        <v>0</v>
      </c>
      <c r="L535" s="24">
        <v>248.072179</v>
      </c>
      <c r="M535" s="26">
        <f>_xlfn.CONCAT("'",$B535,"'","!","$N$3:$V$80")</f>
      </c>
      <c r="N535" s="26">
        <f>_xlfn.CONCAT("'",$B535,"'","!","$M$2:$M$80")</f>
      </c>
      <c r="O535" s="26">
        <f>_xlfn.CONCAT("'",$B535,"'","!","$N$2:$W$2")</f>
      </c>
      <c r="P535" s="2"/>
      <c r="Q535" s="2"/>
      <c r="R535" s="2"/>
      <c r="S535" s="2"/>
      <c r="T535" s="2"/>
      <c r="U535" s="2"/>
      <c r="V535" s="2"/>
      <c r="W535" s="2"/>
      <c r="X535" s="2"/>
      <c r="Y535" s="2"/>
    </row>
    <row x14ac:dyDescent="0.25" r="536" customHeight="1" ht="17.25">
      <c r="A536" s="10">
        <v>30</v>
      </c>
      <c r="B536" s="10">
        <v>2023</v>
      </c>
      <c r="C536" s="2" t="s">
        <v>134</v>
      </c>
      <c r="D536" s="23">
        <v>3</v>
      </c>
      <c r="E536" s="5" t="s">
        <v>16</v>
      </c>
      <c r="F536" s="24">
        <v>16.636565</v>
      </c>
      <c r="G536" s="23">
        <v>0</v>
      </c>
      <c r="H536" s="5" t="s">
        <v>16</v>
      </c>
      <c r="I536" s="23">
        <v>0</v>
      </c>
      <c r="J536" s="10">
        <v>5</v>
      </c>
      <c r="K536" s="24">
        <v>149.51608635</v>
      </c>
      <c r="L536" s="24">
        <v>166.15265134999999</v>
      </c>
      <c r="M536" s="26">
        <f>_xlfn.CONCAT("'",$B536,"'","!","$N$3:$V$80")</f>
      </c>
      <c r="N536" s="26">
        <f>_xlfn.CONCAT("'",$B536,"'","!","$M$2:$M$80")</f>
      </c>
      <c r="O536" s="26">
        <f>_xlfn.CONCAT("'",$B536,"'","!","$N$2:$W$2")</f>
      </c>
      <c r="P536" s="2"/>
      <c r="Q536" s="2"/>
      <c r="R536" s="2"/>
      <c r="S536" s="2"/>
      <c r="T536" s="2"/>
      <c r="U536" s="2"/>
      <c r="V536" s="2"/>
      <c r="W536" s="2"/>
      <c r="X536" s="2"/>
      <c r="Y536" s="2"/>
    </row>
    <row x14ac:dyDescent="0.25" r="537" customHeight="1" ht="17.25">
      <c r="A537" s="10">
        <v>31</v>
      </c>
      <c r="B537" s="10">
        <v>2023</v>
      </c>
      <c r="C537" s="2" t="s">
        <v>135</v>
      </c>
      <c r="D537" s="23">
        <v>0</v>
      </c>
      <c r="E537" s="5" t="s">
        <v>16</v>
      </c>
      <c r="F537" s="23">
        <v>0</v>
      </c>
      <c r="G537" s="23">
        <v>1</v>
      </c>
      <c r="H537" s="5" t="s">
        <v>16</v>
      </c>
      <c r="I537" s="24">
        <v>179.795984</v>
      </c>
      <c r="J537" s="10">
        <v>1</v>
      </c>
      <c r="K537" s="24">
        <v>0.051</v>
      </c>
      <c r="L537" s="24">
        <v>179.846984</v>
      </c>
      <c r="M537" s="26">
        <f>_xlfn.CONCAT("'",$B537,"'","!","$N$3:$V$80")</f>
      </c>
      <c r="N537" s="26">
        <f>_xlfn.CONCAT("'",$B537,"'","!","$M$2:$M$80")</f>
      </c>
      <c r="O537" s="26">
        <f>_xlfn.CONCAT("'",$B537,"'","!","$N$2:$W$2")</f>
      </c>
      <c r="P537" s="2"/>
      <c r="Q537" s="2"/>
      <c r="R537" s="2"/>
      <c r="S537" s="2"/>
      <c r="T537" s="2"/>
      <c r="U537" s="2"/>
      <c r="V537" s="2"/>
      <c r="W537" s="2"/>
      <c r="X537" s="2"/>
      <c r="Y537" s="2"/>
    </row>
    <row x14ac:dyDescent="0.25" r="538" customHeight="1" ht="17.25">
      <c r="A538" s="10">
        <v>32</v>
      </c>
      <c r="B538" s="10">
        <v>2023</v>
      </c>
      <c r="C538" s="2" t="s">
        <v>136</v>
      </c>
      <c r="D538" s="23">
        <v>1</v>
      </c>
      <c r="E538" s="5" t="s">
        <v>16</v>
      </c>
      <c r="F538" s="24">
        <v>90.756312</v>
      </c>
      <c r="G538" s="23">
        <v>1</v>
      </c>
      <c r="H538" s="5" t="s">
        <v>16</v>
      </c>
      <c r="I538" s="24">
        <v>0.5</v>
      </c>
      <c r="J538" s="10">
        <v>0</v>
      </c>
      <c r="K538" s="23">
        <v>0</v>
      </c>
      <c r="L538" s="24">
        <v>91.256312</v>
      </c>
      <c r="M538" s="26">
        <f>_xlfn.CONCAT("'",$B538,"'","!","$N$3:$V$80")</f>
      </c>
      <c r="N538" s="26">
        <f>_xlfn.CONCAT("'",$B538,"'","!","$M$2:$M$80")</f>
      </c>
      <c r="O538" s="26">
        <f>_xlfn.CONCAT("'",$B538,"'","!","$N$2:$W$2")</f>
      </c>
      <c r="P538" s="2"/>
      <c r="Q538" s="2"/>
      <c r="R538" s="2"/>
      <c r="S538" s="2"/>
      <c r="T538" s="2"/>
      <c r="U538" s="2"/>
      <c r="V538" s="2"/>
      <c r="W538" s="2"/>
      <c r="X538" s="2"/>
      <c r="Y538" s="2"/>
    </row>
    <row x14ac:dyDescent="0.25" r="539" customHeight="1" ht="17.25">
      <c r="A539" s="10">
        <v>33</v>
      </c>
      <c r="B539" s="10">
        <v>2023</v>
      </c>
      <c r="C539" s="2" t="s">
        <v>137</v>
      </c>
      <c r="D539" s="23">
        <v>2</v>
      </c>
      <c r="E539" s="5" t="s">
        <v>16</v>
      </c>
      <c r="F539" s="24">
        <v>6.308968</v>
      </c>
      <c r="G539" s="23">
        <v>0</v>
      </c>
      <c r="H539" s="5" t="s">
        <v>16</v>
      </c>
      <c r="I539" s="23">
        <v>0</v>
      </c>
      <c r="J539" s="10">
        <v>7</v>
      </c>
      <c r="K539" s="24">
        <v>11.08831798</v>
      </c>
      <c r="L539" s="24">
        <v>17.39728598</v>
      </c>
      <c r="M539" s="26">
        <f>_xlfn.CONCAT("'",$B539,"'","!","$N$3:$V$80")</f>
      </c>
      <c r="N539" s="26">
        <f>_xlfn.CONCAT("'",$B539,"'","!","$M$2:$M$80")</f>
      </c>
      <c r="O539" s="26">
        <f>_xlfn.CONCAT("'",$B539,"'","!","$N$2:$W$2")</f>
      </c>
      <c r="P539" s="2"/>
      <c r="Q539" s="2"/>
      <c r="R539" s="2"/>
      <c r="S539" s="2"/>
      <c r="T539" s="2"/>
      <c r="U539" s="2"/>
      <c r="V539" s="2"/>
      <c r="W539" s="2"/>
      <c r="X539" s="2"/>
      <c r="Y539" s="2"/>
    </row>
    <row x14ac:dyDescent="0.25" r="540" customHeight="1" ht="17.25">
      <c r="A540" s="10">
        <v>34</v>
      </c>
      <c r="B540" s="10">
        <v>2023</v>
      </c>
      <c r="C540" s="2" t="s">
        <v>138</v>
      </c>
      <c r="D540" s="23">
        <v>6</v>
      </c>
      <c r="E540" s="5" t="s">
        <v>16</v>
      </c>
      <c r="F540" s="24">
        <v>46.201351</v>
      </c>
      <c r="G540" s="23">
        <v>4</v>
      </c>
      <c r="H540" s="5" t="s">
        <v>16</v>
      </c>
      <c r="I540" s="24">
        <v>2.744908</v>
      </c>
      <c r="J540" s="10">
        <v>3</v>
      </c>
      <c r="K540" s="24">
        <v>21.484356</v>
      </c>
      <c r="L540" s="24">
        <v>70.430615</v>
      </c>
      <c r="M540" s="26">
        <f>_xlfn.CONCAT("'",$B540,"'","!","$N$3:$V$80")</f>
      </c>
      <c r="N540" s="26">
        <f>_xlfn.CONCAT("'",$B540,"'","!","$M$2:$M$80")</f>
      </c>
      <c r="O540" s="26">
        <f>_xlfn.CONCAT("'",$B540,"'","!","$N$2:$W$2")</f>
      </c>
      <c r="P540" s="2"/>
      <c r="Q540" s="2"/>
      <c r="R540" s="2"/>
      <c r="S540" s="2"/>
      <c r="T540" s="2"/>
      <c r="U540" s="2"/>
      <c r="V540" s="2"/>
      <c r="W540" s="2"/>
      <c r="X540" s="2"/>
      <c r="Y540" s="2"/>
    </row>
    <row x14ac:dyDescent="0.25" r="541" customHeight="1" ht="17.25">
      <c r="A541" s="10">
        <v>35</v>
      </c>
      <c r="B541" s="10">
        <v>2023</v>
      </c>
      <c r="C541" s="2" t="s">
        <v>139</v>
      </c>
      <c r="D541" s="23">
        <v>1</v>
      </c>
      <c r="E541" s="5" t="s">
        <v>16</v>
      </c>
      <c r="F541" s="24">
        <v>0.15</v>
      </c>
      <c r="G541" s="23">
        <v>1</v>
      </c>
      <c r="H541" s="5" t="s">
        <v>16</v>
      </c>
      <c r="I541" s="23">
        <v>1</v>
      </c>
      <c r="J541" s="10">
        <v>1</v>
      </c>
      <c r="K541" s="24">
        <v>0.20532464</v>
      </c>
      <c r="L541" s="24">
        <v>1.3553246399999999</v>
      </c>
      <c r="M541" s="26">
        <f>_xlfn.CONCAT("'",$B541,"'","!","$N$3:$V$80")</f>
      </c>
      <c r="N541" s="26">
        <f>_xlfn.CONCAT("'",$B541,"'","!","$M$2:$M$80")</f>
      </c>
      <c r="O541" s="26">
        <f>_xlfn.CONCAT("'",$B541,"'","!","$N$2:$W$2")</f>
      </c>
      <c r="P541" s="2"/>
      <c r="Q541" s="2"/>
      <c r="R541" s="2"/>
      <c r="S541" s="2"/>
      <c r="T541" s="2"/>
      <c r="U541" s="2"/>
      <c r="V541" s="2"/>
      <c r="W541" s="2"/>
      <c r="X541" s="2"/>
      <c r="Y541" s="2"/>
    </row>
    <row x14ac:dyDescent="0.25" r="542" customHeight="1" ht="17.25">
      <c r="A542" s="10">
        <v>36</v>
      </c>
      <c r="B542" s="10">
        <v>2023</v>
      </c>
      <c r="C542" s="2" t="s">
        <v>140</v>
      </c>
      <c r="D542" s="23">
        <v>1</v>
      </c>
      <c r="E542" s="5" t="s">
        <v>16</v>
      </c>
      <c r="F542" s="24">
        <v>1.03214711</v>
      </c>
      <c r="G542" s="23">
        <v>0</v>
      </c>
      <c r="H542" s="5" t="s">
        <v>16</v>
      </c>
      <c r="I542" s="23">
        <v>0</v>
      </c>
      <c r="J542" s="10">
        <v>2</v>
      </c>
      <c r="K542" s="24">
        <v>0.0042844499999999995</v>
      </c>
      <c r="L542" s="24">
        <v>1.03643156</v>
      </c>
      <c r="M542" s="26">
        <f>_xlfn.CONCAT("'",$B542,"'","!","$N$3:$V$80")</f>
      </c>
      <c r="N542" s="26">
        <f>_xlfn.CONCAT("'",$B542,"'","!","$M$2:$M$80")</f>
      </c>
      <c r="O542" s="26">
        <f>_xlfn.CONCAT("'",$B542,"'","!","$N$2:$W$2")</f>
      </c>
      <c r="P542" s="2"/>
      <c r="Q542" s="2"/>
      <c r="R542" s="2"/>
      <c r="S542" s="2"/>
      <c r="T542" s="2"/>
      <c r="U542" s="2"/>
      <c r="V542" s="2"/>
      <c r="W542" s="2"/>
      <c r="X542" s="2"/>
      <c r="Y542" s="2"/>
    </row>
    <row x14ac:dyDescent="0.25" r="543" customHeight="1" ht="17.25">
      <c r="A543" s="10">
        <v>37</v>
      </c>
      <c r="B543" s="10">
        <v>2023</v>
      </c>
      <c r="C543" s="2" t="s">
        <v>141</v>
      </c>
      <c r="D543" s="23">
        <v>3</v>
      </c>
      <c r="E543" s="5" t="s">
        <v>16</v>
      </c>
      <c r="F543" s="24">
        <v>0.6353916799999999</v>
      </c>
      <c r="G543" s="23">
        <v>5</v>
      </c>
      <c r="H543" s="5" t="s">
        <v>16</v>
      </c>
      <c r="I543" s="24">
        <v>54.141614</v>
      </c>
      <c r="J543" s="10">
        <v>6</v>
      </c>
      <c r="K543" s="24">
        <v>5.81964479</v>
      </c>
      <c r="L543" s="24">
        <v>60.59665046999999</v>
      </c>
      <c r="M543" s="26">
        <f>_xlfn.CONCAT("'",$B543,"'","!","$N$3:$V$80")</f>
      </c>
      <c r="N543" s="26">
        <f>_xlfn.CONCAT("'",$B543,"'","!","$M$2:$M$80")</f>
      </c>
      <c r="O543" s="26">
        <f>_xlfn.CONCAT("'",$B543,"'","!","$N$2:$W$2")</f>
      </c>
      <c r="P543" s="2"/>
      <c r="Q543" s="2"/>
      <c r="R543" s="2"/>
      <c r="S543" s="2"/>
      <c r="T543" s="2"/>
      <c r="U543" s="2"/>
      <c r="V543" s="2"/>
      <c r="W543" s="2"/>
      <c r="X543" s="2"/>
      <c r="Y543" s="2"/>
    </row>
    <row x14ac:dyDescent="0.25" r="544" customHeight="1" ht="17.25">
      <c r="A544" s="10">
        <v>38</v>
      </c>
      <c r="B544" s="10">
        <v>2023</v>
      </c>
      <c r="C544" s="2" t="s">
        <v>142</v>
      </c>
      <c r="D544" s="23">
        <v>34</v>
      </c>
      <c r="E544" s="5" t="s">
        <v>16</v>
      </c>
      <c r="F544" s="24">
        <v>2686.315015</v>
      </c>
      <c r="G544" s="23">
        <v>4</v>
      </c>
      <c r="H544" s="5" t="s">
        <v>16</v>
      </c>
      <c r="I544" s="24">
        <v>104.268255</v>
      </c>
      <c r="J544" s="10">
        <v>1</v>
      </c>
      <c r="K544" s="24">
        <v>0.050215510000000005</v>
      </c>
      <c r="L544" s="24">
        <v>2790.63348551</v>
      </c>
      <c r="M544" s="26">
        <f>_xlfn.CONCAT("'",$B544,"'","!","$N$3:$V$80")</f>
      </c>
      <c r="N544" s="26">
        <f>_xlfn.CONCAT("'",$B544,"'","!","$M$2:$M$80")</f>
      </c>
      <c r="O544" s="26">
        <f>_xlfn.CONCAT("'",$B544,"'","!","$N$2:$W$2")</f>
      </c>
      <c r="P544" s="2"/>
      <c r="Q544" s="2"/>
      <c r="R544" s="2"/>
      <c r="S544" s="2"/>
      <c r="T544" s="2"/>
      <c r="U544" s="2"/>
      <c r="V544" s="2"/>
      <c r="W544" s="2"/>
      <c r="X544" s="2"/>
      <c r="Y544" s="2"/>
    </row>
    <row x14ac:dyDescent="0.25" r="545" customHeight="1" ht="17.25">
      <c r="A545" s="10">
        <v>39</v>
      </c>
      <c r="B545" s="10">
        <v>2023</v>
      </c>
      <c r="C545" s="2" t="s">
        <v>143</v>
      </c>
      <c r="D545" s="23">
        <v>0</v>
      </c>
      <c r="E545" s="5" t="s">
        <v>16</v>
      </c>
      <c r="F545" s="23">
        <v>0</v>
      </c>
      <c r="G545" s="23">
        <v>0</v>
      </c>
      <c r="H545" s="5" t="s">
        <v>16</v>
      </c>
      <c r="I545" s="23">
        <v>0</v>
      </c>
      <c r="J545" s="10">
        <v>2</v>
      </c>
      <c r="K545" s="24">
        <v>0.36775621999999997</v>
      </c>
      <c r="L545" s="24">
        <v>0.36775621999999997</v>
      </c>
      <c r="M545" s="26">
        <f>_xlfn.CONCAT("'",$B545,"'","!","$N$3:$V$80")</f>
      </c>
      <c r="N545" s="26">
        <f>_xlfn.CONCAT("'",$B545,"'","!","$M$2:$M$80")</f>
      </c>
      <c r="O545" s="26">
        <f>_xlfn.CONCAT("'",$B545,"'","!","$N$2:$W$2")</f>
      </c>
      <c r="P545" s="2"/>
      <c r="Q545" s="2"/>
      <c r="R545" s="2"/>
      <c r="S545" s="2"/>
      <c r="T545" s="2"/>
      <c r="U545" s="2"/>
      <c r="V545" s="2"/>
      <c r="W545" s="2"/>
      <c r="X545" s="2"/>
      <c r="Y545" s="2"/>
    </row>
    <row x14ac:dyDescent="0.25" r="546" customHeight="1" ht="17.25">
      <c r="A546" s="10">
        <v>40</v>
      </c>
      <c r="B546" s="10">
        <v>2023</v>
      </c>
      <c r="C546" s="2" t="s">
        <v>144</v>
      </c>
      <c r="D546" s="23">
        <v>19</v>
      </c>
      <c r="E546" s="5" t="s">
        <v>16</v>
      </c>
      <c r="F546" s="24">
        <v>328.254748</v>
      </c>
      <c r="G546" s="23">
        <v>3</v>
      </c>
      <c r="H546" s="5" t="s">
        <v>16</v>
      </c>
      <c r="I546" s="24">
        <v>4.95501</v>
      </c>
      <c r="J546" s="10">
        <v>8</v>
      </c>
      <c r="K546" s="24">
        <v>96.13967489</v>
      </c>
      <c r="L546" s="24">
        <v>429.34943289</v>
      </c>
      <c r="M546" s="26">
        <f>_xlfn.CONCAT("'",$B546,"'","!","$N$3:$V$80")</f>
      </c>
      <c r="N546" s="26">
        <f>_xlfn.CONCAT("'",$B546,"'","!","$M$2:$M$80")</f>
      </c>
      <c r="O546" s="26">
        <f>_xlfn.CONCAT("'",$B546,"'","!","$N$2:$W$2")</f>
      </c>
      <c r="P546" s="2"/>
      <c r="Q546" s="2"/>
      <c r="R546" s="2"/>
      <c r="S546" s="2"/>
      <c r="T546" s="2"/>
      <c r="U546" s="2"/>
      <c r="V546" s="2"/>
      <c r="W546" s="2"/>
      <c r="X546" s="2"/>
      <c r="Y546" s="2"/>
    </row>
    <row x14ac:dyDescent="0.25" r="547" customHeight="1" ht="17.25">
      <c r="A547" s="10">
        <v>41</v>
      </c>
      <c r="B547" s="10">
        <v>2023</v>
      </c>
      <c r="C547" s="2" t="s">
        <v>145</v>
      </c>
      <c r="D547" s="23">
        <v>2</v>
      </c>
      <c r="E547" s="5" t="s">
        <v>16</v>
      </c>
      <c r="F547" s="24">
        <v>5.28586902</v>
      </c>
      <c r="G547" s="23">
        <v>2</v>
      </c>
      <c r="H547" s="5" t="s">
        <v>16</v>
      </c>
      <c r="I547" s="24">
        <v>-0.840336</v>
      </c>
      <c r="J547" s="10">
        <v>4</v>
      </c>
      <c r="K547" s="24">
        <v>3.84536414</v>
      </c>
      <c r="L547" s="24">
        <v>8.29089716</v>
      </c>
      <c r="M547" s="26">
        <f>_xlfn.CONCAT("'",$B547,"'","!","$N$3:$V$80")</f>
      </c>
      <c r="N547" s="26">
        <f>_xlfn.CONCAT("'",$B547,"'","!","$M$2:$M$80")</f>
      </c>
      <c r="O547" s="26">
        <f>_xlfn.CONCAT("'",$B547,"'","!","$N$2:$W$2")</f>
      </c>
      <c r="P547" s="2"/>
      <c r="Q547" s="2"/>
      <c r="R547" s="2"/>
      <c r="S547" s="2"/>
      <c r="T547" s="2"/>
      <c r="U547" s="2"/>
      <c r="V547" s="2"/>
      <c r="W547" s="2"/>
      <c r="X547" s="2"/>
      <c r="Y547" s="2"/>
    </row>
    <row x14ac:dyDescent="0.25" r="548" customHeight="1" ht="17.25">
      <c r="A548" s="10">
        <v>42</v>
      </c>
      <c r="B548" s="10">
        <v>2023</v>
      </c>
      <c r="C548" s="2" t="s">
        <v>146</v>
      </c>
      <c r="D548" s="23">
        <v>4</v>
      </c>
      <c r="E548" s="5" t="s">
        <v>16</v>
      </c>
      <c r="F548" s="24">
        <v>73.746344</v>
      </c>
      <c r="G548" s="23">
        <v>0</v>
      </c>
      <c r="H548" s="5" t="s">
        <v>16</v>
      </c>
      <c r="I548" s="23">
        <v>0</v>
      </c>
      <c r="J548" s="10">
        <v>0</v>
      </c>
      <c r="K548" s="23">
        <v>0</v>
      </c>
      <c r="L548" s="24">
        <v>73.746344</v>
      </c>
      <c r="M548" s="26">
        <f>_xlfn.CONCAT("'",$B548,"'","!","$N$3:$V$80")</f>
      </c>
      <c r="N548" s="26">
        <f>_xlfn.CONCAT("'",$B548,"'","!","$M$2:$M$80")</f>
      </c>
      <c r="O548" s="26">
        <f>_xlfn.CONCAT("'",$B548,"'","!","$N$2:$W$2")</f>
      </c>
      <c r="P548" s="2"/>
      <c r="Q548" s="2"/>
      <c r="R548" s="2"/>
      <c r="S548" s="2"/>
      <c r="T548" s="2"/>
      <c r="U548" s="2"/>
      <c r="V548" s="2"/>
      <c r="W548" s="2"/>
      <c r="X548" s="2"/>
      <c r="Y548" s="2"/>
    </row>
    <row x14ac:dyDescent="0.25" r="549" customHeight="1" ht="17.25">
      <c r="A549" s="10">
        <v>43</v>
      </c>
      <c r="B549" s="10">
        <v>2023</v>
      </c>
      <c r="C549" s="2" t="s">
        <v>147</v>
      </c>
      <c r="D549" s="23">
        <v>2</v>
      </c>
      <c r="E549" s="5" t="s">
        <v>16</v>
      </c>
      <c r="F549" s="24">
        <v>1.421527</v>
      </c>
      <c r="G549" s="23">
        <v>1</v>
      </c>
      <c r="H549" s="5" t="s">
        <v>16</v>
      </c>
      <c r="I549" s="24">
        <v>0.1</v>
      </c>
      <c r="J549" s="10">
        <v>15</v>
      </c>
      <c r="K549" s="24">
        <v>11.25961835</v>
      </c>
      <c r="L549" s="24">
        <v>12.781145350000001</v>
      </c>
      <c r="M549" s="26">
        <f>_xlfn.CONCAT("'",$B549,"'","!","$N$3:$V$80")</f>
      </c>
      <c r="N549" s="26">
        <f>_xlfn.CONCAT("'",$B549,"'","!","$M$2:$M$80")</f>
      </c>
      <c r="O549" s="26">
        <f>_xlfn.CONCAT("'",$B549,"'","!","$N$2:$W$2")</f>
      </c>
      <c r="P549" s="2"/>
      <c r="Q549" s="2"/>
      <c r="R549" s="2"/>
      <c r="S549" s="2"/>
      <c r="T549" s="2"/>
      <c r="U549" s="2"/>
      <c r="V549" s="2"/>
      <c r="W549" s="2"/>
      <c r="X549" s="2"/>
      <c r="Y549" s="2"/>
    </row>
    <row x14ac:dyDescent="0.25" r="550" customHeight="1" ht="17.25">
      <c r="A550" s="10">
        <v>44</v>
      </c>
      <c r="B550" s="10">
        <v>2023</v>
      </c>
      <c r="C550" s="2" t="s">
        <v>148</v>
      </c>
      <c r="D550" s="23">
        <v>3</v>
      </c>
      <c r="E550" s="5" t="s">
        <v>16</v>
      </c>
      <c r="F550" s="24">
        <v>2.671527</v>
      </c>
      <c r="G550" s="23">
        <v>0</v>
      </c>
      <c r="H550" s="5" t="s">
        <v>16</v>
      </c>
      <c r="I550" s="23">
        <v>0</v>
      </c>
      <c r="J550" s="10">
        <v>12</v>
      </c>
      <c r="K550" s="24">
        <v>2.4722209300000006</v>
      </c>
      <c r="L550" s="24">
        <v>5.143747930000001</v>
      </c>
      <c r="M550" s="26">
        <f>_xlfn.CONCAT("'",$B550,"'","!","$N$3:$V$80")</f>
      </c>
      <c r="N550" s="26">
        <f>_xlfn.CONCAT("'",$B550,"'","!","$M$2:$M$80")</f>
      </c>
      <c r="O550" s="26">
        <f>_xlfn.CONCAT("'",$B550,"'","!","$N$2:$W$2")</f>
      </c>
      <c r="P550" s="2"/>
      <c r="Q550" s="2"/>
      <c r="R550" s="2"/>
      <c r="S550" s="2"/>
      <c r="T550" s="2"/>
      <c r="U550" s="2"/>
      <c r="V550" s="2"/>
      <c r="W550" s="2"/>
      <c r="X550" s="2"/>
      <c r="Y550" s="2"/>
    </row>
    <row x14ac:dyDescent="0.25" r="551" customHeight="1" ht="17.25">
      <c r="A551" s="10">
        <v>45</v>
      </c>
      <c r="B551" s="10">
        <v>2023</v>
      </c>
      <c r="C551" s="2" t="s">
        <v>149</v>
      </c>
      <c r="D551" s="23">
        <v>2</v>
      </c>
      <c r="E551" s="5" t="s">
        <v>16</v>
      </c>
      <c r="F551" s="24">
        <v>0.30106383000000003</v>
      </c>
      <c r="G551" s="23">
        <v>1</v>
      </c>
      <c r="H551" s="5" t="s">
        <v>16</v>
      </c>
      <c r="I551" s="24">
        <v>0.3</v>
      </c>
      <c r="J551" s="10">
        <v>0</v>
      </c>
      <c r="K551" s="23">
        <v>0</v>
      </c>
      <c r="L551" s="24">
        <v>0.60106383</v>
      </c>
      <c r="M551" s="26">
        <f>_xlfn.CONCAT("'",$B551,"'","!","$N$3:$V$80")</f>
      </c>
      <c r="N551" s="26">
        <f>_xlfn.CONCAT("'",$B551,"'","!","$M$2:$M$80")</f>
      </c>
      <c r="O551" s="26">
        <f>_xlfn.CONCAT("'",$B551,"'","!","$N$2:$W$2")</f>
      </c>
      <c r="P551" s="2"/>
      <c r="Q551" s="2"/>
      <c r="R551" s="2"/>
      <c r="S551" s="2"/>
      <c r="T551" s="2"/>
      <c r="U551" s="2"/>
      <c r="V551" s="2"/>
      <c r="W551" s="2"/>
      <c r="X551" s="2"/>
      <c r="Y551" s="2"/>
    </row>
    <row x14ac:dyDescent="0.25" r="552" customHeight="1" ht="17.25">
      <c r="A552" s="10">
        <v>46</v>
      </c>
      <c r="B552" s="10">
        <v>2023</v>
      </c>
      <c r="C552" s="2" t="s">
        <v>150</v>
      </c>
      <c r="D552" s="23">
        <v>2</v>
      </c>
      <c r="E552" s="5" t="s">
        <v>16</v>
      </c>
      <c r="F552" s="24">
        <v>20.71</v>
      </c>
      <c r="G552" s="23">
        <v>0</v>
      </c>
      <c r="H552" s="5" t="s">
        <v>16</v>
      </c>
      <c r="I552" s="23">
        <v>0</v>
      </c>
      <c r="J552" s="10">
        <v>2</v>
      </c>
      <c r="K552" s="24">
        <v>0.117045</v>
      </c>
      <c r="L552" s="24">
        <v>20.827045000000002</v>
      </c>
      <c r="M552" s="26">
        <f>_xlfn.CONCAT("'",$B552,"'","!","$N$3:$V$80")</f>
      </c>
      <c r="N552" s="26">
        <f>_xlfn.CONCAT("'",$B552,"'","!","$M$2:$M$80")</f>
      </c>
      <c r="O552" s="26">
        <f>_xlfn.CONCAT("'",$B552,"'","!","$N$2:$W$2")</f>
      </c>
      <c r="P552" s="2"/>
      <c r="Q552" s="2"/>
      <c r="R552" s="2"/>
      <c r="S552" s="2"/>
      <c r="T552" s="2"/>
      <c r="U552" s="2"/>
      <c r="V552" s="2"/>
      <c r="W552" s="2"/>
      <c r="X552" s="2"/>
      <c r="Y552" s="2"/>
    </row>
    <row x14ac:dyDescent="0.25" r="553" customHeight="1" ht="17.25">
      <c r="A553" s="10">
        <v>47</v>
      </c>
      <c r="B553" s="10">
        <v>2023</v>
      </c>
      <c r="C553" s="2" t="s">
        <v>151</v>
      </c>
      <c r="D553" s="23">
        <v>0</v>
      </c>
      <c r="E553" s="5" t="s">
        <v>16</v>
      </c>
      <c r="F553" s="23">
        <v>0</v>
      </c>
      <c r="G553" s="23">
        <v>0</v>
      </c>
      <c r="H553" s="5" t="s">
        <v>16</v>
      </c>
      <c r="I553" s="23">
        <v>0</v>
      </c>
      <c r="J553" s="10">
        <v>2</v>
      </c>
      <c r="K553" s="24">
        <v>0.47383473</v>
      </c>
      <c r="L553" s="24">
        <v>0.47383473</v>
      </c>
      <c r="M553" s="26">
        <f>_xlfn.CONCAT("'",$B553,"'","!","$N$3:$V$80")</f>
      </c>
      <c r="N553" s="26">
        <f>_xlfn.CONCAT("'",$B553,"'","!","$M$2:$M$80")</f>
      </c>
      <c r="O553" s="26">
        <f>_xlfn.CONCAT("'",$B553,"'","!","$N$2:$W$2")</f>
      </c>
      <c r="P553" s="2"/>
      <c r="Q553" s="2"/>
      <c r="R553" s="2"/>
      <c r="S553" s="2"/>
      <c r="T553" s="2"/>
      <c r="U553" s="2"/>
      <c r="V553" s="2"/>
      <c r="W553" s="2"/>
      <c r="X553" s="2"/>
      <c r="Y553" s="2"/>
    </row>
    <row x14ac:dyDescent="0.25" r="554" customHeight="1" ht="17.25">
      <c r="A554" s="10">
        <v>48</v>
      </c>
      <c r="B554" s="10">
        <v>2023</v>
      </c>
      <c r="C554" s="2" t="s">
        <v>152</v>
      </c>
      <c r="D554" s="23">
        <v>2</v>
      </c>
      <c r="E554" s="5" t="s">
        <v>16</v>
      </c>
      <c r="F554" s="24">
        <v>31.61669</v>
      </c>
      <c r="G554" s="23">
        <v>1</v>
      </c>
      <c r="H554" s="5" t="s">
        <v>16</v>
      </c>
      <c r="I554" s="23">
        <v>2</v>
      </c>
      <c r="J554" s="10">
        <v>7</v>
      </c>
      <c r="K554" s="24">
        <v>2.05580774</v>
      </c>
      <c r="L554" s="24">
        <v>35.67249774</v>
      </c>
      <c r="M554" s="26">
        <f>_xlfn.CONCAT("'",$B554,"'","!","$N$3:$V$80")</f>
      </c>
      <c r="N554" s="26">
        <f>_xlfn.CONCAT("'",$B554,"'","!","$M$2:$M$80")</f>
      </c>
      <c r="O554" s="26">
        <f>_xlfn.CONCAT("'",$B554,"'","!","$N$2:$W$2")</f>
      </c>
      <c r="P554" s="2"/>
      <c r="Q554" s="2"/>
      <c r="R554" s="2"/>
      <c r="S554" s="2"/>
      <c r="T554" s="2"/>
      <c r="U554" s="2"/>
      <c r="V554" s="2"/>
      <c r="W554" s="2"/>
      <c r="X554" s="2"/>
      <c r="Y554" s="2"/>
    </row>
    <row x14ac:dyDescent="0.25" r="555" customHeight="1" ht="17.25">
      <c r="A555" s="10">
        <v>49</v>
      </c>
      <c r="B555" s="10">
        <v>2023</v>
      </c>
      <c r="C555" s="2" t="s">
        <v>153</v>
      </c>
      <c r="D555" s="30" t="s">
        <v>16</v>
      </c>
      <c r="E555" s="5" t="s">
        <v>16</v>
      </c>
      <c r="F555" s="25" t="s">
        <v>16</v>
      </c>
      <c r="G555" s="30" t="s">
        <v>16</v>
      </c>
      <c r="H555" s="5" t="s">
        <v>16</v>
      </c>
      <c r="I555" s="25" t="s">
        <v>16</v>
      </c>
      <c r="J555" s="5" t="s">
        <v>16</v>
      </c>
      <c r="K555" s="25" t="s">
        <v>16</v>
      </c>
      <c r="L555" s="25" t="s">
        <v>16</v>
      </c>
      <c r="M555" s="26">
        <f>_xlfn.CONCAT("'",$B555,"'","!","$N$3:$V$80")</f>
      </c>
      <c r="N555" s="26">
        <f>_xlfn.CONCAT("'",$B555,"'","!","$M$2:$M$80")</f>
      </c>
      <c r="O555" s="26">
        <f>_xlfn.CONCAT("'",$B555,"'","!","$N$2:$W$2")</f>
      </c>
      <c r="P555" s="2"/>
      <c r="Q555" s="2"/>
      <c r="R555" s="2"/>
      <c r="S555" s="2"/>
      <c r="T555" s="2"/>
      <c r="U555" s="2"/>
      <c r="V555" s="2"/>
      <c r="W555" s="2"/>
      <c r="X555" s="2"/>
      <c r="Y555" s="2"/>
    </row>
    <row x14ac:dyDescent="0.25" r="556" customHeight="1" ht="17.25">
      <c r="A556" s="10">
        <v>50</v>
      </c>
      <c r="B556" s="10">
        <v>2023</v>
      </c>
      <c r="C556" s="2" t="s">
        <v>154</v>
      </c>
      <c r="D556" s="23">
        <v>1</v>
      </c>
      <c r="E556" s="5" t="s">
        <v>16</v>
      </c>
      <c r="F556" s="23">
        <v>25</v>
      </c>
      <c r="G556" s="23">
        <v>0</v>
      </c>
      <c r="H556" s="5" t="s">
        <v>16</v>
      </c>
      <c r="I556" s="23">
        <v>0</v>
      </c>
      <c r="J556" s="10">
        <v>0</v>
      </c>
      <c r="K556" s="23">
        <v>0</v>
      </c>
      <c r="L556" s="23">
        <v>25</v>
      </c>
      <c r="M556" s="26">
        <f>_xlfn.CONCAT("'",$B556,"'","!","$N$3:$V$80")</f>
      </c>
      <c r="N556" s="26">
        <f>_xlfn.CONCAT("'",$B556,"'","!","$M$2:$M$80")</f>
      </c>
      <c r="O556" s="26">
        <f>_xlfn.CONCAT("'",$B556,"'","!","$N$2:$W$2")</f>
      </c>
      <c r="P556" s="2"/>
      <c r="Q556" s="2"/>
      <c r="R556" s="2"/>
      <c r="S556" s="2"/>
      <c r="T556" s="2"/>
      <c r="U556" s="2"/>
      <c r="V556" s="2"/>
      <c r="W556" s="2"/>
      <c r="X556" s="2"/>
      <c r="Y556" s="2"/>
    </row>
    <row x14ac:dyDescent="0.25" r="557" customHeight="1" ht="17.25">
      <c r="A557" s="10">
        <v>51</v>
      </c>
      <c r="B557" s="10">
        <v>2023</v>
      </c>
      <c r="C557" s="2" t="s">
        <v>155</v>
      </c>
      <c r="D557" s="23">
        <v>2</v>
      </c>
      <c r="E557" s="5" t="s">
        <v>16</v>
      </c>
      <c r="F557" s="24">
        <v>44.313256</v>
      </c>
      <c r="G557" s="23">
        <v>2</v>
      </c>
      <c r="H557" s="5" t="s">
        <v>16</v>
      </c>
      <c r="I557" s="24">
        <v>10.892794</v>
      </c>
      <c r="J557" s="10">
        <v>8</v>
      </c>
      <c r="K557" s="24">
        <v>6.530063</v>
      </c>
      <c r="L557" s="24">
        <v>61.736113</v>
      </c>
      <c r="M557" s="26">
        <f>_xlfn.CONCAT("'",$B557,"'","!","$N$3:$V$80")</f>
      </c>
      <c r="N557" s="26">
        <f>_xlfn.CONCAT("'",$B557,"'","!","$M$2:$M$80")</f>
      </c>
      <c r="O557" s="26">
        <f>_xlfn.CONCAT("'",$B557,"'","!","$N$2:$W$2")</f>
      </c>
      <c r="P557" s="2"/>
      <c r="Q557" s="2"/>
      <c r="R557" s="2"/>
      <c r="S557" s="2"/>
      <c r="T557" s="2"/>
      <c r="U557" s="2"/>
      <c r="V557" s="2"/>
      <c r="W557" s="2"/>
      <c r="X557" s="2"/>
      <c r="Y557" s="2"/>
    </row>
    <row x14ac:dyDescent="0.25" r="558" customHeight="1" ht="17.25">
      <c r="A558" s="10">
        <v>52</v>
      </c>
      <c r="B558" s="10">
        <v>2023</v>
      </c>
      <c r="C558" s="2" t="s">
        <v>156</v>
      </c>
      <c r="D558" s="23">
        <v>0</v>
      </c>
      <c r="E558" s="5" t="s">
        <v>16</v>
      </c>
      <c r="F558" s="23">
        <v>0</v>
      </c>
      <c r="G558" s="23">
        <v>0</v>
      </c>
      <c r="H558" s="5" t="s">
        <v>16</v>
      </c>
      <c r="I558" s="23">
        <v>0</v>
      </c>
      <c r="J558" s="10">
        <v>1</v>
      </c>
      <c r="K558" s="24">
        <v>10.10175646</v>
      </c>
      <c r="L558" s="24">
        <v>10.10175646</v>
      </c>
      <c r="M558" s="26">
        <f>_xlfn.CONCAT("'",$B558,"'","!","$N$3:$V$80")</f>
      </c>
      <c r="N558" s="26">
        <f>_xlfn.CONCAT("'",$B558,"'","!","$M$2:$M$80")</f>
      </c>
      <c r="O558" s="26">
        <f>_xlfn.CONCAT("'",$B558,"'","!","$N$2:$W$2")</f>
      </c>
      <c r="P558" s="2"/>
      <c r="Q558" s="2"/>
      <c r="R558" s="2"/>
      <c r="S558" s="2"/>
      <c r="T558" s="2"/>
      <c r="U558" s="2"/>
      <c r="V558" s="2"/>
      <c r="W558" s="2"/>
      <c r="X558" s="2"/>
      <c r="Y558" s="2"/>
    </row>
    <row x14ac:dyDescent="0.25" r="559" customHeight="1" ht="17.25">
      <c r="A559" s="10">
        <v>53</v>
      </c>
      <c r="B559" s="10">
        <v>2023</v>
      </c>
      <c r="C559" s="2" t="s">
        <v>157</v>
      </c>
      <c r="D559" s="30" t="s">
        <v>16</v>
      </c>
      <c r="E559" s="5" t="s">
        <v>16</v>
      </c>
      <c r="F559" s="25" t="s">
        <v>16</v>
      </c>
      <c r="G559" s="30" t="s">
        <v>16</v>
      </c>
      <c r="H559" s="5" t="s">
        <v>16</v>
      </c>
      <c r="I559" s="25" t="s">
        <v>16</v>
      </c>
      <c r="J559" s="5" t="s">
        <v>16</v>
      </c>
      <c r="K559" s="25" t="s">
        <v>16</v>
      </c>
      <c r="L559" s="25" t="s">
        <v>16</v>
      </c>
      <c r="M559" s="26">
        <f>_xlfn.CONCAT("'",$B559,"'","!","$N$3:$V$80")</f>
      </c>
      <c r="N559" s="26">
        <f>_xlfn.CONCAT("'",$B559,"'","!","$M$2:$M$80")</f>
      </c>
      <c r="O559" s="26">
        <f>_xlfn.CONCAT("'",$B559,"'","!","$N$2:$W$2")</f>
      </c>
      <c r="P559" s="2"/>
      <c r="Q559" s="2"/>
      <c r="R559" s="2"/>
      <c r="S559" s="2"/>
      <c r="T559" s="2"/>
      <c r="U559" s="2"/>
      <c r="V559" s="2"/>
      <c r="W559" s="2"/>
      <c r="X559" s="2"/>
      <c r="Y559" s="2"/>
    </row>
    <row x14ac:dyDescent="0.25" r="560" customHeight="1" ht="17.25">
      <c r="A560" s="10">
        <v>54</v>
      </c>
      <c r="B560" s="10">
        <v>2023</v>
      </c>
      <c r="C560" s="2" t="s">
        <v>158</v>
      </c>
      <c r="D560" s="23">
        <v>1</v>
      </c>
      <c r="E560" s="5" t="s">
        <v>16</v>
      </c>
      <c r="F560" s="24">
        <v>0.022</v>
      </c>
      <c r="G560" s="23">
        <v>0</v>
      </c>
      <c r="H560" s="5" t="s">
        <v>16</v>
      </c>
      <c r="I560" s="23">
        <v>0</v>
      </c>
      <c r="J560" s="10">
        <v>1</v>
      </c>
      <c r="K560" s="24">
        <v>0.14138176000000002</v>
      </c>
      <c r="L560" s="24">
        <v>0.16338176000000001</v>
      </c>
      <c r="M560" s="26">
        <f>_xlfn.CONCAT("'",$B560,"'","!","$N$3:$V$80")</f>
      </c>
      <c r="N560" s="26">
        <f>_xlfn.CONCAT("'",$B560,"'","!","$M$2:$M$80")</f>
      </c>
      <c r="O560" s="26">
        <f>_xlfn.CONCAT("'",$B560,"'","!","$N$2:$W$2")</f>
      </c>
      <c r="P560" s="2"/>
      <c r="Q560" s="2"/>
      <c r="R560" s="2"/>
      <c r="S560" s="2"/>
      <c r="T560" s="2"/>
      <c r="U560" s="2"/>
      <c r="V560" s="2"/>
      <c r="W560" s="2"/>
      <c r="X560" s="2"/>
      <c r="Y560" s="2"/>
    </row>
    <row x14ac:dyDescent="0.25" r="561" customHeight="1" ht="17.25">
      <c r="A561" s="10">
        <v>55</v>
      </c>
      <c r="B561" s="10">
        <v>2023</v>
      </c>
      <c r="C561" s="2" t="s">
        <v>159</v>
      </c>
      <c r="D561" s="23">
        <v>0</v>
      </c>
      <c r="E561" s="5" t="s">
        <v>16</v>
      </c>
      <c r="F561" s="23">
        <v>0</v>
      </c>
      <c r="G561" s="23">
        <v>0</v>
      </c>
      <c r="H561" s="5" t="s">
        <v>16</v>
      </c>
      <c r="I561" s="23">
        <v>0</v>
      </c>
      <c r="J561" s="10">
        <v>1</v>
      </c>
      <c r="K561" s="24">
        <v>0.82793226</v>
      </c>
      <c r="L561" s="24">
        <v>0.82793226</v>
      </c>
      <c r="M561" s="26">
        <f>_xlfn.CONCAT("'",$B561,"'","!","$N$3:$V$80")</f>
      </c>
      <c r="N561" s="26">
        <f>_xlfn.CONCAT("'",$B561,"'","!","$M$2:$M$80")</f>
      </c>
      <c r="O561" s="26">
        <f>_xlfn.CONCAT("'",$B561,"'","!","$N$2:$W$2")</f>
      </c>
      <c r="P561" s="2"/>
      <c r="Q561" s="2"/>
      <c r="R561" s="2"/>
      <c r="S561" s="2"/>
      <c r="T561" s="2"/>
      <c r="U561" s="2"/>
      <c r="V561" s="2"/>
      <c r="W561" s="2"/>
      <c r="X561" s="2"/>
      <c r="Y561" s="2"/>
    </row>
    <row x14ac:dyDescent="0.25" r="562" customHeight="1" ht="17.25">
      <c r="A562" s="10">
        <v>56</v>
      </c>
      <c r="B562" s="10">
        <v>2023</v>
      </c>
      <c r="C562" s="2" t="s">
        <v>160</v>
      </c>
      <c r="D562" s="30" t="s">
        <v>16</v>
      </c>
      <c r="E562" s="5" t="s">
        <v>16</v>
      </c>
      <c r="F562" s="25" t="s">
        <v>16</v>
      </c>
      <c r="G562" s="30" t="s">
        <v>16</v>
      </c>
      <c r="H562" s="5" t="s">
        <v>16</v>
      </c>
      <c r="I562" s="25" t="s">
        <v>16</v>
      </c>
      <c r="J562" s="5" t="s">
        <v>16</v>
      </c>
      <c r="K562" s="25" t="s">
        <v>16</v>
      </c>
      <c r="L562" s="25" t="s">
        <v>16</v>
      </c>
      <c r="M562" s="26">
        <f>_xlfn.CONCAT("'",$B562,"'","!","$N$3:$V$80")</f>
      </c>
      <c r="N562" s="26">
        <f>_xlfn.CONCAT("'",$B562,"'","!","$M$2:$M$80")</f>
      </c>
      <c r="O562" s="26">
        <f>_xlfn.CONCAT("'",$B562,"'","!","$N$2:$W$2")</f>
      </c>
      <c r="P562" s="2"/>
      <c r="Q562" s="2"/>
      <c r="R562" s="2"/>
      <c r="S562" s="2"/>
      <c r="T562" s="2"/>
      <c r="U562" s="2"/>
      <c r="V562" s="2"/>
      <c r="W562" s="2"/>
      <c r="X562" s="2"/>
      <c r="Y562" s="2"/>
    </row>
    <row x14ac:dyDescent="0.25" r="563" customHeight="1" ht="17.25">
      <c r="A563" s="10">
        <v>57</v>
      </c>
      <c r="B563" s="10">
        <v>2023</v>
      </c>
      <c r="C563" s="2" t="s">
        <v>161</v>
      </c>
      <c r="D563" s="30" t="s">
        <v>16</v>
      </c>
      <c r="E563" s="5" t="s">
        <v>16</v>
      </c>
      <c r="F563" s="25" t="s">
        <v>16</v>
      </c>
      <c r="G563" s="30" t="s">
        <v>16</v>
      </c>
      <c r="H563" s="5" t="s">
        <v>16</v>
      </c>
      <c r="I563" s="25" t="s">
        <v>16</v>
      </c>
      <c r="J563" s="5" t="s">
        <v>16</v>
      </c>
      <c r="K563" s="25" t="s">
        <v>16</v>
      </c>
      <c r="L563" s="25" t="s">
        <v>16</v>
      </c>
      <c r="M563" s="26">
        <f>_xlfn.CONCAT("'",$B563,"'","!","$N$3:$V$80")</f>
      </c>
      <c r="N563" s="26">
        <f>_xlfn.CONCAT("'",$B563,"'","!","$M$2:$M$80")</f>
      </c>
      <c r="O563" s="26">
        <f>_xlfn.CONCAT("'",$B563,"'","!","$N$2:$W$2")</f>
      </c>
      <c r="P563" s="2"/>
      <c r="Q563" s="2"/>
      <c r="R563" s="2"/>
      <c r="S563" s="2"/>
      <c r="T563" s="2"/>
      <c r="U563" s="2"/>
      <c r="V563" s="2"/>
      <c r="W563" s="2"/>
      <c r="X563" s="2"/>
      <c r="Y563" s="2"/>
    </row>
    <row x14ac:dyDescent="0.25" r="564" customHeight="1" ht="17.25">
      <c r="A564" s="10">
        <v>58</v>
      </c>
      <c r="B564" s="10">
        <v>2023</v>
      </c>
      <c r="C564" s="2" t="s">
        <v>162</v>
      </c>
      <c r="D564" s="30" t="s">
        <v>16</v>
      </c>
      <c r="E564" s="5" t="s">
        <v>16</v>
      </c>
      <c r="F564" s="25" t="s">
        <v>16</v>
      </c>
      <c r="G564" s="30" t="s">
        <v>16</v>
      </c>
      <c r="H564" s="5" t="s">
        <v>16</v>
      </c>
      <c r="I564" s="25" t="s">
        <v>16</v>
      </c>
      <c r="J564" s="5" t="s">
        <v>16</v>
      </c>
      <c r="K564" s="25" t="s">
        <v>16</v>
      </c>
      <c r="L564" s="25" t="s">
        <v>16</v>
      </c>
      <c r="M564" s="26">
        <f>_xlfn.CONCAT("'",$B564,"'","!","$N$3:$V$80")</f>
      </c>
      <c r="N564" s="26">
        <f>_xlfn.CONCAT("'",$B564,"'","!","$M$2:$M$80")</f>
      </c>
      <c r="O564" s="26">
        <f>_xlfn.CONCAT("'",$B564,"'","!","$N$2:$W$2")</f>
      </c>
      <c r="P564" s="2"/>
      <c r="Q564" s="2"/>
      <c r="R564" s="2"/>
      <c r="S564" s="2"/>
      <c r="T564" s="2"/>
      <c r="U564" s="2"/>
      <c r="V564" s="2"/>
      <c r="W564" s="2"/>
      <c r="X564" s="2"/>
      <c r="Y564" s="2"/>
    </row>
    <row x14ac:dyDescent="0.25" r="565" customHeight="1" ht="17.25">
      <c r="A565" s="10">
        <v>59</v>
      </c>
      <c r="B565" s="10">
        <v>2023</v>
      </c>
      <c r="C565" s="2" t="s">
        <v>163</v>
      </c>
      <c r="D565" s="30" t="s">
        <v>16</v>
      </c>
      <c r="E565" s="5" t="s">
        <v>16</v>
      </c>
      <c r="F565" s="25" t="s">
        <v>16</v>
      </c>
      <c r="G565" s="30" t="s">
        <v>16</v>
      </c>
      <c r="H565" s="5" t="s">
        <v>16</v>
      </c>
      <c r="I565" s="25" t="s">
        <v>16</v>
      </c>
      <c r="J565" s="5" t="s">
        <v>16</v>
      </c>
      <c r="K565" s="25" t="s">
        <v>16</v>
      </c>
      <c r="L565" s="25" t="s">
        <v>16</v>
      </c>
      <c r="M565" s="26">
        <f>_xlfn.CONCAT("'",$B565,"'","!","$N$3:$V$80")</f>
      </c>
      <c r="N565" s="26">
        <f>_xlfn.CONCAT("'",$B565,"'","!","$M$2:$M$80")</f>
      </c>
      <c r="O565" s="26">
        <f>_xlfn.CONCAT("'",$B565,"'","!","$N$2:$W$2")</f>
      </c>
      <c r="P565" s="2"/>
      <c r="Q565" s="2"/>
      <c r="R565" s="2"/>
      <c r="S565" s="2"/>
      <c r="T565" s="2"/>
      <c r="U565" s="2"/>
      <c r="V565" s="2"/>
      <c r="W565" s="2"/>
      <c r="X565" s="2"/>
      <c r="Y565" s="2"/>
    </row>
    <row x14ac:dyDescent="0.25" r="566" customHeight="1" ht="17.25">
      <c r="A566" s="10">
        <v>60</v>
      </c>
      <c r="B566" s="10">
        <v>2023</v>
      </c>
      <c r="C566" s="2" t="s">
        <v>164</v>
      </c>
      <c r="D566" s="30" t="s">
        <v>16</v>
      </c>
      <c r="E566" s="5" t="s">
        <v>16</v>
      </c>
      <c r="F566" s="25" t="s">
        <v>16</v>
      </c>
      <c r="G566" s="30" t="s">
        <v>16</v>
      </c>
      <c r="H566" s="5" t="s">
        <v>16</v>
      </c>
      <c r="I566" s="25" t="s">
        <v>16</v>
      </c>
      <c r="J566" s="5" t="s">
        <v>16</v>
      </c>
      <c r="K566" s="25" t="s">
        <v>16</v>
      </c>
      <c r="L566" s="25" t="s">
        <v>16</v>
      </c>
      <c r="M566" s="26">
        <f>_xlfn.CONCAT("'",$B566,"'","!","$N$3:$V$80")</f>
      </c>
      <c r="N566" s="26">
        <f>_xlfn.CONCAT("'",$B566,"'","!","$M$2:$M$80")</f>
      </c>
      <c r="O566" s="26">
        <f>_xlfn.CONCAT("'",$B566,"'","!","$N$2:$W$2")</f>
      </c>
      <c r="P566" s="2"/>
      <c r="Q566" s="2"/>
      <c r="R566" s="2"/>
      <c r="S566" s="2"/>
      <c r="T566" s="2"/>
      <c r="U566" s="2"/>
      <c r="V566" s="2"/>
      <c r="W566" s="2"/>
      <c r="X566" s="2"/>
      <c r="Y566" s="2"/>
    </row>
    <row x14ac:dyDescent="0.25" r="567" customHeight="1" ht="17.25">
      <c r="A567" s="10">
        <v>61</v>
      </c>
      <c r="B567" s="10">
        <v>2023</v>
      </c>
      <c r="C567" s="2" t="s">
        <v>165</v>
      </c>
      <c r="D567" s="23">
        <v>0</v>
      </c>
      <c r="E567" s="5" t="s">
        <v>16</v>
      </c>
      <c r="F567" s="23">
        <v>0</v>
      </c>
      <c r="G567" s="23">
        <v>0</v>
      </c>
      <c r="H567" s="5" t="s">
        <v>16</v>
      </c>
      <c r="I567" s="23">
        <v>0</v>
      </c>
      <c r="J567" s="10">
        <v>1</v>
      </c>
      <c r="K567" s="24">
        <v>0.84445195</v>
      </c>
      <c r="L567" s="24">
        <v>0.84445195</v>
      </c>
      <c r="M567" s="26">
        <f>_xlfn.CONCAT("'",$B567,"'","!","$N$3:$V$80")</f>
      </c>
      <c r="N567" s="26">
        <f>_xlfn.CONCAT("'",$B567,"'","!","$M$2:$M$80")</f>
      </c>
      <c r="O567" s="26">
        <f>_xlfn.CONCAT("'",$B567,"'","!","$N$2:$W$2")</f>
      </c>
      <c r="P567" s="2"/>
      <c r="Q567" s="2"/>
      <c r="R567" s="2"/>
      <c r="S567" s="2"/>
      <c r="T567" s="2"/>
      <c r="U567" s="2"/>
      <c r="V567" s="2"/>
      <c r="W567" s="2"/>
      <c r="X567" s="2"/>
      <c r="Y567" s="2"/>
    </row>
    <row x14ac:dyDescent="0.25" r="568" customHeight="1" ht="17.25">
      <c r="A568" s="10">
        <v>62</v>
      </c>
      <c r="B568" s="10">
        <v>2023</v>
      </c>
      <c r="C568" s="2" t="s">
        <v>166</v>
      </c>
      <c r="D568" s="23">
        <v>0</v>
      </c>
      <c r="E568" s="5" t="s">
        <v>16</v>
      </c>
      <c r="F568" s="23">
        <v>0</v>
      </c>
      <c r="G568" s="23">
        <v>1</v>
      </c>
      <c r="H568" s="5" t="s">
        <v>16</v>
      </c>
      <c r="I568" s="24">
        <v>0.933997</v>
      </c>
      <c r="J568" s="10">
        <v>2</v>
      </c>
      <c r="K568" s="24">
        <v>1.6813770899999998</v>
      </c>
      <c r="L568" s="24">
        <v>2.6153740899999995</v>
      </c>
      <c r="M568" s="26">
        <f>_xlfn.CONCAT("'",$B568,"'","!","$N$3:$V$80")</f>
      </c>
      <c r="N568" s="26">
        <f>_xlfn.CONCAT("'",$B568,"'","!","$M$2:$M$80")</f>
      </c>
      <c r="O568" s="26">
        <f>_xlfn.CONCAT("'",$B568,"'","!","$N$2:$W$2")</f>
      </c>
      <c r="P568" s="2"/>
      <c r="Q568" s="2"/>
      <c r="R568" s="2"/>
      <c r="S568" s="2"/>
      <c r="T568" s="2"/>
      <c r="U568" s="2"/>
      <c r="V568" s="2"/>
      <c r="W568" s="2"/>
      <c r="X568" s="2"/>
      <c r="Y568" s="2"/>
    </row>
    <row x14ac:dyDescent="0.25" r="569" customHeight="1" ht="17.25">
      <c r="A569" s="10">
        <v>63</v>
      </c>
      <c r="B569" s="10">
        <v>2023</v>
      </c>
      <c r="C569" s="2" t="s">
        <v>167</v>
      </c>
      <c r="D569" s="23">
        <v>3188</v>
      </c>
      <c r="E569" s="10">
        <v>0</v>
      </c>
      <c r="F569" s="24">
        <v>20185.622680219996</v>
      </c>
      <c r="G569" s="23">
        <v>1262</v>
      </c>
      <c r="H569" s="10">
        <v>0</v>
      </c>
      <c r="I569" s="24">
        <v>7880.769548430848</v>
      </c>
      <c r="J569" s="10">
        <v>3451</v>
      </c>
      <c r="K569" s="24">
        <v>8541.234716177982</v>
      </c>
      <c r="L569" s="24">
        <v>36607.62694482881</v>
      </c>
      <c r="M569" s="26">
        <f>_xlfn.CONCAT("'",$B569,"'","!","$N$3:$V$80")</f>
      </c>
      <c r="N569" s="26">
        <f>_xlfn.CONCAT("'",$B569,"'","!","$M$2:$M$80")</f>
      </c>
      <c r="O569" s="26">
        <f>_xlfn.CONCAT("'",$B569,"'","!","$N$2:$W$2")</f>
      </c>
      <c r="P569" s="2"/>
      <c r="Q569" s="2"/>
      <c r="R569" s="2"/>
      <c r="S569" s="2"/>
      <c r="T569" s="2"/>
      <c r="U569" s="2"/>
      <c r="V569" s="2"/>
      <c r="W569" s="2"/>
      <c r="X569" s="2"/>
      <c r="Y569" s="2"/>
    </row>
    <row x14ac:dyDescent="0.25" r="570" customHeight="1" ht="17.25">
      <c r="A570" s="10">
        <v>1</v>
      </c>
      <c r="B570" s="10">
        <v>2024</v>
      </c>
      <c r="C570" s="2" t="s">
        <v>104</v>
      </c>
      <c r="D570" s="23">
        <v>597</v>
      </c>
      <c r="E570" s="5" t="s">
        <v>16</v>
      </c>
      <c r="F570" s="24">
        <v>192.64746200999997</v>
      </c>
      <c r="G570" s="23">
        <v>79</v>
      </c>
      <c r="H570" s="5" t="s">
        <v>16</v>
      </c>
      <c r="I570" s="24">
        <v>107.00646922119141</v>
      </c>
      <c r="J570" s="10">
        <v>1015</v>
      </c>
      <c r="K570" s="24">
        <v>821.3418073000003</v>
      </c>
      <c r="L570" s="24">
        <v>1120.9957385311916</v>
      </c>
      <c r="M570" s="26">
        <f>_xlfn.CONCAT("'",$B570,"'","!","$N$3:$V$80")</f>
      </c>
      <c r="N570" s="26">
        <f>_xlfn.CONCAT("'",$B570,"'","!","$M$2:$M$80")</f>
      </c>
      <c r="O570" s="26">
        <f>_xlfn.CONCAT("'",$B570,"'","!","$N$2:$W$2")</f>
      </c>
      <c r="P570" s="2"/>
      <c r="Q570" s="2"/>
      <c r="R570" s="2"/>
      <c r="S570" s="2"/>
      <c r="T570" s="2"/>
      <c r="U570" s="2"/>
      <c r="V570" s="2"/>
      <c r="W570" s="2"/>
      <c r="X570" s="2"/>
      <c r="Y570" s="2"/>
    </row>
    <row x14ac:dyDescent="0.25" r="571" customHeight="1" ht="17.25">
      <c r="A571" s="10">
        <v>2</v>
      </c>
      <c r="B571" s="10">
        <v>2024</v>
      </c>
      <c r="C571" s="2" t="s">
        <v>105</v>
      </c>
      <c r="D571" s="23">
        <v>88</v>
      </c>
      <c r="E571" s="5" t="s">
        <v>16</v>
      </c>
      <c r="F571" s="24">
        <v>318.77570535999996</v>
      </c>
      <c r="G571" s="23">
        <v>63</v>
      </c>
      <c r="H571" s="5" t="s">
        <v>16</v>
      </c>
      <c r="I571" s="24">
        <v>261.01168125</v>
      </c>
      <c r="J571" s="10">
        <v>77</v>
      </c>
      <c r="K571" s="24">
        <v>89.33114716999997</v>
      </c>
      <c r="L571" s="24">
        <v>669.1185337799999</v>
      </c>
      <c r="M571" s="26">
        <f>_xlfn.CONCAT("'",$B571,"'","!","$N$3:$V$80")</f>
      </c>
      <c r="N571" s="26">
        <f>_xlfn.CONCAT("'",$B571,"'","!","$M$2:$M$80")</f>
      </c>
      <c r="O571" s="26">
        <f>_xlfn.CONCAT("'",$B571,"'","!","$N$2:$W$2")</f>
      </c>
      <c r="P571" s="2"/>
      <c r="Q571" s="2"/>
      <c r="R571" s="2"/>
      <c r="S571" s="2"/>
      <c r="T571" s="2"/>
      <c r="U571" s="2"/>
      <c r="V571" s="2"/>
      <c r="W571" s="2"/>
      <c r="X571" s="2"/>
      <c r="Y571" s="2"/>
    </row>
    <row x14ac:dyDescent="0.25" r="572" customHeight="1" ht="17.25">
      <c r="A572" s="10">
        <v>3</v>
      </c>
      <c r="B572" s="10">
        <v>2024</v>
      </c>
      <c r="C572" s="2" t="s">
        <v>106</v>
      </c>
      <c r="D572" s="23">
        <v>48</v>
      </c>
      <c r="E572" s="5" t="s">
        <v>16</v>
      </c>
      <c r="F572" s="24">
        <v>570.6343</v>
      </c>
      <c r="G572" s="23">
        <v>40</v>
      </c>
      <c r="H572" s="5" t="s">
        <v>16</v>
      </c>
      <c r="I572" s="24">
        <v>242.90185125</v>
      </c>
      <c r="J572" s="10">
        <v>20</v>
      </c>
      <c r="K572" s="24">
        <v>123.93534785986957</v>
      </c>
      <c r="L572" s="24">
        <v>937.4714991098697</v>
      </c>
      <c r="M572" s="26">
        <f>_xlfn.CONCAT("'",$B572,"'","!","$N$3:$V$80")</f>
      </c>
      <c r="N572" s="26">
        <f>_xlfn.CONCAT("'",$B572,"'","!","$M$2:$M$80")</f>
      </c>
      <c r="O572" s="26">
        <f>_xlfn.CONCAT("'",$B572,"'","!","$N$2:$W$2")</f>
      </c>
      <c r="P572" s="2"/>
      <c r="Q572" s="2"/>
      <c r="R572" s="2"/>
      <c r="S572" s="2"/>
      <c r="T572" s="2"/>
      <c r="U572" s="2"/>
      <c r="V572" s="2"/>
      <c r="W572" s="2"/>
      <c r="X572" s="2"/>
      <c r="Y572" s="2"/>
    </row>
    <row x14ac:dyDescent="0.25" r="573" customHeight="1" ht="17.25">
      <c r="A573" s="10">
        <v>4</v>
      </c>
      <c r="B573" s="10">
        <v>2024</v>
      </c>
      <c r="C573" s="2" t="s">
        <v>108</v>
      </c>
      <c r="D573" s="23">
        <v>224</v>
      </c>
      <c r="E573" s="5" t="s">
        <v>16</v>
      </c>
      <c r="F573" s="24">
        <v>1076.1801175900002</v>
      </c>
      <c r="G573" s="23">
        <v>80</v>
      </c>
      <c r="H573" s="5" t="s">
        <v>16</v>
      </c>
      <c r="I573" s="24">
        <v>1465.052144125</v>
      </c>
      <c r="J573" s="10">
        <v>32</v>
      </c>
      <c r="K573" s="24">
        <v>36.26047286</v>
      </c>
      <c r="L573" s="24">
        <v>2577.492734575</v>
      </c>
      <c r="M573" s="26">
        <f>_xlfn.CONCAT("'",$B573,"'","!","$N$3:$V$80")</f>
      </c>
      <c r="N573" s="26">
        <f>_xlfn.CONCAT("'",$B573,"'","!","$M$2:$M$80")</f>
      </c>
      <c r="O573" s="26">
        <f>_xlfn.CONCAT("'",$B573,"'","!","$N$2:$W$2")</f>
      </c>
      <c r="P573" s="2"/>
      <c r="Q573" s="2"/>
      <c r="R573" s="2"/>
      <c r="S573" s="2"/>
      <c r="T573" s="2"/>
      <c r="U573" s="2"/>
      <c r="V573" s="2"/>
      <c r="W573" s="2"/>
      <c r="X573" s="2"/>
      <c r="Y573" s="2"/>
    </row>
    <row x14ac:dyDescent="0.25" r="574" customHeight="1" ht="17.25">
      <c r="A574" s="10">
        <v>5</v>
      </c>
      <c r="B574" s="10">
        <v>2024</v>
      </c>
      <c r="C574" s="2" t="s">
        <v>109</v>
      </c>
      <c r="D574" s="23">
        <v>54</v>
      </c>
      <c r="E574" s="5" t="s">
        <v>16</v>
      </c>
      <c r="F574" s="24">
        <v>276.7130089</v>
      </c>
      <c r="G574" s="23">
        <v>25</v>
      </c>
      <c r="H574" s="5" t="s">
        <v>16</v>
      </c>
      <c r="I574" s="24">
        <v>454.7624365</v>
      </c>
      <c r="J574" s="10">
        <v>22</v>
      </c>
      <c r="K574" s="24">
        <v>405.85064782000006</v>
      </c>
      <c r="L574" s="24">
        <v>1137.32609322</v>
      </c>
      <c r="M574" s="26">
        <f>_xlfn.CONCAT("'",$B574,"'","!","$N$3:$V$80")</f>
      </c>
      <c r="N574" s="26">
        <f>_xlfn.CONCAT("'",$B574,"'","!","$M$2:$M$80")</f>
      </c>
      <c r="O574" s="26">
        <f>_xlfn.CONCAT("'",$B574,"'","!","$N$2:$W$2")</f>
      </c>
      <c r="P574" s="2"/>
      <c r="Q574" s="2"/>
      <c r="R574" s="2"/>
      <c r="S574" s="2"/>
      <c r="T574" s="2"/>
      <c r="U574" s="2"/>
      <c r="V574" s="2"/>
      <c r="W574" s="2"/>
      <c r="X574" s="2"/>
      <c r="Y574" s="2"/>
    </row>
    <row x14ac:dyDescent="0.25" r="575" customHeight="1" ht="17.25">
      <c r="A575" s="10">
        <v>6</v>
      </c>
      <c r="B575" s="10">
        <v>2024</v>
      </c>
      <c r="C575" s="2" t="s">
        <v>110</v>
      </c>
      <c r="D575" s="23">
        <v>13</v>
      </c>
      <c r="E575" s="5" t="s">
        <v>16</v>
      </c>
      <c r="F575" s="24">
        <v>76.8</v>
      </c>
      <c r="G575" s="23">
        <v>14</v>
      </c>
      <c r="H575" s="5" t="s">
        <v>16</v>
      </c>
      <c r="I575" s="24">
        <v>138.6426628125</v>
      </c>
      <c r="J575" s="10">
        <v>2</v>
      </c>
      <c r="K575" s="24">
        <v>0.35981907</v>
      </c>
      <c r="L575" s="24">
        <v>215.80248188249996</v>
      </c>
      <c r="M575" s="26">
        <f>_xlfn.CONCAT("'",$B575,"'","!","$N$3:$V$80")</f>
      </c>
      <c r="N575" s="26">
        <f>_xlfn.CONCAT("'",$B575,"'","!","$M$2:$M$80")</f>
      </c>
      <c r="O575" s="26">
        <f>_xlfn.CONCAT("'",$B575,"'","!","$N$2:$W$2")</f>
      </c>
      <c r="P575" s="2"/>
      <c r="Q575" s="2"/>
      <c r="R575" s="2"/>
      <c r="S575" s="2"/>
      <c r="T575" s="2"/>
      <c r="U575" s="2"/>
      <c r="V575" s="2"/>
      <c r="W575" s="2"/>
      <c r="X575" s="2"/>
      <c r="Y575" s="2"/>
    </row>
    <row x14ac:dyDescent="0.25" r="576" customHeight="1" ht="17.25">
      <c r="A576" s="10">
        <v>7</v>
      </c>
      <c r="B576" s="10">
        <v>2024</v>
      </c>
      <c r="C576" s="2" t="s">
        <v>111</v>
      </c>
      <c r="D576" s="23">
        <v>39</v>
      </c>
      <c r="E576" s="5" t="s">
        <v>16</v>
      </c>
      <c r="F576" s="24">
        <v>250.477853</v>
      </c>
      <c r="G576" s="23">
        <v>29</v>
      </c>
      <c r="H576" s="5" t="s">
        <v>16</v>
      </c>
      <c r="I576" s="24">
        <v>483.9782853125</v>
      </c>
      <c r="J576" s="10">
        <v>20</v>
      </c>
      <c r="K576" s="24">
        <v>29.76012285</v>
      </c>
      <c r="L576" s="24">
        <v>764.2162611625</v>
      </c>
      <c r="M576" s="26">
        <f>_xlfn.CONCAT("'",$B576,"'","!","$N$3:$V$80")</f>
      </c>
      <c r="N576" s="26">
        <f>_xlfn.CONCAT("'",$B576,"'","!","$M$2:$M$80")</f>
      </c>
      <c r="O576" s="26">
        <f>_xlfn.CONCAT("'",$B576,"'","!","$N$2:$W$2")</f>
      </c>
      <c r="P576" s="2"/>
      <c r="Q576" s="2"/>
      <c r="R576" s="2"/>
      <c r="S576" s="2"/>
      <c r="T576" s="2"/>
      <c r="U576" s="2"/>
      <c r="V576" s="2"/>
      <c r="W576" s="2"/>
      <c r="X576" s="2"/>
      <c r="Y576" s="2"/>
    </row>
    <row x14ac:dyDescent="0.25" r="577" customHeight="1" ht="17.25">
      <c r="A577" s="10">
        <v>8</v>
      </c>
      <c r="B577" s="10">
        <v>2024</v>
      </c>
      <c r="C577" s="2" t="s">
        <v>112</v>
      </c>
      <c r="D577" s="23">
        <v>20</v>
      </c>
      <c r="E577" s="5" t="s">
        <v>16</v>
      </c>
      <c r="F577" s="24">
        <v>1533.14114155</v>
      </c>
      <c r="G577" s="23">
        <v>2</v>
      </c>
      <c r="H577" s="5" t="s">
        <v>16</v>
      </c>
      <c r="I577" s="24">
        <v>-9.557457</v>
      </c>
      <c r="J577" s="10">
        <v>4</v>
      </c>
      <c r="K577" s="24">
        <v>11.968528529999999</v>
      </c>
      <c r="L577" s="24">
        <v>1535.5522130799998</v>
      </c>
      <c r="M577" s="26">
        <f>_xlfn.CONCAT("'",$B577,"'","!","$N$3:$V$80")</f>
      </c>
      <c r="N577" s="26">
        <f>_xlfn.CONCAT("'",$B577,"'","!","$M$2:$M$80")</f>
      </c>
      <c r="O577" s="26">
        <f>_xlfn.CONCAT("'",$B577,"'","!","$N$2:$W$2")</f>
      </c>
      <c r="P577" s="2"/>
      <c r="Q577" s="2"/>
      <c r="R577" s="2"/>
      <c r="S577" s="2"/>
      <c r="T577" s="2"/>
      <c r="U577" s="2"/>
      <c r="V577" s="2"/>
      <c r="W577" s="2"/>
      <c r="X577" s="2"/>
      <c r="Y577" s="2"/>
    </row>
    <row x14ac:dyDescent="0.25" r="578" customHeight="1" ht="17.25">
      <c r="A578" s="10">
        <v>9</v>
      </c>
      <c r="B578" s="10">
        <v>2024</v>
      </c>
      <c r="C578" s="2" t="s">
        <v>113</v>
      </c>
      <c r="D578" s="23">
        <v>14</v>
      </c>
      <c r="E578" s="5" t="s">
        <v>16</v>
      </c>
      <c r="F578" s="24">
        <v>85.18</v>
      </c>
      <c r="G578" s="23">
        <v>13</v>
      </c>
      <c r="H578" s="5" t="s">
        <v>16</v>
      </c>
      <c r="I578" s="24">
        <v>283.625061625</v>
      </c>
      <c r="J578" s="10">
        <v>0</v>
      </c>
      <c r="K578" s="23">
        <v>0</v>
      </c>
      <c r="L578" s="24">
        <v>368.805061625</v>
      </c>
      <c r="M578" s="26">
        <f>_xlfn.CONCAT("'",$B578,"'","!","$N$3:$V$80")</f>
      </c>
      <c r="N578" s="26">
        <f>_xlfn.CONCAT("'",$B578,"'","!","$M$2:$M$80")</f>
      </c>
      <c r="O578" s="26">
        <f>_xlfn.CONCAT("'",$B578,"'","!","$N$2:$W$2")</f>
      </c>
      <c r="P578" s="2"/>
      <c r="Q578" s="2"/>
      <c r="R578" s="2"/>
      <c r="S578" s="2"/>
      <c r="T578" s="2"/>
      <c r="U578" s="2"/>
      <c r="V578" s="2"/>
      <c r="W578" s="2"/>
      <c r="X578" s="2"/>
      <c r="Y578" s="2"/>
    </row>
    <row x14ac:dyDescent="0.25" r="579" customHeight="1" ht="17.25">
      <c r="A579" s="10">
        <v>10</v>
      </c>
      <c r="B579" s="10">
        <v>2024</v>
      </c>
      <c r="C579" s="2" t="s">
        <v>114</v>
      </c>
      <c r="D579" s="23">
        <v>59</v>
      </c>
      <c r="E579" s="5" t="s">
        <v>16</v>
      </c>
      <c r="F579" s="24">
        <v>273.477972</v>
      </c>
      <c r="G579" s="23">
        <v>46</v>
      </c>
      <c r="H579" s="5" t="s">
        <v>16</v>
      </c>
      <c r="I579" s="24">
        <v>108.28722462011719</v>
      </c>
      <c r="J579" s="10">
        <v>25</v>
      </c>
      <c r="K579" s="24">
        <v>11.559325130000003</v>
      </c>
      <c r="L579" s="24">
        <v>393.3245217501172</v>
      </c>
      <c r="M579" s="26">
        <f>_xlfn.CONCAT("'",$B579,"'","!","$N$3:$V$80")</f>
      </c>
      <c r="N579" s="26">
        <f>_xlfn.CONCAT("'",$B579,"'","!","$M$2:$M$80")</f>
      </c>
      <c r="O579" s="26">
        <f>_xlfn.CONCAT("'",$B579,"'","!","$N$2:$W$2")</f>
      </c>
      <c r="P579" s="2"/>
      <c r="Q579" s="2"/>
      <c r="R579" s="2"/>
      <c r="S579" s="2"/>
      <c r="T579" s="2"/>
      <c r="U579" s="2"/>
      <c r="V579" s="2"/>
      <c r="W579" s="2"/>
      <c r="X579" s="2"/>
      <c r="Y579" s="2"/>
    </row>
    <row x14ac:dyDescent="0.25" r="580" customHeight="1" ht="17.25">
      <c r="A580" s="10">
        <v>11</v>
      </c>
      <c r="B580" s="10">
        <v>2024</v>
      </c>
      <c r="C580" s="2" t="s">
        <v>115</v>
      </c>
      <c r="D580" s="23">
        <v>30</v>
      </c>
      <c r="E580" s="5" t="s">
        <v>16</v>
      </c>
      <c r="F580" s="24">
        <v>115.34</v>
      </c>
      <c r="G580" s="23">
        <v>8</v>
      </c>
      <c r="H580" s="5" t="s">
        <v>16</v>
      </c>
      <c r="I580" s="24">
        <v>32.478</v>
      </c>
      <c r="J580" s="10">
        <v>17</v>
      </c>
      <c r="K580" s="24">
        <v>2.7905917399999995</v>
      </c>
      <c r="L580" s="24">
        <v>150.60859174</v>
      </c>
      <c r="M580" s="26">
        <f>_xlfn.CONCAT("'",$B580,"'","!","$N$3:$V$80")</f>
      </c>
      <c r="N580" s="26">
        <f>_xlfn.CONCAT("'",$B580,"'","!","$M$2:$M$80")</f>
      </c>
      <c r="O580" s="26">
        <f>_xlfn.CONCAT("'",$B580,"'","!","$N$2:$W$2")</f>
      </c>
      <c r="P580" s="2"/>
      <c r="Q580" s="2"/>
      <c r="R580" s="2"/>
      <c r="S580" s="2"/>
      <c r="T580" s="2"/>
      <c r="U580" s="2"/>
      <c r="V580" s="2"/>
      <c r="W580" s="2"/>
      <c r="X580" s="2"/>
      <c r="Y580" s="2"/>
    </row>
    <row x14ac:dyDescent="0.25" r="581" customHeight="1" ht="17.25">
      <c r="A581" s="10">
        <v>12</v>
      </c>
      <c r="B581" s="10">
        <v>2024</v>
      </c>
      <c r="C581" s="2" t="s">
        <v>116</v>
      </c>
      <c r="D581" s="23">
        <v>10</v>
      </c>
      <c r="E581" s="5" t="s">
        <v>16</v>
      </c>
      <c r="F581" s="24">
        <v>482.857</v>
      </c>
      <c r="G581" s="23">
        <v>12</v>
      </c>
      <c r="H581" s="5" t="s">
        <v>16</v>
      </c>
      <c r="I581" s="24">
        <v>62.8708765</v>
      </c>
      <c r="J581" s="10">
        <v>2</v>
      </c>
      <c r="K581" s="24">
        <v>0.7840661999999999</v>
      </c>
      <c r="L581" s="24">
        <v>546.5119427</v>
      </c>
      <c r="M581" s="26">
        <f>_xlfn.CONCAT("'",$B581,"'","!","$N$3:$V$80")</f>
      </c>
      <c r="N581" s="26">
        <f>_xlfn.CONCAT("'",$B581,"'","!","$M$2:$M$80")</f>
      </c>
      <c r="O581" s="26">
        <f>_xlfn.CONCAT("'",$B581,"'","!","$N$2:$W$2")</f>
      </c>
      <c r="P581" s="2"/>
      <c r="Q581" s="2"/>
      <c r="R581" s="2"/>
      <c r="S581" s="2"/>
      <c r="T581" s="2"/>
      <c r="U581" s="2"/>
      <c r="V581" s="2"/>
      <c r="W581" s="2"/>
      <c r="X581" s="2"/>
      <c r="Y581" s="2"/>
    </row>
    <row x14ac:dyDescent="0.25" r="582" customHeight="1" ht="17.25">
      <c r="A582" s="10">
        <v>13</v>
      </c>
      <c r="B582" s="10">
        <v>2024</v>
      </c>
      <c r="C582" s="2" t="s">
        <v>117</v>
      </c>
      <c r="D582" s="23">
        <v>19</v>
      </c>
      <c r="E582" s="5" t="s">
        <v>16</v>
      </c>
      <c r="F582" s="24">
        <v>70.929241</v>
      </c>
      <c r="G582" s="23">
        <v>2</v>
      </c>
      <c r="H582" s="5" t="s">
        <v>16</v>
      </c>
      <c r="I582" s="24">
        <v>94.77</v>
      </c>
      <c r="J582" s="10">
        <v>2</v>
      </c>
      <c r="K582" s="24">
        <v>1.3528713900000002</v>
      </c>
      <c r="L582" s="24">
        <v>167.05211239</v>
      </c>
      <c r="M582" s="26">
        <f>_xlfn.CONCAT("'",$B582,"'","!","$N$3:$V$80")</f>
      </c>
      <c r="N582" s="26">
        <f>_xlfn.CONCAT("'",$B582,"'","!","$M$2:$M$80")</f>
      </c>
      <c r="O582" s="26">
        <f>_xlfn.CONCAT("'",$B582,"'","!","$N$2:$W$2")</f>
      </c>
      <c r="P582" s="2"/>
      <c r="Q582" s="2"/>
      <c r="R582" s="2"/>
      <c r="S582" s="2"/>
      <c r="T582" s="2"/>
      <c r="U582" s="2"/>
      <c r="V582" s="2"/>
      <c r="W582" s="2"/>
      <c r="X582" s="2"/>
      <c r="Y582" s="2"/>
    </row>
    <row x14ac:dyDescent="0.25" r="583" customHeight="1" ht="17.25">
      <c r="A583" s="10">
        <v>14</v>
      </c>
      <c r="B583" s="10">
        <v>2024</v>
      </c>
      <c r="C583" s="2" t="s">
        <v>118</v>
      </c>
      <c r="D583" s="23">
        <v>36</v>
      </c>
      <c r="E583" s="5" t="s">
        <v>16</v>
      </c>
      <c r="F583" s="24">
        <v>23.474592</v>
      </c>
      <c r="G583" s="23">
        <v>14</v>
      </c>
      <c r="H583" s="5" t="s">
        <v>16</v>
      </c>
      <c r="I583" s="24">
        <v>0.037905</v>
      </c>
      <c r="J583" s="10">
        <v>7</v>
      </c>
      <c r="K583" s="24">
        <v>0.7264553600000001</v>
      </c>
      <c r="L583" s="24">
        <v>24.23895236</v>
      </c>
      <c r="M583" s="26">
        <f>_xlfn.CONCAT("'",$B583,"'","!","$N$3:$V$80")</f>
      </c>
      <c r="N583" s="26">
        <f>_xlfn.CONCAT("'",$B583,"'","!","$M$2:$M$80")</f>
      </c>
      <c r="O583" s="26">
        <f>_xlfn.CONCAT("'",$B583,"'","!","$N$2:$W$2")</f>
      </c>
      <c r="P583" s="2"/>
      <c r="Q583" s="2"/>
      <c r="R583" s="2"/>
      <c r="S583" s="2"/>
      <c r="T583" s="2"/>
      <c r="U583" s="2"/>
      <c r="V583" s="2"/>
      <c r="W583" s="2"/>
      <c r="X583" s="2"/>
      <c r="Y583" s="2"/>
    </row>
    <row x14ac:dyDescent="0.25" r="584" customHeight="1" ht="17.25">
      <c r="A584" s="10">
        <v>15</v>
      </c>
      <c r="B584" s="10">
        <v>2024</v>
      </c>
      <c r="C584" s="2" t="s">
        <v>119</v>
      </c>
      <c r="D584" s="23">
        <v>32</v>
      </c>
      <c r="E584" s="5" t="s">
        <v>16</v>
      </c>
      <c r="F584" s="24">
        <v>543.787448</v>
      </c>
      <c r="G584" s="23">
        <v>22</v>
      </c>
      <c r="H584" s="5" t="s">
        <v>16</v>
      </c>
      <c r="I584" s="24">
        <v>-29.109233</v>
      </c>
      <c r="J584" s="10">
        <v>9</v>
      </c>
      <c r="K584" s="24">
        <v>1.73622636</v>
      </c>
      <c r="L584" s="24">
        <v>516.4144413600001</v>
      </c>
      <c r="M584" s="26">
        <f>_xlfn.CONCAT("'",$B584,"'","!","$N$3:$V$80")</f>
      </c>
      <c r="N584" s="26">
        <f>_xlfn.CONCAT("'",$B584,"'","!","$M$2:$M$80")</f>
      </c>
      <c r="O584" s="26">
        <f>_xlfn.CONCAT("'",$B584,"'","!","$N$2:$W$2")</f>
      </c>
      <c r="P584" s="2"/>
      <c r="Q584" s="2"/>
      <c r="R584" s="2"/>
      <c r="S584" s="2"/>
      <c r="T584" s="2"/>
      <c r="U584" s="2"/>
      <c r="V584" s="2"/>
      <c r="W584" s="2"/>
      <c r="X584" s="2"/>
      <c r="Y584" s="2"/>
    </row>
    <row x14ac:dyDescent="0.25" r="585" customHeight="1" ht="17.25">
      <c r="A585" s="10">
        <v>16</v>
      </c>
      <c r="B585" s="10">
        <v>2024</v>
      </c>
      <c r="C585" s="2" t="s">
        <v>120</v>
      </c>
      <c r="D585" s="23">
        <v>10</v>
      </c>
      <c r="E585" s="5" t="s">
        <v>16</v>
      </c>
      <c r="F585" s="24">
        <v>42.608328390000004</v>
      </c>
      <c r="G585" s="23">
        <v>22</v>
      </c>
      <c r="H585" s="5" t="s">
        <v>16</v>
      </c>
      <c r="I585" s="24">
        <v>50.8491067265625</v>
      </c>
      <c r="J585" s="10">
        <v>5</v>
      </c>
      <c r="K585" s="24">
        <v>4.365552070000001</v>
      </c>
      <c r="L585" s="24">
        <v>97.82298718656251</v>
      </c>
      <c r="M585" s="26">
        <f>_xlfn.CONCAT("'",$B585,"'","!","$N$3:$V$80")</f>
      </c>
      <c r="N585" s="26">
        <f>_xlfn.CONCAT("'",$B585,"'","!","$M$2:$M$80")</f>
      </c>
      <c r="O585" s="26">
        <f>_xlfn.CONCAT("'",$B585,"'","!","$N$2:$W$2")</f>
      </c>
      <c r="P585" s="2"/>
      <c r="Q585" s="2"/>
      <c r="R585" s="2"/>
      <c r="S585" s="2"/>
      <c r="T585" s="2"/>
      <c r="U585" s="2"/>
      <c r="V585" s="2"/>
      <c r="W585" s="2"/>
      <c r="X585" s="2"/>
      <c r="Y585" s="2"/>
    </row>
    <row x14ac:dyDescent="0.25" r="586" customHeight="1" ht="17.25">
      <c r="A586" s="10">
        <v>17</v>
      </c>
      <c r="B586" s="10">
        <v>2024</v>
      </c>
      <c r="C586" s="2" t="s">
        <v>121</v>
      </c>
      <c r="D586" s="23">
        <v>3</v>
      </c>
      <c r="E586" s="5" t="s">
        <v>16</v>
      </c>
      <c r="F586" s="23">
        <v>24</v>
      </c>
      <c r="G586" s="23">
        <v>3</v>
      </c>
      <c r="H586" s="5" t="s">
        <v>16</v>
      </c>
      <c r="I586" s="24">
        <v>13.12</v>
      </c>
      <c r="J586" s="10">
        <v>1</v>
      </c>
      <c r="K586" s="24">
        <v>0.08238928999999999</v>
      </c>
      <c r="L586" s="24">
        <v>37.20238929</v>
      </c>
      <c r="M586" s="26">
        <f>_xlfn.CONCAT("'",$B586,"'","!","$N$3:$V$80")</f>
      </c>
      <c r="N586" s="26">
        <f>_xlfn.CONCAT("'",$B586,"'","!","$M$2:$M$80")</f>
      </c>
      <c r="O586" s="26">
        <f>_xlfn.CONCAT("'",$B586,"'","!","$N$2:$W$2")</f>
      </c>
      <c r="P586" s="2"/>
      <c r="Q586" s="2"/>
      <c r="R586" s="2"/>
      <c r="S586" s="2"/>
      <c r="T586" s="2"/>
      <c r="U586" s="2"/>
      <c r="V586" s="2"/>
      <c r="W586" s="2"/>
      <c r="X586" s="2"/>
      <c r="Y586" s="2"/>
    </row>
    <row x14ac:dyDescent="0.25" r="587" customHeight="1" ht="17.25">
      <c r="A587" s="10">
        <v>18</v>
      </c>
      <c r="B587" s="10">
        <v>2024</v>
      </c>
      <c r="C587" s="2" t="s">
        <v>122</v>
      </c>
      <c r="D587" s="23">
        <v>15</v>
      </c>
      <c r="E587" s="5" t="s">
        <v>16</v>
      </c>
      <c r="F587" s="24">
        <v>183.905437</v>
      </c>
      <c r="G587" s="23">
        <v>1</v>
      </c>
      <c r="H587" s="5" t="s">
        <v>16</v>
      </c>
      <c r="I587" s="24">
        <v>0.5</v>
      </c>
      <c r="J587" s="10">
        <v>1</v>
      </c>
      <c r="K587" s="24">
        <v>0.575096</v>
      </c>
      <c r="L587" s="24">
        <v>184.980533</v>
      </c>
      <c r="M587" s="26">
        <f>_xlfn.CONCAT("'",$B587,"'","!","$N$3:$V$80")</f>
      </c>
      <c r="N587" s="26">
        <f>_xlfn.CONCAT("'",$B587,"'","!","$M$2:$M$80")</f>
      </c>
      <c r="O587" s="26">
        <f>_xlfn.CONCAT("'",$B587,"'","!","$N$2:$W$2")</f>
      </c>
      <c r="P587" s="2"/>
      <c r="Q587" s="2"/>
      <c r="R587" s="2"/>
      <c r="S587" s="2"/>
      <c r="T587" s="2"/>
      <c r="U587" s="2"/>
      <c r="V587" s="2"/>
      <c r="W587" s="2"/>
      <c r="X587" s="2"/>
      <c r="Y587" s="2"/>
    </row>
    <row x14ac:dyDescent="0.25" r="588" customHeight="1" ht="17.25">
      <c r="A588" s="10">
        <v>19</v>
      </c>
      <c r="B588" s="10">
        <v>2024</v>
      </c>
      <c r="C588" s="2" t="s">
        <v>123</v>
      </c>
      <c r="D588" s="23">
        <v>12</v>
      </c>
      <c r="E588" s="5" t="s">
        <v>16</v>
      </c>
      <c r="F588" s="24">
        <v>71.133335</v>
      </c>
      <c r="G588" s="23">
        <v>7</v>
      </c>
      <c r="H588" s="5" t="s">
        <v>16</v>
      </c>
      <c r="I588" s="24">
        <v>-0.145222375</v>
      </c>
      <c r="J588" s="10">
        <v>1</v>
      </c>
      <c r="K588" s="24">
        <v>0.64991876</v>
      </c>
      <c r="L588" s="24">
        <v>71.638031385</v>
      </c>
      <c r="M588" s="26">
        <f>_xlfn.CONCAT("'",$B588,"'","!","$N$3:$V$80")</f>
      </c>
      <c r="N588" s="26">
        <f>_xlfn.CONCAT("'",$B588,"'","!","$M$2:$M$80")</f>
      </c>
      <c r="O588" s="26">
        <f>_xlfn.CONCAT("'",$B588,"'","!","$N$2:$W$2")</f>
      </c>
      <c r="P588" s="2"/>
      <c r="Q588" s="2"/>
      <c r="R588" s="2"/>
      <c r="S588" s="2"/>
      <c r="T588" s="2"/>
      <c r="U588" s="2"/>
      <c r="V588" s="2"/>
      <c r="W588" s="2"/>
      <c r="X588" s="2"/>
      <c r="Y588" s="2"/>
    </row>
    <row x14ac:dyDescent="0.25" r="589" customHeight="1" ht="17.25">
      <c r="A589" s="10">
        <v>20</v>
      </c>
      <c r="B589" s="10">
        <v>2024</v>
      </c>
      <c r="C589" s="2" t="s">
        <v>124</v>
      </c>
      <c r="D589" s="23">
        <v>8</v>
      </c>
      <c r="E589" s="5" t="s">
        <v>16</v>
      </c>
      <c r="F589" s="24">
        <v>33.167255</v>
      </c>
      <c r="G589" s="23">
        <v>0</v>
      </c>
      <c r="H589" s="5" t="s">
        <v>16</v>
      </c>
      <c r="I589" s="23">
        <v>0</v>
      </c>
      <c r="J589" s="10">
        <v>3</v>
      </c>
      <c r="K589" s="24">
        <v>0.29403319</v>
      </c>
      <c r="L589" s="24">
        <v>33.46128819</v>
      </c>
      <c r="M589" s="26">
        <f>_xlfn.CONCAT("'",$B589,"'","!","$N$3:$V$80")</f>
      </c>
      <c r="N589" s="26">
        <f>_xlfn.CONCAT("'",$B589,"'","!","$M$2:$M$80")</f>
      </c>
      <c r="O589" s="26">
        <f>_xlfn.CONCAT("'",$B589,"'","!","$N$2:$W$2")</f>
      </c>
      <c r="P589" s="2"/>
      <c r="Q589" s="2"/>
      <c r="R589" s="2"/>
      <c r="S589" s="2"/>
      <c r="T589" s="2"/>
      <c r="U589" s="2"/>
      <c r="V589" s="2"/>
      <c r="W589" s="2"/>
      <c r="X589" s="2"/>
      <c r="Y589" s="2"/>
    </row>
    <row x14ac:dyDescent="0.25" r="590" customHeight="1" ht="17.25">
      <c r="A590" s="10">
        <v>21</v>
      </c>
      <c r="B590" s="10">
        <v>2024</v>
      </c>
      <c r="C590" s="2" t="s">
        <v>125</v>
      </c>
      <c r="D590" s="23">
        <v>3</v>
      </c>
      <c r="E590" s="5" t="s">
        <v>16</v>
      </c>
      <c r="F590" s="23">
        <v>48</v>
      </c>
      <c r="G590" s="23">
        <v>3</v>
      </c>
      <c r="H590" s="5" t="s">
        <v>16</v>
      </c>
      <c r="I590" s="24">
        <v>45.968938</v>
      </c>
      <c r="J590" s="10">
        <v>0</v>
      </c>
      <c r="K590" s="23">
        <v>0</v>
      </c>
      <c r="L590" s="24">
        <v>93.96893800000001</v>
      </c>
      <c r="M590" s="26">
        <f>_xlfn.CONCAT("'",$B590,"'","!","$N$3:$V$80")</f>
      </c>
      <c r="N590" s="26">
        <f>_xlfn.CONCAT("'",$B590,"'","!","$M$2:$M$80")</f>
      </c>
      <c r="O590" s="26">
        <f>_xlfn.CONCAT("'",$B590,"'","!","$N$2:$W$2")</f>
      </c>
      <c r="P590" s="2"/>
      <c r="Q590" s="2"/>
      <c r="R590" s="2"/>
      <c r="S590" s="2"/>
      <c r="T590" s="2"/>
      <c r="U590" s="2"/>
      <c r="V590" s="2"/>
      <c r="W590" s="2"/>
      <c r="X590" s="2"/>
      <c r="Y590" s="2"/>
    </row>
    <row x14ac:dyDescent="0.25" r="591" customHeight="1" ht="17.25">
      <c r="A591" s="10">
        <v>22</v>
      </c>
      <c r="B591" s="10">
        <v>2024</v>
      </c>
      <c r="C591" s="2" t="s">
        <v>126</v>
      </c>
      <c r="D591" s="23">
        <v>23</v>
      </c>
      <c r="E591" s="5" t="s">
        <v>16</v>
      </c>
      <c r="F591" s="24">
        <v>1357.968328</v>
      </c>
      <c r="G591" s="23">
        <v>3</v>
      </c>
      <c r="H591" s="5" t="s">
        <v>16</v>
      </c>
      <c r="I591" s="24">
        <v>3.671038</v>
      </c>
      <c r="J591" s="10">
        <v>1</v>
      </c>
      <c r="K591" s="24">
        <v>0.066791</v>
      </c>
      <c r="L591" s="24">
        <v>1361.7061569999998</v>
      </c>
      <c r="M591" s="26">
        <f>_xlfn.CONCAT("'",$B591,"'","!","$N$3:$V$80")</f>
      </c>
      <c r="N591" s="26">
        <f>_xlfn.CONCAT("'",$B591,"'","!","$M$2:$M$80")</f>
      </c>
      <c r="O591" s="26">
        <f>_xlfn.CONCAT("'",$B591,"'","!","$N$2:$W$2")</f>
      </c>
      <c r="P591" s="2"/>
      <c r="Q591" s="2"/>
      <c r="R591" s="2"/>
      <c r="S591" s="2"/>
      <c r="T591" s="2"/>
      <c r="U591" s="2"/>
      <c r="V591" s="2"/>
      <c r="W591" s="2"/>
      <c r="X591" s="2"/>
      <c r="Y591" s="2"/>
    </row>
    <row x14ac:dyDescent="0.25" r="592" customHeight="1" ht="17.25">
      <c r="A592" s="10">
        <v>23</v>
      </c>
      <c r="B592" s="10">
        <v>2024</v>
      </c>
      <c r="C592" s="2" t="s">
        <v>127</v>
      </c>
      <c r="D592" s="23">
        <v>1</v>
      </c>
      <c r="E592" s="5" t="s">
        <v>16</v>
      </c>
      <c r="F592" s="24">
        <v>2.744552</v>
      </c>
      <c r="G592" s="23">
        <v>0</v>
      </c>
      <c r="H592" s="5" t="s">
        <v>16</v>
      </c>
      <c r="I592" s="23">
        <v>0</v>
      </c>
      <c r="J592" s="10">
        <v>0</v>
      </c>
      <c r="K592" s="23">
        <v>0</v>
      </c>
      <c r="L592" s="24">
        <v>2.744552</v>
      </c>
      <c r="M592" s="26">
        <f>_xlfn.CONCAT("'",$B592,"'","!","$N$3:$V$80")</f>
      </c>
      <c r="N592" s="26">
        <f>_xlfn.CONCAT("'",$B592,"'","!","$M$2:$M$80")</f>
      </c>
      <c r="O592" s="26">
        <f>_xlfn.CONCAT("'",$B592,"'","!","$N$2:$W$2")</f>
      </c>
      <c r="P592" s="2"/>
      <c r="Q592" s="2"/>
      <c r="R592" s="2"/>
      <c r="S592" s="2"/>
      <c r="T592" s="2"/>
      <c r="U592" s="2"/>
      <c r="V592" s="2"/>
      <c r="W592" s="2"/>
      <c r="X592" s="2"/>
      <c r="Y592" s="2"/>
    </row>
    <row x14ac:dyDescent="0.25" r="593" customHeight="1" ht="17.25">
      <c r="A593" s="10">
        <v>24</v>
      </c>
      <c r="B593" s="10">
        <v>2024</v>
      </c>
      <c r="C593" s="2" t="s">
        <v>128</v>
      </c>
      <c r="D593" s="23">
        <v>1</v>
      </c>
      <c r="E593" s="5" t="s">
        <v>16</v>
      </c>
      <c r="F593" s="23">
        <v>11</v>
      </c>
      <c r="G593" s="23">
        <v>0</v>
      </c>
      <c r="H593" s="5" t="s">
        <v>16</v>
      </c>
      <c r="I593" s="23">
        <v>0</v>
      </c>
      <c r="J593" s="10">
        <v>28</v>
      </c>
      <c r="K593" s="24">
        <v>26.31452207</v>
      </c>
      <c r="L593" s="24">
        <v>37.314522069999995</v>
      </c>
      <c r="M593" s="26">
        <f>_xlfn.CONCAT("'",$B593,"'","!","$N$3:$V$80")</f>
      </c>
      <c r="N593" s="26">
        <f>_xlfn.CONCAT("'",$B593,"'","!","$M$2:$M$80")</f>
      </c>
      <c r="O593" s="26">
        <f>_xlfn.CONCAT("'",$B593,"'","!","$N$2:$W$2")</f>
      </c>
      <c r="P593" s="2"/>
      <c r="Q593" s="2"/>
      <c r="R593" s="2"/>
      <c r="S593" s="2"/>
      <c r="T593" s="2"/>
      <c r="U593" s="2"/>
      <c r="V593" s="2"/>
      <c r="W593" s="2"/>
      <c r="X593" s="2"/>
      <c r="Y593" s="2"/>
    </row>
    <row x14ac:dyDescent="0.25" r="594" customHeight="1" ht="17.25">
      <c r="A594" s="10">
        <v>25</v>
      </c>
      <c r="B594" s="10">
        <v>2024</v>
      </c>
      <c r="C594" s="2" t="s">
        <v>129</v>
      </c>
      <c r="D594" s="23">
        <v>6</v>
      </c>
      <c r="E594" s="5" t="s">
        <v>16</v>
      </c>
      <c r="F594" s="24">
        <v>87.061285</v>
      </c>
      <c r="G594" s="23">
        <v>1</v>
      </c>
      <c r="H594" s="5" t="s">
        <v>16</v>
      </c>
      <c r="I594" s="24">
        <v>1.000419</v>
      </c>
      <c r="J594" s="10">
        <v>1</v>
      </c>
      <c r="K594" s="24">
        <v>0.00841098</v>
      </c>
      <c r="L594" s="24">
        <v>88.07011497999999</v>
      </c>
      <c r="M594" s="26">
        <f>_xlfn.CONCAT("'",$B594,"'","!","$N$3:$V$80")</f>
      </c>
      <c r="N594" s="26">
        <f>_xlfn.CONCAT("'",$B594,"'","!","$M$2:$M$80")</f>
      </c>
      <c r="O594" s="26">
        <f>_xlfn.CONCAT("'",$B594,"'","!","$N$2:$W$2")</f>
      </c>
      <c r="P594" s="2"/>
      <c r="Q594" s="2"/>
      <c r="R594" s="2"/>
      <c r="S594" s="2"/>
      <c r="T594" s="2"/>
      <c r="U594" s="2"/>
      <c r="V594" s="2"/>
      <c r="W594" s="2"/>
      <c r="X594" s="2"/>
      <c r="Y594" s="2"/>
    </row>
    <row x14ac:dyDescent="0.25" r="595" customHeight="1" ht="17.25">
      <c r="A595" s="10">
        <v>26</v>
      </c>
      <c r="B595" s="10">
        <v>2024</v>
      </c>
      <c r="C595" s="2" t="s">
        <v>130</v>
      </c>
      <c r="D595" s="23">
        <v>0</v>
      </c>
      <c r="E595" s="5" t="s">
        <v>16</v>
      </c>
      <c r="F595" s="23">
        <v>0</v>
      </c>
      <c r="G595" s="23">
        <v>1</v>
      </c>
      <c r="H595" s="5" t="s">
        <v>16</v>
      </c>
      <c r="I595" s="24">
        <v>3.5</v>
      </c>
      <c r="J595" s="10">
        <v>2</v>
      </c>
      <c r="K595" s="24">
        <v>0.028510760000000003</v>
      </c>
      <c r="L595" s="24">
        <v>3.52851076</v>
      </c>
      <c r="M595" s="26">
        <f>_xlfn.CONCAT("'",$B595,"'","!","$N$3:$V$80")</f>
      </c>
      <c r="N595" s="26">
        <f>_xlfn.CONCAT("'",$B595,"'","!","$M$2:$M$80")</f>
      </c>
      <c r="O595" s="26">
        <f>_xlfn.CONCAT("'",$B595,"'","!","$N$2:$W$2")</f>
      </c>
      <c r="P595" s="2"/>
      <c r="Q595" s="2"/>
      <c r="R595" s="2"/>
      <c r="S595" s="2"/>
      <c r="T595" s="2"/>
      <c r="U595" s="2"/>
      <c r="V595" s="2"/>
      <c r="W595" s="2"/>
      <c r="X595" s="2"/>
      <c r="Y595" s="2"/>
    </row>
    <row x14ac:dyDescent="0.25" r="596" customHeight="1" ht="17.25">
      <c r="A596" s="10">
        <v>27</v>
      </c>
      <c r="B596" s="10">
        <v>2024</v>
      </c>
      <c r="C596" s="2" t="s">
        <v>131</v>
      </c>
      <c r="D596" s="23">
        <v>1</v>
      </c>
      <c r="E596" s="5" t="s">
        <v>16</v>
      </c>
      <c r="F596" s="24">
        <v>1.278881</v>
      </c>
      <c r="G596" s="23">
        <v>5</v>
      </c>
      <c r="H596" s="5" t="s">
        <v>16</v>
      </c>
      <c r="I596" s="24">
        <v>3.8270101845703124</v>
      </c>
      <c r="J596" s="10">
        <v>0</v>
      </c>
      <c r="K596" s="23">
        <v>0</v>
      </c>
      <c r="L596" s="24">
        <v>5.1058911845703125</v>
      </c>
      <c r="M596" s="26">
        <f>_xlfn.CONCAT("'",$B596,"'","!","$N$3:$V$80")</f>
      </c>
      <c r="N596" s="26">
        <f>_xlfn.CONCAT("'",$B596,"'","!","$M$2:$M$80")</f>
      </c>
      <c r="O596" s="26">
        <f>_xlfn.CONCAT("'",$B596,"'","!","$N$2:$W$2")</f>
      </c>
      <c r="P596" s="2"/>
      <c r="Q596" s="2"/>
      <c r="R596" s="2"/>
      <c r="S596" s="2"/>
      <c r="T596" s="2"/>
      <c r="U596" s="2"/>
      <c r="V596" s="2"/>
      <c r="W596" s="2"/>
      <c r="X596" s="2"/>
      <c r="Y596" s="2"/>
    </row>
    <row x14ac:dyDescent="0.25" r="597" customHeight="1" ht="17.25">
      <c r="A597" s="10">
        <v>28</v>
      </c>
      <c r="B597" s="10">
        <v>2024</v>
      </c>
      <c r="C597" s="2" t="s">
        <v>132</v>
      </c>
      <c r="D597" s="23">
        <v>4</v>
      </c>
      <c r="E597" s="5" t="s">
        <v>16</v>
      </c>
      <c r="F597" s="24">
        <v>31.390045</v>
      </c>
      <c r="G597" s="23">
        <v>0</v>
      </c>
      <c r="H597" s="5" t="s">
        <v>16</v>
      </c>
      <c r="I597" s="23">
        <v>0</v>
      </c>
      <c r="J597" s="10">
        <v>0</v>
      </c>
      <c r="K597" s="23">
        <v>0</v>
      </c>
      <c r="L597" s="24">
        <v>31.390045</v>
      </c>
      <c r="M597" s="26">
        <f>_xlfn.CONCAT("'",$B597,"'","!","$N$3:$V$80")</f>
      </c>
      <c r="N597" s="26">
        <f>_xlfn.CONCAT("'",$B597,"'","!","$M$2:$M$80")</f>
      </c>
      <c r="O597" s="26">
        <f>_xlfn.CONCAT("'",$B597,"'","!","$N$2:$W$2")</f>
      </c>
      <c r="P597" s="2"/>
      <c r="Q597" s="2"/>
      <c r="R597" s="2"/>
      <c r="S597" s="2"/>
      <c r="T597" s="2"/>
      <c r="U597" s="2"/>
      <c r="V597" s="2"/>
      <c r="W597" s="2"/>
      <c r="X597" s="2"/>
      <c r="Y597" s="2"/>
    </row>
    <row x14ac:dyDescent="0.25" r="598" customHeight="1" ht="17.25">
      <c r="A598" s="10">
        <v>29</v>
      </c>
      <c r="B598" s="10">
        <v>2024</v>
      </c>
      <c r="C598" s="2" t="s">
        <v>133</v>
      </c>
      <c r="D598" s="23">
        <v>2</v>
      </c>
      <c r="E598" s="5" t="s">
        <v>16</v>
      </c>
      <c r="F598" s="24">
        <v>14.107623</v>
      </c>
      <c r="G598" s="23">
        <v>3</v>
      </c>
      <c r="H598" s="5" t="s">
        <v>16</v>
      </c>
      <c r="I598" s="24">
        <v>34.401</v>
      </c>
      <c r="J598" s="10">
        <v>0</v>
      </c>
      <c r="K598" s="23">
        <v>0</v>
      </c>
      <c r="L598" s="24">
        <v>48.508623</v>
      </c>
      <c r="M598" s="26">
        <f>_xlfn.CONCAT("'",$B598,"'","!","$N$3:$V$80")</f>
      </c>
      <c r="N598" s="26">
        <f>_xlfn.CONCAT("'",$B598,"'","!","$M$2:$M$80")</f>
      </c>
      <c r="O598" s="26">
        <f>_xlfn.CONCAT("'",$B598,"'","!","$N$2:$W$2")</f>
      </c>
      <c r="P598" s="2"/>
      <c r="Q598" s="2"/>
      <c r="R598" s="2"/>
      <c r="S598" s="2"/>
      <c r="T598" s="2"/>
      <c r="U598" s="2"/>
      <c r="V598" s="2"/>
      <c r="W598" s="2"/>
      <c r="X598" s="2"/>
      <c r="Y598" s="2"/>
    </row>
    <row x14ac:dyDescent="0.25" r="599" customHeight="1" ht="17.25">
      <c r="A599" s="10">
        <v>30</v>
      </c>
      <c r="B599" s="10">
        <v>2024</v>
      </c>
      <c r="C599" s="2" t="s">
        <v>134</v>
      </c>
      <c r="D599" s="23">
        <v>1</v>
      </c>
      <c r="E599" s="5" t="s">
        <v>16</v>
      </c>
      <c r="F599" s="24">
        <v>0.025</v>
      </c>
      <c r="G599" s="23">
        <v>1</v>
      </c>
      <c r="H599" s="5" t="s">
        <v>16</v>
      </c>
      <c r="I599" s="24">
        <v>17.415216</v>
      </c>
      <c r="J599" s="10">
        <v>3</v>
      </c>
      <c r="K599" s="24">
        <v>28.76932521</v>
      </c>
      <c r="L599" s="24">
        <v>46.20954121</v>
      </c>
      <c r="M599" s="26">
        <f>_xlfn.CONCAT("'",$B599,"'","!","$N$3:$V$80")</f>
      </c>
      <c r="N599" s="26">
        <f>_xlfn.CONCAT("'",$B599,"'","!","$M$2:$M$80")</f>
      </c>
      <c r="O599" s="26">
        <f>_xlfn.CONCAT("'",$B599,"'","!","$N$2:$W$2")</f>
      </c>
      <c r="P599" s="2"/>
      <c r="Q599" s="2"/>
      <c r="R599" s="2"/>
      <c r="S599" s="2"/>
      <c r="T599" s="2"/>
      <c r="U599" s="2"/>
      <c r="V599" s="2"/>
      <c r="W599" s="2"/>
      <c r="X599" s="2"/>
      <c r="Y599" s="2"/>
    </row>
    <row x14ac:dyDescent="0.25" r="600" customHeight="1" ht="17.25">
      <c r="A600" s="10">
        <v>31</v>
      </c>
      <c r="B600" s="10">
        <v>2024</v>
      </c>
      <c r="C600" s="2" t="s">
        <v>135</v>
      </c>
      <c r="D600" s="23">
        <v>1</v>
      </c>
      <c r="E600" s="5" t="s">
        <v>16</v>
      </c>
      <c r="F600" s="24">
        <v>4.96</v>
      </c>
      <c r="G600" s="23">
        <v>1</v>
      </c>
      <c r="H600" s="5" t="s">
        <v>16</v>
      </c>
      <c r="I600" s="23">
        <v>16</v>
      </c>
      <c r="J600" s="10">
        <v>0</v>
      </c>
      <c r="K600" s="23">
        <v>0</v>
      </c>
      <c r="L600" s="24">
        <v>20.96</v>
      </c>
      <c r="M600" s="26">
        <f>_xlfn.CONCAT("'",$B600,"'","!","$N$3:$V$80")</f>
      </c>
      <c r="N600" s="26">
        <f>_xlfn.CONCAT("'",$B600,"'","!","$M$2:$M$80")</f>
      </c>
      <c r="O600" s="26">
        <f>_xlfn.CONCAT("'",$B600,"'","!","$N$2:$W$2")</f>
      </c>
      <c r="P600" s="2"/>
      <c r="Q600" s="2"/>
      <c r="R600" s="2"/>
      <c r="S600" s="2"/>
      <c r="T600" s="2"/>
      <c r="U600" s="2"/>
      <c r="V600" s="2"/>
      <c r="W600" s="2"/>
      <c r="X600" s="2"/>
      <c r="Y600" s="2"/>
    </row>
    <row x14ac:dyDescent="0.25" r="601" customHeight="1" ht="17.25">
      <c r="A601" s="10">
        <v>32</v>
      </c>
      <c r="B601" s="10">
        <v>2024</v>
      </c>
      <c r="C601" s="2" t="s">
        <v>136</v>
      </c>
      <c r="D601" s="23">
        <v>0</v>
      </c>
      <c r="E601" s="5" t="s">
        <v>16</v>
      </c>
      <c r="F601" s="23">
        <v>0</v>
      </c>
      <c r="G601" s="23">
        <v>1</v>
      </c>
      <c r="H601" s="5" t="s">
        <v>16</v>
      </c>
      <c r="I601" s="24">
        <v>16.502125</v>
      </c>
      <c r="J601" s="10">
        <v>0</v>
      </c>
      <c r="K601" s="23">
        <v>0</v>
      </c>
      <c r="L601" s="24">
        <v>16.502125</v>
      </c>
      <c r="M601" s="26">
        <f>_xlfn.CONCAT("'",$B601,"'","!","$N$3:$V$80")</f>
      </c>
      <c r="N601" s="26">
        <f>_xlfn.CONCAT("'",$B601,"'","!","$M$2:$M$80")</f>
      </c>
      <c r="O601" s="26">
        <f>_xlfn.CONCAT("'",$B601,"'","!","$N$2:$W$2")</f>
      </c>
      <c r="P601" s="2"/>
      <c r="Q601" s="2"/>
      <c r="R601" s="2"/>
      <c r="S601" s="2"/>
      <c r="T601" s="2"/>
      <c r="U601" s="2"/>
      <c r="V601" s="2"/>
      <c r="W601" s="2"/>
      <c r="X601" s="2"/>
      <c r="Y601" s="2"/>
    </row>
    <row x14ac:dyDescent="0.25" r="602" customHeight="1" ht="17.25">
      <c r="A602" s="10">
        <v>33</v>
      </c>
      <c r="B602" s="10">
        <v>2024</v>
      </c>
      <c r="C602" s="2" t="s">
        <v>137</v>
      </c>
      <c r="D602" s="23">
        <v>0</v>
      </c>
      <c r="E602" s="5" t="s">
        <v>16</v>
      </c>
      <c r="F602" s="23">
        <v>0</v>
      </c>
      <c r="G602" s="23">
        <v>0</v>
      </c>
      <c r="H602" s="5" t="s">
        <v>16</v>
      </c>
      <c r="I602" s="23">
        <v>0</v>
      </c>
      <c r="J602" s="10">
        <v>1</v>
      </c>
      <c r="K602" s="24">
        <v>0.05054448</v>
      </c>
      <c r="L602" s="24">
        <v>0.05054448</v>
      </c>
      <c r="M602" s="26">
        <f>_xlfn.CONCAT("'",$B602,"'","!","$N$3:$V$80")</f>
      </c>
      <c r="N602" s="26">
        <f>_xlfn.CONCAT("'",$B602,"'","!","$M$2:$M$80")</f>
      </c>
      <c r="O602" s="26">
        <f>_xlfn.CONCAT("'",$B602,"'","!","$N$2:$W$2")</f>
      </c>
      <c r="P602" s="2"/>
      <c r="Q602" s="2"/>
      <c r="R602" s="2"/>
      <c r="S602" s="2"/>
      <c r="T602" s="2"/>
      <c r="U602" s="2"/>
      <c r="V602" s="2"/>
      <c r="W602" s="2"/>
      <c r="X602" s="2"/>
      <c r="Y602" s="2"/>
    </row>
    <row x14ac:dyDescent="0.25" r="603" customHeight="1" ht="17.25">
      <c r="A603" s="10">
        <v>34</v>
      </c>
      <c r="B603" s="10">
        <v>2024</v>
      </c>
      <c r="C603" s="2" t="s">
        <v>138</v>
      </c>
      <c r="D603" s="30" t="s">
        <v>16</v>
      </c>
      <c r="E603" s="5" t="s">
        <v>16</v>
      </c>
      <c r="F603" s="25" t="s">
        <v>16</v>
      </c>
      <c r="G603" s="30" t="s">
        <v>16</v>
      </c>
      <c r="H603" s="5" t="s">
        <v>16</v>
      </c>
      <c r="I603" s="25" t="s">
        <v>16</v>
      </c>
      <c r="J603" s="5" t="s">
        <v>16</v>
      </c>
      <c r="K603" s="25" t="s">
        <v>16</v>
      </c>
      <c r="L603" s="25" t="s">
        <v>16</v>
      </c>
      <c r="M603" s="26">
        <f>_xlfn.CONCAT("'",$B603,"'","!","$N$3:$V$80")</f>
      </c>
      <c r="N603" s="26">
        <f>_xlfn.CONCAT("'",$B603,"'","!","$M$2:$M$80")</f>
      </c>
      <c r="O603" s="26">
        <f>_xlfn.CONCAT("'",$B603,"'","!","$N$2:$W$2")</f>
      </c>
      <c r="P603" s="2"/>
      <c r="Q603" s="2"/>
      <c r="R603" s="2"/>
      <c r="S603" s="2"/>
      <c r="T603" s="2"/>
      <c r="U603" s="2"/>
      <c r="V603" s="2"/>
      <c r="W603" s="2"/>
      <c r="X603" s="2"/>
      <c r="Y603" s="2"/>
    </row>
    <row x14ac:dyDescent="0.25" r="604" customHeight="1" ht="17.25">
      <c r="A604" s="10">
        <v>35</v>
      </c>
      <c r="B604" s="10">
        <v>2024</v>
      </c>
      <c r="C604" s="2" t="s">
        <v>139</v>
      </c>
      <c r="D604" s="23">
        <v>1</v>
      </c>
      <c r="E604" s="5" t="s">
        <v>16</v>
      </c>
      <c r="F604" s="24">
        <v>2.4175</v>
      </c>
      <c r="G604" s="23">
        <v>0</v>
      </c>
      <c r="H604" s="5" t="s">
        <v>16</v>
      </c>
      <c r="I604" s="23">
        <v>0</v>
      </c>
      <c r="J604" s="10">
        <v>0</v>
      </c>
      <c r="K604" s="23">
        <v>0</v>
      </c>
      <c r="L604" s="24">
        <v>2.4175</v>
      </c>
      <c r="M604" s="26">
        <f>_xlfn.CONCAT("'",$B604,"'","!","$N$3:$V$80")</f>
      </c>
      <c r="N604" s="26">
        <f>_xlfn.CONCAT("'",$B604,"'","!","$M$2:$M$80")</f>
      </c>
      <c r="O604" s="26">
        <f>_xlfn.CONCAT("'",$B604,"'","!","$N$2:$W$2")</f>
      </c>
      <c r="P604" s="2"/>
      <c r="Q604" s="2"/>
      <c r="R604" s="2"/>
      <c r="S604" s="2"/>
      <c r="T604" s="2"/>
      <c r="U604" s="2"/>
      <c r="V604" s="2"/>
      <c r="W604" s="2"/>
      <c r="X604" s="2"/>
      <c r="Y604" s="2"/>
    </row>
    <row x14ac:dyDescent="0.25" r="605" customHeight="1" ht="17.25">
      <c r="A605" s="10">
        <v>36</v>
      </c>
      <c r="B605" s="10">
        <v>2024</v>
      </c>
      <c r="C605" s="2" t="s">
        <v>140</v>
      </c>
      <c r="D605" s="23">
        <v>1</v>
      </c>
      <c r="E605" s="5" t="s">
        <v>16</v>
      </c>
      <c r="F605" s="24">
        <v>0.15</v>
      </c>
      <c r="G605" s="23">
        <v>0</v>
      </c>
      <c r="H605" s="5" t="s">
        <v>16</v>
      </c>
      <c r="I605" s="23">
        <v>0</v>
      </c>
      <c r="J605" s="10">
        <v>0</v>
      </c>
      <c r="K605" s="23">
        <v>0</v>
      </c>
      <c r="L605" s="24">
        <v>0.15</v>
      </c>
      <c r="M605" s="26">
        <f>_xlfn.CONCAT("'",$B605,"'","!","$N$3:$V$80")</f>
      </c>
      <c r="N605" s="26">
        <f>_xlfn.CONCAT("'",$B605,"'","!","$M$2:$M$80")</f>
      </c>
      <c r="O605" s="26">
        <f>_xlfn.CONCAT("'",$B605,"'","!","$N$2:$W$2")</f>
      </c>
      <c r="P605" s="2"/>
      <c r="Q605" s="2"/>
      <c r="R605" s="2"/>
      <c r="S605" s="2"/>
      <c r="T605" s="2"/>
      <c r="U605" s="2"/>
      <c r="V605" s="2"/>
      <c r="W605" s="2"/>
      <c r="X605" s="2"/>
      <c r="Y605" s="2"/>
    </row>
    <row x14ac:dyDescent="0.25" r="606" customHeight="1" ht="17.25">
      <c r="A606" s="10">
        <v>37</v>
      </c>
      <c r="B606" s="10">
        <v>2024</v>
      </c>
      <c r="C606" s="2" t="s">
        <v>141</v>
      </c>
      <c r="D606" s="23">
        <v>1</v>
      </c>
      <c r="E606" s="5" t="s">
        <v>16</v>
      </c>
      <c r="F606" s="24">
        <v>0.15</v>
      </c>
      <c r="G606" s="23">
        <v>0</v>
      </c>
      <c r="H606" s="5" t="s">
        <v>16</v>
      </c>
      <c r="I606" s="23">
        <v>0</v>
      </c>
      <c r="J606" s="10">
        <v>4</v>
      </c>
      <c r="K606" s="24">
        <v>0.10593225</v>
      </c>
      <c r="L606" s="24">
        <v>0.25593225</v>
      </c>
      <c r="M606" s="26">
        <f>_xlfn.CONCAT("'",$B606,"'","!","$N$3:$V$80")</f>
      </c>
      <c r="N606" s="26">
        <f>_xlfn.CONCAT("'",$B606,"'","!","$M$2:$M$80")</f>
      </c>
      <c r="O606" s="26">
        <f>_xlfn.CONCAT("'",$B606,"'","!","$N$2:$W$2")</f>
      </c>
      <c r="P606" s="2"/>
      <c r="Q606" s="2"/>
      <c r="R606" s="2"/>
      <c r="S606" s="2"/>
      <c r="T606" s="2"/>
      <c r="U606" s="2"/>
      <c r="V606" s="2"/>
      <c r="W606" s="2"/>
      <c r="X606" s="2"/>
      <c r="Y606" s="2"/>
    </row>
    <row x14ac:dyDescent="0.25" r="607" customHeight="1" ht="17.25">
      <c r="A607" s="10">
        <v>38</v>
      </c>
      <c r="B607" s="10">
        <v>2024</v>
      </c>
      <c r="C607" s="2" t="s">
        <v>142</v>
      </c>
      <c r="D607" s="23">
        <v>17</v>
      </c>
      <c r="E607" s="5" t="s">
        <v>16</v>
      </c>
      <c r="F607" s="24">
        <v>396.588599</v>
      </c>
      <c r="G607" s="23">
        <v>2</v>
      </c>
      <c r="H607" s="5" t="s">
        <v>16</v>
      </c>
      <c r="I607" s="23">
        <v>5</v>
      </c>
      <c r="J607" s="10">
        <v>1</v>
      </c>
      <c r="K607" s="24">
        <v>0.03562055</v>
      </c>
      <c r="L607" s="24">
        <v>401.62421954999996</v>
      </c>
      <c r="M607" s="26">
        <f>_xlfn.CONCAT("'",$B607,"'","!","$N$3:$V$80")</f>
      </c>
      <c r="N607" s="26">
        <f>_xlfn.CONCAT("'",$B607,"'","!","$M$2:$M$80")</f>
      </c>
      <c r="O607" s="26">
        <f>_xlfn.CONCAT("'",$B607,"'","!","$N$2:$W$2")</f>
      </c>
      <c r="P607" s="2"/>
      <c r="Q607" s="2"/>
      <c r="R607" s="2"/>
      <c r="S607" s="2"/>
      <c r="T607" s="2"/>
      <c r="U607" s="2"/>
      <c r="V607" s="2"/>
      <c r="W607" s="2"/>
      <c r="X607" s="2"/>
      <c r="Y607" s="2"/>
    </row>
    <row x14ac:dyDescent="0.25" r="608" customHeight="1" ht="17.25">
      <c r="A608" s="10">
        <v>39</v>
      </c>
      <c r="B608" s="10">
        <v>2024</v>
      </c>
      <c r="C608" s="2" t="s">
        <v>143</v>
      </c>
      <c r="D608" s="23">
        <v>0</v>
      </c>
      <c r="E608" s="5" t="s">
        <v>16</v>
      </c>
      <c r="F608" s="23">
        <v>0</v>
      </c>
      <c r="G608" s="23">
        <v>0</v>
      </c>
      <c r="H608" s="5" t="s">
        <v>16</v>
      </c>
      <c r="I608" s="23">
        <v>0</v>
      </c>
      <c r="J608" s="10">
        <v>2</v>
      </c>
      <c r="K608" s="24">
        <v>0.589822</v>
      </c>
      <c r="L608" s="24">
        <v>0.589822</v>
      </c>
      <c r="M608" s="26">
        <f>_xlfn.CONCAT("'",$B608,"'","!","$N$3:$V$80")</f>
      </c>
      <c r="N608" s="26">
        <f>_xlfn.CONCAT("'",$B608,"'","!","$M$2:$M$80")</f>
      </c>
      <c r="O608" s="26">
        <f>_xlfn.CONCAT("'",$B608,"'","!","$N$2:$W$2")</f>
      </c>
      <c r="P608" s="2"/>
      <c r="Q608" s="2"/>
      <c r="R608" s="2"/>
      <c r="S608" s="2"/>
      <c r="T608" s="2"/>
      <c r="U608" s="2"/>
      <c r="V608" s="2"/>
      <c r="W608" s="2"/>
      <c r="X608" s="2"/>
      <c r="Y608" s="2"/>
    </row>
    <row x14ac:dyDescent="0.25" r="609" customHeight="1" ht="17.25">
      <c r="A609" s="10">
        <v>40</v>
      </c>
      <c r="B609" s="10">
        <v>2024</v>
      </c>
      <c r="C609" s="2" t="s">
        <v>144</v>
      </c>
      <c r="D609" s="23">
        <v>14</v>
      </c>
      <c r="E609" s="5" t="s">
        <v>16</v>
      </c>
      <c r="F609" s="24">
        <v>136.451065</v>
      </c>
      <c r="G609" s="23">
        <v>8</v>
      </c>
      <c r="H609" s="5" t="s">
        <v>16</v>
      </c>
      <c r="I609" s="24">
        <v>-20.358521</v>
      </c>
      <c r="J609" s="10">
        <v>1</v>
      </c>
      <c r="K609" s="24">
        <v>0.02218</v>
      </c>
      <c r="L609" s="24">
        <v>116.11472400000001</v>
      </c>
      <c r="M609" s="26">
        <f>_xlfn.CONCAT("'",$B609,"'","!","$N$3:$V$80")</f>
      </c>
      <c r="N609" s="26">
        <f>_xlfn.CONCAT("'",$B609,"'","!","$M$2:$M$80")</f>
      </c>
      <c r="O609" s="26">
        <f>_xlfn.CONCAT("'",$B609,"'","!","$N$2:$W$2")</f>
      </c>
      <c r="P609" s="2"/>
      <c r="Q609" s="2"/>
      <c r="R609" s="2"/>
      <c r="S609" s="2"/>
      <c r="T609" s="2"/>
      <c r="U609" s="2"/>
      <c r="V609" s="2"/>
      <c r="W609" s="2"/>
      <c r="X609" s="2"/>
      <c r="Y609" s="2"/>
    </row>
    <row x14ac:dyDescent="0.25" r="610" customHeight="1" ht="17.25">
      <c r="A610" s="10">
        <v>41</v>
      </c>
      <c r="B610" s="10">
        <v>2024</v>
      </c>
      <c r="C610" s="2" t="s">
        <v>145</v>
      </c>
      <c r="D610" s="30" t="s">
        <v>16</v>
      </c>
      <c r="E610" s="5" t="s">
        <v>16</v>
      </c>
      <c r="F610" s="25" t="s">
        <v>16</v>
      </c>
      <c r="G610" s="30" t="s">
        <v>16</v>
      </c>
      <c r="H610" s="5" t="s">
        <v>16</v>
      </c>
      <c r="I610" s="25" t="s">
        <v>16</v>
      </c>
      <c r="J610" s="5" t="s">
        <v>16</v>
      </c>
      <c r="K610" s="25" t="s">
        <v>16</v>
      </c>
      <c r="L610" s="25" t="s">
        <v>16</v>
      </c>
      <c r="M610" s="26">
        <f>_xlfn.CONCAT("'",$B610,"'","!","$N$3:$V$80")</f>
      </c>
      <c r="N610" s="26">
        <f>_xlfn.CONCAT("'",$B610,"'","!","$M$2:$M$80")</f>
      </c>
      <c r="O610" s="26">
        <f>_xlfn.CONCAT("'",$B610,"'","!","$N$2:$W$2")</f>
      </c>
      <c r="P610" s="2"/>
      <c r="Q610" s="2"/>
      <c r="R610" s="2"/>
      <c r="S610" s="2"/>
      <c r="T610" s="2"/>
      <c r="U610" s="2"/>
      <c r="V610" s="2"/>
      <c r="W610" s="2"/>
      <c r="X610" s="2"/>
      <c r="Y610" s="2"/>
    </row>
    <row x14ac:dyDescent="0.25" r="611" customHeight="1" ht="17.25">
      <c r="A611" s="10">
        <v>42</v>
      </c>
      <c r="B611" s="10">
        <v>2024</v>
      </c>
      <c r="C611" s="2" t="s">
        <v>146</v>
      </c>
      <c r="D611" s="23">
        <v>0</v>
      </c>
      <c r="E611" s="5" t="s">
        <v>16</v>
      </c>
      <c r="F611" s="23">
        <v>0</v>
      </c>
      <c r="G611" s="23">
        <v>0</v>
      </c>
      <c r="H611" s="5" t="s">
        <v>16</v>
      </c>
      <c r="I611" s="23">
        <v>0</v>
      </c>
      <c r="J611" s="10">
        <v>1</v>
      </c>
      <c r="K611" s="24">
        <v>5.68477545</v>
      </c>
      <c r="L611" s="24">
        <v>5.68477545</v>
      </c>
      <c r="M611" s="26">
        <f>_xlfn.CONCAT("'",$B611,"'","!","$N$3:$V$80")</f>
      </c>
      <c r="N611" s="26">
        <f>_xlfn.CONCAT("'",$B611,"'","!","$M$2:$M$80")</f>
      </c>
      <c r="O611" s="26">
        <f>_xlfn.CONCAT("'",$B611,"'","!","$N$2:$W$2")</f>
      </c>
      <c r="P611" s="2"/>
      <c r="Q611" s="2"/>
      <c r="R611" s="2"/>
      <c r="S611" s="2"/>
      <c r="T611" s="2"/>
      <c r="U611" s="2"/>
      <c r="V611" s="2"/>
      <c r="W611" s="2"/>
      <c r="X611" s="2"/>
      <c r="Y611" s="2"/>
    </row>
    <row x14ac:dyDescent="0.25" r="612" customHeight="1" ht="17.25">
      <c r="A612" s="10">
        <v>43</v>
      </c>
      <c r="B612" s="10">
        <v>2024</v>
      </c>
      <c r="C612" s="2" t="s">
        <v>147</v>
      </c>
      <c r="D612" s="23">
        <v>0</v>
      </c>
      <c r="E612" s="5" t="s">
        <v>16</v>
      </c>
      <c r="F612" s="23">
        <v>0</v>
      </c>
      <c r="G612" s="23">
        <v>0</v>
      </c>
      <c r="H612" s="5" t="s">
        <v>16</v>
      </c>
      <c r="I612" s="23">
        <v>0</v>
      </c>
      <c r="J612" s="10">
        <v>1</v>
      </c>
      <c r="K612" s="24">
        <v>0.004</v>
      </c>
      <c r="L612" s="24">
        <v>0.004</v>
      </c>
      <c r="M612" s="26">
        <f>_xlfn.CONCAT("'",$B612,"'","!","$N$3:$V$80")</f>
      </c>
      <c r="N612" s="26">
        <f>_xlfn.CONCAT("'",$B612,"'","!","$M$2:$M$80")</f>
      </c>
      <c r="O612" s="26">
        <f>_xlfn.CONCAT("'",$B612,"'","!","$N$2:$W$2")</f>
      </c>
      <c r="P612" s="2"/>
      <c r="Q612" s="2"/>
      <c r="R612" s="2"/>
      <c r="S612" s="2"/>
      <c r="T612" s="2"/>
      <c r="U612" s="2"/>
      <c r="V612" s="2"/>
      <c r="W612" s="2"/>
      <c r="X612" s="2"/>
      <c r="Y612" s="2"/>
    </row>
    <row x14ac:dyDescent="0.25" r="613" customHeight="1" ht="17.25">
      <c r="A613" s="10">
        <v>44</v>
      </c>
      <c r="B613" s="10">
        <v>2024</v>
      </c>
      <c r="C613" s="2" t="s">
        <v>148</v>
      </c>
      <c r="D613" s="23">
        <v>2</v>
      </c>
      <c r="E613" s="5" t="s">
        <v>16</v>
      </c>
      <c r="F613" s="24">
        <v>4.469</v>
      </c>
      <c r="G613" s="23">
        <v>0</v>
      </c>
      <c r="H613" s="5" t="s">
        <v>16</v>
      </c>
      <c r="I613" s="23">
        <v>0</v>
      </c>
      <c r="J613" s="10">
        <v>0</v>
      </c>
      <c r="K613" s="23">
        <v>0</v>
      </c>
      <c r="L613" s="24">
        <v>4.469</v>
      </c>
      <c r="M613" s="26">
        <f>_xlfn.CONCAT("'",$B613,"'","!","$N$3:$V$80")</f>
      </c>
      <c r="N613" s="26">
        <f>_xlfn.CONCAT("'",$B613,"'","!","$M$2:$M$80")</f>
      </c>
      <c r="O613" s="26">
        <f>_xlfn.CONCAT("'",$B613,"'","!","$N$2:$W$2")</f>
      </c>
      <c r="P613" s="2"/>
      <c r="Q613" s="2"/>
      <c r="R613" s="2"/>
      <c r="S613" s="2"/>
      <c r="T613" s="2"/>
      <c r="U613" s="2"/>
      <c r="V613" s="2"/>
      <c r="W613" s="2"/>
      <c r="X613" s="2"/>
      <c r="Y613" s="2"/>
    </row>
    <row x14ac:dyDescent="0.25" r="614" customHeight="1" ht="17.25">
      <c r="A614" s="10">
        <v>45</v>
      </c>
      <c r="B614" s="10">
        <v>2024</v>
      </c>
      <c r="C614" s="2" t="s">
        <v>149</v>
      </c>
      <c r="D614" s="30" t="s">
        <v>16</v>
      </c>
      <c r="E614" s="5" t="s">
        <v>16</v>
      </c>
      <c r="F614" s="25" t="s">
        <v>16</v>
      </c>
      <c r="G614" s="30" t="s">
        <v>16</v>
      </c>
      <c r="H614" s="5" t="s">
        <v>16</v>
      </c>
      <c r="I614" s="25" t="s">
        <v>16</v>
      </c>
      <c r="J614" s="5" t="s">
        <v>16</v>
      </c>
      <c r="K614" s="25" t="s">
        <v>16</v>
      </c>
      <c r="L614" s="25" t="s">
        <v>16</v>
      </c>
      <c r="M614" s="26">
        <f>_xlfn.CONCAT("'",$B614,"'","!","$N$3:$V$80")</f>
      </c>
      <c r="N614" s="26">
        <f>_xlfn.CONCAT("'",$B614,"'","!","$M$2:$M$80")</f>
      </c>
      <c r="O614" s="26">
        <f>_xlfn.CONCAT("'",$B614,"'","!","$N$2:$W$2")</f>
      </c>
      <c r="P614" s="2"/>
      <c r="Q614" s="2"/>
      <c r="R614" s="2"/>
      <c r="S614" s="2"/>
      <c r="T614" s="2"/>
      <c r="U614" s="2"/>
      <c r="V614" s="2"/>
      <c r="W614" s="2"/>
      <c r="X614" s="2"/>
      <c r="Y614" s="2"/>
    </row>
    <row x14ac:dyDescent="0.25" r="615" customHeight="1" ht="17.25">
      <c r="A615" s="10">
        <v>46</v>
      </c>
      <c r="B615" s="10">
        <v>2024</v>
      </c>
      <c r="C615" s="2" t="s">
        <v>150</v>
      </c>
      <c r="D615" s="23">
        <v>1</v>
      </c>
      <c r="E615" s="5" t="s">
        <v>16</v>
      </c>
      <c r="F615" s="24">
        <v>6.6</v>
      </c>
      <c r="G615" s="23">
        <v>1</v>
      </c>
      <c r="H615" s="5" t="s">
        <v>16</v>
      </c>
      <c r="I615" s="23">
        <v>1</v>
      </c>
      <c r="J615" s="10">
        <v>2</v>
      </c>
      <c r="K615" s="24">
        <v>1.4473818799999998</v>
      </c>
      <c r="L615" s="24">
        <v>9.04738188</v>
      </c>
      <c r="M615" s="26">
        <f>_xlfn.CONCAT("'",$B615,"'","!","$N$3:$V$80")</f>
      </c>
      <c r="N615" s="26">
        <f>_xlfn.CONCAT("'",$B615,"'","!","$M$2:$M$80")</f>
      </c>
      <c r="O615" s="26">
        <f>_xlfn.CONCAT("'",$B615,"'","!","$N$2:$W$2")</f>
      </c>
      <c r="P615" s="2"/>
      <c r="Q615" s="2"/>
      <c r="R615" s="2"/>
      <c r="S615" s="2"/>
      <c r="T615" s="2"/>
      <c r="U615" s="2"/>
      <c r="V615" s="2"/>
      <c r="W615" s="2"/>
      <c r="X615" s="2"/>
      <c r="Y615" s="2"/>
    </row>
    <row x14ac:dyDescent="0.25" r="616" customHeight="1" ht="17.25">
      <c r="A616" s="10">
        <v>47</v>
      </c>
      <c r="B616" s="10">
        <v>2024</v>
      </c>
      <c r="C616" s="2" t="s">
        <v>151</v>
      </c>
      <c r="D616" s="30" t="s">
        <v>16</v>
      </c>
      <c r="E616" s="5" t="s">
        <v>16</v>
      </c>
      <c r="F616" s="25" t="s">
        <v>16</v>
      </c>
      <c r="G616" s="30" t="s">
        <v>16</v>
      </c>
      <c r="H616" s="5" t="s">
        <v>16</v>
      </c>
      <c r="I616" s="25" t="s">
        <v>16</v>
      </c>
      <c r="J616" s="5" t="s">
        <v>16</v>
      </c>
      <c r="K616" s="25" t="s">
        <v>16</v>
      </c>
      <c r="L616" s="25" t="s">
        <v>16</v>
      </c>
      <c r="M616" s="26">
        <f>_xlfn.CONCAT("'",$B616,"'","!","$N$3:$V$80")</f>
      </c>
      <c r="N616" s="26">
        <f>_xlfn.CONCAT("'",$B616,"'","!","$M$2:$M$80")</f>
      </c>
      <c r="O616" s="26">
        <f>_xlfn.CONCAT("'",$B616,"'","!","$N$2:$W$2")</f>
      </c>
      <c r="P616" s="2"/>
      <c r="Q616" s="2"/>
      <c r="R616" s="2"/>
      <c r="S616" s="2"/>
      <c r="T616" s="2"/>
      <c r="U616" s="2"/>
      <c r="V616" s="2"/>
      <c r="W616" s="2"/>
      <c r="X616" s="2"/>
      <c r="Y616" s="2"/>
    </row>
    <row x14ac:dyDescent="0.25" r="617" customHeight="1" ht="17.25">
      <c r="A617" s="10">
        <v>48</v>
      </c>
      <c r="B617" s="10">
        <v>2024</v>
      </c>
      <c r="C617" s="2" t="s">
        <v>152</v>
      </c>
      <c r="D617" s="23">
        <v>3</v>
      </c>
      <c r="E617" s="5" t="s">
        <v>16</v>
      </c>
      <c r="F617" s="24">
        <v>131.641664</v>
      </c>
      <c r="G617" s="23">
        <v>0</v>
      </c>
      <c r="H617" s="5" t="s">
        <v>16</v>
      </c>
      <c r="I617" s="23">
        <v>0</v>
      </c>
      <c r="J617" s="10">
        <v>3</v>
      </c>
      <c r="K617" s="24">
        <v>1.400954</v>
      </c>
      <c r="L617" s="24">
        <v>133.042618</v>
      </c>
      <c r="M617" s="26">
        <f>_xlfn.CONCAT("'",$B617,"'","!","$N$3:$V$80")</f>
      </c>
      <c r="N617" s="26">
        <f>_xlfn.CONCAT("'",$B617,"'","!","$M$2:$M$80")</f>
      </c>
      <c r="O617" s="26">
        <f>_xlfn.CONCAT("'",$B617,"'","!","$N$2:$W$2")</f>
      </c>
      <c r="P617" s="2"/>
      <c r="Q617" s="2"/>
      <c r="R617" s="2"/>
      <c r="S617" s="2"/>
      <c r="T617" s="2"/>
      <c r="U617" s="2"/>
      <c r="V617" s="2"/>
      <c r="W617" s="2"/>
      <c r="X617" s="2"/>
      <c r="Y617" s="2"/>
    </row>
    <row x14ac:dyDescent="0.25" r="618" customHeight="1" ht="17.25">
      <c r="A618" s="10">
        <v>49</v>
      </c>
      <c r="B618" s="10">
        <v>2024</v>
      </c>
      <c r="C618" s="2" t="s">
        <v>153</v>
      </c>
      <c r="D618" s="30" t="s">
        <v>16</v>
      </c>
      <c r="E618" s="5" t="s">
        <v>16</v>
      </c>
      <c r="F618" s="25" t="s">
        <v>16</v>
      </c>
      <c r="G618" s="30" t="s">
        <v>16</v>
      </c>
      <c r="H618" s="5" t="s">
        <v>16</v>
      </c>
      <c r="I618" s="25" t="s">
        <v>16</v>
      </c>
      <c r="J618" s="5" t="s">
        <v>16</v>
      </c>
      <c r="K618" s="25" t="s">
        <v>16</v>
      </c>
      <c r="L618" s="25" t="s">
        <v>16</v>
      </c>
      <c r="M618" s="26">
        <f>_xlfn.CONCAT("'",$B618,"'","!","$N$3:$V$80")</f>
      </c>
      <c r="N618" s="26">
        <f>_xlfn.CONCAT("'",$B618,"'","!","$M$2:$M$80")</f>
      </c>
      <c r="O618" s="26">
        <f>_xlfn.CONCAT("'",$B618,"'","!","$N$2:$W$2")</f>
      </c>
      <c r="P618" s="2"/>
      <c r="Q618" s="2"/>
      <c r="R618" s="2"/>
      <c r="S618" s="2"/>
      <c r="T618" s="2"/>
      <c r="U618" s="2"/>
      <c r="V618" s="2"/>
      <c r="W618" s="2"/>
      <c r="X618" s="2"/>
      <c r="Y618" s="2"/>
    </row>
    <row x14ac:dyDescent="0.25" r="619" customHeight="1" ht="17.25">
      <c r="A619" s="10">
        <v>50</v>
      </c>
      <c r="B619" s="10">
        <v>2024</v>
      </c>
      <c r="C619" s="2" t="s">
        <v>154</v>
      </c>
      <c r="D619" s="30" t="s">
        <v>16</v>
      </c>
      <c r="E619" s="5" t="s">
        <v>16</v>
      </c>
      <c r="F619" s="25" t="s">
        <v>16</v>
      </c>
      <c r="G619" s="30" t="s">
        <v>16</v>
      </c>
      <c r="H619" s="5" t="s">
        <v>16</v>
      </c>
      <c r="I619" s="25" t="s">
        <v>16</v>
      </c>
      <c r="J619" s="5" t="s">
        <v>16</v>
      </c>
      <c r="K619" s="25" t="s">
        <v>16</v>
      </c>
      <c r="L619" s="25" t="s">
        <v>16</v>
      </c>
      <c r="M619" s="26">
        <f>_xlfn.CONCAT("'",$B619,"'","!","$N$3:$V$80")</f>
      </c>
      <c r="N619" s="26">
        <f>_xlfn.CONCAT("'",$B619,"'","!","$M$2:$M$80")</f>
      </c>
      <c r="O619" s="26">
        <f>_xlfn.CONCAT("'",$B619,"'","!","$N$2:$W$2")</f>
      </c>
      <c r="P619" s="2"/>
      <c r="Q619" s="2"/>
      <c r="R619" s="2"/>
      <c r="S619" s="2"/>
      <c r="T619" s="2"/>
      <c r="U619" s="2"/>
      <c r="V619" s="2"/>
      <c r="W619" s="2"/>
      <c r="X619" s="2"/>
      <c r="Y619" s="2"/>
    </row>
    <row x14ac:dyDescent="0.25" r="620" customHeight="1" ht="17.25">
      <c r="A620" s="10">
        <v>51</v>
      </c>
      <c r="B620" s="10">
        <v>2024</v>
      </c>
      <c r="C620" s="2" t="s">
        <v>155</v>
      </c>
      <c r="D620" s="23">
        <v>2</v>
      </c>
      <c r="E620" s="5" t="s">
        <v>16</v>
      </c>
      <c r="F620" s="24">
        <v>10.6753991</v>
      </c>
      <c r="G620" s="23">
        <v>1</v>
      </c>
      <c r="H620" s="5" t="s">
        <v>16</v>
      </c>
      <c r="I620" s="24">
        <v>5.686744</v>
      </c>
      <c r="J620" s="10">
        <v>2</v>
      </c>
      <c r="K620" s="24">
        <v>0.3125</v>
      </c>
      <c r="L620" s="24">
        <v>16.6746431</v>
      </c>
      <c r="M620" s="26">
        <f>_xlfn.CONCAT("'",$B620,"'","!","$N$3:$V$80")</f>
      </c>
      <c r="N620" s="26">
        <f>_xlfn.CONCAT("'",$B620,"'","!","$M$2:$M$80")</f>
      </c>
      <c r="O620" s="26">
        <f>_xlfn.CONCAT("'",$B620,"'","!","$N$2:$W$2")</f>
      </c>
      <c r="P620" s="2"/>
      <c r="Q620" s="2"/>
      <c r="R620" s="2"/>
      <c r="S620" s="2"/>
      <c r="T620" s="2"/>
      <c r="U620" s="2"/>
      <c r="V620" s="2"/>
      <c r="W620" s="2"/>
      <c r="X620" s="2"/>
      <c r="Y620" s="2"/>
    </row>
    <row x14ac:dyDescent="0.25" r="621" customHeight="1" ht="17.25">
      <c r="A621" s="10">
        <v>52</v>
      </c>
      <c r="B621" s="10">
        <v>2024</v>
      </c>
      <c r="C621" s="2" t="s">
        <v>156</v>
      </c>
      <c r="D621" s="30" t="s">
        <v>16</v>
      </c>
      <c r="E621" s="5" t="s">
        <v>16</v>
      </c>
      <c r="F621" s="25" t="s">
        <v>16</v>
      </c>
      <c r="G621" s="30" t="s">
        <v>16</v>
      </c>
      <c r="H621" s="5" t="s">
        <v>16</v>
      </c>
      <c r="I621" s="25" t="s">
        <v>16</v>
      </c>
      <c r="J621" s="5" t="s">
        <v>16</v>
      </c>
      <c r="K621" s="25" t="s">
        <v>16</v>
      </c>
      <c r="L621" s="25" t="s">
        <v>16</v>
      </c>
      <c r="M621" s="26">
        <f>_xlfn.CONCAT("'",$B621,"'","!","$N$3:$V$80")</f>
      </c>
      <c r="N621" s="26">
        <f>_xlfn.CONCAT("'",$B621,"'","!","$M$2:$M$80")</f>
      </c>
      <c r="O621" s="26">
        <f>_xlfn.CONCAT("'",$B621,"'","!","$N$2:$W$2")</f>
      </c>
      <c r="P621" s="2"/>
      <c r="Q621" s="2"/>
      <c r="R621" s="2"/>
      <c r="S621" s="2"/>
      <c r="T621" s="2"/>
      <c r="U621" s="2"/>
      <c r="V621" s="2"/>
      <c r="W621" s="2"/>
      <c r="X621" s="2"/>
      <c r="Y621" s="2"/>
    </row>
    <row x14ac:dyDescent="0.25" r="622" customHeight="1" ht="17.25">
      <c r="A622" s="10">
        <v>53</v>
      </c>
      <c r="B622" s="10">
        <v>2024</v>
      </c>
      <c r="C622" s="2" t="s">
        <v>157</v>
      </c>
      <c r="D622" s="30" t="s">
        <v>16</v>
      </c>
      <c r="E622" s="5" t="s">
        <v>16</v>
      </c>
      <c r="F622" s="25" t="s">
        <v>16</v>
      </c>
      <c r="G622" s="30" t="s">
        <v>16</v>
      </c>
      <c r="H622" s="5" t="s">
        <v>16</v>
      </c>
      <c r="I622" s="25" t="s">
        <v>16</v>
      </c>
      <c r="J622" s="5" t="s">
        <v>16</v>
      </c>
      <c r="K622" s="25" t="s">
        <v>16</v>
      </c>
      <c r="L622" s="25" t="s">
        <v>16</v>
      </c>
      <c r="M622" s="26">
        <f>_xlfn.CONCAT("'",$B622,"'","!","$N$3:$V$80")</f>
      </c>
      <c r="N622" s="26">
        <f>_xlfn.CONCAT("'",$B622,"'","!","$M$2:$M$80")</f>
      </c>
      <c r="O622" s="26">
        <f>_xlfn.CONCAT("'",$B622,"'","!","$N$2:$W$2")</f>
      </c>
      <c r="P622" s="2"/>
      <c r="Q622" s="2"/>
      <c r="R622" s="2"/>
      <c r="S622" s="2"/>
      <c r="T622" s="2"/>
      <c r="U622" s="2"/>
      <c r="V622" s="2"/>
      <c r="W622" s="2"/>
      <c r="X622" s="2"/>
      <c r="Y622" s="2"/>
    </row>
    <row x14ac:dyDescent="0.25" r="623" customHeight="1" ht="17.25">
      <c r="A623" s="10">
        <v>54</v>
      </c>
      <c r="B623" s="10">
        <v>2024</v>
      </c>
      <c r="C623" s="2" t="s">
        <v>158</v>
      </c>
      <c r="D623" s="30" t="s">
        <v>16</v>
      </c>
      <c r="E623" s="5" t="s">
        <v>16</v>
      </c>
      <c r="F623" s="25" t="s">
        <v>16</v>
      </c>
      <c r="G623" s="30" t="s">
        <v>16</v>
      </c>
      <c r="H623" s="5" t="s">
        <v>16</v>
      </c>
      <c r="I623" s="25" t="s">
        <v>16</v>
      </c>
      <c r="J623" s="5" t="s">
        <v>16</v>
      </c>
      <c r="K623" s="25" t="s">
        <v>16</v>
      </c>
      <c r="L623" s="25" t="s">
        <v>16</v>
      </c>
      <c r="M623" s="26">
        <f>_xlfn.CONCAT("'",$B623,"'","!","$N$3:$V$80")</f>
      </c>
      <c r="N623" s="26">
        <f>_xlfn.CONCAT("'",$B623,"'","!","$M$2:$M$80")</f>
      </c>
      <c r="O623" s="26">
        <f>_xlfn.CONCAT("'",$B623,"'","!","$N$2:$W$2")</f>
      </c>
      <c r="P623" s="2"/>
      <c r="Q623" s="2"/>
      <c r="R623" s="2"/>
      <c r="S623" s="2"/>
      <c r="T623" s="2"/>
      <c r="U623" s="2"/>
      <c r="V623" s="2"/>
      <c r="W623" s="2"/>
      <c r="X623" s="2"/>
      <c r="Y623" s="2"/>
    </row>
    <row x14ac:dyDescent="0.25" r="624" customHeight="1" ht="17.25">
      <c r="A624" s="10">
        <v>55</v>
      </c>
      <c r="B624" s="10">
        <v>2024</v>
      </c>
      <c r="C624" s="2" t="s">
        <v>159</v>
      </c>
      <c r="D624" s="30" t="s">
        <v>16</v>
      </c>
      <c r="E624" s="5" t="s">
        <v>16</v>
      </c>
      <c r="F624" s="25" t="s">
        <v>16</v>
      </c>
      <c r="G624" s="30" t="s">
        <v>16</v>
      </c>
      <c r="H624" s="5" t="s">
        <v>16</v>
      </c>
      <c r="I624" s="25" t="s">
        <v>16</v>
      </c>
      <c r="J624" s="5" t="s">
        <v>16</v>
      </c>
      <c r="K624" s="25" t="s">
        <v>16</v>
      </c>
      <c r="L624" s="25" t="s">
        <v>16</v>
      </c>
      <c r="M624" s="26">
        <f>_xlfn.CONCAT("'",$B624,"'","!","$N$3:$V$80")</f>
      </c>
      <c r="N624" s="26">
        <f>_xlfn.CONCAT("'",$B624,"'","!","$M$2:$M$80")</f>
      </c>
      <c r="O624" s="26">
        <f>_xlfn.CONCAT("'",$B624,"'","!","$N$2:$W$2")</f>
      </c>
      <c r="P624" s="2"/>
      <c r="Q624" s="2"/>
      <c r="R624" s="2"/>
      <c r="S624" s="2"/>
      <c r="T624" s="2"/>
      <c r="U624" s="2"/>
      <c r="V624" s="2"/>
      <c r="W624" s="2"/>
      <c r="X624" s="2"/>
      <c r="Y624" s="2"/>
    </row>
    <row x14ac:dyDescent="0.25" r="625" customHeight="1" ht="17.25">
      <c r="A625" s="10">
        <v>56</v>
      </c>
      <c r="B625" s="10">
        <v>2024</v>
      </c>
      <c r="C625" s="2" t="s">
        <v>160</v>
      </c>
      <c r="D625" s="30" t="s">
        <v>16</v>
      </c>
      <c r="E625" s="5" t="s">
        <v>16</v>
      </c>
      <c r="F625" s="25" t="s">
        <v>16</v>
      </c>
      <c r="G625" s="30" t="s">
        <v>16</v>
      </c>
      <c r="H625" s="5" t="s">
        <v>16</v>
      </c>
      <c r="I625" s="25" t="s">
        <v>16</v>
      </c>
      <c r="J625" s="5" t="s">
        <v>16</v>
      </c>
      <c r="K625" s="25" t="s">
        <v>16</v>
      </c>
      <c r="L625" s="25" t="s">
        <v>16</v>
      </c>
      <c r="M625" s="26">
        <f>_xlfn.CONCAT("'",$B625,"'","!","$N$3:$V$80")</f>
      </c>
      <c r="N625" s="26">
        <f>_xlfn.CONCAT("'",$B625,"'","!","$M$2:$M$80")</f>
      </c>
      <c r="O625" s="26">
        <f>_xlfn.CONCAT("'",$B625,"'","!","$N$2:$W$2")</f>
      </c>
      <c r="P625" s="2"/>
      <c r="Q625" s="2"/>
      <c r="R625" s="2"/>
      <c r="S625" s="2"/>
      <c r="T625" s="2"/>
      <c r="U625" s="2"/>
      <c r="V625" s="2"/>
      <c r="W625" s="2"/>
      <c r="X625" s="2"/>
      <c r="Y625" s="2"/>
    </row>
    <row x14ac:dyDescent="0.25" r="626" customHeight="1" ht="17.25">
      <c r="A626" s="10">
        <v>57</v>
      </c>
      <c r="B626" s="10">
        <v>2024</v>
      </c>
      <c r="C626" s="2" t="s">
        <v>161</v>
      </c>
      <c r="D626" s="30" t="s">
        <v>16</v>
      </c>
      <c r="E626" s="5" t="s">
        <v>16</v>
      </c>
      <c r="F626" s="25" t="s">
        <v>16</v>
      </c>
      <c r="G626" s="30" t="s">
        <v>16</v>
      </c>
      <c r="H626" s="5" t="s">
        <v>16</v>
      </c>
      <c r="I626" s="25" t="s">
        <v>16</v>
      </c>
      <c r="J626" s="5" t="s">
        <v>16</v>
      </c>
      <c r="K626" s="25" t="s">
        <v>16</v>
      </c>
      <c r="L626" s="25" t="s">
        <v>16</v>
      </c>
      <c r="M626" s="26">
        <f>_xlfn.CONCAT("'",$B626,"'","!","$N$3:$V$80")</f>
      </c>
      <c r="N626" s="26">
        <f>_xlfn.CONCAT("'",$B626,"'","!","$M$2:$M$80")</f>
      </c>
      <c r="O626" s="26">
        <f>_xlfn.CONCAT("'",$B626,"'","!","$N$2:$W$2")</f>
      </c>
      <c r="P626" s="2"/>
      <c r="Q626" s="2"/>
      <c r="R626" s="2"/>
      <c r="S626" s="2"/>
      <c r="T626" s="2"/>
      <c r="U626" s="2"/>
      <c r="V626" s="2"/>
      <c r="W626" s="2"/>
      <c r="X626" s="2"/>
      <c r="Y626" s="2"/>
    </row>
    <row x14ac:dyDescent="0.25" r="627" customHeight="1" ht="17.25">
      <c r="A627" s="10">
        <v>58</v>
      </c>
      <c r="B627" s="10">
        <v>2024</v>
      </c>
      <c r="C627" s="2" t="s">
        <v>162</v>
      </c>
      <c r="D627" s="23">
        <v>1</v>
      </c>
      <c r="E627" s="5" t="s">
        <v>16</v>
      </c>
      <c r="F627" s="24">
        <v>6.5</v>
      </c>
      <c r="G627" s="23">
        <v>0</v>
      </c>
      <c r="H627" s="5" t="s">
        <v>16</v>
      </c>
      <c r="I627" s="23">
        <v>0</v>
      </c>
      <c r="J627" s="10">
        <v>0</v>
      </c>
      <c r="K627" s="23">
        <v>0</v>
      </c>
      <c r="L627" s="24">
        <v>6.5</v>
      </c>
      <c r="M627" s="26">
        <f>_xlfn.CONCAT("'",$B627,"'","!","$N$3:$V$80")</f>
      </c>
      <c r="N627" s="26">
        <f>_xlfn.CONCAT("'",$B627,"'","!","$M$2:$M$80")</f>
      </c>
      <c r="O627" s="26">
        <f>_xlfn.CONCAT("'",$B627,"'","!","$N$2:$W$2")</f>
      </c>
      <c r="P627" s="2"/>
      <c r="Q627" s="2"/>
      <c r="R627" s="2"/>
      <c r="S627" s="2"/>
      <c r="T627" s="2"/>
      <c r="U627" s="2"/>
      <c r="V627" s="2"/>
      <c r="W627" s="2"/>
      <c r="X627" s="2"/>
      <c r="Y627" s="2"/>
    </row>
    <row x14ac:dyDescent="0.25" r="628" customHeight="1" ht="17.25">
      <c r="A628" s="10">
        <v>59</v>
      </c>
      <c r="B628" s="10">
        <v>2024</v>
      </c>
      <c r="C628" s="2" t="s">
        <v>163</v>
      </c>
      <c r="D628" s="30" t="s">
        <v>16</v>
      </c>
      <c r="E628" s="5" t="s">
        <v>16</v>
      </c>
      <c r="F628" s="25" t="s">
        <v>16</v>
      </c>
      <c r="G628" s="30" t="s">
        <v>16</v>
      </c>
      <c r="H628" s="5" t="s">
        <v>16</v>
      </c>
      <c r="I628" s="25" t="s">
        <v>16</v>
      </c>
      <c r="J628" s="5" t="s">
        <v>16</v>
      </c>
      <c r="K628" s="25" t="s">
        <v>16</v>
      </c>
      <c r="L628" s="25" t="s">
        <v>16</v>
      </c>
      <c r="M628" s="26">
        <f>_xlfn.CONCAT("'",$B628,"'","!","$N$3:$V$80")</f>
      </c>
      <c r="N628" s="26">
        <f>_xlfn.CONCAT("'",$B628,"'","!","$M$2:$M$80")</f>
      </c>
      <c r="O628" s="26">
        <f>_xlfn.CONCAT("'",$B628,"'","!","$N$2:$W$2")</f>
      </c>
      <c r="P628" s="2"/>
      <c r="Q628" s="2"/>
      <c r="R628" s="2"/>
      <c r="S628" s="2"/>
      <c r="T628" s="2"/>
      <c r="U628" s="2"/>
      <c r="V628" s="2"/>
      <c r="W628" s="2"/>
      <c r="X628" s="2"/>
      <c r="Y628" s="2"/>
    </row>
    <row x14ac:dyDescent="0.25" r="629" customHeight="1" ht="17.25">
      <c r="A629" s="10">
        <v>60</v>
      </c>
      <c r="B629" s="10">
        <v>2024</v>
      </c>
      <c r="C629" s="2" t="s">
        <v>164</v>
      </c>
      <c r="D629" s="30" t="s">
        <v>16</v>
      </c>
      <c r="E629" s="5" t="s">
        <v>16</v>
      </c>
      <c r="F629" s="25" t="s">
        <v>16</v>
      </c>
      <c r="G629" s="30" t="s">
        <v>16</v>
      </c>
      <c r="H629" s="5" t="s">
        <v>16</v>
      </c>
      <c r="I629" s="25" t="s">
        <v>16</v>
      </c>
      <c r="J629" s="5" t="s">
        <v>16</v>
      </c>
      <c r="K629" s="25" t="s">
        <v>16</v>
      </c>
      <c r="L629" s="25" t="s">
        <v>16</v>
      </c>
      <c r="M629" s="26">
        <f>_xlfn.CONCAT("'",$B629,"'","!","$N$3:$V$80")</f>
      </c>
      <c r="N629" s="26">
        <f>_xlfn.CONCAT("'",$B629,"'","!","$M$2:$M$80")</f>
      </c>
      <c r="O629" s="26">
        <f>_xlfn.CONCAT("'",$B629,"'","!","$N$2:$W$2")</f>
      </c>
      <c r="P629" s="2"/>
      <c r="Q629" s="2"/>
      <c r="R629" s="2"/>
      <c r="S629" s="2"/>
      <c r="T629" s="2"/>
      <c r="U629" s="2"/>
      <c r="V629" s="2"/>
      <c r="W629" s="2"/>
      <c r="X629" s="2"/>
      <c r="Y629" s="2"/>
    </row>
    <row x14ac:dyDescent="0.25" r="630" customHeight="1" ht="17.25">
      <c r="A630" s="10">
        <v>61</v>
      </c>
      <c r="B630" s="10">
        <v>2024</v>
      </c>
      <c r="C630" s="2" t="s">
        <v>165</v>
      </c>
      <c r="D630" s="23">
        <v>1</v>
      </c>
      <c r="E630" s="5" t="s">
        <v>16</v>
      </c>
      <c r="F630" s="24">
        <v>0.436681</v>
      </c>
      <c r="G630" s="23">
        <v>0</v>
      </c>
      <c r="H630" s="5" t="s">
        <v>16</v>
      </c>
      <c r="I630" s="23">
        <v>0</v>
      </c>
      <c r="J630" s="10">
        <v>0</v>
      </c>
      <c r="K630" s="23">
        <v>0</v>
      </c>
      <c r="L630" s="24">
        <v>0.436681</v>
      </c>
      <c r="M630" s="26">
        <f>_xlfn.CONCAT("'",$B630,"'","!","$N$3:$V$80")</f>
      </c>
      <c r="N630" s="26">
        <f>_xlfn.CONCAT("'",$B630,"'","!","$M$2:$M$80")</f>
      </c>
      <c r="O630" s="26">
        <f>_xlfn.CONCAT("'",$B630,"'","!","$N$2:$W$2")</f>
      </c>
      <c r="P630" s="2"/>
      <c r="Q630" s="2"/>
      <c r="R630" s="2"/>
      <c r="S630" s="2"/>
      <c r="T630" s="2"/>
      <c r="U630" s="2"/>
      <c r="V630" s="2"/>
      <c r="W630" s="2"/>
      <c r="X630" s="2"/>
      <c r="Y630" s="2"/>
    </row>
    <row x14ac:dyDescent="0.25" r="631" customHeight="1" ht="17.25">
      <c r="A631" s="10">
        <v>62</v>
      </c>
      <c r="B631" s="10">
        <v>2024</v>
      </c>
      <c r="C631" s="2" t="s">
        <v>166</v>
      </c>
      <c r="D631" s="30" t="s">
        <v>16</v>
      </c>
      <c r="E631" s="5" t="s">
        <v>16</v>
      </c>
      <c r="F631" s="25" t="s">
        <v>16</v>
      </c>
      <c r="G631" s="30" t="s">
        <v>16</v>
      </c>
      <c r="H631" s="5" t="s">
        <v>16</v>
      </c>
      <c r="I631" s="25" t="s">
        <v>16</v>
      </c>
      <c r="J631" s="5" t="s">
        <v>16</v>
      </c>
      <c r="K631" s="25" t="s">
        <v>16</v>
      </c>
      <c r="L631" s="25" t="s">
        <v>16</v>
      </c>
      <c r="M631" s="26">
        <f>_xlfn.CONCAT("'",$B631,"'","!","$N$3:$V$80")</f>
      </c>
      <c r="N631" s="26">
        <f>_xlfn.CONCAT("'",$B631,"'","!","$M$2:$M$80")</f>
      </c>
      <c r="O631" s="26">
        <f>_xlfn.CONCAT("'",$B631,"'","!","$N$2:$W$2")</f>
      </c>
      <c r="P631" s="2"/>
      <c r="Q631" s="2"/>
      <c r="R631" s="2"/>
      <c r="S631" s="2"/>
      <c r="T631" s="2"/>
      <c r="U631" s="2"/>
      <c r="V631" s="2"/>
      <c r="W631" s="2"/>
      <c r="X631" s="2"/>
      <c r="Y631" s="2"/>
    </row>
    <row x14ac:dyDescent="0.25" r="632" customHeight="1" ht="17.25">
      <c r="A632" s="10">
        <v>63</v>
      </c>
      <c r="B632" s="10">
        <v>2024</v>
      </c>
      <c r="C632" s="2" t="s">
        <v>167</v>
      </c>
      <c r="D632" s="23">
        <v>1538</v>
      </c>
      <c r="E632" s="10">
        <v>0</v>
      </c>
      <c r="F632" s="24">
        <v>9536.75410515</v>
      </c>
      <c r="G632" s="23">
        <v>592</v>
      </c>
      <c r="H632" s="10">
        <v>0</v>
      </c>
      <c r="I632" s="24">
        <v>3950.3507291324418</v>
      </c>
      <c r="J632" s="10">
        <v>1420</v>
      </c>
      <c r="K632" s="24">
        <v>1698.1133495698696</v>
      </c>
      <c r="L632" s="24">
        <v>15185.218183852308</v>
      </c>
      <c r="M632" s="26">
        <f>_xlfn.CONCAT("'",$B632,"'","!","$N$3:$V$80")</f>
      </c>
      <c r="N632" s="26">
        <f>_xlfn.CONCAT("'",$B632,"'","!","$M$2:$M$80")</f>
      </c>
      <c r="O632" s="26">
        <f>_xlfn.CONCAT("'",$B632,"'","!","$N$2:$W$2")</f>
      </c>
      <c r="P632" s="2"/>
      <c r="Q632" s="2"/>
      <c r="R632" s="2"/>
      <c r="S632" s="2"/>
      <c r="T632" s="2"/>
      <c r="U632" s="2"/>
      <c r="V632" s="2"/>
      <c r="W632" s="2"/>
      <c r="X632" s="2"/>
      <c r="Y632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V56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4" width="22.290714285714284" customWidth="1" bestFit="1"/>
    <col min="5" max="5" style="14" width="26.290714285714284" customWidth="1" bestFit="1"/>
    <col min="6" max="6" style="12" width="18.290714285714284" customWidth="1" bestFit="1"/>
    <col min="7" max="7" style="14" width="23.719285714285714" customWidth="1" bestFit="1"/>
    <col min="8" max="8" style="14" width="27.719285714285714" customWidth="1" bestFit="1"/>
    <col min="9" max="9" style="13" width="24.290714285714284" customWidth="1" bestFit="1"/>
    <col min="10" max="10" style="13" width="16.290714285714284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5" width="14.576428571428572" customWidth="1" bestFit="1"/>
    <col min="15" max="15" style="16" width="22.290714285714284" customWidth="1" bestFit="1"/>
    <col min="16" max="16" style="16" width="26.290714285714284" customWidth="1" bestFit="1"/>
    <col min="17" max="17" style="15" width="18.290714285714284" customWidth="1" bestFit="1"/>
    <col min="18" max="18" style="16" width="23.719285714285714" customWidth="1" bestFit="1"/>
    <col min="19" max="19" style="16" width="27.719285714285714" customWidth="1" bestFit="1"/>
    <col min="20" max="20" style="13" width="24.290714285714284" customWidth="1" bestFit="1"/>
    <col min="21" max="21" style="13" width="16.290714285714284" customWidth="1" bestFit="1"/>
    <col min="22" max="22" style="16" width="51.57642857142857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2" t="s">
        <v>4</v>
      </c>
      <c r="J1" s="2"/>
      <c r="K1" s="4"/>
      <c r="L1" s="3"/>
      <c r="M1" s="2"/>
      <c r="N1" s="5" t="s">
        <v>2</v>
      </c>
      <c r="O1" s="7"/>
      <c r="P1" s="7"/>
      <c r="Q1" s="5" t="s">
        <v>3</v>
      </c>
      <c r="R1" s="7"/>
      <c r="S1" s="7"/>
      <c r="T1" s="2" t="s">
        <v>4</v>
      </c>
      <c r="U1" s="2"/>
      <c r="V1" s="8" t="s">
        <v>5</v>
      </c>
    </row>
    <row x14ac:dyDescent="0.25" r="2" customHeight="1" ht="17.25">
      <c r="A2" s="3"/>
      <c r="B2" s="2"/>
      <c r="C2" s="1" t="s">
        <v>6</v>
      </c>
      <c r="D2" s="9" t="s">
        <v>7</v>
      </c>
      <c r="E2" s="9" t="s">
        <v>8</v>
      </c>
      <c r="F2" s="1" t="s">
        <v>9</v>
      </c>
      <c r="G2" s="9" t="s">
        <v>10</v>
      </c>
      <c r="H2" s="9" t="s">
        <v>11</v>
      </c>
      <c r="I2" s="2" t="s">
        <v>12</v>
      </c>
      <c r="J2" s="2" t="s">
        <v>13</v>
      </c>
      <c r="K2" s="9" t="s">
        <v>5</v>
      </c>
      <c r="L2" s="1" t="s">
        <v>0</v>
      </c>
      <c r="M2" s="2" t="s">
        <v>14</v>
      </c>
      <c r="N2" s="5" t="s">
        <v>6</v>
      </c>
      <c r="O2" s="8" t="s">
        <v>7</v>
      </c>
      <c r="P2" s="8" t="s">
        <v>8</v>
      </c>
      <c r="Q2" s="5" t="s">
        <v>9</v>
      </c>
      <c r="R2" s="8" t="s">
        <v>10</v>
      </c>
      <c r="S2" s="8" t="s">
        <v>11</v>
      </c>
      <c r="T2" s="2" t="s">
        <v>12</v>
      </c>
      <c r="U2" s="2" t="s">
        <v>13</v>
      </c>
      <c r="V2" s="8" t="s">
        <v>5</v>
      </c>
    </row>
    <row x14ac:dyDescent="0.25" r="3" customHeight="1" ht="17.25">
      <c r="A3" s="10">
        <v>1</v>
      </c>
      <c r="B3" s="2" t="s">
        <v>15</v>
      </c>
      <c r="C3" s="10">
        <v>1012</v>
      </c>
      <c r="D3" s="10">
        <v>9466284582</v>
      </c>
      <c r="E3" s="11">
        <v>9466.284582</v>
      </c>
      <c r="F3" s="10">
        <v>616</v>
      </c>
      <c r="G3" s="11">
        <v>6962482085.25</v>
      </c>
      <c r="H3" s="11">
        <v>6962.48208525</v>
      </c>
      <c r="I3" s="2" t="s">
        <v>16</v>
      </c>
      <c r="J3" s="2" t="s">
        <v>16</v>
      </c>
      <c r="K3" s="11">
        <v>16428.766667249998</v>
      </c>
      <c r="L3" s="10">
        <v>1</v>
      </c>
      <c r="M3" s="2" t="s">
        <v>19</v>
      </c>
      <c r="N3" s="10">
        <v>606</v>
      </c>
      <c r="O3" s="10">
        <v>2982736274</v>
      </c>
      <c r="P3" s="11">
        <v>2982.736274</v>
      </c>
      <c r="Q3" s="10">
        <v>191</v>
      </c>
      <c r="R3" s="11">
        <v>1117506282.42</v>
      </c>
      <c r="S3" s="11">
        <v>1117.5062824200002</v>
      </c>
      <c r="T3" s="2" t="s">
        <v>16</v>
      </c>
      <c r="U3" s="2" t="s">
        <v>16</v>
      </c>
      <c r="V3" s="11">
        <v>4100.24255642</v>
      </c>
    </row>
    <row x14ac:dyDescent="0.25" r="4" customHeight="1" ht="17.25">
      <c r="A4" s="10">
        <v>2</v>
      </c>
      <c r="B4" s="2" t="s">
        <v>18</v>
      </c>
      <c r="C4" s="10">
        <v>10</v>
      </c>
      <c r="D4" s="10">
        <v>2859591155</v>
      </c>
      <c r="E4" s="11">
        <v>2859.591155</v>
      </c>
      <c r="F4" s="10">
        <v>11</v>
      </c>
      <c r="G4" s="10">
        <v>-60160477</v>
      </c>
      <c r="H4" s="11">
        <v>60.160477</v>
      </c>
      <c r="I4" s="2" t="s">
        <v>16</v>
      </c>
      <c r="J4" s="2" t="s">
        <v>16</v>
      </c>
      <c r="K4" s="11">
        <v>2919.751632</v>
      </c>
      <c r="L4" s="10">
        <v>2</v>
      </c>
      <c r="M4" s="2" t="s">
        <v>25</v>
      </c>
      <c r="N4" s="10">
        <v>136</v>
      </c>
      <c r="O4" s="10">
        <v>150582243</v>
      </c>
      <c r="P4" s="11">
        <v>150.582243</v>
      </c>
      <c r="Q4" s="10">
        <v>107</v>
      </c>
      <c r="R4" s="10">
        <v>3512455324</v>
      </c>
      <c r="S4" s="11">
        <v>3512.455324</v>
      </c>
      <c r="T4" s="2" t="s">
        <v>16</v>
      </c>
      <c r="U4" s="2" t="s">
        <v>16</v>
      </c>
      <c r="V4" s="11">
        <v>3663.037567</v>
      </c>
    </row>
    <row x14ac:dyDescent="0.25" r="5" customHeight="1" ht="17.25">
      <c r="A5" s="10">
        <v>3</v>
      </c>
      <c r="B5" s="2" t="s">
        <v>20</v>
      </c>
      <c r="C5" s="10">
        <v>34</v>
      </c>
      <c r="D5" s="10">
        <v>2146413268</v>
      </c>
      <c r="E5" s="11">
        <v>2146.413268</v>
      </c>
      <c r="F5" s="10">
        <v>14</v>
      </c>
      <c r="G5" s="10">
        <v>248289212</v>
      </c>
      <c r="H5" s="11">
        <v>248.289212</v>
      </c>
      <c r="I5" s="2" t="s">
        <v>16</v>
      </c>
      <c r="J5" s="2" t="s">
        <v>16</v>
      </c>
      <c r="K5" s="11">
        <v>2394.70248</v>
      </c>
      <c r="L5" s="10">
        <v>3</v>
      </c>
      <c r="M5" s="2" t="s">
        <v>21</v>
      </c>
      <c r="N5" s="10">
        <v>212</v>
      </c>
      <c r="O5" s="10">
        <v>2635591980</v>
      </c>
      <c r="P5" s="11">
        <v>2635.59198</v>
      </c>
      <c r="Q5" s="10">
        <v>105</v>
      </c>
      <c r="R5" s="10">
        <v>493054604</v>
      </c>
      <c r="S5" s="11">
        <v>493.054604</v>
      </c>
      <c r="T5" s="2" t="s">
        <v>16</v>
      </c>
      <c r="U5" s="2" t="s">
        <v>16</v>
      </c>
      <c r="V5" s="11">
        <v>3128.646584</v>
      </c>
    </row>
    <row x14ac:dyDescent="0.25" r="6" customHeight="1" ht="17.25">
      <c r="A6" s="10">
        <v>4</v>
      </c>
      <c r="B6" s="2" t="s">
        <v>22</v>
      </c>
      <c r="C6" s="10">
        <v>115</v>
      </c>
      <c r="D6" s="10">
        <v>575129332</v>
      </c>
      <c r="E6" s="11">
        <v>575.129332</v>
      </c>
      <c r="F6" s="10">
        <v>30</v>
      </c>
      <c r="G6" s="10">
        <v>163437685</v>
      </c>
      <c r="H6" s="11">
        <v>163.437685</v>
      </c>
      <c r="I6" s="2" t="s">
        <v>16</v>
      </c>
      <c r="J6" s="2" t="s">
        <v>16</v>
      </c>
      <c r="K6" s="11">
        <v>738.567017</v>
      </c>
      <c r="L6" s="10">
        <v>4</v>
      </c>
      <c r="M6" s="2" t="s">
        <v>69</v>
      </c>
      <c r="N6" s="10">
        <v>2</v>
      </c>
      <c r="O6" s="10">
        <v>2526800000</v>
      </c>
      <c r="P6" s="11">
        <v>2526.8</v>
      </c>
      <c r="Q6" s="10">
        <v>0</v>
      </c>
      <c r="R6" s="10">
        <v>0</v>
      </c>
      <c r="S6" s="10">
        <v>0</v>
      </c>
      <c r="T6" s="2" t="s">
        <v>16</v>
      </c>
      <c r="U6" s="2" t="s">
        <v>16</v>
      </c>
      <c r="V6" s="11">
        <v>2526.8</v>
      </c>
    </row>
    <row x14ac:dyDescent="0.25" r="7" customHeight="1" ht="17.25">
      <c r="A7" s="10">
        <v>5</v>
      </c>
      <c r="B7" s="2" t="s">
        <v>24</v>
      </c>
      <c r="C7" s="10">
        <v>328</v>
      </c>
      <c r="D7" s="11">
        <v>516079367.24</v>
      </c>
      <c r="E7" s="11">
        <v>516.07936724</v>
      </c>
      <c r="F7" s="10">
        <v>67</v>
      </c>
      <c r="G7" s="11">
        <v>168351429.17</v>
      </c>
      <c r="H7" s="11">
        <v>168.35142917</v>
      </c>
      <c r="I7" s="2" t="s">
        <v>16</v>
      </c>
      <c r="J7" s="2" t="s">
        <v>16</v>
      </c>
      <c r="K7" s="11">
        <v>684.43079641</v>
      </c>
      <c r="L7" s="10">
        <v>5</v>
      </c>
      <c r="M7" s="2" t="s">
        <v>23</v>
      </c>
      <c r="N7" s="10">
        <v>104</v>
      </c>
      <c r="O7" s="10">
        <v>1472213761</v>
      </c>
      <c r="P7" s="11">
        <v>1472.213761</v>
      </c>
      <c r="Q7" s="10">
        <v>92</v>
      </c>
      <c r="R7" s="10">
        <v>332922524</v>
      </c>
      <c r="S7" s="11">
        <v>332.922524</v>
      </c>
      <c r="T7" s="2" t="s">
        <v>16</v>
      </c>
      <c r="U7" s="2" t="s">
        <v>16</v>
      </c>
      <c r="V7" s="11">
        <v>1805.136285</v>
      </c>
    </row>
    <row x14ac:dyDescent="0.25" r="8" customHeight="1" ht="17.25">
      <c r="A8" s="10">
        <v>6</v>
      </c>
      <c r="B8" s="2" t="s">
        <v>26</v>
      </c>
      <c r="C8" s="10">
        <v>17</v>
      </c>
      <c r="D8" s="10">
        <v>149018873</v>
      </c>
      <c r="E8" s="11">
        <v>149.018873</v>
      </c>
      <c r="F8" s="10">
        <v>16</v>
      </c>
      <c r="G8" s="10">
        <v>108987838</v>
      </c>
      <c r="H8" s="11">
        <v>108.987838</v>
      </c>
      <c r="I8" s="2" t="s">
        <v>16</v>
      </c>
      <c r="J8" s="2" t="s">
        <v>16</v>
      </c>
      <c r="K8" s="11">
        <v>258.006711</v>
      </c>
      <c r="L8" s="10">
        <v>6</v>
      </c>
      <c r="M8" s="2" t="s">
        <v>17</v>
      </c>
      <c r="N8" s="10">
        <v>364</v>
      </c>
      <c r="O8" s="11">
        <v>943160678.24</v>
      </c>
      <c r="P8" s="11">
        <v>943.16067824</v>
      </c>
      <c r="Q8" s="10">
        <v>77</v>
      </c>
      <c r="R8" s="10">
        <v>183712309</v>
      </c>
      <c r="S8" s="11">
        <v>183.712309</v>
      </c>
      <c r="T8" s="2" t="s">
        <v>16</v>
      </c>
      <c r="U8" s="2" t="s">
        <v>16</v>
      </c>
      <c r="V8" s="11">
        <v>1126.87298724</v>
      </c>
    </row>
    <row x14ac:dyDescent="0.25" r="9" customHeight="1" ht="17.25">
      <c r="A9" s="10">
        <v>7</v>
      </c>
      <c r="B9" s="2" t="s">
        <v>28</v>
      </c>
      <c r="C9" s="10">
        <v>215</v>
      </c>
      <c r="D9" s="10">
        <v>223986627</v>
      </c>
      <c r="E9" s="11">
        <v>223.986627</v>
      </c>
      <c r="F9" s="10">
        <v>57</v>
      </c>
      <c r="G9" s="10">
        <v>26150600</v>
      </c>
      <c r="H9" s="11">
        <v>26.1506</v>
      </c>
      <c r="I9" s="2" t="s">
        <v>16</v>
      </c>
      <c r="J9" s="2" t="s">
        <v>16</v>
      </c>
      <c r="K9" s="11">
        <v>250.137227</v>
      </c>
      <c r="L9" s="10">
        <v>7</v>
      </c>
      <c r="M9" s="2" t="s">
        <v>27</v>
      </c>
      <c r="N9" s="10">
        <v>50</v>
      </c>
      <c r="O9" s="10">
        <v>654164626</v>
      </c>
      <c r="P9" s="11">
        <v>654.164626</v>
      </c>
      <c r="Q9" s="10">
        <v>38</v>
      </c>
      <c r="R9" s="10">
        <v>248564520</v>
      </c>
      <c r="S9" s="11">
        <v>248.56452</v>
      </c>
      <c r="T9" s="2" t="s">
        <v>16</v>
      </c>
      <c r="U9" s="2" t="s">
        <v>16</v>
      </c>
      <c r="V9" s="11">
        <v>902.729146</v>
      </c>
    </row>
    <row x14ac:dyDescent="0.25" r="10" customHeight="1" ht="17.25">
      <c r="A10" s="10">
        <v>8</v>
      </c>
      <c r="B10" s="2" t="s">
        <v>30</v>
      </c>
      <c r="C10" s="10">
        <v>55</v>
      </c>
      <c r="D10" s="10">
        <v>72635827</v>
      </c>
      <c r="E10" s="11">
        <v>72.635827</v>
      </c>
      <c r="F10" s="10">
        <v>25</v>
      </c>
      <c r="G10" s="10">
        <v>72394649</v>
      </c>
      <c r="H10" s="11">
        <v>72.394649</v>
      </c>
      <c r="I10" s="2" t="s">
        <v>16</v>
      </c>
      <c r="J10" s="2" t="s">
        <v>16</v>
      </c>
      <c r="K10" s="11">
        <v>145.03047600000002</v>
      </c>
      <c r="L10" s="10">
        <v>8</v>
      </c>
      <c r="M10" s="2" t="s">
        <v>33</v>
      </c>
      <c r="N10" s="10">
        <v>14</v>
      </c>
      <c r="O10" s="10">
        <v>327610000</v>
      </c>
      <c r="P10" s="11">
        <v>327.61</v>
      </c>
      <c r="Q10" s="10">
        <v>22</v>
      </c>
      <c r="R10" s="10">
        <v>432099000</v>
      </c>
      <c r="S10" s="11">
        <v>432.099</v>
      </c>
      <c r="T10" s="2" t="s">
        <v>16</v>
      </c>
      <c r="U10" s="2" t="s">
        <v>16</v>
      </c>
      <c r="V10" s="11">
        <v>759.7090000000001</v>
      </c>
    </row>
    <row x14ac:dyDescent="0.25" r="11" customHeight="1" ht="17.25">
      <c r="A11" s="10">
        <v>9</v>
      </c>
      <c r="B11" s="2" t="s">
        <v>32</v>
      </c>
      <c r="C11" s="10">
        <v>65</v>
      </c>
      <c r="D11" s="10">
        <v>110304869</v>
      </c>
      <c r="E11" s="11">
        <v>110.304869</v>
      </c>
      <c r="F11" s="10">
        <v>13</v>
      </c>
      <c r="G11" s="10">
        <v>29129961</v>
      </c>
      <c r="H11" s="11">
        <v>29.129961</v>
      </c>
      <c r="I11" s="2" t="s">
        <v>16</v>
      </c>
      <c r="J11" s="2" t="s">
        <v>16</v>
      </c>
      <c r="K11" s="11">
        <v>139.43483</v>
      </c>
      <c r="L11" s="10">
        <v>9</v>
      </c>
      <c r="M11" s="2" t="s">
        <v>37</v>
      </c>
      <c r="N11" s="10">
        <v>126</v>
      </c>
      <c r="O11" s="10">
        <v>383484907</v>
      </c>
      <c r="P11" s="11">
        <v>383.484907</v>
      </c>
      <c r="Q11" s="10">
        <v>47</v>
      </c>
      <c r="R11" s="10">
        <v>268356416</v>
      </c>
      <c r="S11" s="11">
        <v>268.356416</v>
      </c>
      <c r="T11" s="2" t="s">
        <v>16</v>
      </c>
      <c r="U11" s="2" t="s">
        <v>16</v>
      </c>
      <c r="V11" s="11">
        <v>651.8413230000001</v>
      </c>
    </row>
    <row x14ac:dyDescent="0.25" r="12" customHeight="1" ht="17.25">
      <c r="A12" s="10">
        <v>10</v>
      </c>
      <c r="B12" s="2" t="s">
        <v>34</v>
      </c>
      <c r="C12" s="10">
        <v>171</v>
      </c>
      <c r="D12" s="10">
        <v>66065998</v>
      </c>
      <c r="E12" s="11">
        <v>66.065998</v>
      </c>
      <c r="F12" s="10">
        <v>43</v>
      </c>
      <c r="G12" s="10">
        <v>30838715</v>
      </c>
      <c r="H12" s="11">
        <v>30.838715</v>
      </c>
      <c r="I12" s="2" t="s">
        <v>16</v>
      </c>
      <c r="J12" s="2" t="s">
        <v>16</v>
      </c>
      <c r="K12" s="11">
        <v>96.90471299999999</v>
      </c>
      <c r="L12" s="10">
        <v>10</v>
      </c>
      <c r="M12" s="2" t="s">
        <v>29</v>
      </c>
      <c r="N12" s="10">
        <v>17</v>
      </c>
      <c r="O12" s="10">
        <v>515280000</v>
      </c>
      <c r="P12" s="11">
        <v>515.28</v>
      </c>
      <c r="Q12" s="10">
        <v>8</v>
      </c>
      <c r="R12" s="10">
        <v>25299000</v>
      </c>
      <c r="S12" s="11">
        <v>25.299</v>
      </c>
      <c r="T12" s="2" t="s">
        <v>16</v>
      </c>
      <c r="U12" s="2" t="s">
        <v>16</v>
      </c>
      <c r="V12" s="11">
        <v>540.579</v>
      </c>
    </row>
    <row x14ac:dyDescent="0.25" r="13" customHeight="1" ht="17.25">
      <c r="A13" s="10">
        <v>11</v>
      </c>
      <c r="B13" s="2" t="s">
        <v>36</v>
      </c>
      <c r="C13" s="10">
        <v>25</v>
      </c>
      <c r="D13" s="10">
        <v>57345769</v>
      </c>
      <c r="E13" s="11">
        <v>57.345769</v>
      </c>
      <c r="F13" s="10">
        <v>5</v>
      </c>
      <c r="G13" s="10">
        <v>-5500000</v>
      </c>
      <c r="H13" s="11">
        <v>-5.5</v>
      </c>
      <c r="I13" s="2" t="s">
        <v>16</v>
      </c>
      <c r="J13" s="2" t="s">
        <v>16</v>
      </c>
      <c r="K13" s="11">
        <v>51.845769</v>
      </c>
      <c r="L13" s="10">
        <v>11</v>
      </c>
      <c r="M13" s="2" t="s">
        <v>31</v>
      </c>
      <c r="N13" s="10">
        <v>57</v>
      </c>
      <c r="O13" s="10">
        <v>264571571</v>
      </c>
      <c r="P13" s="11">
        <v>264.571571</v>
      </c>
      <c r="Q13" s="10">
        <v>24</v>
      </c>
      <c r="R13" s="10">
        <v>182891176</v>
      </c>
      <c r="S13" s="11">
        <v>182.891176</v>
      </c>
      <c r="T13" s="2" t="s">
        <v>16</v>
      </c>
      <c r="U13" s="2" t="s">
        <v>16</v>
      </c>
      <c r="V13" s="11">
        <v>447.46274700000004</v>
      </c>
    </row>
    <row x14ac:dyDescent="0.25" r="14" customHeight="1" ht="17.25">
      <c r="A14" s="10">
        <v>12</v>
      </c>
      <c r="B14" s="2" t="s">
        <v>38</v>
      </c>
      <c r="C14" s="10">
        <v>15</v>
      </c>
      <c r="D14" s="10">
        <v>27662500</v>
      </c>
      <c r="E14" s="11">
        <v>27.6625</v>
      </c>
      <c r="F14" s="10">
        <v>5</v>
      </c>
      <c r="G14" s="10">
        <v>10350000</v>
      </c>
      <c r="H14" s="11">
        <v>10.35</v>
      </c>
      <c r="I14" s="2" t="s">
        <v>16</v>
      </c>
      <c r="J14" s="2" t="s">
        <v>16</v>
      </c>
      <c r="K14" s="11">
        <v>38.0125</v>
      </c>
      <c r="L14" s="10">
        <v>12</v>
      </c>
      <c r="M14" s="2" t="s">
        <v>58</v>
      </c>
      <c r="N14" s="10">
        <v>11</v>
      </c>
      <c r="O14" s="10">
        <v>373938400</v>
      </c>
      <c r="P14" s="11">
        <v>373.9384</v>
      </c>
      <c r="Q14" s="10">
        <v>6</v>
      </c>
      <c r="R14" s="10">
        <v>64952229</v>
      </c>
      <c r="S14" s="11">
        <v>64.952229</v>
      </c>
      <c r="T14" s="2" t="s">
        <v>16</v>
      </c>
      <c r="U14" s="2" t="s">
        <v>16</v>
      </c>
      <c r="V14" s="11">
        <v>438.890629</v>
      </c>
    </row>
    <row x14ac:dyDescent="0.25" r="15" customHeight="1" ht="17.25">
      <c r="A15" s="10">
        <v>13</v>
      </c>
      <c r="B15" s="2" t="s">
        <v>40</v>
      </c>
      <c r="C15" s="10">
        <v>40</v>
      </c>
      <c r="D15" s="10">
        <v>28842652</v>
      </c>
      <c r="E15" s="11">
        <v>28.842652</v>
      </c>
      <c r="F15" s="10">
        <v>7</v>
      </c>
      <c r="G15" s="10">
        <v>361154</v>
      </c>
      <c r="H15" s="11">
        <v>0.361154</v>
      </c>
      <c r="I15" s="2" t="s">
        <v>16</v>
      </c>
      <c r="J15" s="2" t="s">
        <v>16</v>
      </c>
      <c r="K15" s="11">
        <v>29.203806</v>
      </c>
      <c r="L15" s="10">
        <v>13</v>
      </c>
      <c r="M15" s="2" t="s">
        <v>39</v>
      </c>
      <c r="N15" s="10">
        <v>28</v>
      </c>
      <c r="O15" s="10">
        <v>269901340</v>
      </c>
      <c r="P15" s="11">
        <v>269.90134</v>
      </c>
      <c r="Q15" s="10">
        <v>23</v>
      </c>
      <c r="R15" s="10">
        <v>137282641</v>
      </c>
      <c r="S15" s="11">
        <v>137.282641</v>
      </c>
      <c r="T15" s="2" t="s">
        <v>16</v>
      </c>
      <c r="U15" s="2" t="s">
        <v>16</v>
      </c>
      <c r="V15" s="11">
        <v>407.183981</v>
      </c>
    </row>
    <row x14ac:dyDescent="0.25" r="16" customHeight="1" ht="17.25">
      <c r="A16" s="10">
        <v>14</v>
      </c>
      <c r="B16" s="2" t="s">
        <v>42</v>
      </c>
      <c r="C16" s="10">
        <v>3</v>
      </c>
      <c r="D16" s="10">
        <v>2200000</v>
      </c>
      <c r="E16" s="11">
        <v>2.2</v>
      </c>
      <c r="F16" s="10">
        <v>3</v>
      </c>
      <c r="G16" s="10">
        <v>15377541</v>
      </c>
      <c r="H16" s="11">
        <v>15.377541</v>
      </c>
      <c r="I16" s="2" t="s">
        <v>16</v>
      </c>
      <c r="J16" s="2" t="s">
        <v>16</v>
      </c>
      <c r="K16" s="11">
        <v>17.577541</v>
      </c>
      <c r="L16" s="10">
        <v>14</v>
      </c>
      <c r="M16" s="2" t="s">
        <v>43</v>
      </c>
      <c r="N16" s="10">
        <v>35</v>
      </c>
      <c r="O16" s="10">
        <v>275246605</v>
      </c>
      <c r="P16" s="11">
        <v>275.246605</v>
      </c>
      <c r="Q16" s="10">
        <v>23</v>
      </c>
      <c r="R16" s="10">
        <v>104380000</v>
      </c>
      <c r="S16" s="11">
        <v>104.38</v>
      </c>
      <c r="T16" s="2" t="s">
        <v>16</v>
      </c>
      <c r="U16" s="2" t="s">
        <v>16</v>
      </c>
      <c r="V16" s="11">
        <v>379.626605</v>
      </c>
    </row>
    <row x14ac:dyDescent="0.25" r="17" customHeight="1" ht="17.25">
      <c r="A17" s="10">
        <v>15</v>
      </c>
      <c r="B17" s="2" t="s">
        <v>44</v>
      </c>
      <c r="C17" s="10">
        <v>10</v>
      </c>
      <c r="D17" s="10">
        <v>11320908</v>
      </c>
      <c r="E17" s="11">
        <v>11.320908</v>
      </c>
      <c r="F17" s="10">
        <v>3</v>
      </c>
      <c r="G17" s="10">
        <v>2000000</v>
      </c>
      <c r="H17" s="10">
        <v>2</v>
      </c>
      <c r="I17" s="2" t="s">
        <v>16</v>
      </c>
      <c r="J17" s="2" t="s">
        <v>16</v>
      </c>
      <c r="K17" s="11">
        <v>13.320908</v>
      </c>
      <c r="L17" s="10">
        <v>15</v>
      </c>
      <c r="M17" s="2" t="s">
        <v>35</v>
      </c>
      <c r="N17" s="10">
        <v>36</v>
      </c>
      <c r="O17" s="10">
        <v>304863564</v>
      </c>
      <c r="P17" s="11">
        <v>304.863564</v>
      </c>
      <c r="Q17" s="10">
        <v>19</v>
      </c>
      <c r="R17" s="10">
        <v>50377950</v>
      </c>
      <c r="S17" s="11">
        <v>50.37795</v>
      </c>
      <c r="T17" s="2" t="s">
        <v>16</v>
      </c>
      <c r="U17" s="2" t="s">
        <v>16</v>
      </c>
      <c r="V17" s="11">
        <v>355.241514</v>
      </c>
    </row>
    <row x14ac:dyDescent="0.25" r="18" customHeight="1" ht="17.25">
      <c r="A18" s="10">
        <v>16</v>
      </c>
      <c r="B18" s="2" t="s">
        <v>46</v>
      </c>
      <c r="C18" s="10">
        <v>3</v>
      </c>
      <c r="D18" s="10">
        <v>25370476</v>
      </c>
      <c r="E18" s="11">
        <v>25.370476</v>
      </c>
      <c r="F18" s="10">
        <v>0</v>
      </c>
      <c r="G18" s="10">
        <v>0</v>
      </c>
      <c r="H18" s="10">
        <v>0</v>
      </c>
      <c r="I18" s="2" t="s">
        <v>16</v>
      </c>
      <c r="J18" s="2" t="s">
        <v>16</v>
      </c>
      <c r="K18" s="11">
        <v>25.370476</v>
      </c>
      <c r="L18" s="10">
        <v>16</v>
      </c>
      <c r="M18" s="2" t="s">
        <v>47</v>
      </c>
      <c r="N18" s="10">
        <v>34</v>
      </c>
      <c r="O18" s="10">
        <v>270078933</v>
      </c>
      <c r="P18" s="11">
        <v>270.078933</v>
      </c>
      <c r="Q18" s="10">
        <v>24</v>
      </c>
      <c r="R18" s="10">
        <v>59552420</v>
      </c>
      <c r="S18" s="11">
        <v>59.55242</v>
      </c>
      <c r="T18" s="2" t="s">
        <v>16</v>
      </c>
      <c r="U18" s="2" t="s">
        <v>16</v>
      </c>
      <c r="V18" s="11">
        <v>329.631353</v>
      </c>
    </row>
    <row x14ac:dyDescent="0.25" r="19" customHeight="1" ht="17.25">
      <c r="A19" s="10">
        <v>17</v>
      </c>
      <c r="B19" s="2" t="s">
        <v>48</v>
      </c>
      <c r="C19" s="10">
        <v>1</v>
      </c>
      <c r="D19" s="10">
        <v>2500000</v>
      </c>
      <c r="E19" s="11">
        <v>2.5</v>
      </c>
      <c r="F19" s="10">
        <v>2</v>
      </c>
      <c r="G19" s="10">
        <v>350000</v>
      </c>
      <c r="H19" s="11">
        <v>0.35</v>
      </c>
      <c r="I19" s="2" t="s">
        <v>16</v>
      </c>
      <c r="J19" s="2" t="s">
        <v>16</v>
      </c>
      <c r="K19" s="11">
        <v>2.85</v>
      </c>
      <c r="L19" s="10">
        <v>17</v>
      </c>
      <c r="M19" s="2" t="s">
        <v>49</v>
      </c>
      <c r="N19" s="10">
        <v>24</v>
      </c>
      <c r="O19" s="10">
        <v>95872000</v>
      </c>
      <c r="P19" s="11">
        <v>95.872</v>
      </c>
      <c r="Q19" s="10">
        <v>20</v>
      </c>
      <c r="R19" s="10">
        <v>164387466</v>
      </c>
      <c r="S19" s="11">
        <v>164.387466</v>
      </c>
      <c r="T19" s="2" t="s">
        <v>16</v>
      </c>
      <c r="U19" s="2" t="s">
        <v>16</v>
      </c>
      <c r="V19" s="11">
        <v>260.259466</v>
      </c>
    </row>
    <row x14ac:dyDescent="0.25" r="20" customHeight="1" ht="17.25">
      <c r="A20" s="10">
        <v>18</v>
      </c>
      <c r="B20" s="2" t="s">
        <v>50</v>
      </c>
      <c r="C20" s="10">
        <v>0</v>
      </c>
      <c r="D20" s="10">
        <v>0</v>
      </c>
      <c r="E20" s="10">
        <v>0</v>
      </c>
      <c r="F20" s="10">
        <v>1</v>
      </c>
      <c r="G20" s="10">
        <v>1122581</v>
      </c>
      <c r="H20" s="11">
        <v>1.122581</v>
      </c>
      <c r="I20" s="2" t="s">
        <v>16</v>
      </c>
      <c r="J20" s="2" t="s">
        <v>16</v>
      </c>
      <c r="K20" s="11">
        <v>1.122581</v>
      </c>
      <c r="L20" s="10">
        <v>18</v>
      </c>
      <c r="M20" s="2" t="s">
        <v>61</v>
      </c>
      <c r="N20" s="10">
        <v>18</v>
      </c>
      <c r="O20" s="10">
        <v>178859228</v>
      </c>
      <c r="P20" s="11">
        <v>178.859228</v>
      </c>
      <c r="Q20" s="10">
        <v>7</v>
      </c>
      <c r="R20" s="10">
        <v>77349940</v>
      </c>
      <c r="S20" s="11">
        <v>77.34994</v>
      </c>
      <c r="T20" s="2" t="s">
        <v>16</v>
      </c>
      <c r="U20" s="2" t="s">
        <v>16</v>
      </c>
      <c r="V20" s="11">
        <v>256.209168</v>
      </c>
    </row>
    <row x14ac:dyDescent="0.25" r="21" customHeight="1" ht="17.25">
      <c r="A21" s="10">
        <v>19</v>
      </c>
      <c r="B21" s="2" t="s">
        <v>52</v>
      </c>
      <c r="C21" s="10">
        <v>1</v>
      </c>
      <c r="D21" s="10">
        <v>290000</v>
      </c>
      <c r="E21" s="11">
        <v>0.29</v>
      </c>
      <c r="F21" s="10">
        <v>0</v>
      </c>
      <c r="G21" s="10">
        <v>0</v>
      </c>
      <c r="H21" s="10">
        <v>0</v>
      </c>
      <c r="I21" s="2" t="s">
        <v>16</v>
      </c>
      <c r="J21" s="2" t="s">
        <v>16</v>
      </c>
      <c r="K21" s="11">
        <v>0.29</v>
      </c>
      <c r="L21" s="10">
        <v>19</v>
      </c>
      <c r="M21" s="2" t="s">
        <v>41</v>
      </c>
      <c r="N21" s="10">
        <v>26</v>
      </c>
      <c r="O21" s="10">
        <v>203850281</v>
      </c>
      <c r="P21" s="11">
        <v>203.850281</v>
      </c>
      <c r="Q21" s="10">
        <v>9</v>
      </c>
      <c r="R21" s="10">
        <v>22276455</v>
      </c>
      <c r="S21" s="11">
        <v>22.276455</v>
      </c>
      <c r="T21" s="2" t="s">
        <v>16</v>
      </c>
      <c r="U21" s="2" t="s">
        <v>16</v>
      </c>
      <c r="V21" s="11">
        <v>226.126736</v>
      </c>
    </row>
    <row x14ac:dyDescent="0.25" r="22" customHeight="1" ht="17.25">
      <c r="A22" s="1" t="s">
        <v>54</v>
      </c>
      <c r="B22" s="2"/>
      <c r="C22" s="10">
        <v>2120</v>
      </c>
      <c r="D22" s="11">
        <v>16341042203.24</v>
      </c>
      <c r="E22" s="11">
        <v>16341.042203240002</v>
      </c>
      <c r="F22" s="10">
        <v>918</v>
      </c>
      <c r="G22" s="11">
        <v>7773962973.42</v>
      </c>
      <c r="H22" s="11">
        <v>7894.28392742</v>
      </c>
      <c r="I22" s="2" t="s">
        <v>16</v>
      </c>
      <c r="J22" s="2" t="s">
        <v>16</v>
      </c>
      <c r="K22" s="11">
        <v>24235.32613066</v>
      </c>
      <c r="L22" s="10">
        <v>20</v>
      </c>
      <c r="M22" s="2" t="s">
        <v>57</v>
      </c>
      <c r="N22" s="10">
        <v>15</v>
      </c>
      <c r="O22" s="10">
        <v>196463000</v>
      </c>
      <c r="P22" s="11">
        <v>196.463</v>
      </c>
      <c r="Q22" s="10">
        <v>2</v>
      </c>
      <c r="R22" s="10">
        <v>9826320</v>
      </c>
      <c r="S22" s="11">
        <v>9.82632</v>
      </c>
      <c r="T22" s="2" t="s">
        <v>16</v>
      </c>
      <c r="U22" s="2" t="s">
        <v>16</v>
      </c>
      <c r="V22" s="11">
        <v>206.28932</v>
      </c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2"/>
      <c r="J23" s="2"/>
      <c r="K23" s="4"/>
      <c r="L23" s="10">
        <v>21</v>
      </c>
      <c r="M23" s="2" t="s">
        <v>77</v>
      </c>
      <c r="N23" s="10">
        <v>2</v>
      </c>
      <c r="O23" s="10">
        <v>157432000</v>
      </c>
      <c r="P23" s="11">
        <v>157.432</v>
      </c>
      <c r="Q23" s="10">
        <v>4</v>
      </c>
      <c r="R23" s="10">
        <v>16200000</v>
      </c>
      <c r="S23" s="11">
        <v>16.2</v>
      </c>
      <c r="T23" s="2" t="s">
        <v>16</v>
      </c>
      <c r="U23" s="2" t="s">
        <v>16</v>
      </c>
      <c r="V23" s="11">
        <v>173.63199999999998</v>
      </c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2"/>
      <c r="J24" s="2"/>
      <c r="K24" s="4"/>
      <c r="L24" s="10">
        <v>22</v>
      </c>
      <c r="M24" s="2" t="s">
        <v>78</v>
      </c>
      <c r="N24" s="10">
        <v>10</v>
      </c>
      <c r="O24" s="10">
        <v>120958789</v>
      </c>
      <c r="P24" s="11">
        <v>120.958789</v>
      </c>
      <c r="Q24" s="10">
        <v>1</v>
      </c>
      <c r="R24" s="10">
        <v>41276965</v>
      </c>
      <c r="S24" s="11">
        <v>41.276965</v>
      </c>
      <c r="T24" s="2" t="s">
        <v>16</v>
      </c>
      <c r="U24" s="2" t="s">
        <v>16</v>
      </c>
      <c r="V24" s="11">
        <v>162.235754</v>
      </c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2"/>
      <c r="J25" s="2"/>
      <c r="K25" s="4"/>
      <c r="L25" s="10">
        <v>23</v>
      </c>
      <c r="M25" s="2" t="s">
        <v>56</v>
      </c>
      <c r="N25" s="10">
        <v>8</v>
      </c>
      <c r="O25" s="10">
        <v>78560943</v>
      </c>
      <c r="P25" s="11">
        <v>78.560943</v>
      </c>
      <c r="Q25" s="10">
        <v>3</v>
      </c>
      <c r="R25" s="10">
        <v>61948781</v>
      </c>
      <c r="S25" s="11">
        <v>61.948781</v>
      </c>
      <c r="T25" s="2" t="s">
        <v>16</v>
      </c>
      <c r="U25" s="2" t="s">
        <v>16</v>
      </c>
      <c r="V25" s="11">
        <v>140.509724</v>
      </c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2"/>
      <c r="J26" s="2"/>
      <c r="K26" s="4"/>
      <c r="L26" s="10">
        <v>24</v>
      </c>
      <c r="M26" s="2" t="s">
        <v>76</v>
      </c>
      <c r="N26" s="10">
        <v>15</v>
      </c>
      <c r="O26" s="10">
        <v>104660000</v>
      </c>
      <c r="P26" s="11">
        <v>104.66</v>
      </c>
      <c r="Q26" s="10">
        <v>2</v>
      </c>
      <c r="R26" s="10">
        <v>11000000</v>
      </c>
      <c r="S26" s="10">
        <v>11</v>
      </c>
      <c r="T26" s="2" t="s">
        <v>16</v>
      </c>
      <c r="U26" s="2" t="s">
        <v>16</v>
      </c>
      <c r="V26" s="11">
        <v>115.66</v>
      </c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2"/>
      <c r="J27" s="2"/>
      <c r="K27" s="4"/>
      <c r="L27" s="10">
        <v>25</v>
      </c>
      <c r="M27" s="2" t="s">
        <v>55</v>
      </c>
      <c r="N27" s="10">
        <v>13</v>
      </c>
      <c r="O27" s="10">
        <v>89076000</v>
      </c>
      <c r="P27" s="11">
        <v>89.076</v>
      </c>
      <c r="Q27" s="10">
        <v>5</v>
      </c>
      <c r="R27" s="10">
        <v>5913000</v>
      </c>
      <c r="S27" s="11">
        <v>5.913</v>
      </c>
      <c r="T27" s="2" t="s">
        <v>16</v>
      </c>
      <c r="U27" s="2" t="s">
        <v>16</v>
      </c>
      <c r="V27" s="11">
        <v>94.98899999999999</v>
      </c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2"/>
      <c r="J28" s="2"/>
      <c r="K28" s="4"/>
      <c r="L28" s="10">
        <v>26</v>
      </c>
      <c r="M28" s="2" t="s">
        <v>75</v>
      </c>
      <c r="N28" s="10">
        <v>9</v>
      </c>
      <c r="O28" s="10">
        <v>92226205</v>
      </c>
      <c r="P28" s="11">
        <v>92.226205</v>
      </c>
      <c r="Q28" s="10">
        <v>1</v>
      </c>
      <c r="R28" s="10">
        <v>1600000</v>
      </c>
      <c r="S28" s="11">
        <v>1.6</v>
      </c>
      <c r="T28" s="2" t="s">
        <v>16</v>
      </c>
      <c r="U28" s="2" t="s">
        <v>16</v>
      </c>
      <c r="V28" s="11">
        <v>93.82620499999999</v>
      </c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2"/>
      <c r="J29" s="2"/>
      <c r="K29" s="4"/>
      <c r="L29" s="10">
        <v>27</v>
      </c>
      <c r="M29" s="2" t="s">
        <v>51</v>
      </c>
      <c r="N29" s="10">
        <v>6</v>
      </c>
      <c r="O29" s="10">
        <v>55096000</v>
      </c>
      <c r="P29" s="11">
        <v>55.096</v>
      </c>
      <c r="Q29" s="10">
        <v>6</v>
      </c>
      <c r="R29" s="10">
        <v>37014893</v>
      </c>
      <c r="S29" s="11">
        <v>37.014893</v>
      </c>
      <c r="T29" s="2" t="s">
        <v>16</v>
      </c>
      <c r="U29" s="2" t="s">
        <v>16</v>
      </c>
      <c r="V29" s="11">
        <v>92.110893</v>
      </c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2"/>
      <c r="J30" s="2"/>
      <c r="K30" s="4"/>
      <c r="L30" s="10">
        <v>28</v>
      </c>
      <c r="M30" s="2" t="s">
        <v>62</v>
      </c>
      <c r="N30" s="10">
        <v>2</v>
      </c>
      <c r="O30" s="10">
        <v>64304155</v>
      </c>
      <c r="P30" s="11">
        <v>64.304155</v>
      </c>
      <c r="Q30" s="10">
        <v>4</v>
      </c>
      <c r="R30" s="10">
        <v>26500000</v>
      </c>
      <c r="S30" s="11">
        <v>26.5</v>
      </c>
      <c r="T30" s="2" t="s">
        <v>16</v>
      </c>
      <c r="U30" s="2" t="s">
        <v>16</v>
      </c>
      <c r="V30" s="11">
        <v>90.804155</v>
      </c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2"/>
      <c r="J31" s="2"/>
      <c r="K31" s="4"/>
      <c r="L31" s="10">
        <v>29</v>
      </c>
      <c r="M31" s="2" t="s">
        <v>84</v>
      </c>
      <c r="N31" s="10">
        <v>2</v>
      </c>
      <c r="O31" s="10">
        <v>78700000</v>
      </c>
      <c r="P31" s="11">
        <v>78.7</v>
      </c>
      <c r="Q31" s="10">
        <v>0</v>
      </c>
      <c r="R31" s="10">
        <v>0</v>
      </c>
      <c r="S31" s="10">
        <v>0</v>
      </c>
      <c r="T31" s="2" t="s">
        <v>16</v>
      </c>
      <c r="U31" s="2" t="s">
        <v>16</v>
      </c>
      <c r="V31" s="11">
        <v>78.7</v>
      </c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2"/>
      <c r="J32" s="2"/>
      <c r="K32" s="4"/>
      <c r="L32" s="10">
        <v>30</v>
      </c>
      <c r="M32" s="2" t="s">
        <v>70</v>
      </c>
      <c r="N32" s="10">
        <v>7</v>
      </c>
      <c r="O32" s="10">
        <v>44106853</v>
      </c>
      <c r="P32" s="11">
        <v>44.106853</v>
      </c>
      <c r="Q32" s="10">
        <v>5</v>
      </c>
      <c r="R32" s="10">
        <v>14289900</v>
      </c>
      <c r="S32" s="11">
        <v>14.2899</v>
      </c>
      <c r="T32" s="2" t="s">
        <v>16</v>
      </c>
      <c r="U32" s="2" t="s">
        <v>16</v>
      </c>
      <c r="V32" s="11">
        <v>58.396753000000004</v>
      </c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2"/>
      <c r="J33" s="2"/>
      <c r="K33" s="4"/>
      <c r="L33" s="10">
        <v>31</v>
      </c>
      <c r="M33" s="2" t="s">
        <v>60</v>
      </c>
      <c r="N33" s="10">
        <v>6</v>
      </c>
      <c r="O33" s="10">
        <v>53608857</v>
      </c>
      <c r="P33" s="11">
        <v>53.608857</v>
      </c>
      <c r="Q33" s="10">
        <v>2</v>
      </c>
      <c r="R33" s="10">
        <v>2050000</v>
      </c>
      <c r="S33" s="11">
        <v>2.05</v>
      </c>
      <c r="T33" s="2" t="s">
        <v>16</v>
      </c>
      <c r="U33" s="2" t="s">
        <v>16</v>
      </c>
      <c r="V33" s="11">
        <v>55.658857</v>
      </c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2"/>
      <c r="J34" s="2"/>
      <c r="K34" s="4"/>
      <c r="L34" s="10">
        <v>32</v>
      </c>
      <c r="M34" s="2" t="s">
        <v>74</v>
      </c>
      <c r="N34" s="10">
        <v>8</v>
      </c>
      <c r="O34" s="10">
        <v>49638220</v>
      </c>
      <c r="P34" s="11">
        <v>49.63822</v>
      </c>
      <c r="Q34" s="10">
        <v>0</v>
      </c>
      <c r="R34" s="10">
        <v>0</v>
      </c>
      <c r="S34" s="10">
        <v>0</v>
      </c>
      <c r="T34" s="2" t="s">
        <v>16</v>
      </c>
      <c r="U34" s="2" t="s">
        <v>16</v>
      </c>
      <c r="V34" s="11">
        <v>49.63822</v>
      </c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2"/>
      <c r="J35" s="2"/>
      <c r="K35" s="4"/>
      <c r="L35" s="10">
        <v>33</v>
      </c>
      <c r="M35" s="2" t="s">
        <v>45</v>
      </c>
      <c r="N35" s="10">
        <v>59</v>
      </c>
      <c r="O35" s="10">
        <v>52587792</v>
      </c>
      <c r="P35" s="11">
        <v>52.587792</v>
      </c>
      <c r="Q35" s="10">
        <v>17</v>
      </c>
      <c r="R35" s="10">
        <v>-8305598</v>
      </c>
      <c r="S35" s="11">
        <v>-8.305598</v>
      </c>
      <c r="T35" s="2" t="s">
        <v>16</v>
      </c>
      <c r="U35" s="2" t="s">
        <v>16</v>
      </c>
      <c r="V35" s="11">
        <v>44.282194000000004</v>
      </c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2"/>
      <c r="J36" s="2"/>
      <c r="K36" s="4"/>
      <c r="L36" s="10">
        <v>34</v>
      </c>
      <c r="M36" s="2" t="s">
        <v>53</v>
      </c>
      <c r="N36" s="10">
        <v>7</v>
      </c>
      <c r="O36" s="10">
        <v>43975742</v>
      </c>
      <c r="P36" s="11">
        <v>43.975742</v>
      </c>
      <c r="Q36" s="10">
        <v>0</v>
      </c>
      <c r="R36" s="10">
        <v>0</v>
      </c>
      <c r="S36" s="10">
        <v>0</v>
      </c>
      <c r="T36" s="2" t="s">
        <v>16</v>
      </c>
      <c r="U36" s="2" t="s">
        <v>16</v>
      </c>
      <c r="V36" s="11">
        <v>43.975742</v>
      </c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2"/>
      <c r="J37" s="2"/>
      <c r="K37" s="4"/>
      <c r="L37" s="10">
        <v>35</v>
      </c>
      <c r="M37" s="2" t="s">
        <v>64</v>
      </c>
      <c r="N37" s="10">
        <v>8</v>
      </c>
      <c r="O37" s="10">
        <v>38054545</v>
      </c>
      <c r="P37" s="11">
        <v>38.054545</v>
      </c>
      <c r="Q37" s="10">
        <v>5</v>
      </c>
      <c r="R37" s="10">
        <v>5423794</v>
      </c>
      <c r="S37" s="11">
        <v>5.423794</v>
      </c>
      <c r="T37" s="2" t="s">
        <v>16</v>
      </c>
      <c r="U37" s="2" t="s">
        <v>16</v>
      </c>
      <c r="V37" s="11">
        <v>43.478339</v>
      </c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2"/>
      <c r="J38" s="2"/>
      <c r="K38" s="4"/>
      <c r="L38" s="10">
        <v>36</v>
      </c>
      <c r="M38" s="2" t="s">
        <v>59</v>
      </c>
      <c r="N38" s="10">
        <v>4</v>
      </c>
      <c r="O38" s="10">
        <v>49985714</v>
      </c>
      <c r="P38" s="11">
        <v>49.985714</v>
      </c>
      <c r="Q38" s="10">
        <v>3</v>
      </c>
      <c r="R38" s="10">
        <v>-10000000</v>
      </c>
      <c r="S38" s="10">
        <v>-10</v>
      </c>
      <c r="T38" s="2" t="s">
        <v>16</v>
      </c>
      <c r="U38" s="2" t="s">
        <v>16</v>
      </c>
      <c r="V38" s="11">
        <v>39.985714</v>
      </c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2"/>
      <c r="J39" s="2"/>
      <c r="K39" s="4"/>
      <c r="L39" s="10">
        <v>37</v>
      </c>
      <c r="M39" s="2" t="s">
        <v>80</v>
      </c>
      <c r="N39" s="10">
        <v>2</v>
      </c>
      <c r="O39" s="10">
        <v>33000000</v>
      </c>
      <c r="P39" s="10">
        <v>33</v>
      </c>
      <c r="Q39" s="10">
        <v>0</v>
      </c>
      <c r="R39" s="10">
        <v>0</v>
      </c>
      <c r="S39" s="10">
        <v>0</v>
      </c>
      <c r="T39" s="2" t="s">
        <v>16</v>
      </c>
      <c r="U39" s="2" t="s">
        <v>16</v>
      </c>
      <c r="V39" s="10">
        <v>33</v>
      </c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2"/>
      <c r="J40" s="2"/>
      <c r="K40" s="4"/>
      <c r="L40" s="10">
        <v>38</v>
      </c>
      <c r="M40" s="2" t="s">
        <v>87</v>
      </c>
      <c r="N40" s="10">
        <v>3</v>
      </c>
      <c r="O40" s="10">
        <v>20750000</v>
      </c>
      <c r="P40" s="11">
        <v>20.75</v>
      </c>
      <c r="Q40" s="10">
        <v>1</v>
      </c>
      <c r="R40" s="10">
        <v>10000000</v>
      </c>
      <c r="S40" s="10">
        <v>10</v>
      </c>
      <c r="T40" s="2" t="s">
        <v>16</v>
      </c>
      <c r="U40" s="2" t="s">
        <v>16</v>
      </c>
      <c r="V40" s="11">
        <v>30.75</v>
      </c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2"/>
      <c r="J41" s="2"/>
      <c r="K41" s="4"/>
      <c r="L41" s="10">
        <v>39</v>
      </c>
      <c r="M41" s="2" t="s">
        <v>72</v>
      </c>
      <c r="N41" s="10">
        <v>0</v>
      </c>
      <c r="O41" s="10">
        <v>0</v>
      </c>
      <c r="P41" s="10">
        <v>0</v>
      </c>
      <c r="Q41" s="10">
        <v>1</v>
      </c>
      <c r="R41" s="10">
        <v>25000000</v>
      </c>
      <c r="S41" s="10">
        <v>25</v>
      </c>
      <c r="T41" s="2" t="s">
        <v>16</v>
      </c>
      <c r="U41" s="2" t="s">
        <v>16</v>
      </c>
      <c r="V41" s="10">
        <v>25</v>
      </c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2"/>
      <c r="J42" s="2"/>
      <c r="K42" s="4"/>
      <c r="L42" s="10">
        <v>40</v>
      </c>
      <c r="M42" s="2" t="s">
        <v>65</v>
      </c>
      <c r="N42" s="10">
        <v>6</v>
      </c>
      <c r="O42" s="10">
        <v>24100000</v>
      </c>
      <c r="P42" s="11">
        <v>24.1</v>
      </c>
      <c r="Q42" s="10">
        <v>0</v>
      </c>
      <c r="R42" s="10">
        <v>0</v>
      </c>
      <c r="S42" s="10">
        <v>0</v>
      </c>
      <c r="T42" s="2" t="s">
        <v>16</v>
      </c>
      <c r="U42" s="2" t="s">
        <v>16</v>
      </c>
      <c r="V42" s="11">
        <v>24.1</v>
      </c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2"/>
      <c r="J43" s="2"/>
      <c r="K43" s="4"/>
      <c r="L43" s="10">
        <v>41</v>
      </c>
      <c r="M43" s="2" t="s">
        <v>73</v>
      </c>
      <c r="N43" s="10">
        <v>5</v>
      </c>
      <c r="O43" s="10">
        <v>17901809</v>
      </c>
      <c r="P43" s="11">
        <v>17.901809</v>
      </c>
      <c r="Q43" s="10">
        <v>0</v>
      </c>
      <c r="R43" s="10">
        <v>0</v>
      </c>
      <c r="S43" s="10">
        <v>0</v>
      </c>
      <c r="T43" s="2" t="s">
        <v>16</v>
      </c>
      <c r="U43" s="2" t="s">
        <v>16</v>
      </c>
      <c r="V43" s="11">
        <v>17.901809</v>
      </c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2"/>
      <c r="J44" s="2"/>
      <c r="K44" s="4"/>
      <c r="L44" s="10">
        <v>42</v>
      </c>
      <c r="M44" s="2" t="s">
        <v>91</v>
      </c>
      <c r="N44" s="10">
        <v>2</v>
      </c>
      <c r="O44" s="10">
        <v>1225000</v>
      </c>
      <c r="P44" s="11">
        <v>1.225</v>
      </c>
      <c r="Q44" s="10">
        <v>1</v>
      </c>
      <c r="R44" s="10">
        <v>15377541</v>
      </c>
      <c r="S44" s="11">
        <v>15.377541</v>
      </c>
      <c r="T44" s="2" t="s">
        <v>16</v>
      </c>
      <c r="U44" s="2" t="s">
        <v>16</v>
      </c>
      <c r="V44" s="11">
        <v>16.602541000000002</v>
      </c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2"/>
      <c r="J45" s="2"/>
      <c r="K45" s="4"/>
      <c r="L45" s="10">
        <v>43</v>
      </c>
      <c r="M45" s="2" t="s">
        <v>99</v>
      </c>
      <c r="N45" s="10">
        <v>1</v>
      </c>
      <c r="O45" s="10">
        <v>15000000</v>
      </c>
      <c r="P45" s="10">
        <v>15</v>
      </c>
      <c r="Q45" s="10">
        <v>0</v>
      </c>
      <c r="R45" s="10">
        <v>0</v>
      </c>
      <c r="S45" s="10">
        <v>0</v>
      </c>
      <c r="T45" s="2" t="s">
        <v>16</v>
      </c>
      <c r="U45" s="2" t="s">
        <v>16</v>
      </c>
      <c r="V45" s="10">
        <v>15</v>
      </c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2"/>
      <c r="J46" s="2"/>
      <c r="K46" s="4"/>
      <c r="L46" s="10">
        <v>44</v>
      </c>
      <c r="M46" s="2" t="s">
        <v>68</v>
      </c>
      <c r="N46" s="10">
        <v>1</v>
      </c>
      <c r="O46" s="10">
        <v>6000000</v>
      </c>
      <c r="P46" s="10">
        <v>6</v>
      </c>
      <c r="Q46" s="10">
        <v>1</v>
      </c>
      <c r="R46" s="10">
        <v>7000000</v>
      </c>
      <c r="S46" s="10">
        <v>7</v>
      </c>
      <c r="T46" s="2" t="s">
        <v>16</v>
      </c>
      <c r="U46" s="2" t="s">
        <v>16</v>
      </c>
      <c r="V46" s="10">
        <v>13</v>
      </c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2"/>
      <c r="J47" s="2"/>
      <c r="K47" s="4"/>
      <c r="L47" s="10">
        <v>45</v>
      </c>
      <c r="M47" s="2" t="s">
        <v>63</v>
      </c>
      <c r="N47" s="10">
        <v>4</v>
      </c>
      <c r="O47" s="10">
        <v>12821500</v>
      </c>
      <c r="P47" s="11">
        <v>12.8215</v>
      </c>
      <c r="Q47" s="10">
        <v>0</v>
      </c>
      <c r="R47" s="10">
        <v>0</v>
      </c>
      <c r="S47" s="10">
        <v>0</v>
      </c>
      <c r="T47" s="2" t="s">
        <v>16</v>
      </c>
      <c r="U47" s="2" t="s">
        <v>16</v>
      </c>
      <c r="V47" s="11">
        <v>12.8215</v>
      </c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2"/>
      <c r="J48" s="2"/>
      <c r="K48" s="4"/>
      <c r="L48" s="10">
        <v>46</v>
      </c>
      <c r="M48" s="2" t="s">
        <v>83</v>
      </c>
      <c r="N48" s="10">
        <v>1</v>
      </c>
      <c r="O48" s="10">
        <v>190381</v>
      </c>
      <c r="P48" s="11">
        <v>0.190381</v>
      </c>
      <c r="Q48" s="10">
        <v>2</v>
      </c>
      <c r="R48" s="10">
        <v>10237676</v>
      </c>
      <c r="S48" s="11">
        <v>10.237676</v>
      </c>
      <c r="T48" s="2" t="s">
        <v>16</v>
      </c>
      <c r="U48" s="2" t="s">
        <v>16</v>
      </c>
      <c r="V48" s="11">
        <v>10.428057</v>
      </c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2"/>
      <c r="J49" s="2"/>
      <c r="K49" s="4"/>
      <c r="L49" s="10">
        <v>47</v>
      </c>
      <c r="M49" s="2" t="s">
        <v>79</v>
      </c>
      <c r="N49" s="10">
        <v>5</v>
      </c>
      <c r="O49" s="10">
        <v>7615094</v>
      </c>
      <c r="P49" s="11">
        <v>7.615094</v>
      </c>
      <c r="Q49" s="10">
        <v>4</v>
      </c>
      <c r="R49" s="10">
        <v>2500000</v>
      </c>
      <c r="S49" s="11">
        <v>2.5</v>
      </c>
      <c r="T49" s="2" t="s">
        <v>16</v>
      </c>
      <c r="U49" s="2" t="s">
        <v>16</v>
      </c>
      <c r="V49" s="11">
        <v>10.115094</v>
      </c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2"/>
      <c r="J50" s="2"/>
      <c r="K50" s="4"/>
      <c r="L50" s="10">
        <v>48</v>
      </c>
      <c r="M50" s="2" t="s">
        <v>67</v>
      </c>
      <c r="N50" s="10">
        <v>0</v>
      </c>
      <c r="O50" s="10">
        <v>0</v>
      </c>
      <c r="P50" s="10">
        <v>0</v>
      </c>
      <c r="Q50" s="10">
        <v>3</v>
      </c>
      <c r="R50" s="10">
        <v>5691000</v>
      </c>
      <c r="S50" s="11">
        <v>5.691</v>
      </c>
      <c r="T50" s="2" t="s">
        <v>16</v>
      </c>
      <c r="U50" s="2" t="s">
        <v>16</v>
      </c>
      <c r="V50" s="11">
        <v>5.691</v>
      </c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2"/>
      <c r="J51" s="2"/>
      <c r="K51" s="4"/>
      <c r="L51" s="10">
        <v>49</v>
      </c>
      <c r="M51" s="2" t="s">
        <v>82</v>
      </c>
      <c r="N51" s="10">
        <v>0</v>
      </c>
      <c r="O51" s="10">
        <v>0</v>
      </c>
      <c r="P51" s="10">
        <v>0</v>
      </c>
      <c r="Q51" s="10">
        <v>2</v>
      </c>
      <c r="R51" s="10">
        <v>5399905</v>
      </c>
      <c r="S51" s="11">
        <v>5.399905</v>
      </c>
      <c r="T51" s="2" t="s">
        <v>16</v>
      </c>
      <c r="U51" s="2" t="s">
        <v>16</v>
      </c>
      <c r="V51" s="11">
        <v>5.399905</v>
      </c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2"/>
      <c r="J52" s="2"/>
      <c r="K52" s="4"/>
      <c r="L52" s="10">
        <v>50</v>
      </c>
      <c r="M52" s="2" t="s">
        <v>97</v>
      </c>
      <c r="N52" s="10">
        <v>5</v>
      </c>
      <c r="O52" s="10">
        <v>3000003</v>
      </c>
      <c r="P52" s="11">
        <v>3.000003</v>
      </c>
      <c r="Q52" s="10">
        <v>0</v>
      </c>
      <c r="R52" s="10">
        <v>0</v>
      </c>
      <c r="S52" s="10">
        <v>0</v>
      </c>
      <c r="T52" s="2" t="s">
        <v>16</v>
      </c>
      <c r="U52" s="2" t="s">
        <v>16</v>
      </c>
      <c r="V52" s="11">
        <v>3.000003</v>
      </c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2"/>
      <c r="J53" s="2"/>
      <c r="K53" s="4"/>
      <c r="L53" s="10">
        <v>51</v>
      </c>
      <c r="M53" s="2" t="s">
        <v>81</v>
      </c>
      <c r="N53" s="10">
        <v>1</v>
      </c>
      <c r="O53" s="10">
        <v>888889</v>
      </c>
      <c r="P53" s="11">
        <v>0.888889</v>
      </c>
      <c r="Q53" s="10">
        <v>0</v>
      </c>
      <c r="R53" s="10">
        <v>0</v>
      </c>
      <c r="S53" s="10">
        <v>0</v>
      </c>
      <c r="T53" s="2" t="s">
        <v>16</v>
      </c>
      <c r="U53" s="2" t="s">
        <v>16</v>
      </c>
      <c r="V53" s="11">
        <v>0.888889</v>
      </c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2"/>
      <c r="J54" s="2"/>
      <c r="K54" s="4"/>
      <c r="L54" s="10">
        <v>52</v>
      </c>
      <c r="M54" s="2" t="s">
        <v>66</v>
      </c>
      <c r="N54" s="10">
        <v>1</v>
      </c>
      <c r="O54" s="10">
        <v>10000</v>
      </c>
      <c r="P54" s="11">
        <v>0.01</v>
      </c>
      <c r="Q54" s="10">
        <v>1</v>
      </c>
      <c r="R54" s="10">
        <v>598540</v>
      </c>
      <c r="S54" s="11">
        <v>0.59854</v>
      </c>
      <c r="T54" s="2" t="s">
        <v>16</v>
      </c>
      <c r="U54" s="2" t="s">
        <v>16</v>
      </c>
      <c r="V54" s="11">
        <v>0.60854</v>
      </c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2"/>
      <c r="J55" s="2"/>
      <c r="K55" s="4"/>
      <c r="L55" s="10">
        <v>53</v>
      </c>
      <c r="M55" s="2" t="s">
        <v>86</v>
      </c>
      <c r="N55" s="10">
        <v>2</v>
      </c>
      <c r="O55" s="10">
        <v>298321</v>
      </c>
      <c r="P55" s="11">
        <v>0.298321</v>
      </c>
      <c r="Q55" s="10">
        <v>0</v>
      </c>
      <c r="R55" s="10">
        <v>0</v>
      </c>
      <c r="S55" s="10">
        <v>0</v>
      </c>
      <c r="T55" s="2" t="s">
        <v>16</v>
      </c>
      <c r="U55" s="2" t="s">
        <v>16</v>
      </c>
      <c r="V55" s="11">
        <v>0.298321</v>
      </c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2"/>
      <c r="J56" s="2"/>
      <c r="K56" s="4"/>
      <c r="L56" s="1" t="s">
        <v>54</v>
      </c>
      <c r="M56" s="2"/>
      <c r="N56" s="10">
        <v>2120</v>
      </c>
      <c r="O56" s="11">
        <v>16341042203.24</v>
      </c>
      <c r="P56" s="11">
        <v>16341.042203240004</v>
      </c>
      <c r="Q56" s="10">
        <v>918</v>
      </c>
      <c r="R56" s="11">
        <v>7773962973.42</v>
      </c>
      <c r="S56" s="11">
        <v>7773.962973419999</v>
      </c>
      <c r="T56" s="2" t="s">
        <v>16</v>
      </c>
      <c r="U56" s="2" t="s">
        <v>16</v>
      </c>
      <c r="V56" s="11">
        <v>24115.005176660008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V60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4" width="22.290714285714284" customWidth="1" bestFit="1"/>
    <col min="5" max="5" style="14" width="26.290714285714284" customWidth="1" bestFit="1"/>
    <col min="6" max="6" style="12" width="18.290714285714284" customWidth="1" bestFit="1"/>
    <col min="7" max="7" style="14" width="23.719285714285714" customWidth="1" bestFit="1"/>
    <col min="8" max="8" style="14" width="27.719285714285714" customWidth="1" bestFit="1"/>
    <col min="9" max="9" style="12" width="24.290714285714284" customWidth="1" bestFit="1"/>
    <col min="10" max="10" style="14" width="16.290714285714284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5" width="14.576428571428572" customWidth="1" bestFit="1"/>
    <col min="15" max="15" style="16" width="22.290714285714284" customWidth="1" bestFit="1"/>
    <col min="16" max="16" style="16" width="26.290714285714284" customWidth="1" bestFit="1"/>
    <col min="17" max="17" style="15" width="18.290714285714284" customWidth="1" bestFit="1"/>
    <col min="18" max="18" style="16" width="23.719285714285714" customWidth="1" bestFit="1"/>
    <col min="19" max="19" style="16" width="27.719285714285714" customWidth="1" bestFit="1"/>
    <col min="20" max="20" style="15" width="24.290714285714284" customWidth="1" bestFit="1"/>
    <col min="21" max="21" style="16" width="16.290714285714284" customWidth="1" bestFit="1"/>
    <col min="22" max="22" style="16" width="51.57642857142857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1" t="s">
        <v>4</v>
      </c>
      <c r="J1" s="4"/>
      <c r="K1" s="4"/>
      <c r="L1" s="3"/>
      <c r="M1" s="2"/>
      <c r="N1" s="5" t="s">
        <v>2</v>
      </c>
      <c r="O1" s="7"/>
      <c r="P1" s="7"/>
      <c r="Q1" s="5" t="s">
        <v>3</v>
      </c>
      <c r="R1" s="7"/>
      <c r="S1" s="7"/>
      <c r="T1" s="5" t="s">
        <v>4</v>
      </c>
      <c r="U1" s="7"/>
      <c r="V1" s="8" t="s">
        <v>5</v>
      </c>
    </row>
    <row x14ac:dyDescent="0.25" r="2" customHeight="1" ht="17.25">
      <c r="A2" s="3"/>
      <c r="B2" s="2"/>
      <c r="C2" s="1" t="s">
        <v>6</v>
      </c>
      <c r="D2" s="9" t="s">
        <v>7</v>
      </c>
      <c r="E2" s="9" t="s">
        <v>8</v>
      </c>
      <c r="F2" s="1" t="s">
        <v>9</v>
      </c>
      <c r="G2" s="9" t="s">
        <v>10</v>
      </c>
      <c r="H2" s="9" t="s">
        <v>11</v>
      </c>
      <c r="I2" s="1" t="s">
        <v>12</v>
      </c>
      <c r="J2" s="9" t="s">
        <v>13</v>
      </c>
      <c r="K2" s="9" t="s">
        <v>5</v>
      </c>
      <c r="L2" s="1" t="s">
        <v>0</v>
      </c>
      <c r="M2" s="2" t="s">
        <v>14</v>
      </c>
      <c r="N2" s="5" t="s">
        <v>6</v>
      </c>
      <c r="O2" s="8" t="s">
        <v>7</v>
      </c>
      <c r="P2" s="8" t="s">
        <v>8</v>
      </c>
      <c r="Q2" s="5" t="s">
        <v>9</v>
      </c>
      <c r="R2" s="8" t="s">
        <v>10</v>
      </c>
      <c r="S2" s="8" t="s">
        <v>11</v>
      </c>
      <c r="T2" s="5" t="s">
        <v>12</v>
      </c>
      <c r="U2" s="8" t="s">
        <v>13</v>
      </c>
      <c r="V2" s="8" t="s">
        <v>5</v>
      </c>
    </row>
    <row x14ac:dyDescent="0.25" r="3" customHeight="1" ht="17.25">
      <c r="A3" s="10">
        <v>1</v>
      </c>
      <c r="B3" s="2" t="s">
        <v>15</v>
      </c>
      <c r="C3" s="10">
        <v>1020</v>
      </c>
      <c r="D3" s="11">
        <v>9812574442.46</v>
      </c>
      <c r="E3" s="11">
        <v>9812.57444246</v>
      </c>
      <c r="F3" s="10">
        <v>861</v>
      </c>
      <c r="G3" s="11">
        <v>5132552895.497422</v>
      </c>
      <c r="H3" s="11">
        <v>5132.5528954974225</v>
      </c>
      <c r="I3" s="10">
        <v>290</v>
      </c>
      <c r="J3" s="11">
        <v>593.5112741775457</v>
      </c>
      <c r="K3" s="11">
        <v>15538.63861213497</v>
      </c>
      <c r="L3" s="10">
        <v>1</v>
      </c>
      <c r="M3" s="2" t="s">
        <v>19</v>
      </c>
      <c r="N3" s="10">
        <v>836</v>
      </c>
      <c r="O3" s="11">
        <v>1006691073.6822222</v>
      </c>
      <c r="P3" s="11">
        <v>1006.6910736822223</v>
      </c>
      <c r="Q3" s="10">
        <v>222</v>
      </c>
      <c r="R3" s="11">
        <v>619073748.5399219</v>
      </c>
      <c r="S3" s="11">
        <v>619.0737485399219</v>
      </c>
      <c r="T3" s="10">
        <v>1935</v>
      </c>
      <c r="U3" s="11">
        <v>1802.5627847909493</v>
      </c>
      <c r="V3" s="11">
        <v>3428.3276070130933</v>
      </c>
    </row>
    <row x14ac:dyDescent="0.25" r="4" customHeight="1" ht="17.25">
      <c r="A4" s="10">
        <v>2</v>
      </c>
      <c r="B4" s="2" t="s">
        <v>18</v>
      </c>
      <c r="C4" s="10">
        <v>2</v>
      </c>
      <c r="D4" s="10">
        <v>127226755</v>
      </c>
      <c r="E4" s="11">
        <v>127.226755</v>
      </c>
      <c r="F4" s="10">
        <v>3</v>
      </c>
      <c r="G4" s="10">
        <v>3021188</v>
      </c>
      <c r="H4" s="11">
        <v>3.021188</v>
      </c>
      <c r="I4" s="10">
        <v>1</v>
      </c>
      <c r="J4" s="11">
        <v>2.177777777777778</v>
      </c>
      <c r="K4" s="11">
        <v>132.42572077777777</v>
      </c>
      <c r="L4" s="10">
        <v>2</v>
      </c>
      <c r="M4" s="2" t="s">
        <v>27</v>
      </c>
      <c r="N4" s="10">
        <v>52</v>
      </c>
      <c r="O4" s="10">
        <v>2464322981</v>
      </c>
      <c r="P4" s="11">
        <v>2464.322981</v>
      </c>
      <c r="Q4" s="10">
        <v>38</v>
      </c>
      <c r="R4" s="10">
        <v>429243946</v>
      </c>
      <c r="S4" s="11">
        <v>429.243946</v>
      </c>
      <c r="T4" s="10">
        <v>27</v>
      </c>
      <c r="U4" s="11">
        <v>96.34304985253333</v>
      </c>
      <c r="V4" s="11">
        <v>2989.909976852533</v>
      </c>
    </row>
    <row x14ac:dyDescent="0.25" r="5" customHeight="1" ht="17.25">
      <c r="A5" s="10">
        <v>3</v>
      </c>
      <c r="B5" s="2" t="s">
        <v>20</v>
      </c>
      <c r="C5" s="10">
        <v>59</v>
      </c>
      <c r="D5" s="10">
        <v>1522667121</v>
      </c>
      <c r="E5" s="11">
        <v>1522.667121</v>
      </c>
      <c r="F5" s="10">
        <v>12</v>
      </c>
      <c r="G5" s="10">
        <v>-559051055</v>
      </c>
      <c r="H5" s="11">
        <v>-559.051055</v>
      </c>
      <c r="I5" s="10">
        <v>80</v>
      </c>
      <c r="J5" s="11">
        <v>722.548286496133</v>
      </c>
      <c r="K5" s="11">
        <v>1686.1643524961328</v>
      </c>
      <c r="L5" s="10">
        <v>3</v>
      </c>
      <c r="M5" s="2" t="s">
        <v>17</v>
      </c>
      <c r="N5" s="10">
        <v>453</v>
      </c>
      <c r="O5" s="11">
        <v>1922761198.6666665</v>
      </c>
      <c r="P5" s="11">
        <v>1922.7611986666666</v>
      </c>
      <c r="Q5" s="10">
        <v>159</v>
      </c>
      <c r="R5" s="10">
        <v>504468849</v>
      </c>
      <c r="S5" s="11">
        <v>504.468849</v>
      </c>
      <c r="T5" s="10">
        <v>228</v>
      </c>
      <c r="U5" s="11">
        <v>367.21449842488914</v>
      </c>
      <c r="V5" s="11">
        <v>2794.444546091556</v>
      </c>
    </row>
    <row x14ac:dyDescent="0.25" r="6" customHeight="1" ht="17.25">
      <c r="A6" s="10">
        <v>4</v>
      </c>
      <c r="B6" s="2" t="s">
        <v>22</v>
      </c>
      <c r="C6" s="10">
        <v>124</v>
      </c>
      <c r="D6" s="10">
        <v>388508822</v>
      </c>
      <c r="E6" s="11">
        <v>388.508822</v>
      </c>
      <c r="F6" s="10">
        <v>47</v>
      </c>
      <c r="G6" s="10">
        <v>56214006</v>
      </c>
      <c r="H6" s="11">
        <v>56.214006</v>
      </c>
      <c r="I6" s="10">
        <v>131</v>
      </c>
      <c r="J6" s="11">
        <v>165.68352099044458</v>
      </c>
      <c r="K6" s="11">
        <v>610.4063489904446</v>
      </c>
      <c r="L6" s="10">
        <v>4</v>
      </c>
      <c r="M6" s="2" t="s">
        <v>21</v>
      </c>
      <c r="N6" s="10">
        <v>256</v>
      </c>
      <c r="O6" s="10">
        <v>1630516441</v>
      </c>
      <c r="P6" s="11">
        <v>1630.516441</v>
      </c>
      <c r="Q6" s="10">
        <v>130</v>
      </c>
      <c r="R6" s="10">
        <v>641974756</v>
      </c>
      <c r="S6" s="11">
        <v>641.974756</v>
      </c>
      <c r="T6" s="10">
        <v>25</v>
      </c>
      <c r="U6" s="11">
        <v>94.71641422222224</v>
      </c>
      <c r="V6" s="11">
        <v>2367.207611222222</v>
      </c>
    </row>
    <row x14ac:dyDescent="0.25" r="7" customHeight="1" ht="17.25">
      <c r="A7" s="10">
        <v>5</v>
      </c>
      <c r="B7" s="2" t="s">
        <v>24</v>
      </c>
      <c r="C7" s="10">
        <v>505</v>
      </c>
      <c r="D7" s="10">
        <v>367036754</v>
      </c>
      <c r="E7" s="11">
        <v>367.036754</v>
      </c>
      <c r="F7" s="10">
        <v>99</v>
      </c>
      <c r="G7" s="10">
        <v>320722418</v>
      </c>
      <c r="H7" s="11">
        <v>320.722418</v>
      </c>
      <c r="I7" s="10">
        <v>1269</v>
      </c>
      <c r="J7" s="11">
        <v>1211.4524106815938</v>
      </c>
      <c r="K7" s="11">
        <v>1899.2115826815939</v>
      </c>
      <c r="L7" s="10">
        <v>5</v>
      </c>
      <c r="M7" s="2" t="s">
        <v>23</v>
      </c>
      <c r="N7" s="10">
        <v>91</v>
      </c>
      <c r="O7" s="10">
        <v>1043736196</v>
      </c>
      <c r="P7" s="11">
        <v>1043.736196</v>
      </c>
      <c r="Q7" s="10">
        <v>136</v>
      </c>
      <c r="R7" s="11">
        <v>921047472.47</v>
      </c>
      <c r="S7" s="11">
        <v>921.04747247</v>
      </c>
      <c r="T7" s="10">
        <v>55</v>
      </c>
      <c r="U7" s="11">
        <v>273.440880997568</v>
      </c>
      <c r="V7" s="11">
        <v>2238.224549467568</v>
      </c>
    </row>
    <row x14ac:dyDescent="0.25" r="8" customHeight="1" ht="17.25">
      <c r="A8" s="10">
        <v>6</v>
      </c>
      <c r="B8" s="2" t="s">
        <v>26</v>
      </c>
      <c r="C8" s="10">
        <v>12</v>
      </c>
      <c r="D8" s="10">
        <v>44397064</v>
      </c>
      <c r="E8" s="11">
        <v>44.397064</v>
      </c>
      <c r="F8" s="10">
        <v>14</v>
      </c>
      <c r="G8" s="10">
        <v>34905580</v>
      </c>
      <c r="H8" s="11">
        <v>34.90558</v>
      </c>
      <c r="I8" s="10">
        <v>9</v>
      </c>
      <c r="J8" s="11">
        <v>20.16729252266666</v>
      </c>
      <c r="K8" s="11">
        <v>99.46993652266666</v>
      </c>
      <c r="L8" s="10">
        <v>6</v>
      </c>
      <c r="M8" s="2" t="s">
        <v>31</v>
      </c>
      <c r="N8" s="10">
        <v>53</v>
      </c>
      <c r="O8" s="10">
        <v>937508229</v>
      </c>
      <c r="P8" s="11">
        <v>937.508229</v>
      </c>
      <c r="Q8" s="10">
        <v>20</v>
      </c>
      <c r="R8" s="11">
        <v>71063412.1875</v>
      </c>
      <c r="S8" s="11">
        <v>71.0634121875</v>
      </c>
      <c r="T8" s="10">
        <v>10</v>
      </c>
      <c r="U8" s="11">
        <v>1.459111111111111</v>
      </c>
      <c r="V8" s="11">
        <v>1010.0307522986112</v>
      </c>
    </row>
    <row x14ac:dyDescent="0.25" r="9" customHeight="1" ht="17.25">
      <c r="A9" s="10">
        <v>7</v>
      </c>
      <c r="B9" s="2" t="s">
        <v>28</v>
      </c>
      <c r="C9" s="10">
        <v>282</v>
      </c>
      <c r="D9" s="10">
        <v>436452791</v>
      </c>
      <c r="E9" s="11">
        <v>436.452791</v>
      </c>
      <c r="F9" s="10">
        <v>65</v>
      </c>
      <c r="G9" s="10">
        <v>316949270</v>
      </c>
      <c r="H9" s="11">
        <v>316.94927</v>
      </c>
      <c r="I9" s="10">
        <v>212</v>
      </c>
      <c r="J9" s="11">
        <v>179.67632271688893</v>
      </c>
      <c r="K9" s="11">
        <v>933.078383716889</v>
      </c>
      <c r="L9" s="10">
        <v>7</v>
      </c>
      <c r="M9" s="2" t="s">
        <v>25</v>
      </c>
      <c r="N9" s="10">
        <v>185</v>
      </c>
      <c r="O9" s="10">
        <v>578636698</v>
      </c>
      <c r="P9" s="11">
        <v>578.636698</v>
      </c>
      <c r="Q9" s="10">
        <v>130</v>
      </c>
      <c r="R9" s="10">
        <v>271487966</v>
      </c>
      <c r="S9" s="11">
        <v>271.487966</v>
      </c>
      <c r="T9" s="10">
        <v>24</v>
      </c>
      <c r="U9" s="11">
        <v>49.86934346666668</v>
      </c>
      <c r="V9" s="11">
        <v>899.9940074666666</v>
      </c>
    </row>
    <row x14ac:dyDescent="0.25" r="10" customHeight="1" ht="17.25">
      <c r="A10" s="10">
        <v>8</v>
      </c>
      <c r="B10" s="2" t="s">
        <v>30</v>
      </c>
      <c r="C10" s="10">
        <v>88</v>
      </c>
      <c r="D10" s="10">
        <v>703938422</v>
      </c>
      <c r="E10" s="11">
        <v>703.938422</v>
      </c>
      <c r="F10" s="10">
        <v>22</v>
      </c>
      <c r="G10" s="10">
        <v>-28997718</v>
      </c>
      <c r="H10" s="11">
        <v>-28.997718</v>
      </c>
      <c r="I10" s="10">
        <v>119</v>
      </c>
      <c r="J10" s="11">
        <v>207.19296205493336</v>
      </c>
      <c r="K10" s="11">
        <v>882.1336660549333</v>
      </c>
      <c r="L10" s="10">
        <v>8</v>
      </c>
      <c r="M10" s="2" t="s">
        <v>37</v>
      </c>
      <c r="N10" s="10">
        <v>122</v>
      </c>
      <c r="O10" s="10">
        <v>296851039</v>
      </c>
      <c r="P10" s="11">
        <v>296.851039</v>
      </c>
      <c r="Q10" s="10">
        <v>95</v>
      </c>
      <c r="R10" s="10">
        <v>448847553</v>
      </c>
      <c r="S10" s="11">
        <v>448.847553</v>
      </c>
      <c r="T10" s="10">
        <v>32</v>
      </c>
      <c r="U10" s="11">
        <v>77.21484845951112</v>
      </c>
      <c r="V10" s="11">
        <v>822.9134404595111</v>
      </c>
    </row>
    <row x14ac:dyDescent="0.25" r="11" customHeight="1" ht="17.25">
      <c r="A11" s="10">
        <v>9</v>
      </c>
      <c r="B11" s="2" t="s">
        <v>32</v>
      </c>
      <c r="C11" s="10">
        <v>97</v>
      </c>
      <c r="D11" s="10">
        <v>278142327</v>
      </c>
      <c r="E11" s="11">
        <v>278.142327</v>
      </c>
      <c r="F11" s="10">
        <v>11</v>
      </c>
      <c r="G11" s="10">
        <v>58022597</v>
      </c>
      <c r="H11" s="11">
        <v>58.022597</v>
      </c>
      <c r="I11" s="10">
        <v>135</v>
      </c>
      <c r="J11" s="11">
        <v>70.52760216328895</v>
      </c>
      <c r="K11" s="11">
        <v>406.692526163289</v>
      </c>
      <c r="L11" s="10">
        <v>9</v>
      </c>
      <c r="M11" s="2" t="s">
        <v>35</v>
      </c>
      <c r="N11" s="10">
        <v>31</v>
      </c>
      <c r="O11" s="10">
        <v>604333365</v>
      </c>
      <c r="P11" s="11">
        <v>604.333365</v>
      </c>
      <c r="Q11" s="10">
        <v>29</v>
      </c>
      <c r="R11" s="10">
        <v>100698750</v>
      </c>
      <c r="S11" s="11">
        <v>100.69875</v>
      </c>
      <c r="T11" s="10">
        <v>0</v>
      </c>
      <c r="U11" s="10">
        <v>0</v>
      </c>
      <c r="V11" s="11">
        <v>705.032115</v>
      </c>
    </row>
    <row x14ac:dyDescent="0.25" r="12" customHeight="1" ht="17.25">
      <c r="A12" s="10">
        <v>10</v>
      </c>
      <c r="B12" s="2" t="s">
        <v>34</v>
      </c>
      <c r="C12" s="10">
        <v>195</v>
      </c>
      <c r="D12" s="10">
        <v>103117113</v>
      </c>
      <c r="E12" s="11">
        <v>103.117113</v>
      </c>
      <c r="F12" s="10">
        <v>46</v>
      </c>
      <c r="G12" s="10">
        <v>233215651</v>
      </c>
      <c r="H12" s="11">
        <v>233.215651</v>
      </c>
      <c r="I12" s="10">
        <v>120</v>
      </c>
      <c r="J12" s="11">
        <v>32.937145097555565</v>
      </c>
      <c r="K12" s="11">
        <v>369.26990909755557</v>
      </c>
      <c r="L12" s="10">
        <v>10</v>
      </c>
      <c r="M12" s="2" t="s">
        <v>29</v>
      </c>
      <c r="N12" s="10">
        <v>24</v>
      </c>
      <c r="O12" s="10">
        <v>273866538</v>
      </c>
      <c r="P12" s="11">
        <v>273.866538</v>
      </c>
      <c r="Q12" s="10">
        <v>25</v>
      </c>
      <c r="R12" s="10">
        <v>427571970</v>
      </c>
      <c r="S12" s="11">
        <v>427.57197</v>
      </c>
      <c r="T12" s="10">
        <v>0</v>
      </c>
      <c r="U12" s="10">
        <v>0</v>
      </c>
      <c r="V12" s="11">
        <v>701.438508</v>
      </c>
    </row>
    <row x14ac:dyDescent="0.25" r="13" customHeight="1" ht="17.25">
      <c r="A13" s="10">
        <v>11</v>
      </c>
      <c r="B13" s="2" t="s">
        <v>36</v>
      </c>
      <c r="C13" s="10">
        <v>58</v>
      </c>
      <c r="D13" s="10">
        <v>45507586</v>
      </c>
      <c r="E13" s="11">
        <v>45.507586</v>
      </c>
      <c r="F13" s="10">
        <v>12</v>
      </c>
      <c r="G13" s="10">
        <v>23828707</v>
      </c>
      <c r="H13" s="11">
        <v>23.828707</v>
      </c>
      <c r="I13" s="10">
        <v>68</v>
      </c>
      <c r="J13" s="11">
        <v>91.01679349497785</v>
      </c>
      <c r="K13" s="11">
        <v>160.35308649497784</v>
      </c>
      <c r="L13" s="10">
        <v>11</v>
      </c>
      <c r="M13" s="2" t="s">
        <v>59</v>
      </c>
      <c r="N13" s="10">
        <v>2</v>
      </c>
      <c r="O13" s="10">
        <v>159217157</v>
      </c>
      <c r="P13" s="11">
        <v>159.217157</v>
      </c>
      <c r="Q13" s="10">
        <v>1</v>
      </c>
      <c r="R13" s="10">
        <v>95500000</v>
      </c>
      <c r="S13" s="11">
        <v>95.5</v>
      </c>
      <c r="T13" s="10">
        <v>4</v>
      </c>
      <c r="U13" s="11">
        <v>307.0564965385778</v>
      </c>
      <c r="V13" s="11">
        <v>561.7736535385777</v>
      </c>
    </row>
    <row x14ac:dyDescent="0.25" r="14" customHeight="1" ht="17.25">
      <c r="A14" s="10">
        <v>12</v>
      </c>
      <c r="B14" s="2" t="s">
        <v>38</v>
      </c>
      <c r="C14" s="10">
        <v>5</v>
      </c>
      <c r="D14" s="10">
        <v>55760000</v>
      </c>
      <c r="E14" s="11">
        <v>55.76</v>
      </c>
      <c r="F14" s="10">
        <v>7</v>
      </c>
      <c r="G14" s="10">
        <v>9765018</v>
      </c>
      <c r="H14" s="11">
        <v>9.765018</v>
      </c>
      <c r="I14" s="10">
        <v>6</v>
      </c>
      <c r="J14" s="11">
        <v>2.2262146793777773</v>
      </c>
      <c r="K14" s="11">
        <v>67.75123267937778</v>
      </c>
      <c r="L14" s="10">
        <v>12</v>
      </c>
      <c r="M14" s="2" t="s">
        <v>58</v>
      </c>
      <c r="N14" s="10">
        <v>10</v>
      </c>
      <c r="O14" s="10">
        <v>517735387</v>
      </c>
      <c r="P14" s="11">
        <v>517.735387</v>
      </c>
      <c r="Q14" s="10">
        <v>0</v>
      </c>
      <c r="R14" s="10">
        <v>0</v>
      </c>
      <c r="S14" s="10">
        <v>0</v>
      </c>
      <c r="T14" s="10">
        <v>8</v>
      </c>
      <c r="U14" s="11">
        <v>37.890186666666665</v>
      </c>
      <c r="V14" s="11">
        <v>555.6255736666666</v>
      </c>
    </row>
    <row x14ac:dyDescent="0.25" r="15" customHeight="1" ht="17.25">
      <c r="A15" s="10">
        <v>13</v>
      </c>
      <c r="B15" s="2" t="s">
        <v>40</v>
      </c>
      <c r="C15" s="10">
        <v>70</v>
      </c>
      <c r="D15" s="10">
        <v>47322737</v>
      </c>
      <c r="E15" s="11">
        <v>47.322737</v>
      </c>
      <c r="F15" s="10">
        <v>9</v>
      </c>
      <c r="G15" s="10">
        <v>-215128</v>
      </c>
      <c r="H15" s="11">
        <v>-0.215128</v>
      </c>
      <c r="I15" s="10">
        <v>56</v>
      </c>
      <c r="J15" s="11">
        <v>13.34687989133333</v>
      </c>
      <c r="K15" s="11">
        <v>60.45448889133333</v>
      </c>
      <c r="L15" s="10">
        <v>13</v>
      </c>
      <c r="M15" s="2" t="s">
        <v>33</v>
      </c>
      <c r="N15" s="10">
        <v>18</v>
      </c>
      <c r="O15" s="10">
        <v>259623980</v>
      </c>
      <c r="P15" s="11">
        <v>259.62398</v>
      </c>
      <c r="Q15" s="10">
        <v>13</v>
      </c>
      <c r="R15" s="10">
        <v>201930610</v>
      </c>
      <c r="S15" s="11">
        <v>201.93061</v>
      </c>
      <c r="T15" s="10">
        <v>15</v>
      </c>
      <c r="U15" s="11">
        <v>70.18316252688889</v>
      </c>
      <c r="V15" s="11">
        <v>531.7377525268889</v>
      </c>
    </row>
    <row x14ac:dyDescent="0.25" r="16" customHeight="1" ht="17.25">
      <c r="A16" s="10">
        <v>14</v>
      </c>
      <c r="B16" s="2" t="s">
        <v>42</v>
      </c>
      <c r="C16" s="10">
        <v>13</v>
      </c>
      <c r="D16" s="10">
        <v>485094024</v>
      </c>
      <c r="E16" s="11">
        <v>485.094024</v>
      </c>
      <c r="F16" s="10">
        <v>5</v>
      </c>
      <c r="G16" s="10">
        <v>2305000</v>
      </c>
      <c r="H16" s="11">
        <v>2.305</v>
      </c>
      <c r="I16" s="10">
        <v>4</v>
      </c>
      <c r="J16" s="11">
        <v>0.8630444444444443</v>
      </c>
      <c r="K16" s="11">
        <v>488.2620684444444</v>
      </c>
      <c r="L16" s="10">
        <v>14</v>
      </c>
      <c r="M16" s="2" t="s">
        <v>39</v>
      </c>
      <c r="N16" s="10">
        <v>29</v>
      </c>
      <c r="O16" s="10">
        <v>129591018</v>
      </c>
      <c r="P16" s="11">
        <v>129.591018</v>
      </c>
      <c r="Q16" s="10">
        <v>27</v>
      </c>
      <c r="R16" s="10">
        <v>242152685</v>
      </c>
      <c r="S16" s="11">
        <v>242.152685</v>
      </c>
      <c r="T16" s="10">
        <v>11</v>
      </c>
      <c r="U16" s="11">
        <v>44.01095111111112</v>
      </c>
      <c r="V16" s="11">
        <v>415.7546541111111</v>
      </c>
    </row>
    <row x14ac:dyDescent="0.25" r="17" customHeight="1" ht="17.25">
      <c r="A17" s="10">
        <v>15</v>
      </c>
      <c r="B17" s="2" t="s">
        <v>44</v>
      </c>
      <c r="C17" s="10">
        <v>10</v>
      </c>
      <c r="D17" s="10">
        <v>11237391</v>
      </c>
      <c r="E17" s="11">
        <v>11.237391</v>
      </c>
      <c r="F17" s="10">
        <v>3</v>
      </c>
      <c r="G17" s="10">
        <v>2670000</v>
      </c>
      <c r="H17" s="11">
        <v>2.67</v>
      </c>
      <c r="I17" s="10">
        <v>9</v>
      </c>
      <c r="J17" s="11">
        <v>38.166753869111105</v>
      </c>
      <c r="K17" s="11">
        <v>52.07414486911111</v>
      </c>
      <c r="L17" s="10">
        <v>15</v>
      </c>
      <c r="M17" s="2" t="s">
        <v>51</v>
      </c>
      <c r="N17" s="10">
        <v>14</v>
      </c>
      <c r="O17" s="10">
        <v>388483218</v>
      </c>
      <c r="P17" s="11">
        <v>388.483218</v>
      </c>
      <c r="Q17" s="10">
        <v>10</v>
      </c>
      <c r="R17" s="10">
        <v>24996748</v>
      </c>
      <c r="S17" s="11">
        <v>24.996748</v>
      </c>
      <c r="T17" s="10">
        <v>3</v>
      </c>
      <c r="U17" s="11">
        <v>1.0515555555555556</v>
      </c>
      <c r="V17" s="11">
        <v>414.5315215555556</v>
      </c>
    </row>
    <row x14ac:dyDescent="0.25" r="18" customHeight="1" ht="17.25">
      <c r="A18" s="10">
        <v>16</v>
      </c>
      <c r="B18" s="2" t="s">
        <v>46</v>
      </c>
      <c r="C18" s="10">
        <v>1</v>
      </c>
      <c r="D18" s="10">
        <v>31500000</v>
      </c>
      <c r="E18" s="11">
        <v>31.5</v>
      </c>
      <c r="F18" s="10">
        <v>1</v>
      </c>
      <c r="G18" s="10">
        <v>37153552</v>
      </c>
      <c r="H18" s="11">
        <v>37.153552</v>
      </c>
      <c r="I18" s="10">
        <v>2</v>
      </c>
      <c r="J18" s="11">
        <v>1.3688933333333335</v>
      </c>
      <c r="K18" s="11">
        <v>70.02244533333332</v>
      </c>
      <c r="L18" s="10">
        <v>16</v>
      </c>
      <c r="M18" s="2" t="s">
        <v>47</v>
      </c>
      <c r="N18" s="10">
        <v>42</v>
      </c>
      <c r="O18" s="10">
        <v>313804060</v>
      </c>
      <c r="P18" s="11">
        <v>313.80406</v>
      </c>
      <c r="Q18" s="10">
        <v>33</v>
      </c>
      <c r="R18" s="10">
        <v>60180284</v>
      </c>
      <c r="S18" s="11">
        <v>60.180284</v>
      </c>
      <c r="T18" s="10">
        <v>15</v>
      </c>
      <c r="U18" s="11">
        <v>18.407022222222224</v>
      </c>
      <c r="V18" s="11">
        <v>392.3913662222222</v>
      </c>
    </row>
    <row x14ac:dyDescent="0.25" r="19" customHeight="1" ht="17.25">
      <c r="A19" s="10">
        <v>17</v>
      </c>
      <c r="B19" s="2" t="s">
        <v>48</v>
      </c>
      <c r="C19" s="10">
        <v>2</v>
      </c>
      <c r="D19" s="10">
        <v>210588503</v>
      </c>
      <c r="E19" s="11">
        <v>210.588503</v>
      </c>
      <c r="F19" s="10">
        <v>6</v>
      </c>
      <c r="G19" s="10">
        <v>118129908</v>
      </c>
      <c r="H19" s="11">
        <v>118.129908</v>
      </c>
      <c r="I19" s="10">
        <v>4</v>
      </c>
      <c r="J19" s="11">
        <v>1.0816888888888887</v>
      </c>
      <c r="K19" s="11">
        <v>329.8000998888889</v>
      </c>
      <c r="L19" s="10">
        <v>17</v>
      </c>
      <c r="M19" s="2" t="s">
        <v>78</v>
      </c>
      <c r="N19" s="10">
        <v>9</v>
      </c>
      <c r="O19" s="10">
        <v>244841603</v>
      </c>
      <c r="P19" s="11">
        <v>244.841603</v>
      </c>
      <c r="Q19" s="10">
        <v>2</v>
      </c>
      <c r="R19" s="10">
        <v>133470389</v>
      </c>
      <c r="S19" s="11">
        <v>133.470389</v>
      </c>
      <c r="T19" s="10">
        <v>3</v>
      </c>
      <c r="U19" s="11">
        <v>12.952444444444444</v>
      </c>
      <c r="V19" s="11">
        <v>391.26443644444447</v>
      </c>
    </row>
    <row x14ac:dyDescent="0.25" r="20" customHeight="1" ht="17.25">
      <c r="A20" s="10">
        <v>18</v>
      </c>
      <c r="B20" s="2" t="s">
        <v>50</v>
      </c>
      <c r="C20" s="10">
        <v>12</v>
      </c>
      <c r="D20" s="11">
        <v>511023497.88888884</v>
      </c>
      <c r="E20" s="11">
        <v>511.0234978888888</v>
      </c>
      <c r="F20" s="10">
        <v>1</v>
      </c>
      <c r="G20" s="10">
        <v>8980</v>
      </c>
      <c r="H20" s="11">
        <v>0.00898</v>
      </c>
      <c r="I20" s="10">
        <v>32</v>
      </c>
      <c r="J20" s="11">
        <v>71.37795146755555</v>
      </c>
      <c r="K20" s="11">
        <v>582.4104293564444</v>
      </c>
      <c r="L20" s="10">
        <v>18</v>
      </c>
      <c r="M20" s="2" t="s">
        <v>43</v>
      </c>
      <c r="N20" s="10">
        <v>30</v>
      </c>
      <c r="O20" s="10">
        <v>274121552</v>
      </c>
      <c r="P20" s="11">
        <v>274.121552</v>
      </c>
      <c r="Q20" s="10">
        <v>18</v>
      </c>
      <c r="R20" s="11">
        <v>103312737.30000001</v>
      </c>
      <c r="S20" s="11">
        <v>103.31273730000001</v>
      </c>
      <c r="T20" s="10">
        <v>18</v>
      </c>
      <c r="U20" s="11">
        <v>11.853939177333332</v>
      </c>
      <c r="V20" s="11">
        <v>389.2882284773334</v>
      </c>
    </row>
    <row x14ac:dyDescent="0.25" r="21" customHeight="1" ht="17.25">
      <c r="A21" s="10">
        <v>19</v>
      </c>
      <c r="B21" s="2" t="s">
        <v>52</v>
      </c>
      <c r="C21" s="10">
        <v>1</v>
      </c>
      <c r="D21" s="10">
        <v>150000</v>
      </c>
      <c r="E21" s="11">
        <v>0.15</v>
      </c>
      <c r="F21" s="10">
        <v>1</v>
      </c>
      <c r="G21" s="10">
        <v>3900000</v>
      </c>
      <c r="H21" s="11">
        <v>3.9</v>
      </c>
      <c r="I21" s="10">
        <v>0</v>
      </c>
      <c r="J21" s="10">
        <v>0</v>
      </c>
      <c r="K21" s="11">
        <v>4.05</v>
      </c>
      <c r="L21" s="10">
        <v>19</v>
      </c>
      <c r="M21" s="2" t="s">
        <v>76</v>
      </c>
      <c r="N21" s="10">
        <v>14</v>
      </c>
      <c r="O21" s="10">
        <v>259147300</v>
      </c>
      <c r="P21" s="11">
        <v>259.1473</v>
      </c>
      <c r="Q21" s="10">
        <v>12</v>
      </c>
      <c r="R21" s="10">
        <v>23223318</v>
      </c>
      <c r="S21" s="11">
        <v>23.223318</v>
      </c>
      <c r="T21" s="10">
        <v>4</v>
      </c>
      <c r="U21" s="11">
        <v>21.983022222222225</v>
      </c>
      <c r="V21" s="11">
        <v>304.3536402222222</v>
      </c>
    </row>
    <row x14ac:dyDescent="0.25" r="22" customHeight="1" ht="17.25">
      <c r="A22" s="1" t="s">
        <v>54</v>
      </c>
      <c r="B22" s="2"/>
      <c r="C22" s="10">
        <v>2556</v>
      </c>
      <c r="D22" s="11">
        <v>15182245350.348888</v>
      </c>
      <c r="E22" s="11">
        <v>15182.24535034889</v>
      </c>
      <c r="F22" s="10">
        <v>1225</v>
      </c>
      <c r="G22" s="11">
        <v>5765100869.497422</v>
      </c>
      <c r="H22" s="11">
        <v>5765.1008694974225</v>
      </c>
      <c r="I22" s="10">
        <v>2547</v>
      </c>
      <c r="J22" s="11">
        <v>3425.3228147478508</v>
      </c>
      <c r="K22" s="11">
        <v>24372.669034594164</v>
      </c>
      <c r="L22" s="10">
        <v>20</v>
      </c>
      <c r="M22" s="2" t="s">
        <v>69</v>
      </c>
      <c r="N22" s="10">
        <v>7</v>
      </c>
      <c r="O22" s="10">
        <v>256503212</v>
      </c>
      <c r="P22" s="11">
        <v>256.503212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1">
        <v>256.503212</v>
      </c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3"/>
      <c r="J23" s="4"/>
      <c r="K23" s="4"/>
      <c r="L23" s="10">
        <v>21</v>
      </c>
      <c r="M23" s="2" t="s">
        <v>73</v>
      </c>
      <c r="N23" s="10">
        <v>8</v>
      </c>
      <c r="O23" s="10">
        <v>225989827</v>
      </c>
      <c r="P23" s="11">
        <v>225.989827</v>
      </c>
      <c r="Q23" s="10">
        <v>1</v>
      </c>
      <c r="R23" s="10">
        <v>1117911</v>
      </c>
      <c r="S23" s="11">
        <v>1.117911</v>
      </c>
      <c r="T23" s="10">
        <v>3</v>
      </c>
      <c r="U23" s="11">
        <v>14.003022222222222</v>
      </c>
      <c r="V23" s="11">
        <v>241.1107602222222</v>
      </c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3"/>
      <c r="J24" s="4"/>
      <c r="K24" s="4"/>
      <c r="L24" s="10">
        <v>22</v>
      </c>
      <c r="M24" s="2" t="s">
        <v>53</v>
      </c>
      <c r="N24" s="10">
        <v>15</v>
      </c>
      <c r="O24" s="10">
        <v>163763110</v>
      </c>
      <c r="P24" s="11">
        <v>163.76311</v>
      </c>
      <c r="Q24" s="10">
        <v>11</v>
      </c>
      <c r="R24" s="10">
        <v>69604750</v>
      </c>
      <c r="S24" s="11">
        <v>69.60475</v>
      </c>
      <c r="T24" s="10">
        <v>1</v>
      </c>
      <c r="U24" s="11">
        <v>0.04</v>
      </c>
      <c r="V24" s="11">
        <v>233.40786</v>
      </c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3"/>
      <c r="J25" s="4"/>
      <c r="K25" s="4"/>
      <c r="L25" s="10">
        <v>23</v>
      </c>
      <c r="M25" s="2" t="s">
        <v>55</v>
      </c>
      <c r="N25" s="10">
        <v>13</v>
      </c>
      <c r="O25" s="10">
        <v>95870699</v>
      </c>
      <c r="P25" s="11">
        <v>95.870699</v>
      </c>
      <c r="Q25" s="10">
        <v>17</v>
      </c>
      <c r="R25" s="10">
        <v>102306383</v>
      </c>
      <c r="S25" s="11">
        <v>102.306383</v>
      </c>
      <c r="T25" s="10">
        <v>1</v>
      </c>
      <c r="U25" s="11">
        <v>0.6866666666666666</v>
      </c>
      <c r="V25" s="11">
        <v>198.86374866666665</v>
      </c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3"/>
      <c r="J26" s="4"/>
      <c r="K26" s="4"/>
      <c r="L26" s="10">
        <v>24</v>
      </c>
      <c r="M26" s="2" t="s">
        <v>41</v>
      </c>
      <c r="N26" s="10">
        <v>23</v>
      </c>
      <c r="O26" s="10">
        <v>132202997</v>
      </c>
      <c r="P26" s="11">
        <v>132.202997</v>
      </c>
      <c r="Q26" s="10">
        <v>15</v>
      </c>
      <c r="R26" s="10">
        <v>24687975</v>
      </c>
      <c r="S26" s="11">
        <v>24.687975</v>
      </c>
      <c r="T26" s="10">
        <v>8</v>
      </c>
      <c r="U26" s="11">
        <v>7.461040888888888</v>
      </c>
      <c r="V26" s="11">
        <v>164.3520128888889</v>
      </c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3"/>
      <c r="J27" s="4"/>
      <c r="K27" s="4"/>
      <c r="L27" s="10">
        <v>25</v>
      </c>
      <c r="M27" s="2" t="s">
        <v>63</v>
      </c>
      <c r="N27" s="10">
        <v>7</v>
      </c>
      <c r="O27" s="10">
        <v>136661537</v>
      </c>
      <c r="P27" s="11">
        <v>136.661537</v>
      </c>
      <c r="Q27" s="10">
        <v>3</v>
      </c>
      <c r="R27" s="10">
        <v>6300000</v>
      </c>
      <c r="S27" s="11">
        <v>6.3</v>
      </c>
      <c r="T27" s="10">
        <v>0</v>
      </c>
      <c r="U27" s="10">
        <v>0</v>
      </c>
      <c r="V27" s="11">
        <v>142.96153700000002</v>
      </c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3"/>
      <c r="J28" s="4"/>
      <c r="K28" s="4"/>
      <c r="L28" s="10">
        <v>26</v>
      </c>
      <c r="M28" s="2" t="s">
        <v>61</v>
      </c>
      <c r="N28" s="10">
        <v>18</v>
      </c>
      <c r="O28" s="10">
        <v>122888765</v>
      </c>
      <c r="P28" s="11">
        <v>122.888765</v>
      </c>
      <c r="Q28" s="10">
        <v>4</v>
      </c>
      <c r="R28" s="10">
        <v>14958000</v>
      </c>
      <c r="S28" s="11">
        <v>14.958</v>
      </c>
      <c r="T28" s="10">
        <v>1</v>
      </c>
      <c r="U28" s="11">
        <v>0.01813333333333333</v>
      </c>
      <c r="V28" s="11">
        <v>137.86489833333334</v>
      </c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3"/>
      <c r="J29" s="4"/>
      <c r="K29" s="4"/>
      <c r="L29" s="10">
        <v>27</v>
      </c>
      <c r="M29" s="2" t="s">
        <v>49</v>
      </c>
      <c r="N29" s="10">
        <v>20</v>
      </c>
      <c r="O29" s="10">
        <v>50616340</v>
      </c>
      <c r="P29" s="11">
        <v>50.61634</v>
      </c>
      <c r="Q29" s="10">
        <v>18</v>
      </c>
      <c r="R29" s="10">
        <v>54586320</v>
      </c>
      <c r="S29" s="11">
        <v>54.58632</v>
      </c>
      <c r="T29" s="10">
        <v>0</v>
      </c>
      <c r="U29" s="10">
        <v>0</v>
      </c>
      <c r="V29" s="11">
        <v>105.20266000000001</v>
      </c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3"/>
      <c r="J30" s="4"/>
      <c r="K30" s="4"/>
      <c r="L30" s="10">
        <v>28</v>
      </c>
      <c r="M30" s="2" t="s">
        <v>45</v>
      </c>
      <c r="N30" s="10">
        <v>74</v>
      </c>
      <c r="O30" s="10">
        <v>78018255</v>
      </c>
      <c r="P30" s="11">
        <v>78.018255</v>
      </c>
      <c r="Q30" s="10">
        <v>11</v>
      </c>
      <c r="R30" s="10">
        <v>-10038796</v>
      </c>
      <c r="S30" s="11">
        <v>-10.038796</v>
      </c>
      <c r="T30" s="10">
        <v>33</v>
      </c>
      <c r="U30" s="11">
        <v>29.286006157733336</v>
      </c>
      <c r="V30" s="11">
        <v>97.26546515773333</v>
      </c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3"/>
      <c r="J31" s="4"/>
      <c r="K31" s="4"/>
      <c r="L31" s="10">
        <v>29</v>
      </c>
      <c r="M31" s="2" t="s">
        <v>64</v>
      </c>
      <c r="N31" s="10">
        <v>5</v>
      </c>
      <c r="O31" s="10">
        <v>89241000</v>
      </c>
      <c r="P31" s="11">
        <v>89.241</v>
      </c>
      <c r="Q31" s="10">
        <v>2</v>
      </c>
      <c r="R31" s="10">
        <v>940000</v>
      </c>
      <c r="S31" s="11">
        <v>0.94</v>
      </c>
      <c r="T31" s="10">
        <v>0</v>
      </c>
      <c r="U31" s="10">
        <v>0</v>
      </c>
      <c r="V31" s="11">
        <v>90.181</v>
      </c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3"/>
      <c r="J32" s="4"/>
      <c r="K32" s="4"/>
      <c r="L32" s="10">
        <v>30</v>
      </c>
      <c r="M32" s="2" t="s">
        <v>66</v>
      </c>
      <c r="N32" s="10">
        <v>3</v>
      </c>
      <c r="O32" s="10">
        <v>71519598</v>
      </c>
      <c r="P32" s="11">
        <v>71.519598</v>
      </c>
      <c r="Q32" s="10">
        <v>3</v>
      </c>
      <c r="R32" s="10">
        <v>14100000</v>
      </c>
      <c r="S32" s="11">
        <v>14.1</v>
      </c>
      <c r="T32" s="10">
        <v>3</v>
      </c>
      <c r="U32" s="11">
        <v>2.6836731996444447</v>
      </c>
      <c r="V32" s="11">
        <v>88.30327119964444</v>
      </c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3"/>
      <c r="J33" s="4"/>
      <c r="K33" s="4"/>
      <c r="L33" s="10">
        <v>31</v>
      </c>
      <c r="M33" s="2" t="s">
        <v>70</v>
      </c>
      <c r="N33" s="10">
        <v>10</v>
      </c>
      <c r="O33" s="10">
        <v>81988197</v>
      </c>
      <c r="P33" s="11">
        <v>81.988197</v>
      </c>
      <c r="Q33" s="10">
        <v>1</v>
      </c>
      <c r="R33" s="10">
        <v>2606151</v>
      </c>
      <c r="S33" s="11">
        <v>2.606151</v>
      </c>
      <c r="T33" s="10">
        <v>2</v>
      </c>
      <c r="U33" s="11">
        <v>0.6818</v>
      </c>
      <c r="V33" s="11">
        <v>85.27614799999999</v>
      </c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3"/>
      <c r="J34" s="4"/>
      <c r="K34" s="4"/>
      <c r="L34" s="10">
        <v>32</v>
      </c>
      <c r="M34" s="2" t="s">
        <v>57</v>
      </c>
      <c r="N34" s="10">
        <v>9</v>
      </c>
      <c r="O34" s="10">
        <v>72490000</v>
      </c>
      <c r="P34" s="11">
        <v>72.49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1">
        <v>72.49</v>
      </c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3"/>
      <c r="J35" s="4"/>
      <c r="K35" s="4"/>
      <c r="L35" s="10">
        <v>33</v>
      </c>
      <c r="M35" s="2" t="s">
        <v>72</v>
      </c>
      <c r="N35" s="10">
        <v>0</v>
      </c>
      <c r="O35" s="10">
        <v>0</v>
      </c>
      <c r="P35" s="10">
        <v>0</v>
      </c>
      <c r="Q35" s="10">
        <v>2</v>
      </c>
      <c r="R35" s="10">
        <v>70000000</v>
      </c>
      <c r="S35" s="10">
        <v>70</v>
      </c>
      <c r="T35" s="10">
        <v>0</v>
      </c>
      <c r="U35" s="10">
        <v>0</v>
      </c>
      <c r="V35" s="10">
        <v>70</v>
      </c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3"/>
      <c r="J36" s="4"/>
      <c r="K36" s="4"/>
      <c r="L36" s="10">
        <v>34</v>
      </c>
      <c r="M36" s="2" t="s">
        <v>60</v>
      </c>
      <c r="N36" s="10">
        <v>8</v>
      </c>
      <c r="O36" s="10">
        <v>6322000</v>
      </c>
      <c r="P36" s="11">
        <v>6.322</v>
      </c>
      <c r="Q36" s="10">
        <v>4</v>
      </c>
      <c r="R36" s="10">
        <v>39200000</v>
      </c>
      <c r="S36" s="11">
        <v>39.2</v>
      </c>
      <c r="T36" s="10">
        <v>49</v>
      </c>
      <c r="U36" s="11">
        <v>22.53223999999999</v>
      </c>
      <c r="V36" s="11">
        <v>68.05424</v>
      </c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3"/>
      <c r="J37" s="4"/>
      <c r="K37" s="4"/>
      <c r="L37" s="10">
        <v>35</v>
      </c>
      <c r="M37" s="2" t="s">
        <v>74</v>
      </c>
      <c r="N37" s="10">
        <v>9</v>
      </c>
      <c r="O37" s="10">
        <v>32927804</v>
      </c>
      <c r="P37" s="11">
        <v>32.927804</v>
      </c>
      <c r="Q37" s="10">
        <v>4</v>
      </c>
      <c r="R37" s="10">
        <v>13736401</v>
      </c>
      <c r="S37" s="11">
        <v>13.736401</v>
      </c>
      <c r="T37" s="10">
        <v>4</v>
      </c>
      <c r="U37" s="11">
        <v>7.35508488888889</v>
      </c>
      <c r="V37" s="11">
        <v>54.01928988888889</v>
      </c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3"/>
      <c r="J38" s="4"/>
      <c r="K38" s="4"/>
      <c r="L38" s="10">
        <v>36</v>
      </c>
      <c r="M38" s="2" t="s">
        <v>82</v>
      </c>
      <c r="N38" s="10">
        <v>0</v>
      </c>
      <c r="O38" s="10">
        <v>0</v>
      </c>
      <c r="P38" s="10">
        <v>0</v>
      </c>
      <c r="Q38" s="10">
        <v>2</v>
      </c>
      <c r="R38" s="10">
        <v>38977416</v>
      </c>
      <c r="S38" s="11">
        <v>38.977416</v>
      </c>
      <c r="T38" s="10">
        <v>3</v>
      </c>
      <c r="U38" s="11">
        <v>5.682216888888889</v>
      </c>
      <c r="V38" s="11">
        <v>44.659632888888886</v>
      </c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3"/>
      <c r="J39" s="4"/>
      <c r="K39" s="4"/>
      <c r="L39" s="10">
        <v>37</v>
      </c>
      <c r="M39" s="2" t="s">
        <v>91</v>
      </c>
      <c r="N39" s="10">
        <v>3</v>
      </c>
      <c r="O39" s="10">
        <v>21433333</v>
      </c>
      <c r="P39" s="11">
        <v>21.433333</v>
      </c>
      <c r="Q39" s="10">
        <v>0</v>
      </c>
      <c r="R39" s="10">
        <v>0</v>
      </c>
      <c r="S39" s="10">
        <v>0</v>
      </c>
      <c r="T39" s="10">
        <v>1</v>
      </c>
      <c r="U39" s="11">
        <v>21.06128888888889</v>
      </c>
      <c r="V39" s="11">
        <v>42.49462188888889</v>
      </c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3"/>
      <c r="J40" s="4"/>
      <c r="K40" s="4"/>
      <c r="L40" s="10">
        <v>38</v>
      </c>
      <c r="M40" s="2" t="s">
        <v>79</v>
      </c>
      <c r="N40" s="10">
        <v>0</v>
      </c>
      <c r="O40" s="10">
        <v>0</v>
      </c>
      <c r="P40" s="10">
        <v>0</v>
      </c>
      <c r="Q40" s="10">
        <v>6</v>
      </c>
      <c r="R40" s="10">
        <v>39494692</v>
      </c>
      <c r="S40" s="11">
        <v>39.494692</v>
      </c>
      <c r="T40" s="10">
        <v>10</v>
      </c>
      <c r="U40" s="11">
        <v>1.9488444444444442</v>
      </c>
      <c r="V40" s="11">
        <v>41.44353644444445</v>
      </c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3"/>
      <c r="J41" s="4"/>
      <c r="K41" s="4"/>
      <c r="L41" s="10">
        <v>39</v>
      </c>
      <c r="M41" s="2" t="s">
        <v>77</v>
      </c>
      <c r="N41" s="10">
        <v>6</v>
      </c>
      <c r="O41" s="10">
        <v>29281818</v>
      </c>
      <c r="P41" s="11">
        <v>29.281818</v>
      </c>
      <c r="Q41" s="10">
        <v>2</v>
      </c>
      <c r="R41" s="10">
        <v>710526</v>
      </c>
      <c r="S41" s="11">
        <v>0.710526</v>
      </c>
      <c r="T41" s="10">
        <v>2</v>
      </c>
      <c r="U41" s="11">
        <v>2.36</v>
      </c>
      <c r="V41" s="11">
        <v>32.352344</v>
      </c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3"/>
      <c r="J42" s="4"/>
      <c r="K42" s="4"/>
      <c r="L42" s="10">
        <v>40</v>
      </c>
      <c r="M42" s="2" t="s">
        <v>99</v>
      </c>
      <c r="N42" s="10">
        <v>1</v>
      </c>
      <c r="O42" s="10">
        <v>31500000</v>
      </c>
      <c r="P42" s="11">
        <v>31.5</v>
      </c>
      <c r="Q42" s="10">
        <v>0</v>
      </c>
      <c r="R42" s="10">
        <v>0</v>
      </c>
      <c r="S42" s="10">
        <v>0</v>
      </c>
      <c r="T42" s="10">
        <v>0</v>
      </c>
      <c r="U42" s="10">
        <v>0</v>
      </c>
      <c r="V42" s="11">
        <v>31.5</v>
      </c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3"/>
      <c r="J43" s="4"/>
      <c r="K43" s="4"/>
      <c r="L43" s="10">
        <v>41</v>
      </c>
      <c r="M43" s="2" t="s">
        <v>56</v>
      </c>
      <c r="N43" s="10">
        <v>9</v>
      </c>
      <c r="O43" s="10">
        <v>28393314</v>
      </c>
      <c r="P43" s="11">
        <v>28.393314</v>
      </c>
      <c r="Q43" s="10">
        <v>1</v>
      </c>
      <c r="R43" s="10">
        <v>700000</v>
      </c>
      <c r="S43" s="11">
        <v>0.7</v>
      </c>
      <c r="T43" s="10">
        <v>1</v>
      </c>
      <c r="U43" s="11">
        <v>1.151111111111111</v>
      </c>
      <c r="V43" s="11">
        <v>30.24442511111111</v>
      </c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3"/>
      <c r="J44" s="4"/>
      <c r="K44" s="4"/>
      <c r="L44" s="10">
        <v>42</v>
      </c>
      <c r="M44" s="2" t="s">
        <v>90</v>
      </c>
      <c r="N44" s="10">
        <v>2</v>
      </c>
      <c r="O44" s="10">
        <v>379070</v>
      </c>
      <c r="P44" s="11">
        <v>0.37907</v>
      </c>
      <c r="Q44" s="10">
        <v>2</v>
      </c>
      <c r="R44" s="10">
        <v>25938936</v>
      </c>
      <c r="S44" s="11">
        <v>25.938936</v>
      </c>
      <c r="T44" s="10">
        <v>0</v>
      </c>
      <c r="U44" s="10">
        <v>0</v>
      </c>
      <c r="V44" s="11">
        <v>26.318006</v>
      </c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3"/>
      <c r="J45" s="4"/>
      <c r="K45" s="4"/>
      <c r="L45" s="10">
        <v>43</v>
      </c>
      <c r="M45" s="2" t="s">
        <v>65</v>
      </c>
      <c r="N45" s="10">
        <v>9</v>
      </c>
      <c r="O45" s="10">
        <v>96300000</v>
      </c>
      <c r="P45" s="11">
        <v>96.3</v>
      </c>
      <c r="Q45" s="10">
        <v>4</v>
      </c>
      <c r="R45" s="10">
        <v>-74318182</v>
      </c>
      <c r="S45" s="11">
        <v>-74.318182</v>
      </c>
      <c r="T45" s="10">
        <v>0</v>
      </c>
      <c r="U45" s="10">
        <v>0</v>
      </c>
      <c r="V45" s="11">
        <v>21.981818000000004</v>
      </c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3"/>
      <c r="J46" s="4"/>
      <c r="K46" s="4"/>
      <c r="L46" s="10">
        <v>44</v>
      </c>
      <c r="M46" s="2" t="s">
        <v>83</v>
      </c>
      <c r="N46" s="10">
        <v>3</v>
      </c>
      <c r="O46" s="10">
        <v>17903425</v>
      </c>
      <c r="P46" s="11">
        <v>17.903425</v>
      </c>
      <c r="Q46" s="10">
        <v>0</v>
      </c>
      <c r="R46" s="10">
        <v>0</v>
      </c>
      <c r="S46" s="10">
        <v>0</v>
      </c>
      <c r="T46" s="10">
        <v>2</v>
      </c>
      <c r="U46" s="11">
        <v>0.5017777777777778</v>
      </c>
      <c r="V46" s="11">
        <v>18.405202777777777</v>
      </c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3"/>
      <c r="J47" s="4"/>
      <c r="K47" s="4"/>
      <c r="L47" s="10">
        <v>45</v>
      </c>
      <c r="M47" s="2" t="s">
        <v>92</v>
      </c>
      <c r="N47" s="10">
        <v>0</v>
      </c>
      <c r="O47" s="10">
        <v>0</v>
      </c>
      <c r="P47" s="10">
        <v>0</v>
      </c>
      <c r="Q47" s="10">
        <v>0</v>
      </c>
      <c r="R47" s="10">
        <v>0</v>
      </c>
      <c r="S47" s="10">
        <v>0</v>
      </c>
      <c r="T47" s="10">
        <v>2</v>
      </c>
      <c r="U47" s="11">
        <v>11.086424933333333</v>
      </c>
      <c r="V47" s="11">
        <v>11.086424933333333</v>
      </c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3"/>
      <c r="J48" s="4"/>
      <c r="K48" s="4"/>
      <c r="L48" s="10">
        <v>46</v>
      </c>
      <c r="M48" s="2" t="s">
        <v>75</v>
      </c>
      <c r="N48" s="10">
        <v>1</v>
      </c>
      <c r="O48" s="10">
        <v>22472</v>
      </c>
      <c r="P48" s="11">
        <v>0.022472</v>
      </c>
      <c r="Q48" s="10">
        <v>2</v>
      </c>
      <c r="R48" s="10">
        <v>3100000</v>
      </c>
      <c r="S48" s="11">
        <v>3.1</v>
      </c>
      <c r="T48" s="10">
        <v>1</v>
      </c>
      <c r="U48" s="11">
        <v>7.524882666666667</v>
      </c>
      <c r="V48" s="11">
        <v>10.647354666666667</v>
      </c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3"/>
      <c r="J49" s="4"/>
      <c r="K49" s="4"/>
      <c r="L49" s="10">
        <v>47</v>
      </c>
      <c r="M49" s="2" t="s">
        <v>97</v>
      </c>
      <c r="N49" s="10">
        <v>1</v>
      </c>
      <c r="O49" s="10">
        <v>3000000</v>
      </c>
      <c r="P49" s="10">
        <v>3</v>
      </c>
      <c r="Q49" s="10">
        <v>5</v>
      </c>
      <c r="R49" s="10">
        <v>5765500</v>
      </c>
      <c r="S49" s="11">
        <v>5.7655</v>
      </c>
      <c r="T49" s="10">
        <v>0</v>
      </c>
      <c r="U49" s="10">
        <v>0</v>
      </c>
      <c r="V49" s="11">
        <v>8.7655</v>
      </c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3"/>
      <c r="J50" s="4"/>
      <c r="K50" s="4"/>
      <c r="L50" s="10">
        <v>48</v>
      </c>
      <c r="M50" s="2" t="s">
        <v>88</v>
      </c>
      <c r="N50" s="10">
        <v>2</v>
      </c>
      <c r="O50" s="10">
        <v>7791817</v>
      </c>
      <c r="P50" s="11">
        <v>7.791817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1">
        <v>7.791817</v>
      </c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3"/>
      <c r="J51" s="4"/>
      <c r="K51" s="4"/>
      <c r="L51" s="10">
        <v>49</v>
      </c>
      <c r="M51" s="2" t="s">
        <v>62</v>
      </c>
      <c r="N51" s="10">
        <v>10</v>
      </c>
      <c r="O51" s="10">
        <v>2825200</v>
      </c>
      <c r="P51" s="11">
        <v>2.8252</v>
      </c>
      <c r="Q51" s="10">
        <v>2</v>
      </c>
      <c r="R51" s="10">
        <v>3620000</v>
      </c>
      <c r="S51" s="11">
        <v>3.62</v>
      </c>
      <c r="T51" s="10">
        <v>0</v>
      </c>
      <c r="U51" s="10">
        <v>0</v>
      </c>
      <c r="V51" s="11">
        <v>6.4452</v>
      </c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3"/>
      <c r="J52" s="4"/>
      <c r="K52" s="4"/>
      <c r="L52" s="10">
        <v>50</v>
      </c>
      <c r="M52" s="2" t="s">
        <v>85</v>
      </c>
      <c r="N52" s="10">
        <v>3</v>
      </c>
      <c r="O52" s="10">
        <v>5963503</v>
      </c>
      <c r="P52" s="11">
        <v>5.963503</v>
      </c>
      <c r="Q52" s="10">
        <v>0</v>
      </c>
      <c r="R52" s="10">
        <v>0</v>
      </c>
      <c r="S52" s="10">
        <v>0</v>
      </c>
      <c r="T52" s="10">
        <v>0</v>
      </c>
      <c r="U52" s="10">
        <v>0</v>
      </c>
      <c r="V52" s="11">
        <v>5.963503</v>
      </c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3"/>
      <c r="J53" s="4"/>
      <c r="K53" s="4"/>
      <c r="L53" s="10">
        <v>51</v>
      </c>
      <c r="M53" s="2" t="s">
        <v>68</v>
      </c>
      <c r="N53" s="10">
        <v>1</v>
      </c>
      <c r="O53" s="10">
        <v>5000000</v>
      </c>
      <c r="P53" s="10">
        <v>5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5</v>
      </c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3"/>
      <c r="J54" s="4"/>
      <c r="K54" s="4"/>
      <c r="L54" s="10">
        <v>52</v>
      </c>
      <c r="M54" s="2" t="s">
        <v>80</v>
      </c>
      <c r="N54" s="10">
        <v>2</v>
      </c>
      <c r="O54" s="10">
        <v>4773404</v>
      </c>
      <c r="P54" s="11">
        <v>4.773404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1">
        <v>4.773404</v>
      </c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3"/>
      <c r="J55" s="4"/>
      <c r="K55" s="4"/>
      <c r="L55" s="10">
        <v>53</v>
      </c>
      <c r="M55" s="2" t="s">
        <v>81</v>
      </c>
      <c r="N55" s="10">
        <v>1</v>
      </c>
      <c r="O55" s="10">
        <v>4000000</v>
      </c>
      <c r="P55" s="10">
        <v>4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4</v>
      </c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3"/>
      <c r="J56" s="4"/>
      <c r="K56" s="4"/>
      <c r="L56" s="10">
        <v>54</v>
      </c>
      <c r="M56" s="2" t="s">
        <v>84</v>
      </c>
      <c r="N56" s="10">
        <v>1</v>
      </c>
      <c r="O56" s="10">
        <v>655619</v>
      </c>
      <c r="P56" s="11">
        <v>0.655619</v>
      </c>
      <c r="Q56" s="10">
        <v>1</v>
      </c>
      <c r="R56" s="10">
        <v>1000000</v>
      </c>
      <c r="S56" s="10">
        <v>1</v>
      </c>
      <c r="T56" s="10">
        <v>3</v>
      </c>
      <c r="U56" s="11">
        <v>1.048888888888889</v>
      </c>
      <c r="V56" s="11">
        <v>2.704507888888889</v>
      </c>
    </row>
    <row x14ac:dyDescent="0.25" r="57" customHeight="1" ht="17.25">
      <c r="A57" s="3"/>
      <c r="B57" s="2"/>
      <c r="C57" s="3"/>
      <c r="D57" s="4"/>
      <c r="E57" s="4"/>
      <c r="F57" s="3"/>
      <c r="G57" s="4"/>
      <c r="H57" s="4"/>
      <c r="I57" s="3"/>
      <c r="J57" s="4"/>
      <c r="K57" s="4"/>
      <c r="L57" s="10">
        <v>55</v>
      </c>
      <c r="M57" s="2" t="s">
        <v>87</v>
      </c>
      <c r="N57" s="10">
        <v>1</v>
      </c>
      <c r="O57" s="10">
        <v>230000</v>
      </c>
      <c r="P57" s="11">
        <v>0.23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11">
        <v>0.23</v>
      </c>
    </row>
    <row x14ac:dyDescent="0.25" r="58" customHeight="1" ht="17.25">
      <c r="A58" s="3"/>
      <c r="B58" s="2"/>
      <c r="C58" s="3"/>
      <c r="D58" s="4"/>
      <c r="E58" s="4"/>
      <c r="F58" s="3"/>
      <c r="G58" s="4"/>
      <c r="H58" s="4"/>
      <c r="I58" s="3"/>
      <c r="J58" s="4"/>
      <c r="K58" s="4"/>
      <c r="L58" s="10">
        <v>56</v>
      </c>
      <c r="M58" s="2" t="s">
        <v>94</v>
      </c>
      <c r="N58" s="10">
        <v>0</v>
      </c>
      <c r="O58" s="10">
        <v>0</v>
      </c>
      <c r="P58" s="10">
        <v>0</v>
      </c>
      <c r="Q58" s="10">
        <v>1</v>
      </c>
      <c r="R58" s="10">
        <v>-1300000</v>
      </c>
      <c r="S58" s="11">
        <v>-1.3</v>
      </c>
      <c r="T58" s="10">
        <v>0</v>
      </c>
      <c r="U58" s="10">
        <v>0</v>
      </c>
      <c r="V58" s="11">
        <v>-1.3</v>
      </c>
    </row>
    <row x14ac:dyDescent="0.25" r="59" customHeight="1" ht="17.25">
      <c r="A59" s="3"/>
      <c r="B59" s="2"/>
      <c r="C59" s="3"/>
      <c r="D59" s="4"/>
      <c r="E59" s="4"/>
      <c r="F59" s="3"/>
      <c r="G59" s="4"/>
      <c r="H59" s="4"/>
      <c r="I59" s="3"/>
      <c r="J59" s="4"/>
      <c r="K59" s="4"/>
      <c r="L59" s="10">
        <v>57</v>
      </c>
      <c r="M59" s="2" t="s">
        <v>98</v>
      </c>
      <c r="N59" s="10">
        <v>0</v>
      </c>
      <c r="O59" s="10">
        <v>0</v>
      </c>
      <c r="P59" s="10">
        <v>0</v>
      </c>
      <c r="Q59" s="10">
        <v>1</v>
      </c>
      <c r="R59" s="10">
        <v>-2938308</v>
      </c>
      <c r="S59" s="11">
        <v>-2.938308</v>
      </c>
      <c r="T59" s="10">
        <v>0</v>
      </c>
      <c r="U59" s="10">
        <v>0</v>
      </c>
      <c r="V59" s="11">
        <v>-2.938308</v>
      </c>
    </row>
    <row x14ac:dyDescent="0.25" r="60" customHeight="1" ht="17.25">
      <c r="A60" s="3"/>
      <c r="B60" s="2"/>
      <c r="C60" s="3"/>
      <c r="D60" s="4"/>
      <c r="E60" s="4"/>
      <c r="F60" s="3"/>
      <c r="G60" s="4"/>
      <c r="H60" s="4"/>
      <c r="I60" s="3"/>
      <c r="J60" s="4"/>
      <c r="K60" s="4"/>
      <c r="L60" s="1" t="s">
        <v>54</v>
      </c>
      <c r="M60" s="2"/>
      <c r="N60" s="10">
        <v>2556</v>
      </c>
      <c r="O60" s="11">
        <v>15182245350.348888</v>
      </c>
      <c r="P60" s="11">
        <v>15182.245350348892</v>
      </c>
      <c r="Q60" s="10">
        <v>1225</v>
      </c>
      <c r="R60" s="11">
        <v>5765100869.497422</v>
      </c>
      <c r="S60" s="11">
        <v>5765.100869497423</v>
      </c>
      <c r="T60" s="10">
        <v>2547</v>
      </c>
      <c r="U60" s="11">
        <v>3425.322814747852</v>
      </c>
      <c r="V60" s="11">
        <v>24372.669034594157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2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4" width="22.290714285714284" customWidth="1" bestFit="1"/>
    <col min="5" max="5" style="14" width="26.290714285714284" customWidth="1" bestFit="1"/>
    <col min="6" max="6" style="12" width="18.290714285714284" customWidth="1" bestFit="1"/>
    <col min="7" max="7" style="14" width="23.719285714285714" customWidth="1" bestFit="1"/>
    <col min="8" max="8" style="14" width="27.719285714285714" customWidth="1" bestFit="1"/>
    <col min="9" max="9" style="12" width="23.719285714285714" customWidth="1" bestFit="1"/>
    <col min="10" max="10" style="14" width="32.71928571428572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5" width="14.576428571428572" customWidth="1" bestFit="1"/>
    <col min="15" max="15" style="16" width="22.290714285714284" customWidth="1" bestFit="1"/>
    <col min="16" max="16" style="16" width="26.290714285714284" customWidth="1" bestFit="1"/>
    <col min="17" max="17" style="15" width="18.290714285714284" customWidth="1" bestFit="1"/>
    <col min="18" max="18" style="16" width="23.719285714285714" customWidth="1" bestFit="1"/>
    <col min="19" max="19" style="16" width="27.719285714285714" customWidth="1" bestFit="1"/>
    <col min="20" max="20" style="15" width="23.719285714285714" customWidth="1" bestFit="1"/>
    <col min="21" max="21" style="16" width="32.71928571428572" customWidth="1" bestFit="1"/>
    <col min="22" max="22" style="16" width="51.57642857142857" customWidth="1" bestFit="1"/>
    <col min="23" max="23" style="15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1" t="s">
        <v>4</v>
      </c>
      <c r="J1" s="4"/>
      <c r="K1" s="4"/>
      <c r="L1" s="3"/>
      <c r="M1" s="2"/>
      <c r="N1" s="5" t="s">
        <v>2</v>
      </c>
      <c r="O1" s="7"/>
      <c r="P1" s="7"/>
      <c r="Q1" s="5" t="s">
        <v>3</v>
      </c>
      <c r="R1" s="7"/>
      <c r="S1" s="7"/>
      <c r="T1" s="5" t="s">
        <v>4</v>
      </c>
      <c r="U1" s="7"/>
      <c r="V1" s="8" t="s">
        <v>5</v>
      </c>
      <c r="W1" s="6"/>
    </row>
    <row x14ac:dyDescent="0.25" r="2" customHeight="1" ht="17.25">
      <c r="A2" s="3"/>
      <c r="B2" s="2"/>
      <c r="C2" s="1" t="s">
        <v>6</v>
      </c>
      <c r="D2" s="9" t="s">
        <v>7</v>
      </c>
      <c r="E2" s="9" t="s">
        <v>8</v>
      </c>
      <c r="F2" s="1" t="s">
        <v>9</v>
      </c>
      <c r="G2" s="9" t="s">
        <v>10</v>
      </c>
      <c r="H2" s="9" t="s">
        <v>11</v>
      </c>
      <c r="I2" s="1" t="s">
        <v>12</v>
      </c>
      <c r="J2" s="9" t="s">
        <v>13</v>
      </c>
      <c r="K2" s="9" t="s">
        <v>5</v>
      </c>
      <c r="L2" s="1" t="s">
        <v>0</v>
      </c>
      <c r="M2" s="2" t="s">
        <v>14</v>
      </c>
      <c r="N2" s="5" t="s">
        <v>6</v>
      </c>
      <c r="O2" s="8" t="s">
        <v>7</v>
      </c>
      <c r="P2" s="8" t="s">
        <v>8</v>
      </c>
      <c r="Q2" s="5" t="s">
        <v>9</v>
      </c>
      <c r="R2" s="8" t="s">
        <v>10</v>
      </c>
      <c r="S2" s="8" t="s">
        <v>11</v>
      </c>
      <c r="T2" s="5" t="s">
        <v>12</v>
      </c>
      <c r="U2" s="8" t="s">
        <v>13</v>
      </c>
      <c r="V2" s="8" t="s">
        <v>5</v>
      </c>
      <c r="W2" s="6"/>
    </row>
    <row x14ac:dyDescent="0.25" r="3" customHeight="1" ht="17.25">
      <c r="A3" s="10">
        <v>1</v>
      </c>
      <c r="B3" s="2" t="s">
        <v>15</v>
      </c>
      <c r="C3" s="10">
        <v>932</v>
      </c>
      <c r="D3" s="11">
        <v>6860360754.42</v>
      </c>
      <c r="E3" s="11">
        <v>6860.36075442</v>
      </c>
      <c r="F3" s="10">
        <v>761</v>
      </c>
      <c r="G3" s="11">
        <v>7271266055.4125</v>
      </c>
      <c r="H3" s="11">
        <v>7271.2660554125005</v>
      </c>
      <c r="I3" s="10">
        <v>1365</v>
      </c>
      <c r="J3" s="11">
        <v>1744.3586046300925</v>
      </c>
      <c r="K3" s="11">
        <v>15875.985414462593</v>
      </c>
      <c r="L3" s="10">
        <v>1</v>
      </c>
      <c r="M3" s="2" t="s">
        <v>19</v>
      </c>
      <c r="N3" s="10">
        <v>864</v>
      </c>
      <c r="O3" s="10">
        <v>2313953722</v>
      </c>
      <c r="P3" s="11">
        <v>2313.953722</v>
      </c>
      <c r="Q3" s="10">
        <v>247</v>
      </c>
      <c r="R3" s="11">
        <v>1000110378.0843754</v>
      </c>
      <c r="S3" s="11">
        <v>1000.1103780843754</v>
      </c>
      <c r="T3" s="10">
        <v>2788</v>
      </c>
      <c r="U3" s="11">
        <v>3191.896702763993</v>
      </c>
      <c r="V3" s="11">
        <v>6505.960802848369</v>
      </c>
      <c r="W3" s="6"/>
    </row>
    <row x14ac:dyDescent="0.25" r="4" customHeight="1" ht="17.25">
      <c r="A4" s="10">
        <v>2</v>
      </c>
      <c r="B4" s="2" t="s">
        <v>18</v>
      </c>
      <c r="C4" s="10">
        <v>13</v>
      </c>
      <c r="D4" s="10">
        <v>8369300518</v>
      </c>
      <c r="E4" s="11">
        <v>8369.300518</v>
      </c>
      <c r="F4" s="10">
        <v>5</v>
      </c>
      <c r="G4" s="10">
        <v>4765167</v>
      </c>
      <c r="H4" s="11">
        <v>4.765167</v>
      </c>
      <c r="I4" s="10">
        <v>0</v>
      </c>
      <c r="J4" s="10">
        <v>0</v>
      </c>
      <c r="K4" s="11">
        <v>8374.065685</v>
      </c>
      <c r="L4" s="10">
        <v>2</v>
      </c>
      <c r="M4" s="2" t="s">
        <v>25</v>
      </c>
      <c r="N4" s="10">
        <v>184</v>
      </c>
      <c r="O4" s="10">
        <v>371706124</v>
      </c>
      <c r="P4" s="11">
        <v>371.706124</v>
      </c>
      <c r="Q4" s="10">
        <v>136</v>
      </c>
      <c r="R4" s="10">
        <v>2888338859</v>
      </c>
      <c r="S4" s="11">
        <v>2888.338859</v>
      </c>
      <c r="T4" s="10">
        <v>125</v>
      </c>
      <c r="U4" s="11">
        <v>144.4900418548888</v>
      </c>
      <c r="V4" s="11">
        <v>3404.5350248548884</v>
      </c>
      <c r="W4" s="6"/>
    </row>
    <row x14ac:dyDescent="0.25" r="5" customHeight="1" ht="17.25">
      <c r="A5" s="10">
        <v>3</v>
      </c>
      <c r="B5" s="2" t="s">
        <v>20</v>
      </c>
      <c r="C5" s="10">
        <v>65</v>
      </c>
      <c r="D5" s="10">
        <v>2238927782</v>
      </c>
      <c r="E5" s="11">
        <v>2238.927782</v>
      </c>
      <c r="F5" s="10">
        <v>23</v>
      </c>
      <c r="G5" s="10">
        <v>281335282</v>
      </c>
      <c r="H5" s="11">
        <v>281.335282</v>
      </c>
      <c r="I5" s="10">
        <v>107</v>
      </c>
      <c r="J5" s="11">
        <v>533.3592012996444</v>
      </c>
      <c r="K5" s="11">
        <v>3053.622265299645</v>
      </c>
      <c r="L5" s="10">
        <v>3</v>
      </c>
      <c r="M5" s="2" t="s">
        <v>53</v>
      </c>
      <c r="N5" s="10">
        <v>15</v>
      </c>
      <c r="O5" s="10">
        <v>3159396191</v>
      </c>
      <c r="P5" s="11">
        <v>3159.396191</v>
      </c>
      <c r="Q5" s="10">
        <v>5</v>
      </c>
      <c r="R5" s="10">
        <v>5800000</v>
      </c>
      <c r="S5" s="11">
        <v>5.8</v>
      </c>
      <c r="T5" s="10">
        <v>7</v>
      </c>
      <c r="U5" s="11">
        <v>6.513666666666665</v>
      </c>
      <c r="V5" s="11">
        <v>3171.7098576666667</v>
      </c>
      <c r="W5" s="6"/>
    </row>
    <row x14ac:dyDescent="0.25" r="6" customHeight="1" ht="17.25">
      <c r="A6" s="10">
        <v>4</v>
      </c>
      <c r="B6" s="2" t="s">
        <v>22</v>
      </c>
      <c r="C6" s="10">
        <v>122</v>
      </c>
      <c r="D6" s="10">
        <v>171747621</v>
      </c>
      <c r="E6" s="11">
        <v>171.747621</v>
      </c>
      <c r="F6" s="10">
        <v>48</v>
      </c>
      <c r="G6" s="10">
        <v>102508873</v>
      </c>
      <c r="H6" s="11">
        <v>102.508873</v>
      </c>
      <c r="I6" s="10">
        <v>224</v>
      </c>
      <c r="J6" s="11">
        <v>858.7851376752607</v>
      </c>
      <c r="K6" s="11">
        <v>1133.0416316752608</v>
      </c>
      <c r="L6" s="10">
        <v>4</v>
      </c>
      <c r="M6" s="2" t="s">
        <v>21</v>
      </c>
      <c r="N6" s="10">
        <v>189</v>
      </c>
      <c r="O6" s="10">
        <v>1356456322</v>
      </c>
      <c r="P6" s="11">
        <v>1356.456322</v>
      </c>
      <c r="Q6" s="10">
        <v>132</v>
      </c>
      <c r="R6" s="10">
        <v>1117004174</v>
      </c>
      <c r="S6" s="11">
        <v>1117.004174</v>
      </c>
      <c r="T6" s="10">
        <v>392</v>
      </c>
      <c r="U6" s="11">
        <v>324.7144968721689</v>
      </c>
      <c r="V6" s="11">
        <v>2798.174992872169</v>
      </c>
      <c r="W6" s="6"/>
    </row>
    <row x14ac:dyDescent="0.25" r="7" customHeight="1" ht="17.25">
      <c r="A7" s="10">
        <v>5</v>
      </c>
      <c r="B7" s="2" t="s">
        <v>24</v>
      </c>
      <c r="C7" s="10">
        <v>585</v>
      </c>
      <c r="D7" s="10">
        <v>492997756</v>
      </c>
      <c r="E7" s="11">
        <v>492.997756</v>
      </c>
      <c r="F7" s="10">
        <v>111</v>
      </c>
      <c r="G7" s="11">
        <v>114845192.875</v>
      </c>
      <c r="H7" s="11">
        <v>114.845192875</v>
      </c>
      <c r="I7" s="10">
        <v>1945</v>
      </c>
      <c r="J7" s="11">
        <v>1837.836278919819</v>
      </c>
      <c r="K7" s="11">
        <v>2445.679227794819</v>
      </c>
      <c r="L7" s="10">
        <v>5</v>
      </c>
      <c r="M7" s="2" t="s">
        <v>17</v>
      </c>
      <c r="N7" s="10">
        <v>542</v>
      </c>
      <c r="O7" s="10">
        <v>1111247023</v>
      </c>
      <c r="P7" s="11">
        <v>1111.247023</v>
      </c>
      <c r="Q7" s="10">
        <v>167</v>
      </c>
      <c r="R7" s="11">
        <v>662726899.1289062</v>
      </c>
      <c r="S7" s="11">
        <v>662.7268991289062</v>
      </c>
      <c r="T7" s="10">
        <v>637</v>
      </c>
      <c r="U7" s="11">
        <v>1006.952710087837</v>
      </c>
      <c r="V7" s="11">
        <v>2780.926632216743</v>
      </c>
      <c r="W7" s="6"/>
    </row>
    <row x14ac:dyDescent="0.25" r="8" customHeight="1" ht="17.25">
      <c r="A8" s="10">
        <v>6</v>
      </c>
      <c r="B8" s="2" t="s">
        <v>26</v>
      </c>
      <c r="C8" s="10">
        <v>17</v>
      </c>
      <c r="D8" s="10">
        <v>179311750</v>
      </c>
      <c r="E8" s="11">
        <v>179.31175</v>
      </c>
      <c r="F8" s="10">
        <v>14</v>
      </c>
      <c r="G8" s="10">
        <v>2585778</v>
      </c>
      <c r="H8" s="11">
        <v>2.585778</v>
      </c>
      <c r="I8" s="10">
        <v>29</v>
      </c>
      <c r="J8" s="11">
        <v>9.649834820355556</v>
      </c>
      <c r="K8" s="11">
        <v>191.54736282035554</v>
      </c>
      <c r="L8" s="10">
        <v>6</v>
      </c>
      <c r="M8" s="2" t="s">
        <v>60</v>
      </c>
      <c r="N8" s="10">
        <v>4</v>
      </c>
      <c r="O8" s="10">
        <v>2584857631</v>
      </c>
      <c r="P8" s="11">
        <v>2584.857631</v>
      </c>
      <c r="Q8" s="10">
        <v>2</v>
      </c>
      <c r="R8" s="10">
        <v>13500000</v>
      </c>
      <c r="S8" s="11">
        <v>13.5</v>
      </c>
      <c r="T8" s="10">
        <v>55</v>
      </c>
      <c r="U8" s="11">
        <v>28.044428888888902</v>
      </c>
      <c r="V8" s="11">
        <v>2626.4020598888887</v>
      </c>
      <c r="W8" s="6"/>
    </row>
    <row x14ac:dyDescent="0.25" r="9" customHeight="1" ht="17.25">
      <c r="A9" s="10">
        <v>7</v>
      </c>
      <c r="B9" s="2" t="s">
        <v>28</v>
      </c>
      <c r="C9" s="10">
        <v>324</v>
      </c>
      <c r="D9" s="10">
        <v>390258682</v>
      </c>
      <c r="E9" s="11">
        <v>390.258682</v>
      </c>
      <c r="F9" s="10">
        <v>71</v>
      </c>
      <c r="G9" s="11">
        <v>138465459.75390625</v>
      </c>
      <c r="H9" s="11">
        <v>138.46545975390626</v>
      </c>
      <c r="I9" s="10">
        <v>428</v>
      </c>
      <c r="J9" s="11">
        <v>499.34308206081437</v>
      </c>
      <c r="K9" s="11">
        <v>1028.0672238147206</v>
      </c>
      <c r="L9" s="10">
        <v>7</v>
      </c>
      <c r="M9" s="2" t="s">
        <v>76</v>
      </c>
      <c r="N9" s="10">
        <v>16</v>
      </c>
      <c r="O9" s="10">
        <v>2134297243</v>
      </c>
      <c r="P9" s="11">
        <v>2134.297243</v>
      </c>
      <c r="Q9" s="10">
        <v>10</v>
      </c>
      <c r="R9" s="10">
        <v>92080707</v>
      </c>
      <c r="S9" s="11">
        <v>92.080707</v>
      </c>
      <c r="T9" s="10">
        <v>10</v>
      </c>
      <c r="U9" s="11">
        <v>77.60260355555555</v>
      </c>
      <c r="V9" s="11">
        <v>2303.9805535555556</v>
      </c>
      <c r="W9" s="6"/>
    </row>
    <row x14ac:dyDescent="0.25" r="10" customHeight="1" ht="17.25">
      <c r="A10" s="10">
        <v>8</v>
      </c>
      <c r="B10" s="2" t="s">
        <v>30</v>
      </c>
      <c r="C10" s="10">
        <v>74</v>
      </c>
      <c r="D10" s="10">
        <v>173167584</v>
      </c>
      <c r="E10" s="11">
        <v>173.167584</v>
      </c>
      <c r="F10" s="10">
        <v>29</v>
      </c>
      <c r="G10" s="10">
        <v>143289019</v>
      </c>
      <c r="H10" s="11">
        <v>143.289019</v>
      </c>
      <c r="I10" s="10">
        <v>137</v>
      </c>
      <c r="J10" s="11">
        <v>70.11630325680001</v>
      </c>
      <c r="K10" s="11">
        <v>386.57290625679997</v>
      </c>
      <c r="L10" s="10">
        <v>8</v>
      </c>
      <c r="M10" s="2" t="s">
        <v>23</v>
      </c>
      <c r="N10" s="10">
        <v>83</v>
      </c>
      <c r="O10" s="10">
        <v>1002383241</v>
      </c>
      <c r="P10" s="11">
        <v>1002.383241</v>
      </c>
      <c r="Q10" s="10">
        <v>81</v>
      </c>
      <c r="R10" s="10">
        <v>307757675</v>
      </c>
      <c r="S10" s="11">
        <v>307.757675</v>
      </c>
      <c r="T10" s="10">
        <v>181</v>
      </c>
      <c r="U10" s="11">
        <v>453.858825008748</v>
      </c>
      <c r="V10" s="11">
        <v>1763.999741008748</v>
      </c>
      <c r="W10" s="6"/>
    </row>
    <row x14ac:dyDescent="0.25" r="11" customHeight="1" ht="17.25">
      <c r="A11" s="10">
        <v>9</v>
      </c>
      <c r="B11" s="2" t="s">
        <v>32</v>
      </c>
      <c r="C11" s="10">
        <v>106</v>
      </c>
      <c r="D11" s="10">
        <v>122495264</v>
      </c>
      <c r="E11" s="11">
        <v>122.495264</v>
      </c>
      <c r="F11" s="10">
        <v>29</v>
      </c>
      <c r="G11" s="10">
        <v>110483147</v>
      </c>
      <c r="H11" s="11">
        <v>110.483147</v>
      </c>
      <c r="I11" s="10">
        <v>222</v>
      </c>
      <c r="J11" s="11">
        <v>280.21662452973356</v>
      </c>
      <c r="K11" s="11">
        <v>513.1950355297336</v>
      </c>
      <c r="L11" s="10">
        <v>9</v>
      </c>
      <c r="M11" s="2" t="s">
        <v>80</v>
      </c>
      <c r="N11" s="10">
        <v>7</v>
      </c>
      <c r="O11" s="10">
        <v>1342302760</v>
      </c>
      <c r="P11" s="11">
        <v>1342.30276</v>
      </c>
      <c r="Q11" s="10">
        <v>2</v>
      </c>
      <c r="R11" s="10">
        <v>-28992392</v>
      </c>
      <c r="S11" s="11">
        <v>-28.992392</v>
      </c>
      <c r="T11" s="10">
        <v>2</v>
      </c>
      <c r="U11" s="11">
        <v>0.030222222222222223</v>
      </c>
      <c r="V11" s="11">
        <v>1313.340590222222</v>
      </c>
      <c r="W11" s="6"/>
    </row>
    <row x14ac:dyDescent="0.25" r="12" customHeight="1" ht="17.25">
      <c r="A12" s="10">
        <v>10</v>
      </c>
      <c r="B12" s="2" t="s">
        <v>34</v>
      </c>
      <c r="C12" s="10">
        <v>182</v>
      </c>
      <c r="D12" s="10">
        <v>140778447</v>
      </c>
      <c r="E12" s="11">
        <v>140.778447</v>
      </c>
      <c r="F12" s="10">
        <v>52</v>
      </c>
      <c r="G12" s="11">
        <v>45400725.296875</v>
      </c>
      <c r="H12" s="11">
        <v>45.400725296875</v>
      </c>
      <c r="I12" s="10">
        <v>246</v>
      </c>
      <c r="J12" s="11">
        <v>50.511319523392885</v>
      </c>
      <c r="K12" s="11">
        <v>236.69049182026788</v>
      </c>
      <c r="L12" s="10">
        <v>10</v>
      </c>
      <c r="M12" s="2" t="s">
        <v>29</v>
      </c>
      <c r="N12" s="10">
        <v>24</v>
      </c>
      <c r="O12" s="10">
        <v>722900529</v>
      </c>
      <c r="P12" s="11">
        <v>722.900529</v>
      </c>
      <c r="Q12" s="10">
        <v>30</v>
      </c>
      <c r="R12" s="11">
        <v>268087561.125</v>
      </c>
      <c r="S12" s="11">
        <v>268.087561125</v>
      </c>
      <c r="T12" s="10">
        <v>28</v>
      </c>
      <c r="U12" s="11">
        <v>18.26119323764444</v>
      </c>
      <c r="V12" s="11">
        <v>1009.2492833626444</v>
      </c>
      <c r="W12" s="6"/>
    </row>
    <row x14ac:dyDescent="0.25" r="13" customHeight="1" ht="17.25">
      <c r="A13" s="10">
        <v>11</v>
      </c>
      <c r="B13" s="2" t="s">
        <v>36</v>
      </c>
      <c r="C13" s="10">
        <v>66</v>
      </c>
      <c r="D13" s="10">
        <v>24105858</v>
      </c>
      <c r="E13" s="11">
        <v>24.105858</v>
      </c>
      <c r="F13" s="10">
        <v>11</v>
      </c>
      <c r="G13" s="10">
        <v>10888233</v>
      </c>
      <c r="H13" s="11">
        <v>10.888233</v>
      </c>
      <c r="I13" s="10">
        <v>139</v>
      </c>
      <c r="J13" s="11">
        <v>74.03411390422221</v>
      </c>
      <c r="K13" s="11">
        <v>109.0282049042222</v>
      </c>
      <c r="L13" s="10">
        <v>11</v>
      </c>
      <c r="M13" s="2" t="s">
        <v>27</v>
      </c>
      <c r="N13" s="10">
        <v>57</v>
      </c>
      <c r="O13" s="10">
        <v>220719288</v>
      </c>
      <c r="P13" s="11">
        <v>220.719288</v>
      </c>
      <c r="Q13" s="10">
        <v>41</v>
      </c>
      <c r="R13" s="10">
        <v>622753894</v>
      </c>
      <c r="S13" s="11">
        <v>622.753894</v>
      </c>
      <c r="T13" s="10">
        <v>35</v>
      </c>
      <c r="U13" s="11">
        <v>41.413495051377765</v>
      </c>
      <c r="V13" s="11">
        <v>884.8866770513778</v>
      </c>
      <c r="W13" s="6"/>
    </row>
    <row x14ac:dyDescent="0.25" r="14" customHeight="1" ht="17.25">
      <c r="A14" s="10">
        <v>12</v>
      </c>
      <c r="B14" s="2" t="s">
        <v>38</v>
      </c>
      <c r="C14" s="10">
        <v>8</v>
      </c>
      <c r="D14" s="10">
        <v>24829000</v>
      </c>
      <c r="E14" s="11">
        <v>24.829</v>
      </c>
      <c r="F14" s="10">
        <v>5</v>
      </c>
      <c r="G14" s="10">
        <v>1069500</v>
      </c>
      <c r="H14" s="11">
        <v>1.0695</v>
      </c>
      <c r="I14" s="10">
        <v>20</v>
      </c>
      <c r="J14" s="11">
        <v>22.837555517155554</v>
      </c>
      <c r="K14" s="11">
        <v>48.736055517155556</v>
      </c>
      <c r="L14" s="10">
        <v>12</v>
      </c>
      <c r="M14" s="2" t="s">
        <v>31</v>
      </c>
      <c r="N14" s="10">
        <v>69</v>
      </c>
      <c r="O14" s="10">
        <v>764901738</v>
      </c>
      <c r="P14" s="11">
        <v>764.901738</v>
      </c>
      <c r="Q14" s="10">
        <v>18</v>
      </c>
      <c r="R14" s="10">
        <v>18267070</v>
      </c>
      <c r="S14" s="11">
        <v>18.26707</v>
      </c>
      <c r="T14" s="10">
        <v>36</v>
      </c>
      <c r="U14" s="11">
        <v>72.35573257773333</v>
      </c>
      <c r="V14" s="11">
        <v>855.5245405777333</v>
      </c>
      <c r="W14" s="6"/>
    </row>
    <row x14ac:dyDescent="0.25" r="15" customHeight="1" ht="17.25">
      <c r="A15" s="10">
        <v>13</v>
      </c>
      <c r="B15" s="2" t="s">
        <v>40</v>
      </c>
      <c r="C15" s="10">
        <v>59</v>
      </c>
      <c r="D15" s="10">
        <v>60404872</v>
      </c>
      <c r="E15" s="11">
        <v>60.404872</v>
      </c>
      <c r="F15" s="10">
        <v>11</v>
      </c>
      <c r="G15" s="10">
        <v>-3223392</v>
      </c>
      <c r="H15" s="11">
        <v>-3.223392</v>
      </c>
      <c r="I15" s="10">
        <v>77</v>
      </c>
      <c r="J15" s="11">
        <v>59.57277907733332</v>
      </c>
      <c r="K15" s="11">
        <v>116.75425907733333</v>
      </c>
      <c r="L15" s="10">
        <v>13</v>
      </c>
      <c r="M15" s="2" t="s">
        <v>33</v>
      </c>
      <c r="N15" s="10">
        <v>25</v>
      </c>
      <c r="O15" s="10">
        <v>204272550</v>
      </c>
      <c r="P15" s="11">
        <v>204.27255</v>
      </c>
      <c r="Q15" s="10">
        <v>15</v>
      </c>
      <c r="R15" s="10">
        <v>242973221</v>
      </c>
      <c r="S15" s="11">
        <v>242.973221</v>
      </c>
      <c r="T15" s="10">
        <v>34</v>
      </c>
      <c r="U15" s="11">
        <v>80.23627964220447</v>
      </c>
      <c r="V15" s="11">
        <v>527.4820506422045</v>
      </c>
      <c r="W15" s="6"/>
    </row>
    <row x14ac:dyDescent="0.25" r="16" customHeight="1" ht="17.25">
      <c r="A16" s="10">
        <v>14</v>
      </c>
      <c r="B16" s="2" t="s">
        <v>42</v>
      </c>
      <c r="C16" s="10">
        <v>12</v>
      </c>
      <c r="D16" s="10">
        <v>566696325</v>
      </c>
      <c r="E16" s="11">
        <v>566.696325</v>
      </c>
      <c r="F16" s="10">
        <v>2</v>
      </c>
      <c r="G16" s="10">
        <v>1300000</v>
      </c>
      <c r="H16" s="11">
        <v>1.3</v>
      </c>
      <c r="I16" s="10">
        <v>0</v>
      </c>
      <c r="J16" s="10">
        <v>0</v>
      </c>
      <c r="K16" s="11">
        <v>567.996325</v>
      </c>
      <c r="L16" s="10">
        <v>14</v>
      </c>
      <c r="M16" s="2" t="s">
        <v>47</v>
      </c>
      <c r="N16" s="10">
        <v>37</v>
      </c>
      <c r="O16" s="10">
        <v>360638191</v>
      </c>
      <c r="P16" s="11">
        <v>360.638191</v>
      </c>
      <c r="Q16" s="10">
        <v>44</v>
      </c>
      <c r="R16" s="10">
        <v>144156323</v>
      </c>
      <c r="S16" s="11">
        <v>144.156323</v>
      </c>
      <c r="T16" s="10">
        <v>36</v>
      </c>
      <c r="U16" s="11">
        <v>16.81128308813334</v>
      </c>
      <c r="V16" s="11">
        <v>521.6057970881334</v>
      </c>
      <c r="W16" s="6"/>
    </row>
    <row x14ac:dyDescent="0.25" r="17" customHeight="1" ht="17.25">
      <c r="A17" s="10">
        <v>15</v>
      </c>
      <c r="B17" s="2" t="s">
        <v>44</v>
      </c>
      <c r="C17" s="10">
        <v>14</v>
      </c>
      <c r="D17" s="10">
        <v>162313798</v>
      </c>
      <c r="E17" s="11">
        <v>162.313798</v>
      </c>
      <c r="F17" s="10">
        <v>10</v>
      </c>
      <c r="G17" s="10">
        <v>106587979</v>
      </c>
      <c r="H17" s="11">
        <v>106.587979</v>
      </c>
      <c r="I17" s="10">
        <v>21</v>
      </c>
      <c r="J17" s="11">
        <v>118.63081956266663</v>
      </c>
      <c r="K17" s="11">
        <v>387.53259656266664</v>
      </c>
      <c r="L17" s="10">
        <v>15</v>
      </c>
      <c r="M17" s="2" t="s">
        <v>49</v>
      </c>
      <c r="N17" s="10">
        <v>24</v>
      </c>
      <c r="O17" s="10">
        <v>369908832</v>
      </c>
      <c r="P17" s="11">
        <v>369.908832</v>
      </c>
      <c r="Q17" s="10">
        <v>21</v>
      </c>
      <c r="R17" s="10">
        <v>111068512</v>
      </c>
      <c r="S17" s="11">
        <v>111.068512</v>
      </c>
      <c r="T17" s="10">
        <v>22</v>
      </c>
      <c r="U17" s="11">
        <v>30.79815233111111</v>
      </c>
      <c r="V17" s="11">
        <v>511.7754963311111</v>
      </c>
      <c r="W17" s="6"/>
    </row>
    <row x14ac:dyDescent="0.25" r="18" customHeight="1" ht="17.25">
      <c r="A18" s="10">
        <v>16</v>
      </c>
      <c r="B18" s="2" t="s">
        <v>46</v>
      </c>
      <c r="C18" s="10">
        <v>2</v>
      </c>
      <c r="D18" s="10">
        <v>1279016043</v>
      </c>
      <c r="E18" s="11">
        <v>1279.016043</v>
      </c>
      <c r="F18" s="10">
        <v>0</v>
      </c>
      <c r="G18" s="10">
        <v>0</v>
      </c>
      <c r="H18" s="10">
        <v>0</v>
      </c>
      <c r="I18" s="10">
        <v>4</v>
      </c>
      <c r="J18" s="11">
        <v>9.8836134992</v>
      </c>
      <c r="K18" s="11">
        <v>1288.8996564992</v>
      </c>
      <c r="L18" s="10">
        <v>16</v>
      </c>
      <c r="M18" s="2" t="s">
        <v>37</v>
      </c>
      <c r="N18" s="10">
        <v>97</v>
      </c>
      <c r="O18" s="10">
        <v>207805994</v>
      </c>
      <c r="P18" s="11">
        <v>207.805994</v>
      </c>
      <c r="Q18" s="10">
        <v>81</v>
      </c>
      <c r="R18" s="10">
        <v>136401080</v>
      </c>
      <c r="S18" s="11">
        <v>136.40108</v>
      </c>
      <c r="T18" s="10">
        <v>164</v>
      </c>
      <c r="U18" s="11">
        <v>166.72280505795572</v>
      </c>
      <c r="V18" s="11">
        <v>510.92987905795576</v>
      </c>
      <c r="W18" s="6"/>
    </row>
    <row x14ac:dyDescent="0.25" r="19" customHeight="1" ht="17.25">
      <c r="A19" s="10">
        <v>17</v>
      </c>
      <c r="B19" s="2" t="s">
        <v>48</v>
      </c>
      <c r="C19" s="10">
        <v>6</v>
      </c>
      <c r="D19" s="10">
        <v>18504747</v>
      </c>
      <c r="E19" s="11">
        <v>18.504747</v>
      </c>
      <c r="F19" s="10">
        <v>4</v>
      </c>
      <c r="G19" s="10">
        <v>15407480</v>
      </c>
      <c r="H19" s="11">
        <v>15.40748</v>
      </c>
      <c r="I19" s="10">
        <v>6</v>
      </c>
      <c r="J19" s="11">
        <v>3.812133333333334</v>
      </c>
      <c r="K19" s="11">
        <v>37.72436033333334</v>
      </c>
      <c r="L19" s="10">
        <v>17</v>
      </c>
      <c r="M19" s="2" t="s">
        <v>65</v>
      </c>
      <c r="N19" s="10">
        <v>7</v>
      </c>
      <c r="O19" s="10">
        <v>313839000</v>
      </c>
      <c r="P19" s="11">
        <v>313.839</v>
      </c>
      <c r="Q19" s="10">
        <v>2</v>
      </c>
      <c r="R19" s="10">
        <v>60750000</v>
      </c>
      <c r="S19" s="11">
        <v>60.75</v>
      </c>
      <c r="T19" s="10">
        <v>0</v>
      </c>
      <c r="U19" s="10">
        <v>0</v>
      </c>
      <c r="V19" s="11">
        <v>374.589</v>
      </c>
      <c r="W19" s="6"/>
    </row>
    <row x14ac:dyDescent="0.25" r="20" customHeight="1" ht="17.25">
      <c r="A20" s="10">
        <v>18</v>
      </c>
      <c r="B20" s="2" t="s">
        <v>50</v>
      </c>
      <c r="C20" s="10">
        <v>3</v>
      </c>
      <c r="D20" s="10">
        <v>176500</v>
      </c>
      <c r="E20" s="11">
        <v>0.1765</v>
      </c>
      <c r="F20" s="10">
        <v>2</v>
      </c>
      <c r="G20" s="10">
        <v>69867550</v>
      </c>
      <c r="H20" s="11">
        <v>69.86755</v>
      </c>
      <c r="I20" s="10">
        <v>32</v>
      </c>
      <c r="J20" s="11">
        <v>18.167150813111117</v>
      </c>
      <c r="K20" s="11">
        <v>88.21120081311112</v>
      </c>
      <c r="L20" s="10">
        <v>18</v>
      </c>
      <c r="M20" s="2" t="s">
        <v>39</v>
      </c>
      <c r="N20" s="10">
        <v>48</v>
      </c>
      <c r="O20" s="10">
        <v>247935844</v>
      </c>
      <c r="P20" s="11">
        <v>247.935844</v>
      </c>
      <c r="Q20" s="10">
        <v>27</v>
      </c>
      <c r="R20" s="10">
        <v>83332779</v>
      </c>
      <c r="S20" s="11">
        <v>83.332779</v>
      </c>
      <c r="T20" s="10">
        <v>37</v>
      </c>
      <c r="U20" s="11">
        <v>34.87899568968888</v>
      </c>
      <c r="V20" s="11">
        <v>366.1476186896889</v>
      </c>
      <c r="W20" s="6"/>
    </row>
    <row x14ac:dyDescent="0.25" r="21" customHeight="1" ht="17.25">
      <c r="A21" s="10">
        <v>19</v>
      </c>
      <c r="B21" s="2" t="s">
        <v>52</v>
      </c>
      <c r="C21" s="10">
        <v>1</v>
      </c>
      <c r="D21" s="10">
        <v>500000</v>
      </c>
      <c r="E21" s="11">
        <v>0.5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1">
        <v>0.5</v>
      </c>
      <c r="L21" s="10">
        <v>19</v>
      </c>
      <c r="M21" s="2" t="s">
        <v>66</v>
      </c>
      <c r="N21" s="10">
        <v>3</v>
      </c>
      <c r="O21" s="10">
        <v>265767759</v>
      </c>
      <c r="P21" s="11">
        <v>265.767759</v>
      </c>
      <c r="Q21" s="10">
        <v>0</v>
      </c>
      <c r="R21" s="10">
        <v>0</v>
      </c>
      <c r="S21" s="10">
        <v>0</v>
      </c>
      <c r="T21" s="10">
        <v>4</v>
      </c>
      <c r="U21" s="11">
        <v>0.35228568888888884</v>
      </c>
      <c r="V21" s="11">
        <v>266.1200446888889</v>
      </c>
      <c r="W21" s="6"/>
    </row>
    <row x14ac:dyDescent="0.25" r="22" customHeight="1" ht="17.25">
      <c r="A22" s="1" t="s">
        <v>54</v>
      </c>
      <c r="B22" s="2"/>
      <c r="C22" s="10">
        <v>2591</v>
      </c>
      <c r="D22" s="11">
        <v>21275893301.42</v>
      </c>
      <c r="E22" s="11">
        <v>21275.89330142</v>
      </c>
      <c r="F22" s="10">
        <v>1188</v>
      </c>
      <c r="G22" s="11">
        <v>8416842049.338282</v>
      </c>
      <c r="H22" s="11">
        <v>8416.84204933828</v>
      </c>
      <c r="I22" s="10">
        <v>5002</v>
      </c>
      <c r="J22" s="11">
        <v>6191.114552422935</v>
      </c>
      <c r="K22" s="11">
        <v>35883.84990318121</v>
      </c>
      <c r="L22" s="10">
        <v>20</v>
      </c>
      <c r="M22" s="2" t="s">
        <v>35</v>
      </c>
      <c r="N22" s="10">
        <v>18</v>
      </c>
      <c r="O22" s="10">
        <v>119108690</v>
      </c>
      <c r="P22" s="11">
        <v>119.10869</v>
      </c>
      <c r="Q22" s="10">
        <v>19</v>
      </c>
      <c r="R22" s="10">
        <v>104644243</v>
      </c>
      <c r="S22" s="11">
        <v>104.644243</v>
      </c>
      <c r="T22" s="10">
        <v>16</v>
      </c>
      <c r="U22" s="11">
        <v>20.844702517466665</v>
      </c>
      <c r="V22" s="11">
        <v>244.59763551746664</v>
      </c>
      <c r="W22" s="6"/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3"/>
      <c r="J23" s="4"/>
      <c r="K23" s="4"/>
      <c r="L23" s="10">
        <v>21</v>
      </c>
      <c r="M23" s="2" t="s">
        <v>84</v>
      </c>
      <c r="N23" s="10">
        <v>4</v>
      </c>
      <c r="O23" s="10">
        <v>237015955</v>
      </c>
      <c r="P23" s="11">
        <v>237.015955</v>
      </c>
      <c r="Q23" s="10">
        <v>0</v>
      </c>
      <c r="R23" s="10">
        <v>0</v>
      </c>
      <c r="S23" s="10">
        <v>0</v>
      </c>
      <c r="T23" s="10">
        <v>2</v>
      </c>
      <c r="U23" s="11">
        <v>1.1297777777777778</v>
      </c>
      <c r="V23" s="11">
        <v>238.14573277777777</v>
      </c>
      <c r="W23" s="6"/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3"/>
      <c r="J24" s="4"/>
      <c r="K24" s="4"/>
      <c r="L24" s="10">
        <v>22</v>
      </c>
      <c r="M24" s="2" t="s">
        <v>77</v>
      </c>
      <c r="N24" s="10">
        <v>4</v>
      </c>
      <c r="O24" s="10">
        <v>168407227</v>
      </c>
      <c r="P24" s="11">
        <v>168.407227</v>
      </c>
      <c r="Q24" s="10">
        <v>5</v>
      </c>
      <c r="R24" s="10">
        <v>43950000</v>
      </c>
      <c r="S24" s="11">
        <v>43.95</v>
      </c>
      <c r="T24" s="10">
        <v>13</v>
      </c>
      <c r="U24" s="11">
        <v>23.796619935955544</v>
      </c>
      <c r="V24" s="11">
        <v>236.15384693595556</v>
      </c>
      <c r="W24" s="6"/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3"/>
      <c r="J25" s="4"/>
      <c r="K25" s="4"/>
      <c r="L25" s="10">
        <v>23</v>
      </c>
      <c r="M25" s="2" t="s">
        <v>64</v>
      </c>
      <c r="N25" s="10">
        <v>8</v>
      </c>
      <c r="O25" s="10">
        <v>126173000</v>
      </c>
      <c r="P25" s="11">
        <v>126.173</v>
      </c>
      <c r="Q25" s="10">
        <v>4</v>
      </c>
      <c r="R25" s="10">
        <v>56096000</v>
      </c>
      <c r="S25" s="11">
        <v>56.096</v>
      </c>
      <c r="T25" s="10">
        <v>7</v>
      </c>
      <c r="U25" s="11">
        <v>51.79555555555555</v>
      </c>
      <c r="V25" s="11">
        <v>234.06455555555556</v>
      </c>
      <c r="W25" s="6"/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3"/>
      <c r="J26" s="4"/>
      <c r="K26" s="4"/>
      <c r="L26" s="10">
        <v>24</v>
      </c>
      <c r="M26" s="2" t="s">
        <v>55</v>
      </c>
      <c r="N26" s="10">
        <v>15</v>
      </c>
      <c r="O26" s="10">
        <v>153488364</v>
      </c>
      <c r="P26" s="11">
        <v>153.488364</v>
      </c>
      <c r="Q26" s="10">
        <v>16</v>
      </c>
      <c r="R26" s="10">
        <v>73716667</v>
      </c>
      <c r="S26" s="11">
        <v>73.716667</v>
      </c>
      <c r="T26" s="10">
        <v>4</v>
      </c>
      <c r="U26" s="11">
        <v>2.9471882000000003</v>
      </c>
      <c r="V26" s="11">
        <v>230.1522192</v>
      </c>
      <c r="W26" s="6"/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3"/>
      <c r="J27" s="4"/>
      <c r="K27" s="4"/>
      <c r="L27" s="10">
        <v>25</v>
      </c>
      <c r="M27" s="2" t="s">
        <v>91</v>
      </c>
      <c r="N27" s="10">
        <v>2</v>
      </c>
      <c r="O27" s="10">
        <v>56072530</v>
      </c>
      <c r="P27" s="11">
        <v>56.07253</v>
      </c>
      <c r="Q27" s="10">
        <v>0</v>
      </c>
      <c r="R27" s="10">
        <v>0</v>
      </c>
      <c r="S27" s="10">
        <v>0</v>
      </c>
      <c r="T27" s="10">
        <v>8</v>
      </c>
      <c r="U27" s="11">
        <v>155.84578222222223</v>
      </c>
      <c r="V27" s="11">
        <v>211.91831222222223</v>
      </c>
      <c r="W27" s="6"/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3"/>
      <c r="J28" s="4"/>
      <c r="K28" s="4"/>
      <c r="L28" s="10">
        <v>26</v>
      </c>
      <c r="M28" s="2" t="s">
        <v>43</v>
      </c>
      <c r="N28" s="10">
        <v>44</v>
      </c>
      <c r="O28" s="10">
        <v>108806296</v>
      </c>
      <c r="P28" s="11">
        <v>108.806296</v>
      </c>
      <c r="Q28" s="10">
        <v>7</v>
      </c>
      <c r="R28" s="10">
        <v>54100000</v>
      </c>
      <c r="S28" s="11">
        <v>54.1</v>
      </c>
      <c r="T28" s="10">
        <v>52</v>
      </c>
      <c r="U28" s="11">
        <v>40.52242449124444</v>
      </c>
      <c r="V28" s="11">
        <v>203.42872049124443</v>
      </c>
      <c r="W28" s="6"/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3"/>
      <c r="J29" s="4"/>
      <c r="K29" s="4"/>
      <c r="L29" s="10">
        <v>27</v>
      </c>
      <c r="M29" s="2" t="s">
        <v>70</v>
      </c>
      <c r="N29" s="10">
        <v>9</v>
      </c>
      <c r="O29" s="10">
        <v>117221335</v>
      </c>
      <c r="P29" s="11">
        <v>117.221335</v>
      </c>
      <c r="Q29" s="10">
        <v>4</v>
      </c>
      <c r="R29" s="10">
        <v>31702293</v>
      </c>
      <c r="S29" s="11">
        <v>31.702293</v>
      </c>
      <c r="T29" s="10">
        <v>7</v>
      </c>
      <c r="U29" s="11">
        <v>1.2519777777777779</v>
      </c>
      <c r="V29" s="11">
        <v>150.17560577777778</v>
      </c>
      <c r="W29" s="6"/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3"/>
      <c r="J30" s="4"/>
      <c r="K30" s="4"/>
      <c r="L30" s="10">
        <v>28</v>
      </c>
      <c r="M30" s="2" t="s">
        <v>51</v>
      </c>
      <c r="N30" s="10">
        <v>6</v>
      </c>
      <c r="O30" s="10">
        <v>68621019</v>
      </c>
      <c r="P30" s="11">
        <v>68.621019</v>
      </c>
      <c r="Q30" s="10">
        <v>7</v>
      </c>
      <c r="R30" s="10">
        <v>67300000</v>
      </c>
      <c r="S30" s="11">
        <v>67.3</v>
      </c>
      <c r="T30" s="10">
        <v>10</v>
      </c>
      <c r="U30" s="11">
        <v>14.129623984444446</v>
      </c>
      <c r="V30" s="11">
        <v>150.05064298444444</v>
      </c>
      <c r="W30" s="6"/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3"/>
      <c r="J31" s="4"/>
      <c r="K31" s="4"/>
      <c r="L31" s="10">
        <v>29</v>
      </c>
      <c r="M31" s="2" t="s">
        <v>69</v>
      </c>
      <c r="N31" s="10">
        <v>4</v>
      </c>
      <c r="O31" s="10">
        <v>144924200</v>
      </c>
      <c r="P31" s="11">
        <v>144.9242</v>
      </c>
      <c r="Q31" s="10">
        <v>1</v>
      </c>
      <c r="R31" s="10">
        <v>-5090000</v>
      </c>
      <c r="S31" s="11">
        <v>-5.09</v>
      </c>
      <c r="T31" s="10">
        <v>7</v>
      </c>
      <c r="U31" s="11">
        <v>3.461973333333334</v>
      </c>
      <c r="V31" s="11">
        <v>143.29617333333334</v>
      </c>
      <c r="W31" s="6"/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3"/>
      <c r="J32" s="4"/>
      <c r="K32" s="4"/>
      <c r="L32" s="10">
        <v>30</v>
      </c>
      <c r="M32" s="2" t="s">
        <v>45</v>
      </c>
      <c r="N32" s="10">
        <v>66</v>
      </c>
      <c r="O32" s="10">
        <v>115862408</v>
      </c>
      <c r="P32" s="11">
        <v>115.862408</v>
      </c>
      <c r="Q32" s="10">
        <v>6</v>
      </c>
      <c r="R32" s="10">
        <v>938566</v>
      </c>
      <c r="S32" s="11">
        <v>0.938566</v>
      </c>
      <c r="T32" s="10">
        <v>111</v>
      </c>
      <c r="U32" s="11">
        <v>25.769633608844437</v>
      </c>
      <c r="V32" s="11">
        <v>142.57060760884443</v>
      </c>
      <c r="W32" s="6"/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3"/>
      <c r="J33" s="4"/>
      <c r="K33" s="4"/>
      <c r="L33" s="10">
        <v>31</v>
      </c>
      <c r="M33" s="2" t="s">
        <v>61</v>
      </c>
      <c r="N33" s="10">
        <v>18</v>
      </c>
      <c r="O33" s="10">
        <v>112648191</v>
      </c>
      <c r="P33" s="11">
        <v>112.648191</v>
      </c>
      <c r="Q33" s="10">
        <v>4</v>
      </c>
      <c r="R33" s="10">
        <v>9500261</v>
      </c>
      <c r="S33" s="11">
        <v>9.500261</v>
      </c>
      <c r="T33" s="10">
        <v>18</v>
      </c>
      <c r="U33" s="11">
        <v>12.849209799199999</v>
      </c>
      <c r="V33" s="11">
        <v>134.9976617992</v>
      </c>
      <c r="W33" s="6"/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3"/>
      <c r="J34" s="4"/>
      <c r="K34" s="4"/>
      <c r="L34" s="10">
        <v>32</v>
      </c>
      <c r="M34" s="2" t="s">
        <v>63</v>
      </c>
      <c r="N34" s="10">
        <v>3</v>
      </c>
      <c r="O34" s="10">
        <v>55311782</v>
      </c>
      <c r="P34" s="11">
        <v>55.311782</v>
      </c>
      <c r="Q34" s="10">
        <v>5</v>
      </c>
      <c r="R34" s="10">
        <v>72411979</v>
      </c>
      <c r="S34" s="11">
        <v>72.411979</v>
      </c>
      <c r="T34" s="10">
        <v>0</v>
      </c>
      <c r="U34" s="10">
        <v>0</v>
      </c>
      <c r="V34" s="11">
        <v>127.723761</v>
      </c>
      <c r="W34" s="6"/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3"/>
      <c r="J35" s="4"/>
      <c r="K35" s="4"/>
      <c r="L35" s="10">
        <v>33</v>
      </c>
      <c r="M35" s="2" t="s">
        <v>57</v>
      </c>
      <c r="N35" s="10">
        <v>4</v>
      </c>
      <c r="O35" s="10">
        <v>123323812</v>
      </c>
      <c r="P35" s="11">
        <v>123.323812</v>
      </c>
      <c r="Q35" s="10">
        <v>0</v>
      </c>
      <c r="R35" s="10">
        <v>0</v>
      </c>
      <c r="S35" s="10">
        <v>0</v>
      </c>
      <c r="T35" s="10">
        <v>2</v>
      </c>
      <c r="U35" s="11">
        <v>0.15921940622222222</v>
      </c>
      <c r="V35" s="11">
        <v>123.48303140622222</v>
      </c>
      <c r="W35" s="6"/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3"/>
      <c r="J36" s="4"/>
      <c r="K36" s="4"/>
      <c r="L36" s="10">
        <v>34</v>
      </c>
      <c r="M36" s="2" t="s">
        <v>41</v>
      </c>
      <c r="N36" s="10">
        <v>12</v>
      </c>
      <c r="O36" s="11">
        <v>13809475.42</v>
      </c>
      <c r="P36" s="11">
        <v>13.80947542</v>
      </c>
      <c r="Q36" s="10">
        <v>17</v>
      </c>
      <c r="R36" s="10">
        <v>85102316</v>
      </c>
      <c r="S36" s="11">
        <v>85.102316</v>
      </c>
      <c r="T36" s="10">
        <v>18</v>
      </c>
      <c r="U36" s="11">
        <v>7.01478</v>
      </c>
      <c r="V36" s="11">
        <v>105.92657142</v>
      </c>
      <c r="W36" s="6"/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3"/>
      <c r="J37" s="4"/>
      <c r="K37" s="4"/>
      <c r="L37" s="10">
        <v>35</v>
      </c>
      <c r="M37" s="2" t="s">
        <v>74</v>
      </c>
      <c r="N37" s="10">
        <v>11</v>
      </c>
      <c r="O37" s="10">
        <v>96262748</v>
      </c>
      <c r="P37" s="11">
        <v>96.262748</v>
      </c>
      <c r="Q37" s="10">
        <v>7</v>
      </c>
      <c r="R37" s="10">
        <v>-4109230</v>
      </c>
      <c r="S37" s="11">
        <v>-4.10923</v>
      </c>
      <c r="T37" s="10">
        <v>10</v>
      </c>
      <c r="U37" s="11">
        <v>7.3537464018222245</v>
      </c>
      <c r="V37" s="11">
        <v>99.50726440182223</v>
      </c>
      <c r="W37" s="6"/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3"/>
      <c r="J38" s="4"/>
      <c r="K38" s="4"/>
      <c r="L38" s="10">
        <v>36</v>
      </c>
      <c r="M38" s="2" t="s">
        <v>78</v>
      </c>
      <c r="N38" s="10">
        <v>7</v>
      </c>
      <c r="O38" s="10">
        <v>16413853</v>
      </c>
      <c r="P38" s="11">
        <v>16.413853</v>
      </c>
      <c r="Q38" s="10">
        <v>2</v>
      </c>
      <c r="R38" s="10">
        <v>40549836</v>
      </c>
      <c r="S38" s="11">
        <v>40.549836</v>
      </c>
      <c r="T38" s="10">
        <v>13</v>
      </c>
      <c r="U38" s="11">
        <v>41.94322076924447</v>
      </c>
      <c r="V38" s="11">
        <v>98.90690976924446</v>
      </c>
      <c r="W38" s="6"/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3"/>
      <c r="J39" s="4"/>
      <c r="K39" s="4"/>
      <c r="L39" s="10">
        <v>37</v>
      </c>
      <c r="M39" s="2" t="s">
        <v>83</v>
      </c>
      <c r="N39" s="10">
        <v>4</v>
      </c>
      <c r="O39" s="10">
        <v>51008810</v>
      </c>
      <c r="P39" s="11">
        <v>51.00881</v>
      </c>
      <c r="Q39" s="10">
        <v>2</v>
      </c>
      <c r="R39" s="10">
        <v>1648659</v>
      </c>
      <c r="S39" s="11">
        <v>1.648659</v>
      </c>
      <c r="T39" s="10">
        <v>4</v>
      </c>
      <c r="U39" s="11">
        <v>23.806666666666672</v>
      </c>
      <c r="V39" s="11">
        <v>76.46413566666666</v>
      </c>
      <c r="W39" s="6"/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3"/>
      <c r="J40" s="4"/>
      <c r="K40" s="4"/>
      <c r="L40" s="10">
        <v>38</v>
      </c>
      <c r="M40" s="2" t="s">
        <v>79</v>
      </c>
      <c r="N40" s="10">
        <v>7</v>
      </c>
      <c r="O40" s="10">
        <v>59533333</v>
      </c>
      <c r="P40" s="11">
        <v>59.533333</v>
      </c>
      <c r="Q40" s="10">
        <v>4</v>
      </c>
      <c r="R40" s="10">
        <v>3832489</v>
      </c>
      <c r="S40" s="11">
        <v>3.832489</v>
      </c>
      <c r="T40" s="10">
        <v>40</v>
      </c>
      <c r="U40" s="11">
        <v>9.237693237155556</v>
      </c>
      <c r="V40" s="11">
        <v>72.60351523715556</v>
      </c>
      <c r="W40" s="6"/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3"/>
      <c r="J41" s="4"/>
      <c r="K41" s="4"/>
      <c r="L41" s="10">
        <v>39</v>
      </c>
      <c r="M41" s="2" t="s">
        <v>87</v>
      </c>
      <c r="N41" s="10">
        <v>2</v>
      </c>
      <c r="O41" s="10">
        <v>49500000</v>
      </c>
      <c r="P41" s="11">
        <v>49.5</v>
      </c>
      <c r="Q41" s="10">
        <v>1</v>
      </c>
      <c r="R41" s="10">
        <v>9000000</v>
      </c>
      <c r="S41" s="10">
        <v>9</v>
      </c>
      <c r="T41" s="10">
        <v>2</v>
      </c>
      <c r="U41" s="11">
        <v>1.748888888888889</v>
      </c>
      <c r="V41" s="11">
        <v>60.24888888888889</v>
      </c>
      <c r="W41" s="6"/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3"/>
      <c r="J42" s="4"/>
      <c r="K42" s="4"/>
      <c r="L42" s="10">
        <v>40</v>
      </c>
      <c r="M42" s="2" t="s">
        <v>58</v>
      </c>
      <c r="N42" s="10">
        <v>7</v>
      </c>
      <c r="O42" s="10">
        <v>52323922</v>
      </c>
      <c r="P42" s="11">
        <v>52.323922</v>
      </c>
      <c r="Q42" s="10">
        <v>3</v>
      </c>
      <c r="R42" s="10">
        <v>3731000</v>
      </c>
      <c r="S42" s="11">
        <v>3.731</v>
      </c>
      <c r="T42" s="10">
        <v>13</v>
      </c>
      <c r="U42" s="11">
        <v>3.6928476444444445</v>
      </c>
      <c r="V42" s="11">
        <v>59.747769644444446</v>
      </c>
      <c r="W42" s="6"/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3"/>
      <c r="J43" s="4"/>
      <c r="K43" s="4"/>
      <c r="L43" s="10">
        <v>41</v>
      </c>
      <c r="M43" s="2" t="s">
        <v>97</v>
      </c>
      <c r="N43" s="10">
        <v>4</v>
      </c>
      <c r="O43" s="10">
        <v>28616000</v>
      </c>
      <c r="P43" s="11">
        <v>28.616</v>
      </c>
      <c r="Q43" s="10">
        <v>1</v>
      </c>
      <c r="R43" s="10">
        <v>10000000</v>
      </c>
      <c r="S43" s="10">
        <v>10</v>
      </c>
      <c r="T43" s="10">
        <v>2</v>
      </c>
      <c r="U43" s="11">
        <v>0.10602462222222223</v>
      </c>
      <c r="V43" s="11">
        <v>38.72202462222222</v>
      </c>
      <c r="W43" s="6"/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3"/>
      <c r="J44" s="4"/>
      <c r="K44" s="4"/>
      <c r="L44" s="10">
        <v>42</v>
      </c>
      <c r="M44" s="2" t="s">
        <v>62</v>
      </c>
      <c r="N44" s="10">
        <v>6</v>
      </c>
      <c r="O44" s="10">
        <v>12554720</v>
      </c>
      <c r="P44" s="11">
        <v>12.55472</v>
      </c>
      <c r="Q44" s="10">
        <v>3</v>
      </c>
      <c r="R44" s="10">
        <v>10900000</v>
      </c>
      <c r="S44" s="11">
        <v>10.9</v>
      </c>
      <c r="T44" s="10">
        <v>9</v>
      </c>
      <c r="U44" s="11">
        <v>6.934719632533333</v>
      </c>
      <c r="V44" s="11">
        <v>30.389439632533335</v>
      </c>
      <c r="W44" s="6"/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3"/>
      <c r="J45" s="4"/>
      <c r="K45" s="4"/>
      <c r="L45" s="10">
        <v>43</v>
      </c>
      <c r="M45" s="2" t="s">
        <v>73</v>
      </c>
      <c r="N45" s="10">
        <v>4</v>
      </c>
      <c r="O45" s="10">
        <v>8403809</v>
      </c>
      <c r="P45" s="11">
        <v>8.403809</v>
      </c>
      <c r="Q45" s="10">
        <v>1</v>
      </c>
      <c r="R45" s="10">
        <v>5623275</v>
      </c>
      <c r="S45" s="11">
        <v>5.623275</v>
      </c>
      <c r="T45" s="10">
        <v>12</v>
      </c>
      <c r="U45" s="11">
        <v>12.853773887057777</v>
      </c>
      <c r="V45" s="11">
        <v>26.88085788705778</v>
      </c>
      <c r="W45" s="6"/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3"/>
      <c r="J46" s="4"/>
      <c r="K46" s="4"/>
      <c r="L46" s="10">
        <v>44</v>
      </c>
      <c r="M46" s="2" t="s">
        <v>94</v>
      </c>
      <c r="N46" s="10">
        <v>1</v>
      </c>
      <c r="O46" s="10">
        <v>23479000</v>
      </c>
      <c r="P46" s="11">
        <v>23.479</v>
      </c>
      <c r="Q46" s="10">
        <v>0</v>
      </c>
      <c r="R46" s="10">
        <v>0</v>
      </c>
      <c r="S46" s="10">
        <v>0</v>
      </c>
      <c r="T46" s="10">
        <v>1</v>
      </c>
      <c r="U46" s="11">
        <v>0.1367026798222222</v>
      </c>
      <c r="V46" s="11">
        <v>23.61570267982222</v>
      </c>
      <c r="W46" s="6"/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3"/>
      <c r="J47" s="4"/>
      <c r="K47" s="4"/>
      <c r="L47" s="10">
        <v>45</v>
      </c>
      <c r="M47" s="2" t="s">
        <v>71</v>
      </c>
      <c r="N47" s="10">
        <v>2</v>
      </c>
      <c r="O47" s="10">
        <v>32411000</v>
      </c>
      <c r="P47" s="11">
        <v>32.411</v>
      </c>
      <c r="Q47" s="10">
        <v>1</v>
      </c>
      <c r="R47" s="10">
        <v>-11428000</v>
      </c>
      <c r="S47" s="11">
        <v>-11.428</v>
      </c>
      <c r="T47" s="10">
        <v>1</v>
      </c>
      <c r="U47" s="10">
        <v>0</v>
      </c>
      <c r="V47" s="11">
        <v>20.983</v>
      </c>
      <c r="W47" s="6"/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3"/>
      <c r="J48" s="4"/>
      <c r="K48" s="4"/>
      <c r="L48" s="10">
        <v>46</v>
      </c>
      <c r="M48" s="2" t="s">
        <v>68</v>
      </c>
      <c r="N48" s="10">
        <v>1</v>
      </c>
      <c r="O48" s="10">
        <v>20000000</v>
      </c>
      <c r="P48" s="10">
        <v>20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20</v>
      </c>
      <c r="W48" s="6"/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3"/>
      <c r="J49" s="4"/>
      <c r="K49" s="4"/>
      <c r="L49" s="10">
        <v>47</v>
      </c>
      <c r="M49" s="2" t="s">
        <v>90</v>
      </c>
      <c r="N49" s="10">
        <v>2</v>
      </c>
      <c r="O49" s="10">
        <v>8145000</v>
      </c>
      <c r="P49" s="11">
        <v>8.145</v>
      </c>
      <c r="Q49" s="10">
        <v>2</v>
      </c>
      <c r="R49" s="10">
        <v>3632000</v>
      </c>
      <c r="S49" s="11">
        <v>3.632</v>
      </c>
      <c r="T49" s="10">
        <v>3</v>
      </c>
      <c r="U49" s="11">
        <v>6.571827777777778</v>
      </c>
      <c r="V49" s="11">
        <v>18.348827777777778</v>
      </c>
      <c r="W49" s="6"/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3"/>
      <c r="J50" s="4"/>
      <c r="K50" s="4"/>
      <c r="L50" s="10">
        <v>48</v>
      </c>
      <c r="M50" s="2" t="s">
        <v>93</v>
      </c>
      <c r="N50" s="10">
        <v>2</v>
      </c>
      <c r="O50" s="10">
        <v>13830000</v>
      </c>
      <c r="P50" s="11">
        <v>13.83</v>
      </c>
      <c r="Q50" s="10">
        <v>1</v>
      </c>
      <c r="R50" s="10">
        <v>300000</v>
      </c>
      <c r="S50" s="11">
        <v>0.3</v>
      </c>
      <c r="T50" s="10">
        <v>1</v>
      </c>
      <c r="U50" s="11">
        <v>1.0068888888888887</v>
      </c>
      <c r="V50" s="11">
        <v>15.13688888888889</v>
      </c>
      <c r="W50" s="6"/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3"/>
      <c r="J51" s="4"/>
      <c r="K51" s="4"/>
      <c r="L51" s="10">
        <v>49</v>
      </c>
      <c r="M51" s="2" t="s">
        <v>95</v>
      </c>
      <c r="N51" s="10">
        <v>1</v>
      </c>
      <c r="O51" s="10">
        <v>10000000</v>
      </c>
      <c r="P51" s="10">
        <v>10</v>
      </c>
      <c r="Q51" s="10">
        <v>1</v>
      </c>
      <c r="R51" s="10">
        <v>-2100000</v>
      </c>
      <c r="S51" s="11">
        <v>-2.1</v>
      </c>
      <c r="T51" s="10">
        <v>1</v>
      </c>
      <c r="U51" s="11">
        <v>0.26666666666666666</v>
      </c>
      <c r="V51" s="11">
        <v>8.166666666666668</v>
      </c>
      <c r="W51" s="6"/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3"/>
      <c r="J52" s="4"/>
      <c r="K52" s="4"/>
      <c r="L52" s="10">
        <v>50</v>
      </c>
      <c r="M52" s="2" t="s">
        <v>75</v>
      </c>
      <c r="N52" s="10">
        <v>1</v>
      </c>
      <c r="O52" s="10">
        <v>197345</v>
      </c>
      <c r="P52" s="11">
        <v>0.197345</v>
      </c>
      <c r="Q52" s="10">
        <v>0</v>
      </c>
      <c r="R52" s="10">
        <v>0</v>
      </c>
      <c r="S52" s="10">
        <v>0</v>
      </c>
      <c r="T52" s="10">
        <v>4</v>
      </c>
      <c r="U52" s="11">
        <v>7.730753017377778</v>
      </c>
      <c r="V52" s="11">
        <v>7.928098017377779</v>
      </c>
      <c r="W52" s="6"/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3"/>
      <c r="J53" s="4"/>
      <c r="K53" s="4"/>
      <c r="L53" s="10">
        <v>51</v>
      </c>
      <c r="M53" s="2" t="s">
        <v>56</v>
      </c>
      <c r="N53" s="10">
        <v>5</v>
      </c>
      <c r="O53" s="10">
        <v>1620545</v>
      </c>
      <c r="P53" s="11">
        <v>1.620545</v>
      </c>
      <c r="Q53" s="10">
        <v>0</v>
      </c>
      <c r="R53" s="10">
        <v>0</v>
      </c>
      <c r="S53" s="10">
        <v>0</v>
      </c>
      <c r="T53" s="10">
        <v>8</v>
      </c>
      <c r="U53" s="11">
        <v>4.891864351111111</v>
      </c>
      <c r="V53" s="11">
        <v>6.512409351111111</v>
      </c>
      <c r="W53" s="6"/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3"/>
      <c r="J54" s="4"/>
      <c r="K54" s="4"/>
      <c r="L54" s="10">
        <v>52</v>
      </c>
      <c r="M54" s="2" t="s">
        <v>89</v>
      </c>
      <c r="N54" s="10">
        <v>1</v>
      </c>
      <c r="O54" s="10">
        <v>3000000</v>
      </c>
      <c r="P54" s="10">
        <v>3</v>
      </c>
      <c r="Q54" s="10">
        <v>0</v>
      </c>
      <c r="R54" s="10">
        <v>0</v>
      </c>
      <c r="S54" s="10">
        <v>0</v>
      </c>
      <c r="T54" s="10">
        <v>1</v>
      </c>
      <c r="U54" s="11">
        <v>2.8</v>
      </c>
      <c r="V54" s="11">
        <v>5.8</v>
      </c>
      <c r="W54" s="6"/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3"/>
      <c r="J55" s="4"/>
      <c r="K55" s="4"/>
      <c r="L55" s="10">
        <v>53</v>
      </c>
      <c r="M55" s="2" t="s">
        <v>92</v>
      </c>
      <c r="N55" s="10">
        <v>3</v>
      </c>
      <c r="O55" s="10">
        <v>4516000</v>
      </c>
      <c r="P55" s="11">
        <v>4.516</v>
      </c>
      <c r="Q55" s="10">
        <v>0</v>
      </c>
      <c r="R55" s="10">
        <v>0</v>
      </c>
      <c r="S55" s="10">
        <v>0</v>
      </c>
      <c r="T55" s="10">
        <v>2</v>
      </c>
      <c r="U55" s="11">
        <v>0.45093333333333335</v>
      </c>
      <c r="V55" s="11">
        <v>4.966933333333333</v>
      </c>
      <c r="W55" s="6"/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3"/>
      <c r="J56" s="4"/>
      <c r="K56" s="4"/>
      <c r="L56" s="10">
        <v>54</v>
      </c>
      <c r="M56" s="2" t="s">
        <v>81</v>
      </c>
      <c r="N56" s="10">
        <v>0</v>
      </c>
      <c r="O56" s="10">
        <v>0</v>
      </c>
      <c r="P56" s="10">
        <v>0</v>
      </c>
      <c r="Q56" s="10">
        <v>1</v>
      </c>
      <c r="R56" s="10">
        <v>4000000</v>
      </c>
      <c r="S56" s="10">
        <v>4</v>
      </c>
      <c r="T56" s="10">
        <v>0</v>
      </c>
      <c r="U56" s="10">
        <v>0</v>
      </c>
      <c r="V56" s="10">
        <v>4</v>
      </c>
      <c r="W56" s="6"/>
    </row>
    <row x14ac:dyDescent="0.25" r="57" customHeight="1" ht="17.25">
      <c r="A57" s="3"/>
      <c r="B57" s="2"/>
      <c r="C57" s="3"/>
      <c r="D57" s="4"/>
      <c r="E57" s="4"/>
      <c r="F57" s="3"/>
      <c r="G57" s="4"/>
      <c r="H57" s="4"/>
      <c r="I57" s="3"/>
      <c r="J57" s="4"/>
      <c r="K57" s="4"/>
      <c r="L57" s="10">
        <v>55</v>
      </c>
      <c r="M57" s="2" t="s">
        <v>88</v>
      </c>
      <c r="N57" s="10">
        <v>1</v>
      </c>
      <c r="O57" s="10">
        <v>2200000</v>
      </c>
      <c r="P57" s="11">
        <v>2.2</v>
      </c>
      <c r="Q57" s="10">
        <v>0</v>
      </c>
      <c r="R57" s="10">
        <v>0</v>
      </c>
      <c r="S57" s="10">
        <v>0</v>
      </c>
      <c r="T57" s="10">
        <v>3</v>
      </c>
      <c r="U57" s="11">
        <v>1.21</v>
      </c>
      <c r="V57" s="11">
        <v>3.41</v>
      </c>
      <c r="W57" s="6"/>
    </row>
    <row x14ac:dyDescent="0.25" r="58" customHeight="1" ht="17.25">
      <c r="A58" s="3"/>
      <c r="B58" s="2"/>
      <c r="C58" s="3"/>
      <c r="D58" s="4"/>
      <c r="E58" s="4"/>
      <c r="F58" s="3"/>
      <c r="G58" s="4"/>
      <c r="H58" s="4"/>
      <c r="I58" s="3"/>
      <c r="J58" s="4"/>
      <c r="K58" s="4"/>
      <c r="L58" s="10">
        <v>56</v>
      </c>
      <c r="M58" s="2" t="s">
        <v>82</v>
      </c>
      <c r="N58" s="10">
        <v>1</v>
      </c>
      <c r="O58" s="10">
        <v>2800000</v>
      </c>
      <c r="P58" s="11">
        <v>2.8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1">
        <v>2.8</v>
      </c>
      <c r="W58" s="6"/>
    </row>
    <row x14ac:dyDescent="0.25" r="59" customHeight="1" ht="17.25">
      <c r="A59" s="3"/>
      <c r="B59" s="2"/>
      <c r="C59" s="3"/>
      <c r="D59" s="4"/>
      <c r="E59" s="4"/>
      <c r="F59" s="3"/>
      <c r="G59" s="4"/>
      <c r="H59" s="4"/>
      <c r="I59" s="3"/>
      <c r="J59" s="4"/>
      <c r="K59" s="4"/>
      <c r="L59" s="10">
        <v>57</v>
      </c>
      <c r="M59" s="2" t="s">
        <v>59</v>
      </c>
      <c r="N59" s="10">
        <v>3</v>
      </c>
      <c r="O59" s="10">
        <v>1630000</v>
      </c>
      <c r="P59" s="11">
        <v>1.63</v>
      </c>
      <c r="Q59" s="10">
        <v>1</v>
      </c>
      <c r="R59" s="10">
        <v>370000</v>
      </c>
      <c r="S59" s="11">
        <v>0.37</v>
      </c>
      <c r="T59" s="10">
        <v>2</v>
      </c>
      <c r="U59" s="11">
        <v>0.6433690622222222</v>
      </c>
      <c r="V59" s="11">
        <v>2.6433690622222223</v>
      </c>
      <c r="W59" s="6"/>
    </row>
    <row x14ac:dyDescent="0.25" r="60" customHeight="1" ht="17.25">
      <c r="A60" s="3"/>
      <c r="B60" s="2"/>
      <c r="C60" s="3"/>
      <c r="D60" s="4"/>
      <c r="E60" s="4"/>
      <c r="F60" s="3"/>
      <c r="G60" s="4"/>
      <c r="H60" s="4"/>
      <c r="I60" s="3"/>
      <c r="J60" s="4"/>
      <c r="K60" s="4"/>
      <c r="L60" s="10">
        <v>58</v>
      </c>
      <c r="M60" s="2" t="s">
        <v>85</v>
      </c>
      <c r="N60" s="10">
        <v>1</v>
      </c>
      <c r="O60" s="10">
        <v>445494</v>
      </c>
      <c r="P60" s="11">
        <v>0.445494</v>
      </c>
      <c r="Q60" s="10">
        <v>1</v>
      </c>
      <c r="R60" s="10">
        <v>402955</v>
      </c>
      <c r="S60" s="11">
        <v>0.402955</v>
      </c>
      <c r="T60" s="10">
        <v>1</v>
      </c>
      <c r="U60" s="11">
        <v>0.24888888888888888</v>
      </c>
      <c r="V60" s="11">
        <v>1.097337888888889</v>
      </c>
      <c r="W60" s="6"/>
    </row>
    <row x14ac:dyDescent="0.25" r="61" customHeight="1" ht="17.25">
      <c r="A61" s="3"/>
      <c r="B61" s="2"/>
      <c r="C61" s="3"/>
      <c r="D61" s="4"/>
      <c r="E61" s="4"/>
      <c r="F61" s="3"/>
      <c r="G61" s="4"/>
      <c r="H61" s="4"/>
      <c r="I61" s="3"/>
      <c r="J61" s="4"/>
      <c r="K61" s="4"/>
      <c r="L61" s="10">
        <v>59</v>
      </c>
      <c r="M61" s="2" t="s">
        <v>72</v>
      </c>
      <c r="N61" s="10">
        <v>2</v>
      </c>
      <c r="O61" s="10">
        <v>917456</v>
      </c>
      <c r="P61" s="11">
        <v>0.917456</v>
      </c>
      <c r="Q61" s="10">
        <v>0</v>
      </c>
      <c r="R61" s="10">
        <v>0</v>
      </c>
      <c r="S61" s="10">
        <v>0</v>
      </c>
      <c r="T61" s="10">
        <v>1</v>
      </c>
      <c r="U61" s="11">
        <v>0.02666666666666667</v>
      </c>
      <c r="V61" s="11">
        <v>0.9441226666666667</v>
      </c>
      <c r="W61" s="6"/>
    </row>
    <row x14ac:dyDescent="0.25" r="62" customHeight="1" ht="17.25">
      <c r="A62" s="3"/>
      <c r="B62" s="2"/>
      <c r="C62" s="3"/>
      <c r="D62" s="4"/>
      <c r="E62" s="4"/>
      <c r="F62" s="3"/>
      <c r="G62" s="4"/>
      <c r="H62" s="4"/>
      <c r="I62" s="3"/>
      <c r="J62" s="4"/>
      <c r="K62" s="4"/>
      <c r="L62" s="1" t="s">
        <v>54</v>
      </c>
      <c r="M62" s="2"/>
      <c r="N62" s="10">
        <v>2591</v>
      </c>
      <c r="O62" s="11">
        <v>21275893301.42</v>
      </c>
      <c r="P62" s="11">
        <v>21275.89330142</v>
      </c>
      <c r="Q62" s="10">
        <v>1188</v>
      </c>
      <c r="R62" s="11">
        <v>8416842049.338282</v>
      </c>
      <c r="S62" s="11">
        <v>8416.84204933828</v>
      </c>
      <c r="T62" s="10">
        <v>5002</v>
      </c>
      <c r="U62" s="11">
        <v>6191.114531978546</v>
      </c>
      <c r="V62" s="11">
        <v>35883.84988273686</v>
      </c>
      <c r="W62" s="10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5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4" width="22.290714285714284" customWidth="1" bestFit="1"/>
    <col min="5" max="5" style="14" width="26.290714285714284" customWidth="1" bestFit="1"/>
    <col min="6" max="6" style="12" width="18.290714285714284" customWidth="1" bestFit="1"/>
    <col min="7" max="7" style="14" width="23.719285714285714" customWidth="1" bestFit="1"/>
    <col min="8" max="8" style="14" width="27.719285714285714" customWidth="1" bestFit="1"/>
    <col min="9" max="9" style="12" width="23.719285714285714" customWidth="1" bestFit="1"/>
    <col min="10" max="10" style="14" width="32.71928571428572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2" width="14.576428571428572" customWidth="1" bestFit="1"/>
    <col min="15" max="15" style="14" width="22.290714285714284" customWidth="1" bestFit="1"/>
    <col min="16" max="16" style="14" width="26.290714285714284" customWidth="1" bestFit="1"/>
    <col min="17" max="17" style="12" width="18.290714285714284" customWidth="1" bestFit="1"/>
    <col min="18" max="18" style="14" width="23.719285714285714" customWidth="1" bestFit="1"/>
    <col min="19" max="19" style="14" width="27.719285714285714" customWidth="1" bestFit="1"/>
    <col min="20" max="20" style="12" width="23.719285714285714" customWidth="1" bestFit="1"/>
    <col min="21" max="21" style="14" width="32.71928571428572" customWidth="1" bestFit="1"/>
    <col min="22" max="22" style="14" width="51.57642857142857" customWidth="1" bestFit="1"/>
    <col min="23" max="23" style="12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1" t="s">
        <v>4</v>
      </c>
      <c r="J1" s="4"/>
      <c r="K1" s="4"/>
      <c r="L1" s="3"/>
      <c r="M1" s="2"/>
      <c r="N1" s="1" t="s">
        <v>2</v>
      </c>
      <c r="O1" s="4"/>
      <c r="P1" s="4"/>
      <c r="Q1" s="1" t="s">
        <v>3</v>
      </c>
      <c r="R1" s="4"/>
      <c r="S1" s="4"/>
      <c r="T1" s="1" t="s">
        <v>4</v>
      </c>
      <c r="U1" s="4"/>
      <c r="V1" s="9" t="s">
        <v>5</v>
      </c>
      <c r="W1" s="3"/>
    </row>
    <row x14ac:dyDescent="0.25" r="2" customHeight="1" ht="17.25">
      <c r="A2" s="3"/>
      <c r="B2" s="2"/>
      <c r="C2" s="1" t="s">
        <v>6</v>
      </c>
      <c r="D2" s="9" t="s">
        <v>7</v>
      </c>
      <c r="E2" s="9" t="s">
        <v>8</v>
      </c>
      <c r="F2" s="1" t="s">
        <v>9</v>
      </c>
      <c r="G2" s="9" t="s">
        <v>10</v>
      </c>
      <c r="H2" s="9" t="s">
        <v>11</v>
      </c>
      <c r="I2" s="1" t="s">
        <v>12</v>
      </c>
      <c r="J2" s="9" t="s">
        <v>13</v>
      </c>
      <c r="K2" s="9" t="s">
        <v>5</v>
      </c>
      <c r="L2" s="1" t="s">
        <v>0</v>
      </c>
      <c r="M2" s="2" t="s">
        <v>14</v>
      </c>
      <c r="N2" s="1" t="s">
        <v>6</v>
      </c>
      <c r="O2" s="9" t="s">
        <v>7</v>
      </c>
      <c r="P2" s="9" t="s">
        <v>8</v>
      </c>
      <c r="Q2" s="1" t="s">
        <v>9</v>
      </c>
      <c r="R2" s="9" t="s">
        <v>10</v>
      </c>
      <c r="S2" s="9" t="s">
        <v>11</v>
      </c>
      <c r="T2" s="1" t="s">
        <v>12</v>
      </c>
      <c r="U2" s="9" t="s">
        <v>13</v>
      </c>
      <c r="V2" s="9" t="s">
        <v>5</v>
      </c>
      <c r="W2" s="3"/>
    </row>
    <row x14ac:dyDescent="0.25" r="3" customHeight="1" ht="17.25">
      <c r="A3" s="10">
        <v>1</v>
      </c>
      <c r="B3" s="2" t="s">
        <v>15</v>
      </c>
      <c r="C3" s="10">
        <v>1065</v>
      </c>
      <c r="D3" s="11">
        <v>9067458901.36</v>
      </c>
      <c r="E3" s="11">
        <v>9067.45890136</v>
      </c>
      <c r="F3" s="10">
        <v>743</v>
      </c>
      <c r="G3" s="11">
        <v>5093781230.561055</v>
      </c>
      <c r="H3" s="11">
        <v>5093.781230561055</v>
      </c>
      <c r="I3" s="10">
        <v>1528</v>
      </c>
      <c r="J3" s="11">
        <v>2426.798385766391</v>
      </c>
      <c r="K3" s="11">
        <v>16588.038517687448</v>
      </c>
      <c r="L3" s="10">
        <v>1</v>
      </c>
      <c r="M3" s="2" t="s">
        <v>17</v>
      </c>
      <c r="N3" s="10">
        <v>622</v>
      </c>
      <c r="O3" s="10">
        <v>5041052588</v>
      </c>
      <c r="P3" s="11">
        <v>5041.052588</v>
      </c>
      <c r="Q3" s="10">
        <v>167</v>
      </c>
      <c r="R3" s="10">
        <v>775133566</v>
      </c>
      <c r="S3" s="11">
        <v>775.133566</v>
      </c>
      <c r="T3" s="10">
        <v>803</v>
      </c>
      <c r="U3" s="11">
        <v>1703.1276567214888</v>
      </c>
      <c r="V3" s="11">
        <v>7519.313810721488</v>
      </c>
      <c r="W3" s="3"/>
    </row>
    <row x14ac:dyDescent="0.25" r="4" customHeight="1" ht="17.25">
      <c r="A4" s="10">
        <v>2</v>
      </c>
      <c r="B4" s="2" t="s">
        <v>18</v>
      </c>
      <c r="C4" s="10">
        <v>19</v>
      </c>
      <c r="D4" s="10">
        <v>1631330648</v>
      </c>
      <c r="E4" s="11">
        <v>1631.330648</v>
      </c>
      <c r="F4" s="10">
        <v>2</v>
      </c>
      <c r="G4" s="10">
        <v>-3651078</v>
      </c>
      <c r="H4" s="11">
        <v>-3.651078</v>
      </c>
      <c r="I4" s="10">
        <v>0</v>
      </c>
      <c r="J4" s="10">
        <v>0</v>
      </c>
      <c r="K4" s="11">
        <v>1627.67957</v>
      </c>
      <c r="L4" s="10">
        <v>2</v>
      </c>
      <c r="M4" s="2" t="s">
        <v>19</v>
      </c>
      <c r="N4" s="10">
        <v>1029</v>
      </c>
      <c r="O4" s="11">
        <v>784811386.36</v>
      </c>
      <c r="P4" s="11">
        <v>784.81138636</v>
      </c>
      <c r="Q4" s="10">
        <v>254</v>
      </c>
      <c r="R4" s="10">
        <v>170723791</v>
      </c>
      <c r="S4" s="11">
        <v>170.723791</v>
      </c>
      <c r="T4" s="10">
        <v>3710</v>
      </c>
      <c r="U4" s="11">
        <v>4993.111259431714</v>
      </c>
      <c r="V4" s="11">
        <v>5948.646436791714</v>
      </c>
      <c r="W4" s="3"/>
    </row>
    <row x14ac:dyDescent="0.25" r="5" customHeight="1" ht="17.25">
      <c r="A5" s="10">
        <v>3</v>
      </c>
      <c r="B5" s="2" t="s">
        <v>20</v>
      </c>
      <c r="C5" s="10">
        <v>92</v>
      </c>
      <c r="D5" s="10">
        <v>5216777980</v>
      </c>
      <c r="E5" s="11">
        <v>5216.77798</v>
      </c>
      <c r="F5" s="10">
        <v>31</v>
      </c>
      <c r="G5" s="10">
        <v>727437252</v>
      </c>
      <c r="H5" s="11">
        <v>727.437252</v>
      </c>
      <c r="I5" s="10">
        <v>147</v>
      </c>
      <c r="J5" s="11">
        <v>671.1097067625826</v>
      </c>
      <c r="K5" s="11">
        <v>6615.324938762582</v>
      </c>
      <c r="L5" s="10">
        <v>3</v>
      </c>
      <c r="M5" s="2" t="s">
        <v>27</v>
      </c>
      <c r="N5" s="10">
        <v>111</v>
      </c>
      <c r="O5" s="10">
        <v>723844601</v>
      </c>
      <c r="P5" s="11">
        <v>723.844601</v>
      </c>
      <c r="Q5" s="10">
        <v>50</v>
      </c>
      <c r="R5" s="10">
        <v>1829642359</v>
      </c>
      <c r="S5" s="11">
        <v>1829.642359</v>
      </c>
      <c r="T5" s="10">
        <v>57</v>
      </c>
      <c r="U5" s="11">
        <v>540.0050670535918</v>
      </c>
      <c r="V5" s="11">
        <v>3093.492027053592</v>
      </c>
      <c r="W5" s="3"/>
    </row>
    <row x14ac:dyDescent="0.25" r="6" customHeight="1" ht="17.25">
      <c r="A6" s="10">
        <v>4</v>
      </c>
      <c r="B6" s="2" t="s">
        <v>22</v>
      </c>
      <c r="C6" s="10">
        <v>114</v>
      </c>
      <c r="D6" s="10">
        <v>217669265</v>
      </c>
      <c r="E6" s="11">
        <v>217.669265</v>
      </c>
      <c r="F6" s="10">
        <v>38</v>
      </c>
      <c r="G6" s="10">
        <v>26743485</v>
      </c>
      <c r="H6" s="11">
        <v>26.743485</v>
      </c>
      <c r="I6" s="10">
        <v>255</v>
      </c>
      <c r="J6" s="11">
        <v>938.6606201189317</v>
      </c>
      <c r="K6" s="11">
        <v>1183.0733701189317</v>
      </c>
      <c r="L6" s="10">
        <v>4</v>
      </c>
      <c r="M6" s="2" t="s">
        <v>21</v>
      </c>
      <c r="N6" s="10">
        <v>215</v>
      </c>
      <c r="O6" s="10">
        <v>1216584859</v>
      </c>
      <c r="P6" s="11">
        <v>1216.584859</v>
      </c>
      <c r="Q6" s="10">
        <v>135</v>
      </c>
      <c r="R6" s="11">
        <v>548371823.84</v>
      </c>
      <c r="S6" s="11">
        <v>548.37182384</v>
      </c>
      <c r="T6" s="10">
        <v>492</v>
      </c>
      <c r="U6" s="11">
        <v>562.2035238379939</v>
      </c>
      <c r="V6" s="11">
        <v>2327.160206677994</v>
      </c>
      <c r="W6" s="3"/>
    </row>
    <row x14ac:dyDescent="0.25" r="7" customHeight="1" ht="17.25">
      <c r="A7" s="10">
        <v>5</v>
      </c>
      <c r="B7" s="2" t="s">
        <v>24</v>
      </c>
      <c r="C7" s="10">
        <v>757</v>
      </c>
      <c r="D7" s="10">
        <v>704533419</v>
      </c>
      <c r="E7" s="11">
        <v>704.533419</v>
      </c>
      <c r="F7" s="10">
        <v>119</v>
      </c>
      <c r="G7" s="10">
        <v>105263028</v>
      </c>
      <c r="H7" s="11">
        <v>105.263028</v>
      </c>
      <c r="I7" s="10">
        <v>2829</v>
      </c>
      <c r="J7" s="11">
        <v>2863.1118280000023</v>
      </c>
      <c r="K7" s="11">
        <v>3672.9082750000025</v>
      </c>
      <c r="L7" s="10">
        <v>5</v>
      </c>
      <c r="M7" s="2" t="s">
        <v>33</v>
      </c>
      <c r="N7" s="10">
        <v>45</v>
      </c>
      <c r="O7" s="10">
        <v>1803512051</v>
      </c>
      <c r="P7" s="11">
        <v>1803.512051</v>
      </c>
      <c r="Q7" s="10">
        <v>25</v>
      </c>
      <c r="R7" s="10">
        <v>148429004</v>
      </c>
      <c r="S7" s="11">
        <v>148.429004</v>
      </c>
      <c r="T7" s="10">
        <v>60</v>
      </c>
      <c r="U7" s="11">
        <v>162.73866982821247</v>
      </c>
      <c r="V7" s="11">
        <v>2114.6797248282123</v>
      </c>
      <c r="W7" s="3"/>
    </row>
    <row x14ac:dyDescent="0.25" r="8" customHeight="1" ht="17.25">
      <c r="A8" s="10">
        <v>6</v>
      </c>
      <c r="B8" s="2" t="s">
        <v>26</v>
      </c>
      <c r="C8" s="10">
        <v>11</v>
      </c>
      <c r="D8" s="10">
        <v>71154916</v>
      </c>
      <c r="E8" s="11">
        <v>71.154916</v>
      </c>
      <c r="F8" s="10">
        <v>14</v>
      </c>
      <c r="G8" s="10">
        <v>61160616</v>
      </c>
      <c r="H8" s="11">
        <v>61.160616</v>
      </c>
      <c r="I8" s="10">
        <v>28</v>
      </c>
      <c r="J8" s="11">
        <v>8.532277967504786</v>
      </c>
      <c r="K8" s="11">
        <v>140.8478099675048</v>
      </c>
      <c r="L8" s="10">
        <v>6</v>
      </c>
      <c r="M8" s="2" t="s">
        <v>23</v>
      </c>
      <c r="N8" s="10">
        <v>125</v>
      </c>
      <c r="O8" s="10">
        <v>988993579</v>
      </c>
      <c r="P8" s="11">
        <v>988.993579</v>
      </c>
      <c r="Q8" s="10">
        <v>21</v>
      </c>
      <c r="R8" s="10">
        <v>63211621</v>
      </c>
      <c r="S8" s="11">
        <v>63.211621</v>
      </c>
      <c r="T8" s="10">
        <v>211</v>
      </c>
      <c r="U8" s="11">
        <v>403.3742113074915</v>
      </c>
      <c r="V8" s="11">
        <v>1455.5794113074915</v>
      </c>
      <c r="W8" s="3"/>
    </row>
    <row x14ac:dyDescent="0.25" r="9" customHeight="1" ht="17.25">
      <c r="A9" s="10">
        <v>7</v>
      </c>
      <c r="B9" s="2" t="s">
        <v>28</v>
      </c>
      <c r="C9" s="10">
        <v>386</v>
      </c>
      <c r="D9" s="10">
        <v>183365170</v>
      </c>
      <c r="E9" s="11">
        <v>183.36517</v>
      </c>
      <c r="F9" s="10">
        <v>88</v>
      </c>
      <c r="G9" s="10">
        <v>144045329</v>
      </c>
      <c r="H9" s="11">
        <v>144.045329</v>
      </c>
      <c r="I9" s="10">
        <v>584</v>
      </c>
      <c r="J9" s="11">
        <v>1820.0035041070746</v>
      </c>
      <c r="K9" s="11">
        <v>2147.4140031070747</v>
      </c>
      <c r="L9" s="10">
        <v>7</v>
      </c>
      <c r="M9" s="2" t="s">
        <v>56</v>
      </c>
      <c r="N9" s="10">
        <v>8</v>
      </c>
      <c r="O9" s="10">
        <v>27693595</v>
      </c>
      <c r="P9" s="11">
        <v>27.693595</v>
      </c>
      <c r="Q9" s="10">
        <v>5</v>
      </c>
      <c r="R9" s="10">
        <v>1139999096</v>
      </c>
      <c r="S9" s="11">
        <v>1139.999096</v>
      </c>
      <c r="T9" s="10">
        <v>16</v>
      </c>
      <c r="U9" s="11">
        <v>104.69344224938001</v>
      </c>
      <c r="V9" s="11">
        <v>1272.38613324938</v>
      </c>
      <c r="W9" s="3"/>
    </row>
    <row x14ac:dyDescent="0.25" r="10" customHeight="1" ht="17.25">
      <c r="A10" s="10">
        <v>8</v>
      </c>
      <c r="B10" s="2" t="s">
        <v>30</v>
      </c>
      <c r="C10" s="10">
        <v>73</v>
      </c>
      <c r="D10" s="10">
        <v>206470370</v>
      </c>
      <c r="E10" s="11">
        <v>206.47037</v>
      </c>
      <c r="F10" s="10">
        <v>24</v>
      </c>
      <c r="G10" s="10">
        <v>52898810</v>
      </c>
      <c r="H10" s="11">
        <v>52.89881</v>
      </c>
      <c r="I10" s="10">
        <v>131</v>
      </c>
      <c r="J10" s="11">
        <v>146.16498301128743</v>
      </c>
      <c r="K10" s="11">
        <v>405.53416301128743</v>
      </c>
      <c r="L10" s="10">
        <v>8</v>
      </c>
      <c r="M10" s="2" t="s">
        <v>25</v>
      </c>
      <c r="N10" s="10">
        <v>173</v>
      </c>
      <c r="O10" s="10">
        <v>394690566</v>
      </c>
      <c r="P10" s="11">
        <v>394.690566</v>
      </c>
      <c r="Q10" s="10">
        <v>116</v>
      </c>
      <c r="R10" s="11">
        <v>677553165.14</v>
      </c>
      <c r="S10" s="11">
        <v>677.55316514</v>
      </c>
      <c r="T10" s="10">
        <v>156</v>
      </c>
      <c r="U10" s="11">
        <v>51.753875643488804</v>
      </c>
      <c r="V10" s="11">
        <v>1123.9976067834887</v>
      </c>
      <c r="W10" s="3"/>
    </row>
    <row x14ac:dyDescent="0.25" r="11" customHeight="1" ht="17.25">
      <c r="A11" s="10">
        <v>9</v>
      </c>
      <c r="B11" s="2" t="s">
        <v>32</v>
      </c>
      <c r="C11" s="10">
        <v>102</v>
      </c>
      <c r="D11" s="10">
        <v>27363603</v>
      </c>
      <c r="E11" s="11">
        <v>27.363603</v>
      </c>
      <c r="F11" s="10">
        <v>21</v>
      </c>
      <c r="G11" s="10">
        <v>59820955</v>
      </c>
      <c r="H11" s="11">
        <v>59.820955</v>
      </c>
      <c r="I11" s="10">
        <v>311</v>
      </c>
      <c r="J11" s="11">
        <v>491.34076173368044</v>
      </c>
      <c r="K11" s="11">
        <v>578.5253197336805</v>
      </c>
      <c r="L11" s="10">
        <v>9</v>
      </c>
      <c r="M11" s="2" t="s">
        <v>29</v>
      </c>
      <c r="N11" s="10">
        <v>30</v>
      </c>
      <c r="O11" s="10">
        <v>453319630</v>
      </c>
      <c r="P11" s="11">
        <v>453.31963</v>
      </c>
      <c r="Q11" s="10">
        <v>27</v>
      </c>
      <c r="R11" s="10">
        <v>317531788</v>
      </c>
      <c r="S11" s="11">
        <v>317.531788</v>
      </c>
      <c r="T11" s="10">
        <v>43</v>
      </c>
      <c r="U11" s="11">
        <v>65.97171040617444</v>
      </c>
      <c r="V11" s="11">
        <v>836.8231284061744</v>
      </c>
      <c r="W11" s="3"/>
    </row>
    <row x14ac:dyDescent="0.25" r="12" customHeight="1" ht="17.25">
      <c r="A12" s="10">
        <v>10</v>
      </c>
      <c r="B12" s="2" t="s">
        <v>34</v>
      </c>
      <c r="C12" s="10">
        <v>243</v>
      </c>
      <c r="D12" s="10">
        <v>273715241</v>
      </c>
      <c r="E12" s="11">
        <v>273.715241</v>
      </c>
      <c r="F12" s="10">
        <v>47</v>
      </c>
      <c r="G12" s="10">
        <v>90798181</v>
      </c>
      <c r="H12" s="11">
        <v>90.798181</v>
      </c>
      <c r="I12" s="10">
        <v>321</v>
      </c>
      <c r="J12" s="11">
        <v>196.35722740521683</v>
      </c>
      <c r="K12" s="11">
        <v>560.8706494052168</v>
      </c>
      <c r="L12" s="10">
        <v>10</v>
      </c>
      <c r="M12" s="2" t="s">
        <v>37</v>
      </c>
      <c r="N12" s="10">
        <v>86</v>
      </c>
      <c r="O12" s="10">
        <v>275097046</v>
      </c>
      <c r="P12" s="11">
        <v>275.097046</v>
      </c>
      <c r="Q12" s="10">
        <v>88</v>
      </c>
      <c r="R12" s="10">
        <v>220073323</v>
      </c>
      <c r="S12" s="11">
        <v>220.073323</v>
      </c>
      <c r="T12" s="10">
        <v>166</v>
      </c>
      <c r="U12" s="11">
        <v>193.11031603076967</v>
      </c>
      <c r="V12" s="11">
        <v>688.2806850307696</v>
      </c>
      <c r="W12" s="3"/>
    </row>
    <row x14ac:dyDescent="0.25" r="13" customHeight="1" ht="17.25">
      <c r="A13" s="10">
        <v>11</v>
      </c>
      <c r="B13" s="2" t="s">
        <v>36</v>
      </c>
      <c r="C13" s="10">
        <v>77</v>
      </c>
      <c r="D13" s="10">
        <v>52956787</v>
      </c>
      <c r="E13" s="11">
        <v>52.956787</v>
      </c>
      <c r="F13" s="10">
        <v>13</v>
      </c>
      <c r="G13" s="10">
        <v>64570304</v>
      </c>
      <c r="H13" s="11">
        <v>64.570304</v>
      </c>
      <c r="I13" s="10">
        <v>170</v>
      </c>
      <c r="J13" s="11">
        <v>96.4411312195353</v>
      </c>
      <c r="K13" s="11">
        <v>213.96822221953528</v>
      </c>
      <c r="L13" s="10">
        <v>11</v>
      </c>
      <c r="M13" s="2" t="s">
        <v>39</v>
      </c>
      <c r="N13" s="10">
        <v>44</v>
      </c>
      <c r="O13" s="10">
        <v>235980639</v>
      </c>
      <c r="P13" s="11">
        <v>235.980639</v>
      </c>
      <c r="Q13" s="10">
        <v>28</v>
      </c>
      <c r="R13" s="11">
        <v>299182802.5810547</v>
      </c>
      <c r="S13" s="11">
        <v>299.18280258105466</v>
      </c>
      <c r="T13" s="10">
        <v>50</v>
      </c>
      <c r="U13" s="11">
        <v>61.84555454558001</v>
      </c>
      <c r="V13" s="11">
        <v>597.0089961266348</v>
      </c>
      <c r="W13" s="3"/>
    </row>
    <row x14ac:dyDescent="0.25" r="14" customHeight="1" ht="17.25">
      <c r="A14" s="10">
        <v>12</v>
      </c>
      <c r="B14" s="2" t="s">
        <v>38</v>
      </c>
      <c r="C14" s="10">
        <v>9</v>
      </c>
      <c r="D14" s="10">
        <v>3953647</v>
      </c>
      <c r="E14" s="11">
        <v>3.953647</v>
      </c>
      <c r="F14" s="10">
        <v>3</v>
      </c>
      <c r="G14" s="10">
        <v>377400</v>
      </c>
      <c r="H14" s="11">
        <v>0.3774</v>
      </c>
      <c r="I14" s="10">
        <v>18</v>
      </c>
      <c r="J14" s="11">
        <v>3.4347732448880004</v>
      </c>
      <c r="K14" s="11">
        <v>7.765820244888</v>
      </c>
      <c r="L14" s="10">
        <v>12</v>
      </c>
      <c r="M14" s="2" t="s">
        <v>31</v>
      </c>
      <c r="N14" s="10">
        <v>67</v>
      </c>
      <c r="O14" s="10">
        <v>183782447</v>
      </c>
      <c r="P14" s="11">
        <v>183.782447</v>
      </c>
      <c r="Q14" s="10">
        <v>36</v>
      </c>
      <c r="R14" s="10">
        <v>318891064</v>
      </c>
      <c r="S14" s="11">
        <v>318.891064</v>
      </c>
      <c r="T14" s="10">
        <v>44</v>
      </c>
      <c r="U14" s="11">
        <v>40.32306918113399</v>
      </c>
      <c r="V14" s="11">
        <v>542.9965801811339</v>
      </c>
      <c r="W14" s="3"/>
    </row>
    <row x14ac:dyDescent="0.25" r="15" customHeight="1" ht="17.25">
      <c r="A15" s="10">
        <v>13</v>
      </c>
      <c r="B15" s="2" t="s">
        <v>40</v>
      </c>
      <c r="C15" s="10">
        <v>70</v>
      </c>
      <c r="D15" s="10">
        <v>30969474</v>
      </c>
      <c r="E15" s="11">
        <v>30.969474</v>
      </c>
      <c r="F15" s="10">
        <v>14</v>
      </c>
      <c r="G15" s="10">
        <v>30884192</v>
      </c>
      <c r="H15" s="11">
        <v>30.884192</v>
      </c>
      <c r="I15" s="10">
        <v>92</v>
      </c>
      <c r="J15" s="11">
        <v>28.866062511456995</v>
      </c>
      <c r="K15" s="11">
        <v>90.71972851145699</v>
      </c>
      <c r="L15" s="10">
        <v>13</v>
      </c>
      <c r="M15" s="2" t="s">
        <v>49</v>
      </c>
      <c r="N15" s="10">
        <v>29</v>
      </c>
      <c r="O15" s="10">
        <v>348654025</v>
      </c>
      <c r="P15" s="11">
        <v>348.654025</v>
      </c>
      <c r="Q15" s="10">
        <v>20</v>
      </c>
      <c r="R15" s="10">
        <v>96975824</v>
      </c>
      <c r="S15" s="11">
        <v>96.975824</v>
      </c>
      <c r="T15" s="10">
        <v>32</v>
      </c>
      <c r="U15" s="11">
        <v>35.05123640767001</v>
      </c>
      <c r="V15" s="11">
        <v>480.68108540766997</v>
      </c>
      <c r="W15" s="3"/>
    </row>
    <row x14ac:dyDescent="0.25" r="16" customHeight="1" ht="17.25">
      <c r="A16" s="10">
        <v>14</v>
      </c>
      <c r="B16" s="2" t="s">
        <v>42</v>
      </c>
      <c r="C16" s="10">
        <v>7</v>
      </c>
      <c r="D16" s="10">
        <v>232391990</v>
      </c>
      <c r="E16" s="11">
        <v>232.39199</v>
      </c>
      <c r="F16" s="10">
        <v>3</v>
      </c>
      <c r="G16" s="10">
        <v>10192138</v>
      </c>
      <c r="H16" s="11">
        <v>10.192138</v>
      </c>
      <c r="I16" s="10">
        <v>9</v>
      </c>
      <c r="J16" s="11">
        <v>16.6242753333</v>
      </c>
      <c r="K16" s="11">
        <v>259.2084033333</v>
      </c>
      <c r="L16" s="10">
        <v>14</v>
      </c>
      <c r="M16" s="2" t="s">
        <v>47</v>
      </c>
      <c r="N16" s="10">
        <v>29</v>
      </c>
      <c r="O16" s="10">
        <v>127537938</v>
      </c>
      <c r="P16" s="11">
        <v>127.537938</v>
      </c>
      <c r="Q16" s="10">
        <v>47</v>
      </c>
      <c r="R16" s="10">
        <v>277837860</v>
      </c>
      <c r="S16" s="11">
        <v>277.83786</v>
      </c>
      <c r="T16" s="10">
        <v>55</v>
      </c>
      <c r="U16" s="11">
        <v>73.042708667826</v>
      </c>
      <c r="V16" s="11">
        <v>478.41850666782597</v>
      </c>
      <c r="W16" s="3"/>
    </row>
    <row x14ac:dyDescent="0.25" r="17" customHeight="1" ht="17.25">
      <c r="A17" s="10">
        <v>15</v>
      </c>
      <c r="B17" s="2" t="s">
        <v>44</v>
      </c>
      <c r="C17" s="10">
        <v>7</v>
      </c>
      <c r="D17" s="10">
        <v>14170000</v>
      </c>
      <c r="E17" s="11">
        <v>14.17</v>
      </c>
      <c r="F17" s="10">
        <v>4</v>
      </c>
      <c r="G17" s="10">
        <v>3412280</v>
      </c>
      <c r="H17" s="11">
        <v>3.41228</v>
      </c>
      <c r="I17" s="10">
        <v>33</v>
      </c>
      <c r="J17" s="11">
        <v>115.226668197729</v>
      </c>
      <c r="K17" s="11">
        <v>132.808948197729</v>
      </c>
      <c r="L17" s="10">
        <v>15</v>
      </c>
      <c r="M17" s="2" t="s">
        <v>61</v>
      </c>
      <c r="N17" s="10">
        <v>29</v>
      </c>
      <c r="O17" s="10">
        <v>322856122</v>
      </c>
      <c r="P17" s="11">
        <v>322.856122</v>
      </c>
      <c r="Q17" s="10">
        <v>5</v>
      </c>
      <c r="R17" s="10">
        <v>107975704</v>
      </c>
      <c r="S17" s="11">
        <v>107.975704</v>
      </c>
      <c r="T17" s="10">
        <v>24</v>
      </c>
      <c r="U17" s="11">
        <v>31.099206433623902</v>
      </c>
      <c r="V17" s="11">
        <v>461.93103243362395</v>
      </c>
      <c r="W17" s="3"/>
    </row>
    <row x14ac:dyDescent="0.25" r="18" customHeight="1" ht="17.25">
      <c r="A18" s="10">
        <v>16</v>
      </c>
      <c r="B18" s="2" t="s">
        <v>46</v>
      </c>
      <c r="C18" s="10">
        <v>2</v>
      </c>
      <c r="D18" s="10">
        <v>25396887</v>
      </c>
      <c r="E18" s="11">
        <v>25.396887</v>
      </c>
      <c r="F18" s="10">
        <v>0</v>
      </c>
      <c r="G18" s="10">
        <v>0</v>
      </c>
      <c r="H18" s="10">
        <v>0</v>
      </c>
      <c r="I18" s="10">
        <v>0</v>
      </c>
      <c r="J18" s="10">
        <v>0</v>
      </c>
      <c r="K18" s="11">
        <v>25.396887</v>
      </c>
      <c r="L18" s="10">
        <v>16</v>
      </c>
      <c r="M18" s="2" t="s">
        <v>41</v>
      </c>
      <c r="N18" s="10">
        <v>14</v>
      </c>
      <c r="O18" s="10">
        <v>387088987</v>
      </c>
      <c r="P18" s="11">
        <v>387.088987</v>
      </c>
      <c r="Q18" s="10">
        <v>16</v>
      </c>
      <c r="R18" s="10">
        <v>33881873</v>
      </c>
      <c r="S18" s="11">
        <v>33.881873</v>
      </c>
      <c r="T18" s="10">
        <v>22</v>
      </c>
      <c r="U18" s="11">
        <v>24.508203396900004</v>
      </c>
      <c r="V18" s="11">
        <v>445.47906339689996</v>
      </c>
      <c r="W18" s="3"/>
    </row>
    <row x14ac:dyDescent="0.25" r="19" customHeight="1" ht="17.25">
      <c r="A19" s="10">
        <v>17</v>
      </c>
      <c r="B19" s="2" t="s">
        <v>48</v>
      </c>
      <c r="C19" s="10">
        <v>7</v>
      </c>
      <c r="D19" s="10">
        <v>6198139</v>
      </c>
      <c r="E19" s="11">
        <v>6.198139</v>
      </c>
      <c r="F19" s="10">
        <v>1</v>
      </c>
      <c r="G19" s="10">
        <v>1124999936</v>
      </c>
      <c r="H19" s="11">
        <v>1124.999936</v>
      </c>
      <c r="I19" s="10">
        <v>9</v>
      </c>
      <c r="J19" s="11">
        <v>2.4369575557500003</v>
      </c>
      <c r="K19" s="11">
        <v>1133.63503255575</v>
      </c>
      <c r="L19" s="10">
        <v>17</v>
      </c>
      <c r="M19" s="2" t="s">
        <v>35</v>
      </c>
      <c r="N19" s="10">
        <v>42</v>
      </c>
      <c r="O19" s="10">
        <v>329865656</v>
      </c>
      <c r="P19" s="11">
        <v>329.865656</v>
      </c>
      <c r="Q19" s="10">
        <v>32</v>
      </c>
      <c r="R19" s="10">
        <v>91670955</v>
      </c>
      <c r="S19" s="11">
        <v>91.670955</v>
      </c>
      <c r="T19" s="10">
        <v>21</v>
      </c>
      <c r="U19" s="11">
        <v>15.212370916983001</v>
      </c>
      <c r="V19" s="11">
        <v>436.748981916983</v>
      </c>
      <c r="W19" s="3"/>
    </row>
    <row x14ac:dyDescent="0.25" r="20" customHeight="1" ht="17.25">
      <c r="A20" s="10">
        <v>18</v>
      </c>
      <c r="B20" s="2" t="s">
        <v>50</v>
      </c>
      <c r="C20" s="10">
        <v>5</v>
      </c>
      <c r="D20" s="10">
        <v>10296055</v>
      </c>
      <c r="E20" s="11">
        <v>10.296055</v>
      </c>
      <c r="F20" s="10">
        <v>4</v>
      </c>
      <c r="G20" s="10">
        <v>3920849</v>
      </c>
      <c r="H20" s="11">
        <v>3.920849</v>
      </c>
      <c r="I20" s="10">
        <v>31</v>
      </c>
      <c r="J20" s="11">
        <v>67.61906733162999</v>
      </c>
      <c r="K20" s="11">
        <v>81.83597133162999</v>
      </c>
      <c r="L20" s="10">
        <v>18</v>
      </c>
      <c r="M20" s="2" t="s">
        <v>66</v>
      </c>
      <c r="N20" s="10">
        <v>8</v>
      </c>
      <c r="O20" s="10">
        <v>387530106</v>
      </c>
      <c r="P20" s="11">
        <v>387.530106</v>
      </c>
      <c r="Q20" s="10">
        <v>0</v>
      </c>
      <c r="R20" s="10">
        <v>0</v>
      </c>
      <c r="S20" s="10">
        <v>0</v>
      </c>
      <c r="T20" s="10">
        <v>5</v>
      </c>
      <c r="U20" s="11">
        <v>14.1185035777778</v>
      </c>
      <c r="V20" s="11">
        <v>401.6486095777778</v>
      </c>
      <c r="W20" s="3"/>
    </row>
    <row x14ac:dyDescent="0.25" r="21" customHeight="1" ht="17.25">
      <c r="A21" s="10">
        <v>19</v>
      </c>
      <c r="B21" s="2" t="s">
        <v>52</v>
      </c>
      <c r="C21" s="1" t="s">
        <v>16</v>
      </c>
      <c r="D21" s="9" t="s">
        <v>16</v>
      </c>
      <c r="E21" s="9" t="s">
        <v>16</v>
      </c>
      <c r="F21" s="1" t="s">
        <v>16</v>
      </c>
      <c r="G21" s="9" t="s">
        <v>16</v>
      </c>
      <c r="H21" s="9" t="s">
        <v>16</v>
      </c>
      <c r="I21" s="1" t="s">
        <v>16</v>
      </c>
      <c r="J21" s="9" t="s">
        <v>16</v>
      </c>
      <c r="K21" s="9" t="s">
        <v>16</v>
      </c>
      <c r="L21" s="10">
        <v>19</v>
      </c>
      <c r="M21" s="2" t="s">
        <v>58</v>
      </c>
      <c r="N21" s="10">
        <v>7</v>
      </c>
      <c r="O21" s="10">
        <v>385735268</v>
      </c>
      <c r="P21" s="11">
        <v>385.735268</v>
      </c>
      <c r="Q21" s="10">
        <v>0</v>
      </c>
      <c r="R21" s="10">
        <v>0</v>
      </c>
      <c r="S21" s="10">
        <v>0</v>
      </c>
      <c r="T21" s="10">
        <v>12</v>
      </c>
      <c r="U21" s="11">
        <v>12.409848879506669</v>
      </c>
      <c r="V21" s="11">
        <v>398.1451168795067</v>
      </c>
      <c r="W21" s="3"/>
    </row>
    <row x14ac:dyDescent="0.25" r="22" customHeight="1" ht="17.25">
      <c r="A22" s="1" t="s">
        <v>54</v>
      </c>
      <c r="B22" s="2"/>
      <c r="C22" s="10">
        <v>3046</v>
      </c>
      <c r="D22" s="11">
        <v>17976172492.36</v>
      </c>
      <c r="E22" s="11">
        <v>17976.172492359998</v>
      </c>
      <c r="F22" s="10">
        <v>1169</v>
      </c>
      <c r="G22" s="11">
        <v>7596654907.561055</v>
      </c>
      <c r="H22" s="11">
        <v>7596.654907561056</v>
      </c>
      <c r="I22" s="10">
        <v>6496</v>
      </c>
      <c r="J22" s="11">
        <v>9892.728230266961</v>
      </c>
      <c r="K22" s="11">
        <v>35465.55563018803</v>
      </c>
      <c r="L22" s="10">
        <v>20</v>
      </c>
      <c r="M22" s="2" t="s">
        <v>77</v>
      </c>
      <c r="N22" s="10">
        <v>4</v>
      </c>
      <c r="O22" s="10">
        <v>382811668</v>
      </c>
      <c r="P22" s="11">
        <v>382.811668</v>
      </c>
      <c r="Q22" s="10">
        <v>5</v>
      </c>
      <c r="R22" s="10">
        <v>-4313869</v>
      </c>
      <c r="S22" s="11">
        <v>-4.313869</v>
      </c>
      <c r="T22" s="10">
        <v>12</v>
      </c>
      <c r="U22" s="11">
        <v>16.46035647643</v>
      </c>
      <c r="V22" s="11">
        <v>394.95815547642997</v>
      </c>
      <c r="W22" s="3"/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3"/>
      <c r="J23" s="4"/>
      <c r="K23" s="4"/>
      <c r="L23" s="10">
        <v>21</v>
      </c>
      <c r="M23" s="2" t="s">
        <v>43</v>
      </c>
      <c r="N23" s="10">
        <v>59</v>
      </c>
      <c r="O23" s="10">
        <v>268450247</v>
      </c>
      <c r="P23" s="11">
        <v>268.450247</v>
      </c>
      <c r="Q23" s="10">
        <v>5</v>
      </c>
      <c r="R23" s="10">
        <v>87195239</v>
      </c>
      <c r="S23" s="11">
        <v>87.195239</v>
      </c>
      <c r="T23" s="10">
        <v>61</v>
      </c>
      <c r="U23" s="11">
        <v>29.538277249431005</v>
      </c>
      <c r="V23" s="11">
        <v>385.183763249431</v>
      </c>
      <c r="W23" s="3"/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3"/>
      <c r="J24" s="4"/>
      <c r="K24" s="4"/>
      <c r="L24" s="10">
        <v>22</v>
      </c>
      <c r="M24" s="2" t="s">
        <v>67</v>
      </c>
      <c r="N24" s="10">
        <v>1</v>
      </c>
      <c r="O24" s="10">
        <v>365760000</v>
      </c>
      <c r="P24" s="11">
        <v>365.76</v>
      </c>
      <c r="Q24" s="10">
        <v>1</v>
      </c>
      <c r="R24" s="10">
        <v>1960000</v>
      </c>
      <c r="S24" s="11">
        <v>1.96</v>
      </c>
      <c r="T24" s="10">
        <v>1</v>
      </c>
      <c r="U24" s="11">
        <v>0.3484444444</v>
      </c>
      <c r="V24" s="11">
        <v>368.0684444444</v>
      </c>
      <c r="W24" s="3"/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3"/>
      <c r="J25" s="4"/>
      <c r="K25" s="4"/>
      <c r="L25" s="10">
        <v>23</v>
      </c>
      <c r="M25" s="2" t="s">
        <v>65</v>
      </c>
      <c r="N25" s="10">
        <v>14</v>
      </c>
      <c r="O25" s="10">
        <v>356337581</v>
      </c>
      <c r="P25" s="11">
        <v>356.337581</v>
      </c>
      <c r="Q25" s="10">
        <v>1</v>
      </c>
      <c r="R25" s="10">
        <v>10000000</v>
      </c>
      <c r="S25" s="10">
        <v>10</v>
      </c>
      <c r="T25" s="10">
        <v>1</v>
      </c>
      <c r="U25" s="11">
        <v>0.04888888889</v>
      </c>
      <c r="V25" s="11">
        <v>366.38646988889</v>
      </c>
      <c r="W25" s="3"/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3"/>
      <c r="J26" s="4"/>
      <c r="K26" s="4"/>
      <c r="L26" s="10">
        <v>24</v>
      </c>
      <c r="M26" s="2" t="s">
        <v>53</v>
      </c>
      <c r="N26" s="10">
        <v>16</v>
      </c>
      <c r="O26" s="10">
        <v>52417620</v>
      </c>
      <c r="P26" s="11">
        <v>52.41762</v>
      </c>
      <c r="Q26" s="10">
        <v>2</v>
      </c>
      <c r="R26" s="10">
        <v>14300000</v>
      </c>
      <c r="S26" s="11">
        <v>14.3</v>
      </c>
      <c r="T26" s="10">
        <v>21</v>
      </c>
      <c r="U26" s="11">
        <v>297.95747975712004</v>
      </c>
      <c r="V26" s="11">
        <v>364.67509975712005</v>
      </c>
      <c r="W26" s="3"/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3"/>
      <c r="J27" s="4"/>
      <c r="K27" s="4"/>
      <c r="L27" s="10">
        <v>25</v>
      </c>
      <c r="M27" s="2" t="s">
        <v>80</v>
      </c>
      <c r="N27" s="10">
        <v>4</v>
      </c>
      <c r="O27" s="10">
        <v>353588553</v>
      </c>
      <c r="P27" s="11">
        <v>353.588553</v>
      </c>
      <c r="Q27" s="10">
        <v>1</v>
      </c>
      <c r="R27" s="10">
        <v>-217391</v>
      </c>
      <c r="S27" s="11">
        <v>-0.217391</v>
      </c>
      <c r="T27" s="10">
        <v>2</v>
      </c>
      <c r="U27" s="11">
        <v>0.52444444449</v>
      </c>
      <c r="V27" s="11">
        <v>353.89560644448994</v>
      </c>
      <c r="W27" s="3"/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3"/>
      <c r="J28" s="4"/>
      <c r="K28" s="4"/>
      <c r="L28" s="10">
        <v>26</v>
      </c>
      <c r="M28" s="2" t="s">
        <v>45</v>
      </c>
      <c r="N28" s="10">
        <v>102</v>
      </c>
      <c r="O28" s="10">
        <v>267962115</v>
      </c>
      <c r="P28" s="11">
        <v>267.962115</v>
      </c>
      <c r="Q28" s="10">
        <v>9</v>
      </c>
      <c r="R28" s="10">
        <v>1102725</v>
      </c>
      <c r="S28" s="11">
        <v>1.102725</v>
      </c>
      <c r="T28" s="10">
        <v>180</v>
      </c>
      <c r="U28" s="11">
        <v>42.744157609056295</v>
      </c>
      <c r="V28" s="11">
        <v>311.8089976090563</v>
      </c>
      <c r="W28" s="3"/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3"/>
      <c r="J29" s="4"/>
      <c r="K29" s="4"/>
      <c r="L29" s="10">
        <v>27</v>
      </c>
      <c r="M29" s="2" t="s">
        <v>76</v>
      </c>
      <c r="N29" s="10">
        <v>15</v>
      </c>
      <c r="O29" s="10">
        <v>137478485</v>
      </c>
      <c r="P29" s="11">
        <v>137.478485</v>
      </c>
      <c r="Q29" s="10">
        <v>9</v>
      </c>
      <c r="R29" s="10">
        <v>34200000</v>
      </c>
      <c r="S29" s="11">
        <v>34.2</v>
      </c>
      <c r="T29" s="10">
        <v>13</v>
      </c>
      <c r="U29" s="11">
        <v>107.11479711116</v>
      </c>
      <c r="V29" s="11">
        <v>278.79328211116</v>
      </c>
      <c r="W29" s="3"/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3"/>
      <c r="J30" s="4"/>
      <c r="K30" s="4"/>
      <c r="L30" s="10">
        <v>28</v>
      </c>
      <c r="M30" s="2" t="s">
        <v>51</v>
      </c>
      <c r="N30" s="10">
        <v>10</v>
      </c>
      <c r="O30" s="10">
        <v>103161301</v>
      </c>
      <c r="P30" s="11">
        <v>103.161301</v>
      </c>
      <c r="Q30" s="10">
        <v>14</v>
      </c>
      <c r="R30" s="10">
        <v>106182000</v>
      </c>
      <c r="S30" s="11">
        <v>106.182</v>
      </c>
      <c r="T30" s="10">
        <v>9</v>
      </c>
      <c r="U30" s="11">
        <v>37.620386552730004</v>
      </c>
      <c r="V30" s="11">
        <v>246.96368755273</v>
      </c>
      <c r="W30" s="3"/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3"/>
      <c r="J31" s="4"/>
      <c r="K31" s="4"/>
      <c r="L31" s="10">
        <v>29</v>
      </c>
      <c r="M31" s="2" t="s">
        <v>97</v>
      </c>
      <c r="N31" s="10">
        <v>2</v>
      </c>
      <c r="O31" s="10">
        <v>200087652</v>
      </c>
      <c r="P31" s="11">
        <v>200.087652</v>
      </c>
      <c r="Q31" s="10">
        <v>2</v>
      </c>
      <c r="R31" s="10">
        <v>12000000</v>
      </c>
      <c r="S31" s="10">
        <v>12</v>
      </c>
      <c r="T31" s="10">
        <v>8</v>
      </c>
      <c r="U31" s="11">
        <v>3.0736335112399997</v>
      </c>
      <c r="V31" s="11">
        <v>215.16128551123998</v>
      </c>
      <c r="W31" s="3"/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3"/>
      <c r="J32" s="4"/>
      <c r="K32" s="4"/>
      <c r="L32" s="10">
        <v>30</v>
      </c>
      <c r="M32" s="2" t="s">
        <v>64</v>
      </c>
      <c r="N32" s="10">
        <v>12</v>
      </c>
      <c r="O32" s="10">
        <v>115081992</v>
      </c>
      <c r="P32" s="11">
        <v>115.081992</v>
      </c>
      <c r="Q32" s="10">
        <v>6</v>
      </c>
      <c r="R32" s="10">
        <v>51548154</v>
      </c>
      <c r="S32" s="11">
        <v>51.548154</v>
      </c>
      <c r="T32" s="10">
        <v>8</v>
      </c>
      <c r="U32" s="11">
        <v>40.563545666669995</v>
      </c>
      <c r="V32" s="11">
        <v>207.19369166667</v>
      </c>
      <c r="W32" s="3"/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3"/>
      <c r="J33" s="4"/>
      <c r="K33" s="4"/>
      <c r="L33" s="10">
        <v>31</v>
      </c>
      <c r="M33" s="2" t="s">
        <v>63</v>
      </c>
      <c r="N33" s="10">
        <v>11</v>
      </c>
      <c r="O33" s="10">
        <v>158999110</v>
      </c>
      <c r="P33" s="11">
        <v>158.99911</v>
      </c>
      <c r="Q33" s="10">
        <v>5</v>
      </c>
      <c r="R33" s="10">
        <v>11038373</v>
      </c>
      <c r="S33" s="11">
        <v>11.038373</v>
      </c>
      <c r="T33" s="10">
        <v>2</v>
      </c>
      <c r="U33" s="11">
        <v>0.7166666666300001</v>
      </c>
      <c r="V33" s="11">
        <v>170.75414966663</v>
      </c>
      <c r="W33" s="3"/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3"/>
      <c r="J34" s="4"/>
      <c r="K34" s="4"/>
      <c r="L34" s="10">
        <v>32</v>
      </c>
      <c r="M34" s="2" t="s">
        <v>55</v>
      </c>
      <c r="N34" s="10">
        <v>13</v>
      </c>
      <c r="O34" s="10">
        <v>96118842</v>
      </c>
      <c r="P34" s="11">
        <v>96.118842</v>
      </c>
      <c r="Q34" s="10">
        <v>10</v>
      </c>
      <c r="R34" s="10">
        <v>60332158</v>
      </c>
      <c r="S34" s="11">
        <v>60.332158</v>
      </c>
      <c r="T34" s="10">
        <v>14</v>
      </c>
      <c r="U34" s="11">
        <v>8.88584133629</v>
      </c>
      <c r="V34" s="11">
        <v>165.33684133628998</v>
      </c>
      <c r="W34" s="3"/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3"/>
      <c r="J35" s="4"/>
      <c r="K35" s="4"/>
      <c r="L35" s="10">
        <v>33</v>
      </c>
      <c r="M35" s="2" t="s">
        <v>70</v>
      </c>
      <c r="N35" s="10">
        <v>9</v>
      </c>
      <c r="O35" s="10">
        <v>142019134</v>
      </c>
      <c r="P35" s="11">
        <v>142.019134</v>
      </c>
      <c r="Q35" s="10">
        <v>2</v>
      </c>
      <c r="R35" s="10">
        <v>308298</v>
      </c>
      <c r="S35" s="11">
        <v>0.308298</v>
      </c>
      <c r="T35" s="10">
        <v>11</v>
      </c>
      <c r="U35" s="11">
        <v>14.909894555500001</v>
      </c>
      <c r="V35" s="11">
        <v>157.2373265555</v>
      </c>
      <c r="W35" s="3"/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3"/>
      <c r="J36" s="4"/>
      <c r="K36" s="4"/>
      <c r="L36" s="10">
        <v>34</v>
      </c>
      <c r="M36" s="2" t="s">
        <v>69</v>
      </c>
      <c r="N36" s="10">
        <v>2</v>
      </c>
      <c r="O36" s="10">
        <v>150158072</v>
      </c>
      <c r="P36" s="11">
        <v>150.158072</v>
      </c>
      <c r="Q36" s="10">
        <v>0</v>
      </c>
      <c r="R36" s="10">
        <v>0</v>
      </c>
      <c r="S36" s="10">
        <v>0</v>
      </c>
      <c r="T36" s="10">
        <v>5</v>
      </c>
      <c r="U36" s="11">
        <v>0.66627200006668</v>
      </c>
      <c r="V36" s="11">
        <v>150.82434400006667</v>
      </c>
      <c r="W36" s="3"/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3"/>
      <c r="J37" s="4"/>
      <c r="K37" s="4"/>
      <c r="L37" s="10">
        <v>35</v>
      </c>
      <c r="M37" s="2" t="s">
        <v>78</v>
      </c>
      <c r="N37" s="10">
        <v>8</v>
      </c>
      <c r="O37" s="10">
        <v>98257753</v>
      </c>
      <c r="P37" s="11">
        <v>98.257753</v>
      </c>
      <c r="Q37" s="10">
        <v>0</v>
      </c>
      <c r="R37" s="10">
        <v>0</v>
      </c>
      <c r="S37" s="10">
        <v>0</v>
      </c>
      <c r="T37" s="10">
        <v>13</v>
      </c>
      <c r="U37" s="11">
        <v>34.5023412114</v>
      </c>
      <c r="V37" s="11">
        <v>132.7600942114</v>
      </c>
      <c r="W37" s="3"/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3"/>
      <c r="J38" s="4"/>
      <c r="K38" s="4"/>
      <c r="L38" s="10">
        <v>36</v>
      </c>
      <c r="M38" s="2" t="s">
        <v>60</v>
      </c>
      <c r="N38" s="10">
        <v>7</v>
      </c>
      <c r="O38" s="10">
        <v>8197943</v>
      </c>
      <c r="P38" s="11">
        <v>8.197943</v>
      </c>
      <c r="Q38" s="10">
        <v>5</v>
      </c>
      <c r="R38" s="10">
        <v>4650000</v>
      </c>
      <c r="S38" s="11">
        <v>4.65</v>
      </c>
      <c r="T38" s="10">
        <v>43</v>
      </c>
      <c r="U38" s="11">
        <v>78.0513504367</v>
      </c>
      <c r="V38" s="11">
        <v>90.8992934367</v>
      </c>
      <c r="W38" s="3"/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3"/>
      <c r="J39" s="4"/>
      <c r="K39" s="4"/>
      <c r="L39" s="10">
        <v>37</v>
      </c>
      <c r="M39" s="2" t="s">
        <v>68</v>
      </c>
      <c r="N39" s="10">
        <v>3</v>
      </c>
      <c r="O39" s="10">
        <v>89756031</v>
      </c>
      <c r="P39" s="11">
        <v>89.756031</v>
      </c>
      <c r="Q39" s="10">
        <v>0</v>
      </c>
      <c r="R39" s="10">
        <v>0</v>
      </c>
      <c r="S39" s="10">
        <v>0</v>
      </c>
      <c r="T39" s="10">
        <v>0</v>
      </c>
      <c r="U39" s="10">
        <v>0</v>
      </c>
      <c r="V39" s="11">
        <v>89.756031</v>
      </c>
      <c r="W39" s="3"/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3"/>
      <c r="J40" s="4"/>
      <c r="K40" s="4"/>
      <c r="L40" s="10">
        <v>38</v>
      </c>
      <c r="M40" s="2" t="s">
        <v>74</v>
      </c>
      <c r="N40" s="10">
        <v>6</v>
      </c>
      <c r="O40" s="10">
        <v>31310575</v>
      </c>
      <c r="P40" s="11">
        <v>31.310575</v>
      </c>
      <c r="Q40" s="10">
        <v>7</v>
      </c>
      <c r="R40" s="10">
        <v>10236893</v>
      </c>
      <c r="S40" s="11">
        <v>10.236893</v>
      </c>
      <c r="T40" s="10">
        <v>10</v>
      </c>
      <c r="U40" s="11">
        <v>14.516666771570003</v>
      </c>
      <c r="V40" s="11">
        <v>56.064134771570004</v>
      </c>
      <c r="W40" s="3"/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3"/>
      <c r="J41" s="4"/>
      <c r="K41" s="4"/>
      <c r="L41" s="10">
        <v>39</v>
      </c>
      <c r="M41" s="2" t="s">
        <v>94</v>
      </c>
      <c r="N41" s="10">
        <v>1</v>
      </c>
      <c r="O41" s="10">
        <v>48752475</v>
      </c>
      <c r="P41" s="11">
        <v>48.752475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1">
        <v>48.752475</v>
      </c>
      <c r="W41" s="3"/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3"/>
      <c r="J42" s="4"/>
      <c r="K42" s="4"/>
      <c r="L42" s="10">
        <v>40</v>
      </c>
      <c r="M42" s="2" t="s">
        <v>71</v>
      </c>
      <c r="N42" s="10">
        <v>2</v>
      </c>
      <c r="O42" s="10">
        <v>37144000</v>
      </c>
      <c r="P42" s="11">
        <v>37.144</v>
      </c>
      <c r="Q42" s="10">
        <v>0</v>
      </c>
      <c r="R42" s="10">
        <v>0</v>
      </c>
      <c r="S42" s="10">
        <v>0</v>
      </c>
      <c r="T42" s="10">
        <v>1</v>
      </c>
      <c r="U42" s="11">
        <v>0.510308</v>
      </c>
      <c r="V42" s="11">
        <v>37.654308</v>
      </c>
      <c r="W42" s="3"/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3"/>
      <c r="J43" s="4"/>
      <c r="K43" s="4"/>
      <c r="L43" s="10">
        <v>41</v>
      </c>
      <c r="M43" s="2" t="s">
        <v>73</v>
      </c>
      <c r="N43" s="10">
        <v>6</v>
      </c>
      <c r="O43" s="10">
        <v>4736842</v>
      </c>
      <c r="P43" s="11">
        <v>4.736842</v>
      </c>
      <c r="Q43" s="10">
        <v>1</v>
      </c>
      <c r="R43" s="10">
        <v>30609422</v>
      </c>
      <c r="S43" s="11">
        <v>30.609422</v>
      </c>
      <c r="T43" s="10">
        <v>14</v>
      </c>
      <c r="U43" s="11">
        <v>2.0953074648600003</v>
      </c>
      <c r="V43" s="11">
        <v>37.44157146486</v>
      </c>
      <c r="W43" s="3"/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3"/>
      <c r="J44" s="4"/>
      <c r="K44" s="4"/>
      <c r="L44" s="10">
        <v>42</v>
      </c>
      <c r="M44" s="2" t="s">
        <v>91</v>
      </c>
      <c r="N44" s="10">
        <v>2</v>
      </c>
      <c r="O44" s="10">
        <v>13070250</v>
      </c>
      <c r="P44" s="11">
        <v>13.07025</v>
      </c>
      <c r="Q44" s="10">
        <v>2</v>
      </c>
      <c r="R44" s="10">
        <v>18497583</v>
      </c>
      <c r="S44" s="11">
        <v>18.497583</v>
      </c>
      <c r="T44" s="10">
        <v>3</v>
      </c>
      <c r="U44" s="11">
        <v>0.133337777744444</v>
      </c>
      <c r="V44" s="11">
        <v>31.701170777744444</v>
      </c>
      <c r="W44" s="3"/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3"/>
      <c r="J45" s="4"/>
      <c r="K45" s="4"/>
      <c r="L45" s="10">
        <v>43</v>
      </c>
      <c r="M45" s="2" t="s">
        <v>87</v>
      </c>
      <c r="N45" s="10">
        <v>2</v>
      </c>
      <c r="O45" s="10">
        <v>2020000</v>
      </c>
      <c r="P45" s="11">
        <v>2.02</v>
      </c>
      <c r="Q45" s="10">
        <v>1</v>
      </c>
      <c r="R45" s="10">
        <v>2466979</v>
      </c>
      <c r="S45" s="11">
        <v>2.466979</v>
      </c>
      <c r="T45" s="10">
        <v>2</v>
      </c>
      <c r="U45" s="11">
        <v>25.006666666666998</v>
      </c>
      <c r="V45" s="11">
        <v>29.493645666667</v>
      </c>
      <c r="W45" s="3"/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3"/>
      <c r="J46" s="4"/>
      <c r="K46" s="4"/>
      <c r="L46" s="10">
        <v>44</v>
      </c>
      <c r="M46" s="2" t="s">
        <v>82</v>
      </c>
      <c r="N46" s="10">
        <v>1</v>
      </c>
      <c r="O46" s="10">
        <v>21369965</v>
      </c>
      <c r="P46" s="11">
        <v>21.369965</v>
      </c>
      <c r="Q46" s="10">
        <v>1</v>
      </c>
      <c r="R46" s="10">
        <v>3630035</v>
      </c>
      <c r="S46" s="11">
        <v>3.630035</v>
      </c>
      <c r="T46" s="10">
        <v>5</v>
      </c>
      <c r="U46" s="11">
        <v>1.587762</v>
      </c>
      <c r="V46" s="11">
        <v>26.587762</v>
      </c>
      <c r="W46" s="3"/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3"/>
      <c r="J47" s="4"/>
      <c r="K47" s="4"/>
      <c r="L47" s="10">
        <v>45</v>
      </c>
      <c r="M47" s="2" t="s">
        <v>57</v>
      </c>
      <c r="N47" s="10">
        <v>5</v>
      </c>
      <c r="O47" s="10">
        <v>24682000</v>
      </c>
      <c r="P47" s="11">
        <v>24.682</v>
      </c>
      <c r="Q47" s="10">
        <v>0</v>
      </c>
      <c r="R47" s="10">
        <v>0</v>
      </c>
      <c r="S47" s="10">
        <v>0</v>
      </c>
      <c r="T47" s="10">
        <v>3</v>
      </c>
      <c r="U47" s="11">
        <v>0.99969033736</v>
      </c>
      <c r="V47" s="11">
        <v>25.68169033736</v>
      </c>
      <c r="W47" s="3"/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3"/>
      <c r="J48" s="4"/>
      <c r="K48" s="4"/>
      <c r="L48" s="10">
        <v>46</v>
      </c>
      <c r="M48" s="2" t="s">
        <v>62</v>
      </c>
      <c r="N48" s="10">
        <v>0</v>
      </c>
      <c r="O48" s="10">
        <v>0</v>
      </c>
      <c r="P48" s="10">
        <v>0</v>
      </c>
      <c r="Q48" s="10">
        <v>1</v>
      </c>
      <c r="R48" s="10">
        <v>407695</v>
      </c>
      <c r="S48" s="11">
        <v>0.407695</v>
      </c>
      <c r="T48" s="10">
        <v>7</v>
      </c>
      <c r="U48" s="11">
        <v>18.708610086700002</v>
      </c>
      <c r="V48" s="11">
        <v>19.116305086700002</v>
      </c>
      <c r="W48" s="3"/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3"/>
      <c r="J49" s="4"/>
      <c r="K49" s="4"/>
      <c r="L49" s="10">
        <v>47</v>
      </c>
      <c r="M49" s="2" t="s">
        <v>59</v>
      </c>
      <c r="N49" s="10">
        <v>5</v>
      </c>
      <c r="O49" s="10">
        <v>13850000</v>
      </c>
      <c r="P49" s="11">
        <v>13.85</v>
      </c>
      <c r="Q49" s="10">
        <v>1</v>
      </c>
      <c r="R49" s="10">
        <v>165000</v>
      </c>
      <c r="S49" s="11">
        <v>0.165</v>
      </c>
      <c r="T49" s="10">
        <v>3</v>
      </c>
      <c r="U49" s="11">
        <v>1.6201553555600001</v>
      </c>
      <c r="V49" s="11">
        <v>15.635155355559998</v>
      </c>
      <c r="W49" s="3"/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3"/>
      <c r="J50" s="4"/>
      <c r="K50" s="4"/>
      <c r="L50" s="10">
        <v>48</v>
      </c>
      <c r="M50" s="2" t="s">
        <v>88</v>
      </c>
      <c r="N50" s="10">
        <v>1</v>
      </c>
      <c r="O50" s="10">
        <v>900000</v>
      </c>
      <c r="P50" s="11">
        <v>0.9</v>
      </c>
      <c r="Q50" s="10">
        <v>1</v>
      </c>
      <c r="R50" s="10">
        <v>10000000</v>
      </c>
      <c r="S50" s="10">
        <v>10</v>
      </c>
      <c r="T50" s="10">
        <v>6</v>
      </c>
      <c r="U50" s="11">
        <v>3.0010326356300006</v>
      </c>
      <c r="V50" s="11">
        <v>13.901032635630001</v>
      </c>
      <c r="W50" s="3"/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3"/>
      <c r="J51" s="4"/>
      <c r="K51" s="4"/>
      <c r="L51" s="10">
        <v>49</v>
      </c>
      <c r="M51" s="2" t="s">
        <v>85</v>
      </c>
      <c r="N51" s="10">
        <v>1</v>
      </c>
      <c r="O51" s="10">
        <v>2000000</v>
      </c>
      <c r="P51" s="10">
        <v>2</v>
      </c>
      <c r="Q51" s="10">
        <v>1</v>
      </c>
      <c r="R51" s="10">
        <v>9000000</v>
      </c>
      <c r="S51" s="10">
        <v>9</v>
      </c>
      <c r="T51" s="10">
        <v>0</v>
      </c>
      <c r="U51" s="10">
        <v>0</v>
      </c>
      <c r="V51" s="10">
        <v>11</v>
      </c>
      <c r="W51" s="3"/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3"/>
      <c r="J52" s="4"/>
      <c r="K52" s="4"/>
      <c r="L52" s="10">
        <v>50</v>
      </c>
      <c r="M52" s="2" t="s">
        <v>79</v>
      </c>
      <c r="N52" s="10">
        <v>2</v>
      </c>
      <c r="O52" s="10">
        <v>5400000</v>
      </c>
      <c r="P52" s="11">
        <v>5.4</v>
      </c>
      <c r="Q52" s="10">
        <v>2</v>
      </c>
      <c r="R52" s="10">
        <v>369994</v>
      </c>
      <c r="S52" s="11">
        <v>0.369994</v>
      </c>
      <c r="T52" s="10">
        <v>34</v>
      </c>
      <c r="U52" s="11">
        <v>4.65154554444</v>
      </c>
      <c r="V52" s="11">
        <v>10.421539544440002</v>
      </c>
      <c r="W52" s="3"/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3"/>
      <c r="J53" s="4"/>
      <c r="K53" s="4"/>
      <c r="L53" s="10">
        <v>51</v>
      </c>
      <c r="M53" s="2" t="s">
        <v>84</v>
      </c>
      <c r="N53" s="10">
        <v>1</v>
      </c>
      <c r="O53" s="10">
        <v>1000000</v>
      </c>
      <c r="P53" s="10">
        <v>1</v>
      </c>
      <c r="Q53" s="10">
        <v>0</v>
      </c>
      <c r="R53" s="10">
        <v>0</v>
      </c>
      <c r="S53" s="10">
        <v>0</v>
      </c>
      <c r="T53" s="10">
        <v>9</v>
      </c>
      <c r="U53" s="11">
        <v>7.235597666700001</v>
      </c>
      <c r="V53" s="11">
        <v>8.235597666700002</v>
      </c>
      <c r="W53" s="3"/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3"/>
      <c r="J54" s="4"/>
      <c r="K54" s="4"/>
      <c r="L54" s="10">
        <v>52</v>
      </c>
      <c r="M54" s="2" t="s">
        <v>83</v>
      </c>
      <c r="N54" s="10">
        <v>1</v>
      </c>
      <c r="O54" s="10">
        <v>1000000</v>
      </c>
      <c r="P54" s="10">
        <v>1</v>
      </c>
      <c r="Q54" s="10">
        <v>0</v>
      </c>
      <c r="R54" s="10">
        <v>0</v>
      </c>
      <c r="S54" s="10">
        <v>0</v>
      </c>
      <c r="T54" s="10">
        <v>4</v>
      </c>
      <c r="U54" s="11">
        <v>6.3462086667</v>
      </c>
      <c r="V54" s="11">
        <v>7.3462086667</v>
      </c>
      <c r="W54" s="3"/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3"/>
      <c r="J55" s="4"/>
      <c r="K55" s="4"/>
      <c r="L55" s="10">
        <v>53</v>
      </c>
      <c r="M55" s="2" t="s">
        <v>72</v>
      </c>
      <c r="N55" s="10">
        <v>1</v>
      </c>
      <c r="O55" s="10">
        <v>2898000</v>
      </c>
      <c r="P55" s="11">
        <v>2.898</v>
      </c>
      <c r="Q55" s="10">
        <v>1</v>
      </c>
      <c r="R55" s="10">
        <v>3000000</v>
      </c>
      <c r="S55" s="10">
        <v>3</v>
      </c>
      <c r="T55" s="10">
        <v>0</v>
      </c>
      <c r="U55" s="10">
        <v>0</v>
      </c>
      <c r="V55" s="11">
        <v>5.898</v>
      </c>
      <c r="W55" s="3"/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3"/>
      <c r="J56" s="4"/>
      <c r="K56" s="4"/>
      <c r="L56" s="10">
        <v>54</v>
      </c>
      <c r="M56" s="2" t="s">
        <v>75</v>
      </c>
      <c r="N56" s="10">
        <v>2</v>
      </c>
      <c r="O56" s="10">
        <v>319111</v>
      </c>
      <c r="P56" s="11">
        <v>0.319111</v>
      </c>
      <c r="Q56" s="10">
        <v>0</v>
      </c>
      <c r="R56" s="10">
        <v>0</v>
      </c>
      <c r="S56" s="10">
        <v>0</v>
      </c>
      <c r="T56" s="10">
        <v>4</v>
      </c>
      <c r="U56" s="11">
        <v>1.8906527952</v>
      </c>
      <c r="V56" s="11">
        <v>2.2097637952</v>
      </c>
      <c r="W56" s="3"/>
    </row>
    <row x14ac:dyDescent="0.25" r="57" customHeight="1" ht="17.25">
      <c r="A57" s="3"/>
      <c r="B57" s="2"/>
      <c r="C57" s="3"/>
      <c r="D57" s="4"/>
      <c r="E57" s="4"/>
      <c r="F57" s="3"/>
      <c r="G57" s="4"/>
      <c r="H57" s="4"/>
      <c r="I57" s="3"/>
      <c r="J57" s="4"/>
      <c r="K57" s="4"/>
      <c r="L57" s="10">
        <v>55</v>
      </c>
      <c r="M57" s="2" t="s">
        <v>93</v>
      </c>
      <c r="N57" s="10">
        <v>0</v>
      </c>
      <c r="O57" s="10">
        <v>0</v>
      </c>
      <c r="P57" s="10">
        <v>0</v>
      </c>
      <c r="Q57" s="10">
        <v>1</v>
      </c>
      <c r="R57" s="10">
        <v>900000</v>
      </c>
      <c r="S57" s="11">
        <v>0.9</v>
      </c>
      <c r="T57" s="10">
        <v>2</v>
      </c>
      <c r="U57" s="11">
        <v>1.1976538399999999</v>
      </c>
      <c r="V57" s="11">
        <v>2.09765384</v>
      </c>
      <c r="W57" s="3"/>
    </row>
    <row x14ac:dyDescent="0.25" r="58" customHeight="1" ht="17.25">
      <c r="A58" s="3"/>
      <c r="B58" s="2"/>
      <c r="C58" s="3"/>
      <c r="D58" s="4"/>
      <c r="E58" s="4"/>
      <c r="F58" s="3"/>
      <c r="G58" s="4"/>
      <c r="H58" s="4"/>
      <c r="I58" s="3"/>
      <c r="J58" s="4"/>
      <c r="K58" s="4"/>
      <c r="L58" s="10">
        <v>56</v>
      </c>
      <c r="M58" s="2" t="s">
        <v>90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2</v>
      </c>
      <c r="U58" s="11">
        <v>0.8355555555999999</v>
      </c>
      <c r="V58" s="11">
        <v>0.8355555555999999</v>
      </c>
      <c r="W58" s="3"/>
    </row>
    <row x14ac:dyDescent="0.25" r="59" customHeight="1" ht="17.25">
      <c r="A59" s="3"/>
      <c r="B59" s="2"/>
      <c r="C59" s="3"/>
      <c r="D59" s="4"/>
      <c r="E59" s="4"/>
      <c r="F59" s="3"/>
      <c r="G59" s="4"/>
      <c r="H59" s="4"/>
      <c r="I59" s="3"/>
      <c r="J59" s="4"/>
      <c r="K59" s="4"/>
      <c r="L59" s="10">
        <v>57</v>
      </c>
      <c r="M59" s="2" t="s">
        <v>81</v>
      </c>
      <c r="N59" s="10">
        <v>0</v>
      </c>
      <c r="O59" s="10">
        <v>0</v>
      </c>
      <c r="P59" s="10">
        <v>0</v>
      </c>
      <c r="Q59" s="10">
        <v>0</v>
      </c>
      <c r="R59" s="10">
        <v>0</v>
      </c>
      <c r="S59" s="10">
        <v>0</v>
      </c>
      <c r="T59" s="10">
        <v>1</v>
      </c>
      <c r="U59" s="11">
        <v>0.7066666666999999</v>
      </c>
      <c r="V59" s="11">
        <v>0.7066666666999999</v>
      </c>
      <c r="W59" s="3"/>
    </row>
    <row x14ac:dyDescent="0.25" r="60" customHeight="1" ht="17.25">
      <c r="A60" s="3"/>
      <c r="B60" s="2"/>
      <c r="C60" s="3"/>
      <c r="D60" s="4"/>
      <c r="E60" s="4"/>
      <c r="F60" s="3"/>
      <c r="G60" s="4"/>
      <c r="H60" s="4"/>
      <c r="I60" s="3"/>
      <c r="J60" s="4"/>
      <c r="K60" s="4"/>
      <c r="L60" s="10">
        <v>58</v>
      </c>
      <c r="M60" s="2" t="s">
        <v>92</v>
      </c>
      <c r="N60" s="10">
        <v>2</v>
      </c>
      <c r="O60" s="10">
        <v>444086</v>
      </c>
      <c r="P60" s="11">
        <v>0.444086</v>
      </c>
      <c r="Q60" s="10">
        <v>0</v>
      </c>
      <c r="R60" s="10">
        <v>0</v>
      </c>
      <c r="S60" s="10">
        <v>0</v>
      </c>
      <c r="T60" s="10">
        <v>2</v>
      </c>
      <c r="U60" s="11">
        <v>0.19760000002</v>
      </c>
      <c r="V60" s="11">
        <v>0.64168600002</v>
      </c>
      <c r="W60" s="3"/>
    </row>
    <row x14ac:dyDescent="0.25" r="61" customHeight="1" ht="17.25">
      <c r="A61" s="3"/>
      <c r="B61" s="2"/>
      <c r="C61" s="3"/>
      <c r="D61" s="4"/>
      <c r="E61" s="4"/>
      <c r="F61" s="3"/>
      <c r="G61" s="4"/>
      <c r="H61" s="4"/>
      <c r="I61" s="3"/>
      <c r="J61" s="4"/>
      <c r="K61" s="4"/>
      <c r="L61" s="10">
        <v>59</v>
      </c>
      <c r="M61" s="2" t="s">
        <v>86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1</v>
      </c>
      <c r="U61" s="11">
        <v>0.06</v>
      </c>
      <c r="V61" s="11">
        <v>0.06</v>
      </c>
      <c r="W61" s="3"/>
    </row>
    <row x14ac:dyDescent="0.25" r="62" customHeight="1" ht="17.25">
      <c r="A62" s="3"/>
      <c r="B62" s="2"/>
      <c r="C62" s="3"/>
      <c r="D62" s="4"/>
      <c r="E62" s="4"/>
      <c r="F62" s="3"/>
      <c r="G62" s="4"/>
      <c r="H62" s="4"/>
      <c r="I62" s="3"/>
      <c r="J62" s="4"/>
      <c r="K62" s="4"/>
      <c r="L62" s="10">
        <v>60</v>
      </c>
      <c r="M62" s="2" t="s">
        <v>95</v>
      </c>
      <c r="N62" s="1" t="s">
        <v>16</v>
      </c>
      <c r="O62" s="9" t="s">
        <v>16</v>
      </c>
      <c r="P62" s="9" t="s">
        <v>16</v>
      </c>
      <c r="Q62" s="1" t="s">
        <v>16</v>
      </c>
      <c r="R62" s="9" t="s">
        <v>16</v>
      </c>
      <c r="S62" s="9" t="s">
        <v>16</v>
      </c>
      <c r="T62" s="1" t="s">
        <v>16</v>
      </c>
      <c r="U62" s="9" t="s">
        <v>16</v>
      </c>
      <c r="V62" s="9" t="s">
        <v>16</v>
      </c>
      <c r="W62" s="10">
        <v>0</v>
      </c>
    </row>
    <row x14ac:dyDescent="0.25" r="63" customHeight="1" ht="17.25">
      <c r="A63" s="3"/>
      <c r="B63" s="2"/>
      <c r="C63" s="3"/>
      <c r="D63" s="4"/>
      <c r="E63" s="4"/>
      <c r="F63" s="3"/>
      <c r="G63" s="4"/>
      <c r="H63" s="4"/>
      <c r="I63" s="3"/>
      <c r="J63" s="4"/>
      <c r="K63" s="4"/>
      <c r="L63" s="10">
        <v>61</v>
      </c>
      <c r="M63" s="2" t="s">
        <v>89</v>
      </c>
      <c r="N63" s="1" t="s">
        <v>16</v>
      </c>
      <c r="O63" s="9" t="s">
        <v>16</v>
      </c>
      <c r="P63" s="9" t="s">
        <v>16</v>
      </c>
      <c r="Q63" s="1" t="s">
        <v>16</v>
      </c>
      <c r="R63" s="9" t="s">
        <v>16</v>
      </c>
      <c r="S63" s="9" t="s">
        <v>16</v>
      </c>
      <c r="T63" s="1" t="s">
        <v>16</v>
      </c>
      <c r="U63" s="9" t="s">
        <v>16</v>
      </c>
      <c r="V63" s="9" t="s">
        <v>16</v>
      </c>
      <c r="W63" s="3"/>
    </row>
    <row x14ac:dyDescent="0.25" r="64" customHeight="1" ht="17.25">
      <c r="A64" s="3"/>
      <c r="B64" s="2"/>
      <c r="C64" s="3"/>
      <c r="D64" s="4"/>
      <c r="E64" s="4"/>
      <c r="F64" s="3"/>
      <c r="G64" s="4"/>
      <c r="H64" s="4"/>
      <c r="I64" s="3"/>
      <c r="J64" s="4"/>
      <c r="K64" s="4"/>
      <c r="L64" s="1" t="s">
        <v>54</v>
      </c>
      <c r="M64" s="2"/>
      <c r="N64" s="10">
        <v>3046</v>
      </c>
      <c r="O64" s="11">
        <v>17976172492.36</v>
      </c>
      <c r="P64" s="11">
        <v>17976.172492359998</v>
      </c>
      <c r="Q64" s="10">
        <v>1169</v>
      </c>
      <c r="R64" s="11">
        <v>7596654907.561055</v>
      </c>
      <c r="S64" s="11">
        <v>7596.654907561054</v>
      </c>
      <c r="T64" s="10">
        <v>6496</v>
      </c>
      <c r="U64" s="11">
        <v>9892.728230266963</v>
      </c>
      <c r="V64" s="11">
        <v>35465.555630188006</v>
      </c>
      <c r="W64" s="10">
        <v>0</v>
      </c>
    </row>
    <row x14ac:dyDescent="0.25" r="65" customHeight="1" ht="17.25">
      <c r="A65" s="3"/>
      <c r="B65" s="2"/>
      <c r="C65" s="3"/>
      <c r="D65" s="4"/>
      <c r="E65" s="4"/>
      <c r="F65" s="3"/>
      <c r="G65" s="4"/>
      <c r="H65" s="4"/>
      <c r="I65" s="3"/>
      <c r="J65" s="4"/>
      <c r="K65" s="4"/>
      <c r="L65" s="3"/>
      <c r="M65" s="2"/>
      <c r="N65" s="3"/>
      <c r="O65" s="4"/>
      <c r="P65" s="4"/>
      <c r="Q65" s="3"/>
      <c r="R65" s="4"/>
      <c r="S65" s="4"/>
      <c r="T65" s="3"/>
      <c r="U65" s="4"/>
      <c r="V65" s="4"/>
      <c r="W65" s="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5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4" width="22.290714285714284" customWidth="1" bestFit="1"/>
    <col min="5" max="5" style="14" width="26.290714285714284" customWidth="1" bestFit="1"/>
    <col min="6" max="6" style="12" width="20.005" customWidth="1" bestFit="1"/>
    <col min="7" max="7" style="14" width="24.14785714285714" customWidth="1" bestFit="1"/>
    <col min="8" max="8" style="14" width="27.719285714285714" customWidth="1" bestFit="1"/>
    <col min="9" max="9" style="12" width="23.719285714285714" customWidth="1" bestFit="1"/>
    <col min="10" max="10" style="14" width="32.71928571428572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5" width="14.576428571428572" customWidth="1" bestFit="1"/>
    <col min="15" max="15" style="16" width="22.290714285714284" customWidth="1" bestFit="1"/>
    <col min="16" max="16" style="16" width="26.290714285714284" customWidth="1" bestFit="1"/>
    <col min="17" max="17" style="15" width="20.005" customWidth="1" bestFit="1"/>
    <col min="18" max="18" style="16" width="24.14785714285714" customWidth="1" bestFit="1"/>
    <col min="19" max="19" style="16" width="27.719285714285714" customWidth="1" bestFit="1"/>
    <col min="20" max="20" style="15" width="23.719285714285714" customWidth="1" bestFit="1"/>
    <col min="21" max="21" style="16" width="32.71928571428572" customWidth="1" bestFit="1"/>
    <col min="22" max="22" style="16" width="51.57642857142857" customWidth="1" bestFit="1"/>
    <col min="23" max="23" style="12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4"/>
      <c r="E1" s="4"/>
      <c r="F1" s="1" t="s">
        <v>3</v>
      </c>
      <c r="G1" s="4"/>
      <c r="H1" s="4"/>
      <c r="I1" s="1" t="s">
        <v>4</v>
      </c>
      <c r="J1" s="4"/>
      <c r="K1" s="4"/>
      <c r="L1" s="3"/>
      <c r="M1" s="2"/>
      <c r="N1" s="5" t="s">
        <v>2</v>
      </c>
      <c r="O1" s="7"/>
      <c r="P1" s="7"/>
      <c r="Q1" s="5" t="s">
        <v>3</v>
      </c>
      <c r="R1" s="7"/>
      <c r="S1" s="7"/>
      <c r="T1" s="5" t="s">
        <v>4</v>
      </c>
      <c r="U1" s="7"/>
      <c r="V1" s="8" t="s">
        <v>5</v>
      </c>
      <c r="W1" s="3"/>
    </row>
    <row x14ac:dyDescent="0.25" r="2" customHeight="1" ht="17.25">
      <c r="A2" s="3"/>
      <c r="B2" s="2"/>
      <c r="C2" s="1" t="s">
        <v>6</v>
      </c>
      <c r="D2" s="9" t="s">
        <v>7</v>
      </c>
      <c r="E2" s="9" t="s">
        <v>8</v>
      </c>
      <c r="F2" s="1" t="s">
        <v>9</v>
      </c>
      <c r="G2" s="9" t="s">
        <v>10</v>
      </c>
      <c r="H2" s="9" t="s">
        <v>11</v>
      </c>
      <c r="I2" s="1" t="s">
        <v>12</v>
      </c>
      <c r="J2" s="9" t="s">
        <v>13</v>
      </c>
      <c r="K2" s="9" t="s">
        <v>5</v>
      </c>
      <c r="L2" s="1" t="s">
        <v>0</v>
      </c>
      <c r="M2" s="2" t="s">
        <v>14</v>
      </c>
      <c r="N2" s="5" t="s">
        <v>6</v>
      </c>
      <c r="O2" s="8" t="s">
        <v>7</v>
      </c>
      <c r="P2" s="8" t="s">
        <v>8</v>
      </c>
      <c r="Q2" s="5" t="s">
        <v>9</v>
      </c>
      <c r="R2" s="8" t="s">
        <v>10</v>
      </c>
      <c r="S2" s="8" t="s">
        <v>11</v>
      </c>
      <c r="T2" s="5" t="s">
        <v>12</v>
      </c>
      <c r="U2" s="8" t="s">
        <v>13</v>
      </c>
      <c r="V2" s="8" t="s">
        <v>5</v>
      </c>
      <c r="W2" s="3"/>
    </row>
    <row x14ac:dyDescent="0.25" r="3" customHeight="1" ht="17.25">
      <c r="A3" s="10">
        <v>1</v>
      </c>
      <c r="B3" s="2" t="s">
        <v>15</v>
      </c>
      <c r="C3" s="10">
        <v>1314</v>
      </c>
      <c r="D3" s="11">
        <v>12093140778.81</v>
      </c>
      <c r="E3" s="11">
        <v>12093.140778809999</v>
      </c>
      <c r="F3" s="10">
        <v>861</v>
      </c>
      <c r="G3" s="11">
        <v>5381984527.615</v>
      </c>
      <c r="H3" s="11">
        <v>5381.984527615</v>
      </c>
      <c r="I3" s="10">
        <v>2261</v>
      </c>
      <c r="J3" s="11">
        <v>7086.6569118203215</v>
      </c>
      <c r="K3" s="11">
        <v>24561.78221824532</v>
      </c>
      <c r="L3" s="10">
        <v>1</v>
      </c>
      <c r="M3" s="2" t="s">
        <v>17</v>
      </c>
      <c r="N3" s="10">
        <v>879</v>
      </c>
      <c r="O3" s="10">
        <v>1382055954</v>
      </c>
      <c r="P3" s="11">
        <v>1382.055954</v>
      </c>
      <c r="Q3" s="10">
        <v>196</v>
      </c>
      <c r="R3" s="10">
        <v>600037635</v>
      </c>
      <c r="S3" s="11">
        <v>600.037635</v>
      </c>
      <c r="T3" s="10">
        <v>1351</v>
      </c>
      <c r="U3" s="11">
        <v>6472.596054259495</v>
      </c>
      <c r="V3" s="11">
        <v>8454.689643259495</v>
      </c>
      <c r="W3" s="3"/>
    </row>
    <row x14ac:dyDescent="0.25" r="4" customHeight="1" ht="17.25">
      <c r="A4" s="10">
        <v>2</v>
      </c>
      <c r="B4" s="2" t="s">
        <v>18</v>
      </c>
      <c r="C4" s="10">
        <v>15</v>
      </c>
      <c r="D4" s="10">
        <v>722595074</v>
      </c>
      <c r="E4" s="11">
        <v>722.595074</v>
      </c>
      <c r="F4" s="10">
        <v>2</v>
      </c>
      <c r="G4" s="10">
        <v>-14912069</v>
      </c>
      <c r="H4" s="11">
        <v>-14.912069</v>
      </c>
      <c r="I4" s="10">
        <v>62</v>
      </c>
      <c r="J4" s="11">
        <v>302.41933139761676</v>
      </c>
      <c r="K4" s="11">
        <v>1010.1023363976167</v>
      </c>
      <c r="L4" s="10">
        <v>2</v>
      </c>
      <c r="M4" s="2" t="s">
        <v>19</v>
      </c>
      <c r="N4" s="10">
        <v>1320</v>
      </c>
      <c r="O4" s="10">
        <v>1841346344</v>
      </c>
      <c r="P4" s="11">
        <v>1841.346344</v>
      </c>
      <c r="Q4" s="10">
        <v>309</v>
      </c>
      <c r="R4" s="11">
        <v>858738429.99</v>
      </c>
      <c r="S4" s="11">
        <v>858.73842999</v>
      </c>
      <c r="T4" s="10">
        <v>5720</v>
      </c>
      <c r="U4" s="11">
        <v>5595.325561956627</v>
      </c>
      <c r="V4" s="11">
        <v>8295.410335946628</v>
      </c>
      <c r="W4" s="3"/>
    </row>
    <row x14ac:dyDescent="0.25" r="5" customHeight="1" ht="17.25">
      <c r="A5" s="10">
        <v>3</v>
      </c>
      <c r="B5" s="2" t="s">
        <v>20</v>
      </c>
      <c r="C5" s="10">
        <v>123</v>
      </c>
      <c r="D5" s="10">
        <v>1817969227</v>
      </c>
      <c r="E5" s="11">
        <v>1817.969227</v>
      </c>
      <c r="F5" s="10">
        <v>28</v>
      </c>
      <c r="G5" s="10">
        <v>-693726840</v>
      </c>
      <c r="H5" s="11">
        <v>-693.72684</v>
      </c>
      <c r="I5" s="10">
        <v>397</v>
      </c>
      <c r="J5" s="11">
        <v>2751.786162371547</v>
      </c>
      <c r="K5" s="11">
        <v>3876.0285493715473</v>
      </c>
      <c r="L5" s="10">
        <v>3</v>
      </c>
      <c r="M5" s="2" t="s">
        <v>21</v>
      </c>
      <c r="N5" s="10">
        <v>243</v>
      </c>
      <c r="O5" s="10">
        <v>1546586669</v>
      </c>
      <c r="P5" s="11">
        <v>1546.586669</v>
      </c>
      <c r="Q5" s="10">
        <v>150</v>
      </c>
      <c r="R5" s="11">
        <v>951390013.3125</v>
      </c>
      <c r="S5" s="11">
        <v>951.3900133125</v>
      </c>
      <c r="T5" s="10">
        <v>626</v>
      </c>
      <c r="U5" s="11">
        <v>914.8283968502619</v>
      </c>
      <c r="V5" s="11">
        <v>3412.805079162762</v>
      </c>
      <c r="W5" s="3"/>
    </row>
    <row x14ac:dyDescent="0.25" r="6" customHeight="1" ht="17.25">
      <c r="A6" s="10">
        <v>4</v>
      </c>
      <c r="B6" s="2" t="s">
        <v>22</v>
      </c>
      <c r="C6" s="10">
        <v>134</v>
      </c>
      <c r="D6" s="10">
        <v>322432307</v>
      </c>
      <c r="E6" s="11">
        <v>322.432307</v>
      </c>
      <c r="F6" s="10">
        <v>45</v>
      </c>
      <c r="G6" s="10">
        <v>81720233</v>
      </c>
      <c r="H6" s="11">
        <v>81.720233</v>
      </c>
      <c r="I6" s="10">
        <v>521</v>
      </c>
      <c r="J6" s="11">
        <v>574.8777910799884</v>
      </c>
      <c r="K6" s="11">
        <v>979.0303310799884</v>
      </c>
      <c r="L6" s="10">
        <v>4</v>
      </c>
      <c r="M6" s="2" t="s">
        <v>23</v>
      </c>
      <c r="N6" s="10">
        <v>121</v>
      </c>
      <c r="O6" s="10">
        <v>1296698693</v>
      </c>
      <c r="P6" s="11">
        <v>1296.698693</v>
      </c>
      <c r="Q6" s="10">
        <v>63</v>
      </c>
      <c r="R6" s="10">
        <v>-162862129</v>
      </c>
      <c r="S6" s="11">
        <v>-162.862129</v>
      </c>
      <c r="T6" s="10">
        <v>275</v>
      </c>
      <c r="U6" s="11">
        <v>1009.5526234594804</v>
      </c>
      <c r="V6" s="11">
        <v>2143.38918745948</v>
      </c>
      <c r="W6" s="3"/>
    </row>
    <row x14ac:dyDescent="0.25" r="7" customHeight="1" ht="17.25">
      <c r="A7" s="10">
        <v>5</v>
      </c>
      <c r="B7" s="2" t="s">
        <v>24</v>
      </c>
      <c r="C7" s="10">
        <v>1105</v>
      </c>
      <c r="D7" s="10">
        <v>880798245</v>
      </c>
      <c r="E7" s="11">
        <v>880.798245</v>
      </c>
      <c r="F7" s="10">
        <v>182</v>
      </c>
      <c r="G7" s="11">
        <v>279325102.75</v>
      </c>
      <c r="H7" s="11">
        <v>279.32510275</v>
      </c>
      <c r="I7" s="10">
        <v>3292</v>
      </c>
      <c r="J7" s="11">
        <v>1427.9764534072897</v>
      </c>
      <c r="K7" s="11">
        <v>2588.0998011572897</v>
      </c>
      <c r="L7" s="10">
        <v>5</v>
      </c>
      <c r="M7" s="2" t="s">
        <v>25</v>
      </c>
      <c r="N7" s="10">
        <v>247</v>
      </c>
      <c r="O7" s="10">
        <v>833872442</v>
      </c>
      <c r="P7" s="11">
        <v>833.872442</v>
      </c>
      <c r="Q7" s="10">
        <v>162</v>
      </c>
      <c r="R7" s="11">
        <v>663345687.75</v>
      </c>
      <c r="S7" s="11">
        <v>663.34568775</v>
      </c>
      <c r="T7" s="10">
        <v>263</v>
      </c>
      <c r="U7" s="11">
        <v>85.37792642449776</v>
      </c>
      <c r="V7" s="11">
        <v>1582.5960561744978</v>
      </c>
      <c r="W7" s="3"/>
    </row>
    <row x14ac:dyDescent="0.25" r="8" customHeight="1" ht="17.25">
      <c r="A8" s="10">
        <v>6</v>
      </c>
      <c r="B8" s="2" t="s">
        <v>26</v>
      </c>
      <c r="C8" s="10">
        <v>16</v>
      </c>
      <c r="D8" s="10">
        <v>72956870</v>
      </c>
      <c r="E8" s="11">
        <v>72.95687</v>
      </c>
      <c r="F8" s="10">
        <v>10</v>
      </c>
      <c r="G8" s="10">
        <v>7425660</v>
      </c>
      <c r="H8" s="11">
        <v>7.42566</v>
      </c>
      <c r="I8" s="10">
        <v>54</v>
      </c>
      <c r="J8" s="11">
        <v>18.932666475780504</v>
      </c>
      <c r="K8" s="11">
        <v>99.3151964757805</v>
      </c>
      <c r="L8" s="10">
        <v>6</v>
      </c>
      <c r="M8" s="2" t="s">
        <v>27</v>
      </c>
      <c r="N8" s="10">
        <v>87</v>
      </c>
      <c r="O8" s="10">
        <v>595129594</v>
      </c>
      <c r="P8" s="11">
        <v>595.129594</v>
      </c>
      <c r="Q8" s="10">
        <v>55</v>
      </c>
      <c r="R8" s="11">
        <v>686479005.3125</v>
      </c>
      <c r="S8" s="11">
        <v>686.4790053125</v>
      </c>
      <c r="T8" s="10">
        <v>109</v>
      </c>
      <c r="U8" s="11">
        <v>101.9318101494152</v>
      </c>
      <c r="V8" s="11">
        <v>1383.5404094619153</v>
      </c>
      <c r="W8" s="3"/>
    </row>
    <row x14ac:dyDescent="0.25" r="9" customHeight="1" ht="17.25">
      <c r="A9" s="10">
        <v>7</v>
      </c>
      <c r="B9" s="2" t="s">
        <v>28</v>
      </c>
      <c r="C9" s="10">
        <v>493</v>
      </c>
      <c r="D9" s="10">
        <v>330262134</v>
      </c>
      <c r="E9" s="11">
        <v>330.262134</v>
      </c>
      <c r="F9" s="10">
        <v>104</v>
      </c>
      <c r="G9" s="10">
        <v>144794798</v>
      </c>
      <c r="H9" s="11">
        <v>144.794798</v>
      </c>
      <c r="I9" s="10">
        <v>1129</v>
      </c>
      <c r="J9" s="11">
        <v>1091.5198734039484</v>
      </c>
      <c r="K9" s="11">
        <v>1566.5768054039484</v>
      </c>
      <c r="L9" s="10">
        <v>7</v>
      </c>
      <c r="M9" s="2" t="s">
        <v>29</v>
      </c>
      <c r="N9" s="10">
        <v>35</v>
      </c>
      <c r="O9" s="10">
        <v>860200000</v>
      </c>
      <c r="P9" s="11">
        <v>860.2</v>
      </c>
      <c r="Q9" s="10">
        <v>34</v>
      </c>
      <c r="R9" s="10">
        <v>329287424</v>
      </c>
      <c r="S9" s="11">
        <v>329.287424</v>
      </c>
      <c r="T9" s="10">
        <v>39</v>
      </c>
      <c r="U9" s="11">
        <v>63.992713295845924</v>
      </c>
      <c r="V9" s="11">
        <v>1253.480137295846</v>
      </c>
      <c r="W9" s="3"/>
    </row>
    <row x14ac:dyDescent="0.25" r="10" customHeight="1" ht="17.25">
      <c r="A10" s="10">
        <v>8</v>
      </c>
      <c r="B10" s="2" t="s">
        <v>30</v>
      </c>
      <c r="C10" s="10">
        <v>100</v>
      </c>
      <c r="D10" s="10">
        <v>122382873</v>
      </c>
      <c r="E10" s="11">
        <v>122.382873</v>
      </c>
      <c r="F10" s="10">
        <v>24</v>
      </c>
      <c r="G10" s="10">
        <v>56732462</v>
      </c>
      <c r="H10" s="11">
        <v>56.732462</v>
      </c>
      <c r="I10" s="10">
        <v>285</v>
      </c>
      <c r="J10" s="11">
        <v>166.94645322589508</v>
      </c>
      <c r="K10" s="11">
        <v>346.0617882258951</v>
      </c>
      <c r="L10" s="10">
        <v>8</v>
      </c>
      <c r="M10" s="2" t="s">
        <v>31</v>
      </c>
      <c r="N10" s="10">
        <v>76</v>
      </c>
      <c r="O10" s="10">
        <v>787726948</v>
      </c>
      <c r="P10" s="11">
        <v>787.726948</v>
      </c>
      <c r="Q10" s="10">
        <v>35</v>
      </c>
      <c r="R10" s="10">
        <v>287594484</v>
      </c>
      <c r="S10" s="11">
        <v>287.594484</v>
      </c>
      <c r="T10" s="10">
        <v>54</v>
      </c>
      <c r="U10" s="11">
        <v>26.744633736487266</v>
      </c>
      <c r="V10" s="11">
        <v>1102.0660657364872</v>
      </c>
      <c r="W10" s="3"/>
    </row>
    <row x14ac:dyDescent="0.25" r="11" customHeight="1" ht="17.25">
      <c r="A11" s="10">
        <v>9</v>
      </c>
      <c r="B11" s="2" t="s">
        <v>32</v>
      </c>
      <c r="C11" s="10">
        <v>103</v>
      </c>
      <c r="D11" s="10">
        <v>39046531</v>
      </c>
      <c r="E11" s="11">
        <v>39.046531</v>
      </c>
      <c r="F11" s="10">
        <v>23</v>
      </c>
      <c r="G11" s="11">
        <v>37994035.510009766</v>
      </c>
      <c r="H11" s="11">
        <v>37.994035510009766</v>
      </c>
      <c r="I11" s="10">
        <v>710</v>
      </c>
      <c r="J11" s="11">
        <v>411.84625273737606</v>
      </c>
      <c r="K11" s="11">
        <v>488.8868192473858</v>
      </c>
      <c r="L11" s="10">
        <v>9</v>
      </c>
      <c r="M11" s="2" t="s">
        <v>33</v>
      </c>
      <c r="N11" s="10">
        <v>49</v>
      </c>
      <c r="O11" s="10">
        <v>621265045</v>
      </c>
      <c r="P11" s="11">
        <v>621.265045</v>
      </c>
      <c r="Q11" s="10">
        <v>26</v>
      </c>
      <c r="R11" s="10">
        <v>397137449</v>
      </c>
      <c r="S11" s="11">
        <v>397.137449</v>
      </c>
      <c r="T11" s="10">
        <v>45</v>
      </c>
      <c r="U11" s="11">
        <v>66.94843989866743</v>
      </c>
      <c r="V11" s="11">
        <v>1085.3509338986673</v>
      </c>
      <c r="W11" s="3"/>
    </row>
    <row x14ac:dyDescent="0.25" r="12" customHeight="1" ht="17.25">
      <c r="A12" s="10">
        <v>10</v>
      </c>
      <c r="B12" s="2" t="s">
        <v>34</v>
      </c>
      <c r="C12" s="10">
        <v>302</v>
      </c>
      <c r="D12" s="10">
        <v>85369682</v>
      </c>
      <c r="E12" s="11">
        <v>85.369682</v>
      </c>
      <c r="F12" s="10">
        <v>61</v>
      </c>
      <c r="G12" s="10">
        <v>195367240</v>
      </c>
      <c r="H12" s="11">
        <v>195.36724</v>
      </c>
      <c r="I12" s="10">
        <v>557</v>
      </c>
      <c r="J12" s="11">
        <v>255.86090739917245</v>
      </c>
      <c r="K12" s="11">
        <v>536.5978293991725</v>
      </c>
      <c r="L12" s="10">
        <v>10</v>
      </c>
      <c r="M12" s="2" t="s">
        <v>35</v>
      </c>
      <c r="N12" s="10">
        <v>61</v>
      </c>
      <c r="O12" s="10">
        <v>720376496</v>
      </c>
      <c r="P12" s="11">
        <v>720.376496</v>
      </c>
      <c r="Q12" s="10">
        <v>44</v>
      </c>
      <c r="R12" s="10">
        <v>108433722</v>
      </c>
      <c r="S12" s="11">
        <v>108.433722</v>
      </c>
      <c r="T12" s="10">
        <v>30</v>
      </c>
      <c r="U12" s="11">
        <v>14.354668314845824</v>
      </c>
      <c r="V12" s="11">
        <v>843.1648863148458</v>
      </c>
      <c r="W12" s="3"/>
    </row>
    <row x14ac:dyDescent="0.25" r="13" customHeight="1" ht="17.25">
      <c r="A13" s="10">
        <v>11</v>
      </c>
      <c r="B13" s="2" t="s">
        <v>36</v>
      </c>
      <c r="C13" s="10">
        <v>63</v>
      </c>
      <c r="D13" s="10">
        <v>32451189</v>
      </c>
      <c r="E13" s="11">
        <v>32.451189</v>
      </c>
      <c r="F13" s="10">
        <v>13</v>
      </c>
      <c r="G13" s="10">
        <v>9955748</v>
      </c>
      <c r="H13" s="11">
        <v>9.955748</v>
      </c>
      <c r="I13" s="10">
        <v>238</v>
      </c>
      <c r="J13" s="11">
        <v>81.19504593791378</v>
      </c>
      <c r="K13" s="11">
        <v>123.60198293791377</v>
      </c>
      <c r="L13" s="10">
        <v>11</v>
      </c>
      <c r="M13" s="2" t="s">
        <v>37</v>
      </c>
      <c r="N13" s="10">
        <v>146</v>
      </c>
      <c r="O13" s="10">
        <v>290911187</v>
      </c>
      <c r="P13" s="11">
        <v>290.911187</v>
      </c>
      <c r="Q13" s="10">
        <v>99</v>
      </c>
      <c r="R13" s="10">
        <v>246911634</v>
      </c>
      <c r="S13" s="11">
        <v>246.911634</v>
      </c>
      <c r="T13" s="10">
        <v>203</v>
      </c>
      <c r="U13" s="11">
        <v>259.9416103949631</v>
      </c>
      <c r="V13" s="11">
        <v>797.7644313949631</v>
      </c>
      <c r="W13" s="3"/>
    </row>
    <row x14ac:dyDescent="0.25" r="14" customHeight="1" ht="17.25">
      <c r="A14" s="10">
        <v>12</v>
      </c>
      <c r="B14" s="2" t="s">
        <v>38</v>
      </c>
      <c r="C14" s="10">
        <v>11</v>
      </c>
      <c r="D14" s="10">
        <v>36751848</v>
      </c>
      <c r="E14" s="11">
        <v>36.751848</v>
      </c>
      <c r="F14" s="10">
        <v>2</v>
      </c>
      <c r="G14" s="10">
        <v>2200000</v>
      </c>
      <c r="H14" s="11">
        <v>2.2</v>
      </c>
      <c r="I14" s="10">
        <v>31</v>
      </c>
      <c r="J14" s="11">
        <v>8.117867458086577</v>
      </c>
      <c r="K14" s="11">
        <v>47.069715458086584</v>
      </c>
      <c r="L14" s="10">
        <v>12</v>
      </c>
      <c r="M14" s="2" t="s">
        <v>39</v>
      </c>
      <c r="N14" s="10">
        <v>67</v>
      </c>
      <c r="O14" s="10">
        <v>463699929</v>
      </c>
      <c r="P14" s="11">
        <v>463.699929</v>
      </c>
      <c r="Q14" s="10">
        <v>16</v>
      </c>
      <c r="R14" s="10">
        <v>153339734</v>
      </c>
      <c r="S14" s="11">
        <v>153.339734</v>
      </c>
      <c r="T14" s="10">
        <v>84</v>
      </c>
      <c r="U14" s="11">
        <v>66.92095704379848</v>
      </c>
      <c r="V14" s="11">
        <v>683.9606200437985</v>
      </c>
      <c r="W14" s="3"/>
    </row>
    <row x14ac:dyDescent="0.25" r="15" customHeight="1" ht="17.25">
      <c r="A15" s="10">
        <v>13</v>
      </c>
      <c r="B15" s="2" t="s">
        <v>40</v>
      </c>
      <c r="C15" s="10">
        <v>71</v>
      </c>
      <c r="D15" s="10">
        <v>24961926</v>
      </c>
      <c r="E15" s="11">
        <v>24.961926</v>
      </c>
      <c r="F15" s="10">
        <v>12</v>
      </c>
      <c r="G15" s="10">
        <v>9363256</v>
      </c>
      <c r="H15" s="11">
        <v>9.363256</v>
      </c>
      <c r="I15" s="10">
        <v>172</v>
      </c>
      <c r="J15" s="11">
        <v>30.301657034080264</v>
      </c>
      <c r="K15" s="11">
        <v>64.62683903408026</v>
      </c>
      <c r="L15" s="10">
        <v>13</v>
      </c>
      <c r="M15" s="2" t="s">
        <v>41</v>
      </c>
      <c r="N15" s="10">
        <v>18</v>
      </c>
      <c r="O15" s="10">
        <v>361838962</v>
      </c>
      <c r="P15" s="11">
        <v>361.838962</v>
      </c>
      <c r="Q15" s="10">
        <v>19</v>
      </c>
      <c r="R15" s="10">
        <v>223893365</v>
      </c>
      <c r="S15" s="11">
        <v>223.893365</v>
      </c>
      <c r="T15" s="10">
        <v>19</v>
      </c>
      <c r="U15" s="11">
        <v>20.55783883478261</v>
      </c>
      <c r="V15" s="11">
        <v>606.2901658347826</v>
      </c>
      <c r="W15" s="3"/>
    </row>
    <row x14ac:dyDescent="0.25" r="16" customHeight="1" ht="17.25">
      <c r="A16" s="10">
        <v>14</v>
      </c>
      <c r="B16" s="2" t="s">
        <v>42</v>
      </c>
      <c r="C16" s="10">
        <v>6</v>
      </c>
      <c r="D16" s="10">
        <v>125027636</v>
      </c>
      <c r="E16" s="11">
        <v>125.027636</v>
      </c>
      <c r="F16" s="10">
        <v>6</v>
      </c>
      <c r="G16" s="10">
        <v>78222671</v>
      </c>
      <c r="H16" s="11">
        <v>78.222671</v>
      </c>
      <c r="I16" s="10">
        <v>19</v>
      </c>
      <c r="J16" s="11">
        <v>46.01556315302244</v>
      </c>
      <c r="K16" s="11">
        <v>249.26587015302246</v>
      </c>
      <c r="L16" s="10">
        <v>14</v>
      </c>
      <c r="M16" s="2" t="s">
        <v>43</v>
      </c>
      <c r="N16" s="10">
        <v>60</v>
      </c>
      <c r="O16" s="10">
        <v>527748075</v>
      </c>
      <c r="P16" s="11">
        <v>527.748075</v>
      </c>
      <c r="Q16" s="10">
        <v>5</v>
      </c>
      <c r="R16" s="10">
        <v>8299739</v>
      </c>
      <c r="S16" s="11">
        <v>8.299739</v>
      </c>
      <c r="T16" s="10">
        <v>69</v>
      </c>
      <c r="U16" s="11">
        <v>45.03316522947825</v>
      </c>
      <c r="V16" s="11">
        <v>581.0809792294783</v>
      </c>
      <c r="W16" s="3"/>
    </row>
    <row x14ac:dyDescent="0.25" r="17" customHeight="1" ht="17.25">
      <c r="A17" s="10">
        <v>15</v>
      </c>
      <c r="B17" s="2" t="s">
        <v>44</v>
      </c>
      <c r="C17" s="10">
        <v>6</v>
      </c>
      <c r="D17" s="10">
        <v>17300000</v>
      </c>
      <c r="E17" s="11">
        <v>17.3</v>
      </c>
      <c r="F17" s="10">
        <v>3</v>
      </c>
      <c r="G17" s="10">
        <v>2928883</v>
      </c>
      <c r="H17" s="11">
        <v>2.928883</v>
      </c>
      <c r="I17" s="10">
        <v>41</v>
      </c>
      <c r="J17" s="11">
        <v>191.21945574009573</v>
      </c>
      <c r="K17" s="11">
        <v>211.44833874009572</v>
      </c>
      <c r="L17" s="10">
        <v>15</v>
      </c>
      <c r="M17" s="2" t="s">
        <v>45</v>
      </c>
      <c r="N17" s="10">
        <v>131</v>
      </c>
      <c r="O17" s="10">
        <v>386378323</v>
      </c>
      <c r="P17" s="11">
        <v>386.378323</v>
      </c>
      <c r="Q17" s="10">
        <v>14</v>
      </c>
      <c r="R17" s="11">
        <v>3203393.5100097656</v>
      </c>
      <c r="S17" s="11">
        <v>3.2033935100097657</v>
      </c>
      <c r="T17" s="10">
        <v>263</v>
      </c>
      <c r="U17" s="11">
        <v>124.68823958395218</v>
      </c>
      <c r="V17" s="11">
        <v>514.269956093962</v>
      </c>
      <c r="W17" s="3"/>
    </row>
    <row x14ac:dyDescent="0.25" r="18" customHeight="1" ht="17.25">
      <c r="A18" s="10">
        <v>16</v>
      </c>
      <c r="B18" s="2" t="s">
        <v>46</v>
      </c>
      <c r="C18" s="10">
        <v>2</v>
      </c>
      <c r="D18" s="10">
        <v>1903773</v>
      </c>
      <c r="E18" s="11">
        <v>1.903773</v>
      </c>
      <c r="F18" s="10">
        <v>2</v>
      </c>
      <c r="G18" s="10">
        <v>28025113</v>
      </c>
      <c r="H18" s="11">
        <v>28.025113</v>
      </c>
      <c r="I18" s="10">
        <v>8</v>
      </c>
      <c r="J18" s="11">
        <v>5.659319417161469</v>
      </c>
      <c r="K18" s="11">
        <v>35.58820541716147</v>
      </c>
      <c r="L18" s="10">
        <v>16</v>
      </c>
      <c r="M18" s="2" t="s">
        <v>47</v>
      </c>
      <c r="N18" s="10">
        <v>44</v>
      </c>
      <c r="O18" s="10">
        <v>468845440</v>
      </c>
      <c r="P18" s="11">
        <v>468.84544</v>
      </c>
      <c r="Q18" s="10">
        <v>44</v>
      </c>
      <c r="R18" s="10">
        <v>-53320792</v>
      </c>
      <c r="S18" s="11">
        <v>-53.320792</v>
      </c>
      <c r="T18" s="10">
        <v>69</v>
      </c>
      <c r="U18" s="11">
        <v>44.65876583945606</v>
      </c>
      <c r="V18" s="11">
        <v>460.1834138394561</v>
      </c>
      <c r="W18" s="3"/>
    </row>
    <row x14ac:dyDescent="0.25" r="19" customHeight="1" ht="17.25">
      <c r="A19" s="10">
        <v>17</v>
      </c>
      <c r="B19" s="2" t="s">
        <v>48</v>
      </c>
      <c r="C19" s="10">
        <v>6</v>
      </c>
      <c r="D19" s="10">
        <v>8273202</v>
      </c>
      <c r="E19" s="11">
        <v>8.273202</v>
      </c>
      <c r="F19" s="10">
        <v>1</v>
      </c>
      <c r="G19" s="10">
        <v>2652174</v>
      </c>
      <c r="H19" s="11">
        <v>2.652174</v>
      </c>
      <c r="I19" s="10">
        <v>26</v>
      </c>
      <c r="J19" s="11">
        <v>51.81266706936358</v>
      </c>
      <c r="K19" s="11">
        <v>62.73804306936358</v>
      </c>
      <c r="L19" s="10">
        <v>17</v>
      </c>
      <c r="M19" s="2" t="s">
        <v>49</v>
      </c>
      <c r="N19" s="10">
        <v>41</v>
      </c>
      <c r="O19" s="10">
        <v>296563966</v>
      </c>
      <c r="P19" s="11">
        <v>296.563966</v>
      </c>
      <c r="Q19" s="10">
        <v>25</v>
      </c>
      <c r="R19" s="10">
        <v>105296380</v>
      </c>
      <c r="S19" s="11">
        <v>105.29638</v>
      </c>
      <c r="T19" s="10">
        <v>41</v>
      </c>
      <c r="U19" s="11">
        <v>47.116762559375616</v>
      </c>
      <c r="V19" s="11">
        <v>448.9771085593756</v>
      </c>
      <c r="W19" s="3"/>
    </row>
    <row x14ac:dyDescent="0.25" r="20" customHeight="1" ht="17.25">
      <c r="A20" s="10">
        <v>18</v>
      </c>
      <c r="B20" s="2" t="s">
        <v>50</v>
      </c>
      <c r="C20" s="10">
        <v>12</v>
      </c>
      <c r="D20" s="10">
        <v>11548062</v>
      </c>
      <c r="E20" s="11">
        <v>11.548062</v>
      </c>
      <c r="F20" s="10">
        <v>2</v>
      </c>
      <c r="G20" s="10">
        <v>191974944</v>
      </c>
      <c r="H20" s="11">
        <v>191.974944</v>
      </c>
      <c r="I20" s="10">
        <v>39</v>
      </c>
      <c r="J20" s="11">
        <v>968.3375393607895</v>
      </c>
      <c r="K20" s="11">
        <v>1171.8605453607895</v>
      </c>
      <c r="L20" s="10">
        <v>18</v>
      </c>
      <c r="M20" s="2" t="s">
        <v>51</v>
      </c>
      <c r="N20" s="10">
        <v>4</v>
      </c>
      <c r="O20" s="10">
        <v>349765554</v>
      </c>
      <c r="P20" s="11">
        <v>349.765554</v>
      </c>
      <c r="Q20" s="10">
        <v>8</v>
      </c>
      <c r="R20" s="10">
        <v>37500000</v>
      </c>
      <c r="S20" s="11">
        <v>37.5</v>
      </c>
      <c r="T20" s="10">
        <v>10</v>
      </c>
      <c r="U20" s="11">
        <v>8.063753691918404</v>
      </c>
      <c r="V20" s="11">
        <v>395.3293076919184</v>
      </c>
      <c r="W20" s="3"/>
    </row>
    <row x14ac:dyDescent="0.25" r="21" customHeight="1" ht="17.25">
      <c r="A21" s="10">
        <v>19</v>
      </c>
      <c r="B21" s="2" t="s">
        <v>52</v>
      </c>
      <c r="C21" s="10">
        <v>1</v>
      </c>
      <c r="D21" s="10">
        <v>431044</v>
      </c>
      <c r="E21" s="11">
        <v>0.431044</v>
      </c>
      <c r="F21" s="10">
        <v>0</v>
      </c>
      <c r="G21" s="10">
        <v>0</v>
      </c>
      <c r="H21" s="10">
        <v>0</v>
      </c>
      <c r="I21" s="10">
        <v>0</v>
      </c>
      <c r="J21" s="10">
        <v>0</v>
      </c>
      <c r="K21" s="11">
        <v>0.431044</v>
      </c>
      <c r="L21" s="10">
        <v>19</v>
      </c>
      <c r="M21" s="2" t="s">
        <v>53</v>
      </c>
      <c r="N21" s="10">
        <v>25</v>
      </c>
      <c r="O21" s="10">
        <v>311029668</v>
      </c>
      <c r="P21" s="11">
        <v>311.029668</v>
      </c>
      <c r="Q21" s="10">
        <v>4</v>
      </c>
      <c r="R21" s="10">
        <v>24068422</v>
      </c>
      <c r="S21" s="11">
        <v>24.068422</v>
      </c>
      <c r="T21" s="10">
        <v>22</v>
      </c>
      <c r="U21" s="11">
        <v>14.903750663960547</v>
      </c>
      <c r="V21" s="11">
        <v>350.00184066396054</v>
      </c>
      <c r="W21" s="3"/>
    </row>
    <row x14ac:dyDescent="0.25" r="22" customHeight="1" ht="17.25">
      <c r="A22" s="1" t="s">
        <v>54</v>
      </c>
      <c r="B22" s="2"/>
      <c r="C22" s="10">
        <v>3883</v>
      </c>
      <c r="D22" s="11">
        <v>16745602401.81</v>
      </c>
      <c r="E22" s="11">
        <v>16745.60240181</v>
      </c>
      <c r="F22" s="10">
        <v>1381</v>
      </c>
      <c r="G22" s="11">
        <v>5802027938.87501</v>
      </c>
      <c r="H22" s="11">
        <v>5802.027938875008</v>
      </c>
      <c r="I22" s="10">
        <v>9842</v>
      </c>
      <c r="J22" s="11">
        <v>15471.48191848945</v>
      </c>
      <c r="K22" s="11">
        <v>38019.112259174464</v>
      </c>
      <c r="L22" s="10">
        <v>20</v>
      </c>
      <c r="M22" s="2" t="s">
        <v>55</v>
      </c>
      <c r="N22" s="10">
        <v>33</v>
      </c>
      <c r="O22" s="10">
        <v>142134538</v>
      </c>
      <c r="P22" s="11">
        <v>142.134538</v>
      </c>
      <c r="Q22" s="10">
        <v>12</v>
      </c>
      <c r="R22" s="10">
        <v>190314300</v>
      </c>
      <c r="S22" s="11">
        <v>190.3143</v>
      </c>
      <c r="T22" s="10">
        <v>15</v>
      </c>
      <c r="U22" s="11">
        <v>16.000796650663577</v>
      </c>
      <c r="V22" s="11">
        <v>348.4496346506636</v>
      </c>
      <c r="W22" s="3"/>
    </row>
    <row x14ac:dyDescent="0.25" r="23" customHeight="1" ht="17.25">
      <c r="A23" s="3"/>
      <c r="B23" s="2"/>
      <c r="C23" s="3"/>
      <c r="D23" s="4"/>
      <c r="E23" s="4"/>
      <c r="F23" s="3"/>
      <c r="G23" s="4"/>
      <c r="H23" s="4"/>
      <c r="I23" s="3"/>
      <c r="J23" s="4"/>
      <c r="K23" s="4"/>
      <c r="L23" s="10">
        <v>21</v>
      </c>
      <c r="M23" s="2" t="s">
        <v>56</v>
      </c>
      <c r="N23" s="10">
        <v>12</v>
      </c>
      <c r="O23" s="10">
        <v>293413415</v>
      </c>
      <c r="P23" s="11">
        <v>293.413415</v>
      </c>
      <c r="Q23" s="10">
        <v>5</v>
      </c>
      <c r="R23" s="10">
        <v>27297347</v>
      </c>
      <c r="S23" s="11">
        <v>27.297347</v>
      </c>
      <c r="T23" s="10">
        <v>19</v>
      </c>
      <c r="U23" s="11">
        <v>2.563475515897338</v>
      </c>
      <c r="V23" s="11">
        <v>323.2742375158973</v>
      </c>
      <c r="W23" s="3"/>
    </row>
    <row x14ac:dyDescent="0.25" r="24" customHeight="1" ht="17.25">
      <c r="A24" s="3"/>
      <c r="B24" s="2"/>
      <c r="C24" s="3"/>
      <c r="D24" s="4"/>
      <c r="E24" s="4"/>
      <c r="F24" s="3"/>
      <c r="G24" s="4"/>
      <c r="H24" s="4"/>
      <c r="I24" s="3"/>
      <c r="J24" s="4"/>
      <c r="K24" s="4"/>
      <c r="L24" s="10">
        <v>22</v>
      </c>
      <c r="M24" s="2" t="s">
        <v>57</v>
      </c>
      <c r="N24" s="10">
        <v>11</v>
      </c>
      <c r="O24" s="10">
        <v>312579394</v>
      </c>
      <c r="P24" s="11">
        <v>312.579394</v>
      </c>
      <c r="Q24" s="10">
        <v>0</v>
      </c>
      <c r="R24" s="10">
        <v>0</v>
      </c>
      <c r="S24" s="10">
        <v>0</v>
      </c>
      <c r="T24" s="10">
        <v>10</v>
      </c>
      <c r="U24" s="11">
        <v>2.4710068104347784</v>
      </c>
      <c r="V24" s="11">
        <v>315.0504008104348</v>
      </c>
      <c r="W24" s="3"/>
    </row>
    <row x14ac:dyDescent="0.25" r="25" customHeight="1" ht="17.25">
      <c r="A25" s="3"/>
      <c r="B25" s="2"/>
      <c r="C25" s="3"/>
      <c r="D25" s="4"/>
      <c r="E25" s="4"/>
      <c r="F25" s="3"/>
      <c r="G25" s="4"/>
      <c r="H25" s="4"/>
      <c r="I25" s="3"/>
      <c r="J25" s="4"/>
      <c r="K25" s="4"/>
      <c r="L25" s="10">
        <v>23</v>
      </c>
      <c r="M25" s="2" t="s">
        <v>58</v>
      </c>
      <c r="N25" s="10">
        <v>16</v>
      </c>
      <c r="O25" s="10">
        <v>171003832</v>
      </c>
      <c r="P25" s="11">
        <v>171.003832</v>
      </c>
      <c r="Q25" s="10">
        <v>1</v>
      </c>
      <c r="R25" s="10">
        <v>13500000</v>
      </c>
      <c r="S25" s="11">
        <v>13.5</v>
      </c>
      <c r="T25" s="10">
        <v>27</v>
      </c>
      <c r="U25" s="11">
        <v>57.60690069565216</v>
      </c>
      <c r="V25" s="11">
        <v>242.11073269565213</v>
      </c>
      <c r="W25" s="3"/>
    </row>
    <row x14ac:dyDescent="0.25" r="26" customHeight="1" ht="17.25">
      <c r="A26" s="3"/>
      <c r="B26" s="2"/>
      <c r="C26" s="3"/>
      <c r="D26" s="4"/>
      <c r="E26" s="4"/>
      <c r="F26" s="3"/>
      <c r="G26" s="4"/>
      <c r="H26" s="4"/>
      <c r="I26" s="3"/>
      <c r="J26" s="4"/>
      <c r="K26" s="4"/>
      <c r="L26" s="10">
        <v>24</v>
      </c>
      <c r="M26" s="2" t="s">
        <v>59</v>
      </c>
      <c r="N26" s="10">
        <v>1</v>
      </c>
      <c r="O26" s="10">
        <v>216752174</v>
      </c>
      <c r="P26" s="11">
        <v>216.752174</v>
      </c>
      <c r="Q26" s="10">
        <v>1</v>
      </c>
      <c r="R26" s="10">
        <v>-250000</v>
      </c>
      <c r="S26" s="11">
        <v>-0.25</v>
      </c>
      <c r="T26" s="10">
        <v>2</v>
      </c>
      <c r="U26" s="11">
        <v>0.0649821806167401</v>
      </c>
      <c r="V26" s="11">
        <v>216.56715618061673</v>
      </c>
      <c r="W26" s="3"/>
    </row>
    <row x14ac:dyDescent="0.25" r="27" customHeight="1" ht="17.25">
      <c r="A27" s="3"/>
      <c r="B27" s="2"/>
      <c r="C27" s="3"/>
      <c r="D27" s="4"/>
      <c r="E27" s="4"/>
      <c r="F27" s="3"/>
      <c r="G27" s="4"/>
      <c r="H27" s="4"/>
      <c r="I27" s="3"/>
      <c r="J27" s="4"/>
      <c r="K27" s="4"/>
      <c r="L27" s="10">
        <v>25</v>
      </c>
      <c r="M27" s="2" t="s">
        <v>60</v>
      </c>
      <c r="N27" s="10">
        <v>8</v>
      </c>
      <c r="O27" s="10">
        <v>109714617</v>
      </c>
      <c r="P27" s="11">
        <v>109.714617</v>
      </c>
      <c r="Q27" s="10">
        <v>1</v>
      </c>
      <c r="R27" s="10">
        <v>600000</v>
      </c>
      <c r="S27" s="11">
        <v>0.6</v>
      </c>
      <c r="T27" s="10">
        <v>128</v>
      </c>
      <c r="U27" s="11">
        <v>89.172538934525</v>
      </c>
      <c r="V27" s="11">
        <v>199.487155934525</v>
      </c>
      <c r="W27" s="3"/>
    </row>
    <row x14ac:dyDescent="0.25" r="28" customHeight="1" ht="17.25">
      <c r="A28" s="3"/>
      <c r="B28" s="2"/>
      <c r="C28" s="3"/>
      <c r="D28" s="4"/>
      <c r="E28" s="4"/>
      <c r="F28" s="3"/>
      <c r="G28" s="4"/>
      <c r="H28" s="4"/>
      <c r="I28" s="3"/>
      <c r="J28" s="4"/>
      <c r="K28" s="4"/>
      <c r="L28" s="10">
        <v>26</v>
      </c>
      <c r="M28" s="2" t="s">
        <v>61</v>
      </c>
      <c r="N28" s="10">
        <v>26</v>
      </c>
      <c r="O28" s="10">
        <v>158421761</v>
      </c>
      <c r="P28" s="11">
        <v>158.421761</v>
      </c>
      <c r="Q28" s="10">
        <v>10</v>
      </c>
      <c r="R28" s="10">
        <v>-9251521</v>
      </c>
      <c r="S28" s="11">
        <v>-9.251521</v>
      </c>
      <c r="T28" s="10">
        <v>34</v>
      </c>
      <c r="U28" s="11">
        <v>31.524898473248438</v>
      </c>
      <c r="V28" s="11">
        <v>180.69513847324845</v>
      </c>
      <c r="W28" s="3"/>
    </row>
    <row x14ac:dyDescent="0.25" r="29" customHeight="1" ht="17.25">
      <c r="A29" s="3"/>
      <c r="B29" s="2"/>
      <c r="C29" s="3"/>
      <c r="D29" s="4"/>
      <c r="E29" s="4"/>
      <c r="F29" s="3"/>
      <c r="G29" s="4"/>
      <c r="H29" s="4"/>
      <c r="I29" s="3"/>
      <c r="J29" s="4"/>
      <c r="K29" s="4"/>
      <c r="L29" s="10">
        <v>27</v>
      </c>
      <c r="M29" s="2" t="s">
        <v>62</v>
      </c>
      <c r="N29" s="10">
        <v>8</v>
      </c>
      <c r="O29" s="10">
        <v>155853465</v>
      </c>
      <c r="P29" s="11">
        <v>155.853465</v>
      </c>
      <c r="Q29" s="10">
        <v>2</v>
      </c>
      <c r="R29" s="10">
        <v>2095000</v>
      </c>
      <c r="S29" s="11">
        <v>2.095</v>
      </c>
      <c r="T29" s="10">
        <v>28</v>
      </c>
      <c r="U29" s="11">
        <v>22.219010962076197</v>
      </c>
      <c r="V29" s="11">
        <v>180.1674759620762</v>
      </c>
      <c r="W29" s="3"/>
    </row>
    <row x14ac:dyDescent="0.25" r="30" customHeight="1" ht="17.25">
      <c r="A30" s="3"/>
      <c r="B30" s="2"/>
      <c r="C30" s="3"/>
      <c r="D30" s="4"/>
      <c r="E30" s="4"/>
      <c r="F30" s="3"/>
      <c r="G30" s="4"/>
      <c r="H30" s="4"/>
      <c r="I30" s="3"/>
      <c r="J30" s="4"/>
      <c r="K30" s="4"/>
      <c r="L30" s="10">
        <v>28</v>
      </c>
      <c r="M30" s="2" t="s">
        <v>63</v>
      </c>
      <c r="N30" s="10">
        <v>18</v>
      </c>
      <c r="O30" s="10">
        <v>131573101</v>
      </c>
      <c r="P30" s="11">
        <v>131.573101</v>
      </c>
      <c r="Q30" s="10">
        <v>3</v>
      </c>
      <c r="R30" s="10">
        <v>6700000</v>
      </c>
      <c r="S30" s="11">
        <v>6.7</v>
      </c>
      <c r="T30" s="10">
        <v>9</v>
      </c>
      <c r="U30" s="11">
        <v>12.222562539168749</v>
      </c>
      <c r="V30" s="11">
        <v>150.49566353916873</v>
      </c>
      <c r="W30" s="3"/>
    </row>
    <row x14ac:dyDescent="0.25" r="31" customHeight="1" ht="17.25">
      <c r="A31" s="3"/>
      <c r="B31" s="2"/>
      <c r="C31" s="3"/>
      <c r="D31" s="4"/>
      <c r="E31" s="4"/>
      <c r="F31" s="3"/>
      <c r="G31" s="4"/>
      <c r="H31" s="4"/>
      <c r="I31" s="3"/>
      <c r="J31" s="4"/>
      <c r="K31" s="4"/>
      <c r="L31" s="10">
        <v>29</v>
      </c>
      <c r="M31" s="2" t="s">
        <v>64</v>
      </c>
      <c r="N31" s="10">
        <v>7</v>
      </c>
      <c r="O31" s="10">
        <v>120007913</v>
      </c>
      <c r="P31" s="11">
        <v>120.007913</v>
      </c>
      <c r="Q31" s="10">
        <v>3</v>
      </c>
      <c r="R31" s="10">
        <v>23036600</v>
      </c>
      <c r="S31" s="11">
        <v>23.0366</v>
      </c>
      <c r="T31" s="10">
        <v>10</v>
      </c>
      <c r="U31" s="11">
        <v>4.917317173153802</v>
      </c>
      <c r="V31" s="11">
        <v>147.9618301731538</v>
      </c>
      <c r="W31" s="3"/>
    </row>
    <row x14ac:dyDescent="0.25" r="32" customHeight="1" ht="17.25">
      <c r="A32" s="3"/>
      <c r="B32" s="2"/>
      <c r="C32" s="3"/>
      <c r="D32" s="4"/>
      <c r="E32" s="4"/>
      <c r="F32" s="3"/>
      <c r="G32" s="4"/>
      <c r="H32" s="4"/>
      <c r="I32" s="3"/>
      <c r="J32" s="4"/>
      <c r="K32" s="4"/>
      <c r="L32" s="10">
        <v>30</v>
      </c>
      <c r="M32" s="2" t="s">
        <v>65</v>
      </c>
      <c r="N32" s="10">
        <v>4</v>
      </c>
      <c r="O32" s="10">
        <v>49500000</v>
      </c>
      <c r="P32" s="11">
        <v>49.5</v>
      </c>
      <c r="Q32" s="10">
        <v>5</v>
      </c>
      <c r="R32" s="10">
        <v>63400000</v>
      </c>
      <c r="S32" s="11">
        <v>63.4</v>
      </c>
      <c r="T32" s="10">
        <v>2</v>
      </c>
      <c r="U32" s="11">
        <v>21.871514521739158</v>
      </c>
      <c r="V32" s="11">
        <v>134.77151452173916</v>
      </c>
      <c r="W32" s="3"/>
    </row>
    <row x14ac:dyDescent="0.25" r="33" customHeight="1" ht="17.25">
      <c r="A33" s="3"/>
      <c r="B33" s="2"/>
      <c r="C33" s="3"/>
      <c r="D33" s="4"/>
      <c r="E33" s="4"/>
      <c r="F33" s="3"/>
      <c r="G33" s="4"/>
      <c r="H33" s="4"/>
      <c r="I33" s="3"/>
      <c r="J33" s="4"/>
      <c r="K33" s="4"/>
      <c r="L33" s="10">
        <v>31</v>
      </c>
      <c r="M33" s="2" t="s">
        <v>66</v>
      </c>
      <c r="N33" s="10">
        <v>3</v>
      </c>
      <c r="O33" s="10">
        <v>114628839</v>
      </c>
      <c r="P33" s="11">
        <v>114.628839</v>
      </c>
      <c r="Q33" s="10">
        <v>0</v>
      </c>
      <c r="R33" s="10">
        <v>0</v>
      </c>
      <c r="S33" s="10">
        <v>0</v>
      </c>
      <c r="T33" s="10">
        <v>10</v>
      </c>
      <c r="U33" s="11">
        <v>15.547659173913045</v>
      </c>
      <c r="V33" s="11">
        <v>130.17649817391305</v>
      </c>
      <c r="W33" s="3"/>
    </row>
    <row x14ac:dyDescent="0.25" r="34" customHeight="1" ht="17.25">
      <c r="A34" s="3"/>
      <c r="B34" s="2"/>
      <c r="C34" s="3"/>
      <c r="D34" s="4"/>
      <c r="E34" s="4"/>
      <c r="F34" s="3"/>
      <c r="G34" s="4"/>
      <c r="H34" s="4"/>
      <c r="I34" s="3"/>
      <c r="J34" s="4"/>
      <c r="K34" s="4"/>
      <c r="L34" s="10">
        <v>32</v>
      </c>
      <c r="M34" s="2" t="s">
        <v>67</v>
      </c>
      <c r="N34" s="10">
        <v>2</v>
      </c>
      <c r="O34" s="10">
        <v>113468460</v>
      </c>
      <c r="P34" s="11">
        <v>113.46846</v>
      </c>
      <c r="Q34" s="10">
        <v>0</v>
      </c>
      <c r="R34" s="10">
        <v>0</v>
      </c>
      <c r="S34" s="10">
        <v>0</v>
      </c>
      <c r="T34" s="10">
        <v>2</v>
      </c>
      <c r="U34" s="11">
        <v>0.6791304347826079</v>
      </c>
      <c r="V34" s="11">
        <v>114.1475904347826</v>
      </c>
      <c r="W34" s="3"/>
    </row>
    <row x14ac:dyDescent="0.25" r="35" customHeight="1" ht="17.25">
      <c r="A35" s="3"/>
      <c r="B35" s="2"/>
      <c r="C35" s="3"/>
      <c r="D35" s="4"/>
      <c r="E35" s="4"/>
      <c r="F35" s="3"/>
      <c r="G35" s="4"/>
      <c r="H35" s="4"/>
      <c r="I35" s="3"/>
      <c r="J35" s="4"/>
      <c r="K35" s="4"/>
      <c r="L35" s="10">
        <v>33</v>
      </c>
      <c r="M35" s="2" t="s">
        <v>68</v>
      </c>
      <c r="N35" s="10">
        <v>5</v>
      </c>
      <c r="O35" s="10">
        <v>112053943</v>
      </c>
      <c r="P35" s="11">
        <v>112.053943</v>
      </c>
      <c r="Q35" s="10">
        <v>0</v>
      </c>
      <c r="R35" s="10">
        <v>0</v>
      </c>
      <c r="S35" s="10">
        <v>0</v>
      </c>
      <c r="T35" s="10">
        <v>2</v>
      </c>
      <c r="U35" s="11">
        <v>0.2815217391304351</v>
      </c>
      <c r="V35" s="11">
        <v>112.33546473913044</v>
      </c>
      <c r="W35" s="3"/>
    </row>
    <row x14ac:dyDescent="0.25" r="36" customHeight="1" ht="17.25">
      <c r="A36" s="3"/>
      <c r="B36" s="2"/>
      <c r="C36" s="3"/>
      <c r="D36" s="4"/>
      <c r="E36" s="4"/>
      <c r="F36" s="3"/>
      <c r="G36" s="4"/>
      <c r="H36" s="4"/>
      <c r="I36" s="3"/>
      <c r="J36" s="4"/>
      <c r="K36" s="4"/>
      <c r="L36" s="10">
        <v>34</v>
      </c>
      <c r="M36" s="2" t="s">
        <v>69</v>
      </c>
      <c r="N36" s="10">
        <v>4</v>
      </c>
      <c r="O36" s="10">
        <v>99470000</v>
      </c>
      <c r="P36" s="11">
        <v>99.47</v>
      </c>
      <c r="Q36" s="10">
        <v>0</v>
      </c>
      <c r="R36" s="10">
        <v>0</v>
      </c>
      <c r="S36" s="10">
        <v>0</v>
      </c>
      <c r="T36" s="10">
        <v>7</v>
      </c>
      <c r="U36" s="11">
        <v>11.016250637869568</v>
      </c>
      <c r="V36" s="11">
        <v>110.48625063786957</v>
      </c>
      <c r="W36" s="3"/>
    </row>
    <row x14ac:dyDescent="0.25" r="37" customHeight="1" ht="17.25">
      <c r="A37" s="3"/>
      <c r="B37" s="2"/>
      <c r="C37" s="3"/>
      <c r="D37" s="4"/>
      <c r="E37" s="4"/>
      <c r="F37" s="3"/>
      <c r="G37" s="4"/>
      <c r="H37" s="4"/>
      <c r="I37" s="3"/>
      <c r="J37" s="4"/>
      <c r="K37" s="4"/>
      <c r="L37" s="10">
        <v>35</v>
      </c>
      <c r="M37" s="2" t="s">
        <v>70</v>
      </c>
      <c r="N37" s="10">
        <v>6</v>
      </c>
      <c r="O37" s="10">
        <v>80562794</v>
      </c>
      <c r="P37" s="11">
        <v>80.562794</v>
      </c>
      <c r="Q37" s="10">
        <v>3</v>
      </c>
      <c r="R37" s="10">
        <v>-14486847</v>
      </c>
      <c r="S37" s="11">
        <v>-14.486847</v>
      </c>
      <c r="T37" s="10">
        <v>14</v>
      </c>
      <c r="U37" s="11">
        <v>24.57937938001915</v>
      </c>
      <c r="V37" s="11">
        <v>90.65532638001915</v>
      </c>
      <c r="W37" s="3"/>
    </row>
    <row x14ac:dyDescent="0.25" r="38" customHeight="1" ht="17.25">
      <c r="A38" s="3"/>
      <c r="B38" s="2"/>
      <c r="C38" s="3"/>
      <c r="D38" s="4"/>
      <c r="E38" s="4"/>
      <c r="F38" s="3"/>
      <c r="G38" s="4"/>
      <c r="H38" s="4"/>
      <c r="I38" s="3"/>
      <c r="J38" s="4"/>
      <c r="K38" s="4"/>
      <c r="L38" s="10">
        <v>36</v>
      </c>
      <c r="M38" s="2" t="s">
        <v>71</v>
      </c>
      <c r="N38" s="10">
        <v>2</v>
      </c>
      <c r="O38" s="10">
        <v>79500000</v>
      </c>
      <c r="P38" s="11">
        <v>79.5</v>
      </c>
      <c r="Q38" s="10">
        <v>0</v>
      </c>
      <c r="R38" s="10">
        <v>0</v>
      </c>
      <c r="S38" s="10">
        <v>0</v>
      </c>
      <c r="T38" s="10">
        <v>2</v>
      </c>
      <c r="U38" s="11">
        <v>0.7132447826086961</v>
      </c>
      <c r="V38" s="11">
        <v>80.2132447826087</v>
      </c>
      <c r="W38" s="3"/>
    </row>
    <row x14ac:dyDescent="0.25" r="39" customHeight="1" ht="17.25">
      <c r="A39" s="3"/>
      <c r="B39" s="2"/>
      <c r="C39" s="3"/>
      <c r="D39" s="4"/>
      <c r="E39" s="4"/>
      <c r="F39" s="3"/>
      <c r="G39" s="4"/>
      <c r="H39" s="4"/>
      <c r="I39" s="3"/>
      <c r="J39" s="4"/>
      <c r="K39" s="4"/>
      <c r="L39" s="10">
        <v>37</v>
      </c>
      <c r="M39" s="2" t="s">
        <v>72</v>
      </c>
      <c r="N39" s="10">
        <v>2</v>
      </c>
      <c r="O39" s="10">
        <v>69700000</v>
      </c>
      <c r="P39" s="11">
        <v>69.7</v>
      </c>
      <c r="Q39" s="10">
        <v>0</v>
      </c>
      <c r="R39" s="10">
        <v>0</v>
      </c>
      <c r="S39" s="10">
        <v>0</v>
      </c>
      <c r="T39" s="10">
        <v>3</v>
      </c>
      <c r="U39" s="11">
        <v>1.339130434782612</v>
      </c>
      <c r="V39" s="11">
        <v>71.03913043478262</v>
      </c>
      <c r="W39" s="3"/>
    </row>
    <row x14ac:dyDescent="0.25" r="40" customHeight="1" ht="17.25">
      <c r="A40" s="3"/>
      <c r="B40" s="2"/>
      <c r="C40" s="3"/>
      <c r="D40" s="4"/>
      <c r="E40" s="4"/>
      <c r="F40" s="3"/>
      <c r="G40" s="4"/>
      <c r="H40" s="4"/>
      <c r="I40" s="3"/>
      <c r="J40" s="4"/>
      <c r="K40" s="4"/>
      <c r="L40" s="10">
        <v>38</v>
      </c>
      <c r="M40" s="2" t="s">
        <v>73</v>
      </c>
      <c r="N40" s="10">
        <v>7</v>
      </c>
      <c r="O40" s="10">
        <v>42732556</v>
      </c>
      <c r="P40" s="11">
        <v>42.732556</v>
      </c>
      <c r="Q40" s="10">
        <v>3</v>
      </c>
      <c r="R40" s="10">
        <v>238763</v>
      </c>
      <c r="S40" s="11">
        <v>0.238763</v>
      </c>
      <c r="T40" s="10">
        <v>18</v>
      </c>
      <c r="U40" s="11">
        <v>25.82097994782609</v>
      </c>
      <c r="V40" s="11">
        <v>68.79229894782608</v>
      </c>
      <c r="W40" s="3"/>
    </row>
    <row x14ac:dyDescent="0.25" r="41" customHeight="1" ht="17.25">
      <c r="A41" s="3"/>
      <c r="B41" s="2"/>
      <c r="C41" s="3"/>
      <c r="D41" s="4"/>
      <c r="E41" s="4"/>
      <c r="F41" s="3"/>
      <c r="G41" s="4"/>
      <c r="H41" s="4"/>
      <c r="I41" s="3"/>
      <c r="J41" s="4"/>
      <c r="K41" s="4"/>
      <c r="L41" s="10">
        <v>39</v>
      </c>
      <c r="M41" s="2" t="s">
        <v>74</v>
      </c>
      <c r="N41" s="10">
        <v>7</v>
      </c>
      <c r="O41" s="10">
        <v>28541409</v>
      </c>
      <c r="P41" s="11">
        <v>28.541409</v>
      </c>
      <c r="Q41" s="10">
        <v>5</v>
      </c>
      <c r="R41" s="10">
        <v>28274271</v>
      </c>
      <c r="S41" s="11">
        <v>28.274271</v>
      </c>
      <c r="T41" s="10">
        <v>13</v>
      </c>
      <c r="U41" s="11">
        <v>9.516781126347444</v>
      </c>
      <c r="V41" s="11">
        <v>66.33246112634744</v>
      </c>
      <c r="W41" s="3"/>
    </row>
    <row x14ac:dyDescent="0.25" r="42" customHeight="1" ht="17.25">
      <c r="A42" s="3"/>
      <c r="B42" s="2"/>
      <c r="C42" s="3"/>
      <c r="D42" s="4"/>
      <c r="E42" s="4"/>
      <c r="F42" s="3"/>
      <c r="G42" s="4"/>
      <c r="H42" s="4"/>
      <c r="I42" s="3"/>
      <c r="J42" s="4"/>
      <c r="K42" s="4"/>
      <c r="L42" s="10">
        <v>40</v>
      </c>
      <c r="M42" s="2" t="s">
        <v>75</v>
      </c>
      <c r="N42" s="10">
        <v>2</v>
      </c>
      <c r="O42" s="10">
        <v>57924629</v>
      </c>
      <c r="P42" s="11">
        <v>57.924629</v>
      </c>
      <c r="Q42" s="10">
        <v>1</v>
      </c>
      <c r="R42" s="10">
        <v>1600000</v>
      </c>
      <c r="S42" s="11">
        <v>1.6</v>
      </c>
      <c r="T42" s="10">
        <v>9</v>
      </c>
      <c r="U42" s="11">
        <v>5.855287189810387</v>
      </c>
      <c r="V42" s="11">
        <v>65.37991618981039</v>
      </c>
      <c r="W42" s="3"/>
    </row>
    <row x14ac:dyDescent="0.25" r="43" customHeight="1" ht="17.25">
      <c r="A43" s="3"/>
      <c r="B43" s="2"/>
      <c r="C43" s="3"/>
      <c r="D43" s="4"/>
      <c r="E43" s="4"/>
      <c r="F43" s="3"/>
      <c r="G43" s="4"/>
      <c r="H43" s="4"/>
      <c r="I43" s="3"/>
      <c r="J43" s="4"/>
      <c r="K43" s="4"/>
      <c r="L43" s="10">
        <v>41</v>
      </c>
      <c r="M43" s="2" t="s">
        <v>76</v>
      </c>
      <c r="N43" s="10">
        <v>9</v>
      </c>
      <c r="O43" s="10">
        <v>21766200</v>
      </c>
      <c r="P43" s="11">
        <v>21.7662</v>
      </c>
      <c r="Q43" s="10">
        <v>5</v>
      </c>
      <c r="R43" s="10">
        <v>5540330</v>
      </c>
      <c r="S43" s="11">
        <v>5.54033</v>
      </c>
      <c r="T43" s="10">
        <v>19</v>
      </c>
      <c r="U43" s="11">
        <v>37.416044029565235</v>
      </c>
      <c r="V43" s="11">
        <v>64.72257402956524</v>
      </c>
      <c r="W43" s="3"/>
    </row>
    <row x14ac:dyDescent="0.25" r="44" customHeight="1" ht="17.25">
      <c r="A44" s="3"/>
      <c r="B44" s="2"/>
      <c r="C44" s="3"/>
      <c r="D44" s="4"/>
      <c r="E44" s="4"/>
      <c r="F44" s="3"/>
      <c r="G44" s="4"/>
      <c r="H44" s="4"/>
      <c r="I44" s="3"/>
      <c r="J44" s="4"/>
      <c r="K44" s="4"/>
      <c r="L44" s="10">
        <v>42</v>
      </c>
      <c r="M44" s="2" t="s">
        <v>77</v>
      </c>
      <c r="N44" s="10">
        <v>3</v>
      </c>
      <c r="O44" s="10">
        <v>16500000</v>
      </c>
      <c r="P44" s="11">
        <v>16.5</v>
      </c>
      <c r="Q44" s="10">
        <v>2</v>
      </c>
      <c r="R44" s="10">
        <v>4000000</v>
      </c>
      <c r="S44" s="10">
        <v>4</v>
      </c>
      <c r="T44" s="10">
        <v>10</v>
      </c>
      <c r="U44" s="11">
        <v>39.236911388452405</v>
      </c>
      <c r="V44" s="11">
        <v>59.736911388452405</v>
      </c>
      <c r="W44" s="3"/>
    </row>
    <row x14ac:dyDescent="0.25" r="45" customHeight="1" ht="17.25">
      <c r="A45" s="3"/>
      <c r="B45" s="2"/>
      <c r="C45" s="3"/>
      <c r="D45" s="4"/>
      <c r="E45" s="4"/>
      <c r="F45" s="3"/>
      <c r="G45" s="4"/>
      <c r="H45" s="4"/>
      <c r="I45" s="3"/>
      <c r="J45" s="4"/>
      <c r="K45" s="4"/>
      <c r="L45" s="10">
        <v>43</v>
      </c>
      <c r="M45" s="2" t="s">
        <v>78</v>
      </c>
      <c r="N45" s="10">
        <v>7</v>
      </c>
      <c r="O45" s="10">
        <v>14313801</v>
      </c>
      <c r="P45" s="11">
        <v>14.313801</v>
      </c>
      <c r="Q45" s="10">
        <v>0</v>
      </c>
      <c r="R45" s="10">
        <v>0</v>
      </c>
      <c r="S45" s="10">
        <v>0</v>
      </c>
      <c r="T45" s="10">
        <v>22</v>
      </c>
      <c r="U45" s="11">
        <v>18.327568525292296</v>
      </c>
      <c r="V45" s="11">
        <v>32.6413695252923</v>
      </c>
      <c r="W45" s="3"/>
    </row>
    <row x14ac:dyDescent="0.25" r="46" customHeight="1" ht="17.25">
      <c r="A46" s="3"/>
      <c r="B46" s="2"/>
      <c r="C46" s="3"/>
      <c r="D46" s="4"/>
      <c r="E46" s="4"/>
      <c r="F46" s="3"/>
      <c r="G46" s="4"/>
      <c r="H46" s="4"/>
      <c r="I46" s="3"/>
      <c r="J46" s="4"/>
      <c r="K46" s="4"/>
      <c r="L46" s="10">
        <v>44</v>
      </c>
      <c r="M46" s="2" t="s">
        <v>79</v>
      </c>
      <c r="N46" s="10">
        <v>3</v>
      </c>
      <c r="O46" s="10">
        <v>9058843</v>
      </c>
      <c r="P46" s="11">
        <v>9.058843</v>
      </c>
      <c r="Q46" s="10">
        <v>3</v>
      </c>
      <c r="R46" s="10">
        <v>1365097</v>
      </c>
      <c r="S46" s="11">
        <v>1.365097</v>
      </c>
      <c r="T46" s="10">
        <v>69</v>
      </c>
      <c r="U46" s="11">
        <v>14.060151173489185</v>
      </c>
      <c r="V46" s="11">
        <v>24.484091173489183</v>
      </c>
      <c r="W46" s="3"/>
    </row>
    <row x14ac:dyDescent="0.25" r="47" customHeight="1" ht="17.25">
      <c r="A47" s="3"/>
      <c r="B47" s="2"/>
      <c r="C47" s="3"/>
      <c r="D47" s="4"/>
      <c r="E47" s="4"/>
      <c r="F47" s="3"/>
      <c r="G47" s="4"/>
      <c r="H47" s="4"/>
      <c r="I47" s="3"/>
      <c r="J47" s="4"/>
      <c r="K47" s="4"/>
      <c r="L47" s="10">
        <v>45</v>
      </c>
      <c r="M47" s="2" t="s">
        <v>80</v>
      </c>
      <c r="N47" s="10">
        <v>5</v>
      </c>
      <c r="O47" s="10">
        <v>8936123</v>
      </c>
      <c r="P47" s="11">
        <v>8.936123</v>
      </c>
      <c r="Q47" s="10">
        <v>1</v>
      </c>
      <c r="R47" s="10">
        <v>8669000</v>
      </c>
      <c r="S47" s="11">
        <v>8.669</v>
      </c>
      <c r="T47" s="10">
        <v>20</v>
      </c>
      <c r="U47" s="11">
        <v>3.0630293616165467</v>
      </c>
      <c r="V47" s="11">
        <v>20.668152361616546</v>
      </c>
      <c r="W47" s="3"/>
    </row>
    <row x14ac:dyDescent="0.25" r="48" customHeight="1" ht="17.25">
      <c r="A48" s="3"/>
      <c r="B48" s="2"/>
      <c r="C48" s="3"/>
      <c r="D48" s="4"/>
      <c r="E48" s="4"/>
      <c r="F48" s="3"/>
      <c r="G48" s="4"/>
      <c r="H48" s="4"/>
      <c r="I48" s="3"/>
      <c r="J48" s="4"/>
      <c r="K48" s="4"/>
      <c r="L48" s="10">
        <v>46</v>
      </c>
      <c r="M48" s="2" t="s">
        <v>81</v>
      </c>
      <c r="N48" s="10">
        <v>1</v>
      </c>
      <c r="O48" s="10">
        <v>20000000</v>
      </c>
      <c r="P48" s="10">
        <v>20</v>
      </c>
      <c r="Q48" s="10">
        <v>0</v>
      </c>
      <c r="R48" s="10">
        <v>0</v>
      </c>
      <c r="S48" s="10">
        <v>0</v>
      </c>
      <c r="T48" s="10">
        <v>0</v>
      </c>
      <c r="U48" s="10">
        <v>0</v>
      </c>
      <c r="V48" s="10">
        <v>20</v>
      </c>
      <c r="W48" s="3"/>
    </row>
    <row x14ac:dyDescent="0.25" r="49" customHeight="1" ht="17.25">
      <c r="A49" s="3"/>
      <c r="B49" s="2"/>
      <c r="C49" s="3"/>
      <c r="D49" s="4"/>
      <c r="E49" s="4"/>
      <c r="F49" s="3"/>
      <c r="G49" s="4"/>
      <c r="H49" s="4"/>
      <c r="I49" s="3"/>
      <c r="J49" s="4"/>
      <c r="K49" s="4"/>
      <c r="L49" s="10">
        <v>47</v>
      </c>
      <c r="M49" s="2" t="s">
        <v>82</v>
      </c>
      <c r="N49" s="10">
        <v>6</v>
      </c>
      <c r="O49" s="10">
        <v>13899000</v>
      </c>
      <c r="P49" s="11">
        <v>13.899</v>
      </c>
      <c r="Q49" s="10">
        <v>0</v>
      </c>
      <c r="R49" s="10">
        <v>0</v>
      </c>
      <c r="S49" s="10">
        <v>0</v>
      </c>
      <c r="T49" s="10">
        <v>4</v>
      </c>
      <c r="U49" s="11">
        <v>2.699415</v>
      </c>
      <c r="V49" s="11">
        <v>16.598415</v>
      </c>
      <c r="W49" s="3"/>
    </row>
    <row x14ac:dyDescent="0.25" r="50" customHeight="1" ht="17.25">
      <c r="A50" s="3"/>
      <c r="B50" s="2"/>
      <c r="C50" s="3"/>
      <c r="D50" s="4"/>
      <c r="E50" s="4"/>
      <c r="F50" s="3"/>
      <c r="G50" s="4"/>
      <c r="H50" s="4"/>
      <c r="I50" s="3"/>
      <c r="J50" s="4"/>
      <c r="K50" s="4"/>
      <c r="L50" s="10">
        <v>48</v>
      </c>
      <c r="M50" s="2" t="s">
        <v>83</v>
      </c>
      <c r="N50" s="10">
        <v>2</v>
      </c>
      <c r="O50" s="10">
        <v>11505000</v>
      </c>
      <c r="P50" s="11">
        <v>11.505</v>
      </c>
      <c r="Q50" s="10">
        <v>0</v>
      </c>
      <c r="R50" s="10">
        <v>0</v>
      </c>
      <c r="S50" s="10">
        <v>0</v>
      </c>
      <c r="T50" s="10">
        <v>4</v>
      </c>
      <c r="U50" s="11">
        <v>1.519915347826087</v>
      </c>
      <c r="V50" s="11">
        <v>13.024915347826088</v>
      </c>
      <c r="W50" s="3"/>
    </row>
    <row x14ac:dyDescent="0.25" r="51" customHeight="1" ht="17.25">
      <c r="A51" s="3"/>
      <c r="B51" s="2"/>
      <c r="C51" s="3"/>
      <c r="D51" s="4"/>
      <c r="E51" s="4"/>
      <c r="F51" s="3"/>
      <c r="G51" s="4"/>
      <c r="H51" s="4"/>
      <c r="I51" s="3"/>
      <c r="J51" s="4"/>
      <c r="K51" s="4"/>
      <c r="L51" s="10">
        <v>49</v>
      </c>
      <c r="M51" s="2" t="s">
        <v>84</v>
      </c>
      <c r="N51" s="10">
        <v>3</v>
      </c>
      <c r="O51" s="10">
        <v>4426773</v>
      </c>
      <c r="P51" s="11">
        <v>4.426773</v>
      </c>
      <c r="Q51" s="10">
        <v>1</v>
      </c>
      <c r="R51" s="10">
        <v>1112002</v>
      </c>
      <c r="S51" s="11">
        <v>1.112002</v>
      </c>
      <c r="T51" s="10">
        <v>7</v>
      </c>
      <c r="U51" s="11">
        <v>1.75739472</v>
      </c>
      <c r="V51" s="11">
        <v>7.296169719999999</v>
      </c>
      <c r="W51" s="3"/>
    </row>
    <row x14ac:dyDescent="0.25" r="52" customHeight="1" ht="17.25">
      <c r="A52" s="3"/>
      <c r="B52" s="2"/>
      <c r="C52" s="3"/>
      <c r="D52" s="4"/>
      <c r="E52" s="4"/>
      <c r="F52" s="3"/>
      <c r="G52" s="4"/>
      <c r="H52" s="4"/>
      <c r="I52" s="3"/>
      <c r="J52" s="4"/>
      <c r="K52" s="4"/>
      <c r="L52" s="10">
        <v>50</v>
      </c>
      <c r="M52" s="2" t="s">
        <v>85</v>
      </c>
      <c r="N52" s="10">
        <v>1</v>
      </c>
      <c r="O52" s="10">
        <v>775000</v>
      </c>
      <c r="P52" s="11">
        <v>0.775</v>
      </c>
      <c r="Q52" s="10">
        <v>0</v>
      </c>
      <c r="R52" s="10">
        <v>0</v>
      </c>
      <c r="S52" s="10">
        <v>0</v>
      </c>
      <c r="T52" s="10">
        <v>2</v>
      </c>
      <c r="U52" s="11">
        <v>4.852633190869566</v>
      </c>
      <c r="V52" s="11">
        <v>5.627633190869567</v>
      </c>
      <c r="W52" s="3"/>
    </row>
    <row x14ac:dyDescent="0.25" r="53" customHeight="1" ht="17.25">
      <c r="A53" s="3"/>
      <c r="B53" s="2"/>
      <c r="C53" s="3"/>
      <c r="D53" s="4"/>
      <c r="E53" s="4"/>
      <c r="F53" s="3"/>
      <c r="G53" s="4"/>
      <c r="H53" s="4"/>
      <c r="I53" s="3"/>
      <c r="J53" s="4"/>
      <c r="K53" s="4"/>
      <c r="L53" s="10">
        <v>51</v>
      </c>
      <c r="M53" s="2" t="s">
        <v>86</v>
      </c>
      <c r="N53" s="10">
        <v>1</v>
      </c>
      <c r="O53" s="11">
        <v>4321532.81</v>
      </c>
      <c r="P53" s="11">
        <v>4.32153281</v>
      </c>
      <c r="Q53" s="10">
        <v>0</v>
      </c>
      <c r="R53" s="10">
        <v>0</v>
      </c>
      <c r="S53" s="10">
        <v>0</v>
      </c>
      <c r="T53" s="10">
        <v>1</v>
      </c>
      <c r="U53" s="11">
        <v>0.0586956521739129</v>
      </c>
      <c r="V53" s="11">
        <v>4.380228462173913</v>
      </c>
      <c r="W53" s="3"/>
    </row>
    <row x14ac:dyDescent="0.25" r="54" customHeight="1" ht="17.25">
      <c r="A54" s="3"/>
      <c r="B54" s="2"/>
      <c r="C54" s="3"/>
      <c r="D54" s="4"/>
      <c r="E54" s="4"/>
      <c r="F54" s="3"/>
      <c r="G54" s="4"/>
      <c r="H54" s="4"/>
      <c r="I54" s="3"/>
      <c r="J54" s="4"/>
      <c r="K54" s="4"/>
      <c r="L54" s="10">
        <v>52</v>
      </c>
      <c r="M54" s="2" t="s">
        <v>87</v>
      </c>
      <c r="N54" s="10">
        <v>0</v>
      </c>
      <c r="O54" s="10">
        <v>0</v>
      </c>
      <c r="P54" s="10">
        <v>0</v>
      </c>
      <c r="Q54" s="10">
        <v>0</v>
      </c>
      <c r="R54" s="10">
        <v>0</v>
      </c>
      <c r="S54" s="10">
        <v>0</v>
      </c>
      <c r="T54" s="10">
        <v>2</v>
      </c>
      <c r="U54" s="11">
        <v>2.5630434782608646</v>
      </c>
      <c r="V54" s="11">
        <v>2.5630434782608646</v>
      </c>
      <c r="W54" s="3"/>
    </row>
    <row x14ac:dyDescent="0.25" r="55" customHeight="1" ht="17.25">
      <c r="A55" s="3"/>
      <c r="B55" s="2"/>
      <c r="C55" s="3"/>
      <c r="D55" s="4"/>
      <c r="E55" s="4"/>
      <c r="F55" s="3"/>
      <c r="G55" s="4"/>
      <c r="H55" s="4"/>
      <c r="I55" s="3"/>
      <c r="J55" s="4"/>
      <c r="K55" s="4"/>
      <c r="L55" s="10">
        <v>53</v>
      </c>
      <c r="M55" s="2" t="s">
        <v>88</v>
      </c>
      <c r="N55" s="10">
        <v>0</v>
      </c>
      <c r="O55" s="10">
        <v>0</v>
      </c>
      <c r="P55" s="10">
        <v>0</v>
      </c>
      <c r="Q55" s="10">
        <v>0</v>
      </c>
      <c r="R55" s="10">
        <v>0</v>
      </c>
      <c r="S55" s="10">
        <v>0</v>
      </c>
      <c r="T55" s="10">
        <v>4</v>
      </c>
      <c r="U55" s="11">
        <v>1.3871664049032764</v>
      </c>
      <c r="V55" s="11">
        <v>1.3871664049032764</v>
      </c>
      <c r="W55" s="3"/>
    </row>
    <row x14ac:dyDescent="0.25" r="56" customHeight="1" ht="17.25">
      <c r="A56" s="3"/>
      <c r="B56" s="2"/>
      <c r="C56" s="3"/>
      <c r="D56" s="4"/>
      <c r="E56" s="4"/>
      <c r="F56" s="3"/>
      <c r="G56" s="4"/>
      <c r="H56" s="4"/>
      <c r="I56" s="3"/>
      <c r="J56" s="4"/>
      <c r="K56" s="4"/>
      <c r="L56" s="10">
        <v>54</v>
      </c>
      <c r="M56" s="2" t="s">
        <v>89</v>
      </c>
      <c r="N56" s="10">
        <v>0</v>
      </c>
      <c r="O56" s="10">
        <v>0</v>
      </c>
      <c r="P56" s="10">
        <v>0</v>
      </c>
      <c r="Q56" s="10">
        <v>0</v>
      </c>
      <c r="R56" s="10">
        <v>0</v>
      </c>
      <c r="S56" s="10">
        <v>0</v>
      </c>
      <c r="T56" s="10">
        <v>1</v>
      </c>
      <c r="U56" s="11">
        <v>1.21739130434783</v>
      </c>
      <c r="V56" s="11">
        <v>1.21739130434783</v>
      </c>
      <c r="W56" s="3"/>
    </row>
    <row x14ac:dyDescent="0.25" r="57" customHeight="1" ht="17.25">
      <c r="A57" s="3"/>
      <c r="B57" s="2"/>
      <c r="C57" s="3"/>
      <c r="D57" s="4"/>
      <c r="E57" s="4"/>
      <c r="F57" s="3"/>
      <c r="G57" s="4"/>
      <c r="H57" s="4"/>
      <c r="I57" s="3"/>
      <c r="J57" s="4"/>
      <c r="K57" s="4"/>
      <c r="L57" s="10">
        <v>55</v>
      </c>
      <c r="M57" s="2" t="s">
        <v>90</v>
      </c>
      <c r="N57" s="10">
        <v>1</v>
      </c>
      <c r="O57" s="10">
        <v>865000</v>
      </c>
      <c r="P57" s="11">
        <v>0.865</v>
      </c>
      <c r="Q57" s="10">
        <v>0</v>
      </c>
      <c r="R57" s="10">
        <v>0</v>
      </c>
      <c r="S57" s="10">
        <v>0</v>
      </c>
      <c r="T57" s="10">
        <v>2</v>
      </c>
      <c r="U57" s="11">
        <v>0.0792166251675924</v>
      </c>
      <c r="V57" s="11">
        <v>0.9442166251675924</v>
      </c>
      <c r="W57" s="3"/>
    </row>
    <row x14ac:dyDescent="0.25" r="58" customHeight="1" ht="17.25">
      <c r="A58" s="3"/>
      <c r="B58" s="2"/>
      <c r="C58" s="3"/>
      <c r="D58" s="4"/>
      <c r="E58" s="4"/>
      <c r="F58" s="3"/>
      <c r="G58" s="4"/>
      <c r="H58" s="4"/>
      <c r="I58" s="3"/>
      <c r="J58" s="4"/>
      <c r="K58" s="4"/>
      <c r="L58" s="10">
        <v>56</v>
      </c>
      <c r="M58" s="2" t="s">
        <v>91</v>
      </c>
      <c r="N58" s="10">
        <v>0</v>
      </c>
      <c r="O58" s="10">
        <v>0</v>
      </c>
      <c r="P58" s="10">
        <v>0</v>
      </c>
      <c r="Q58" s="10">
        <v>0</v>
      </c>
      <c r="R58" s="10">
        <v>0</v>
      </c>
      <c r="S58" s="10">
        <v>0</v>
      </c>
      <c r="T58" s="10">
        <v>5</v>
      </c>
      <c r="U58" s="11">
        <v>0.7766167391304347</v>
      </c>
      <c r="V58" s="11">
        <v>0.7766167391304347</v>
      </c>
      <c r="W58" s="3"/>
    </row>
    <row x14ac:dyDescent="0.25" r="59" customHeight="1" ht="17.25">
      <c r="A59" s="3"/>
      <c r="B59" s="2"/>
      <c r="C59" s="3"/>
      <c r="D59" s="4"/>
      <c r="E59" s="4"/>
      <c r="F59" s="3"/>
      <c r="G59" s="4"/>
      <c r="H59" s="4"/>
      <c r="I59" s="3"/>
      <c r="J59" s="4"/>
      <c r="K59" s="4"/>
      <c r="L59" s="10">
        <v>57</v>
      </c>
      <c r="M59" s="2" t="s">
        <v>92</v>
      </c>
      <c r="N59" s="10">
        <v>0</v>
      </c>
      <c r="O59" s="10">
        <v>0</v>
      </c>
      <c r="P59" s="10">
        <v>0</v>
      </c>
      <c r="Q59" s="10">
        <v>0</v>
      </c>
      <c r="R59" s="10">
        <v>0</v>
      </c>
      <c r="S59" s="10">
        <v>0</v>
      </c>
      <c r="T59" s="10">
        <v>1</v>
      </c>
      <c r="U59" s="11">
        <v>0.502323</v>
      </c>
      <c r="V59" s="11">
        <v>0.502323</v>
      </c>
      <c r="W59" s="3"/>
    </row>
    <row x14ac:dyDescent="0.25" r="60" customHeight="1" ht="17.25">
      <c r="A60" s="3"/>
      <c r="B60" s="2"/>
      <c r="C60" s="3"/>
      <c r="D60" s="4"/>
      <c r="E60" s="4"/>
      <c r="F60" s="3"/>
      <c r="G60" s="4"/>
      <c r="H60" s="4"/>
      <c r="I60" s="3"/>
      <c r="J60" s="4"/>
      <c r="K60" s="4"/>
      <c r="L60" s="10">
        <v>58</v>
      </c>
      <c r="M60" s="2" t="s">
        <v>93</v>
      </c>
      <c r="N60" s="10">
        <v>0</v>
      </c>
      <c r="O60" s="10">
        <v>0</v>
      </c>
      <c r="P60" s="10">
        <v>0</v>
      </c>
      <c r="Q60" s="10">
        <v>0</v>
      </c>
      <c r="R60" s="10">
        <v>0</v>
      </c>
      <c r="S60" s="10">
        <v>0</v>
      </c>
      <c r="T60" s="10">
        <v>2</v>
      </c>
      <c r="U60" s="11">
        <v>0.3791413043478264</v>
      </c>
      <c r="V60" s="11">
        <v>0.3791413043478264</v>
      </c>
      <c r="W60" s="3"/>
    </row>
    <row x14ac:dyDescent="0.25" r="61" customHeight="1" ht="17.25">
      <c r="A61" s="3"/>
      <c r="B61" s="2"/>
      <c r="C61" s="3"/>
      <c r="D61" s="4"/>
      <c r="E61" s="4"/>
      <c r="F61" s="3"/>
      <c r="G61" s="4"/>
      <c r="H61" s="4"/>
      <c r="I61" s="3"/>
      <c r="J61" s="4"/>
      <c r="K61" s="4"/>
      <c r="L61" s="10">
        <v>59</v>
      </c>
      <c r="M61" s="2" t="s">
        <v>94</v>
      </c>
      <c r="N61" s="10">
        <v>0</v>
      </c>
      <c r="O61" s="10">
        <v>0</v>
      </c>
      <c r="P61" s="10">
        <v>0</v>
      </c>
      <c r="Q61" s="10">
        <v>0</v>
      </c>
      <c r="R61" s="10">
        <v>0</v>
      </c>
      <c r="S61" s="10">
        <v>0</v>
      </c>
      <c r="T61" s="10">
        <v>1</v>
      </c>
      <c r="U61" s="11">
        <v>0.137228708956522</v>
      </c>
      <c r="V61" s="11">
        <v>0.137228708956522</v>
      </c>
      <c r="W61" s="3"/>
    </row>
    <row x14ac:dyDescent="0.25" r="62" customHeight="1" ht="17.25">
      <c r="A62" s="3"/>
      <c r="B62" s="2"/>
      <c r="C62" s="3"/>
      <c r="D62" s="4"/>
      <c r="E62" s="4"/>
      <c r="F62" s="3"/>
      <c r="G62" s="4"/>
      <c r="H62" s="4"/>
      <c r="I62" s="3"/>
      <c r="J62" s="4"/>
      <c r="K62" s="4"/>
      <c r="L62" s="10">
        <v>60</v>
      </c>
      <c r="M62" s="2" t="s">
        <v>95</v>
      </c>
      <c r="N62" s="10">
        <v>0</v>
      </c>
      <c r="O62" s="10">
        <v>0</v>
      </c>
      <c r="P62" s="10">
        <v>0</v>
      </c>
      <c r="Q62" s="10">
        <v>0</v>
      </c>
      <c r="R62" s="10">
        <v>0</v>
      </c>
      <c r="S62" s="10">
        <v>0</v>
      </c>
      <c r="T62" s="10">
        <v>2</v>
      </c>
      <c r="U62" s="11">
        <v>0.0707304347826087</v>
      </c>
      <c r="V62" s="11">
        <v>0.0707304347826087</v>
      </c>
      <c r="W62" s="10">
        <v>0</v>
      </c>
    </row>
    <row x14ac:dyDescent="0.25" r="63" customHeight="1" ht="17.25">
      <c r="A63" s="3"/>
      <c r="B63" s="2"/>
      <c r="C63" s="3"/>
      <c r="D63" s="4"/>
      <c r="E63" s="4"/>
      <c r="F63" s="3"/>
      <c r="G63" s="4"/>
      <c r="H63" s="4"/>
      <c r="I63" s="3"/>
      <c r="J63" s="4"/>
      <c r="K63" s="4"/>
      <c r="L63" s="10">
        <v>61</v>
      </c>
      <c r="M63" s="2" t="s">
        <v>96</v>
      </c>
      <c r="N63" s="10">
        <v>0</v>
      </c>
      <c r="O63" s="10">
        <v>0</v>
      </c>
      <c r="P63" s="10">
        <v>0</v>
      </c>
      <c r="Q63" s="10">
        <v>0</v>
      </c>
      <c r="R63" s="10">
        <v>0</v>
      </c>
      <c r="S63" s="10">
        <v>0</v>
      </c>
      <c r="T63" s="10">
        <v>1</v>
      </c>
      <c r="U63" s="11">
        <v>0.0521739130434783</v>
      </c>
      <c r="V63" s="11">
        <v>0.0521739130434783</v>
      </c>
      <c r="W63" s="3"/>
    </row>
    <row x14ac:dyDescent="0.25" r="64" customHeight="1" ht="17.25">
      <c r="A64" s="3"/>
      <c r="B64" s="2"/>
      <c r="C64" s="3"/>
      <c r="D64" s="4"/>
      <c r="E64" s="4"/>
      <c r="F64" s="3"/>
      <c r="G64" s="4"/>
      <c r="H64" s="4"/>
      <c r="I64" s="3"/>
      <c r="J64" s="4"/>
      <c r="K64" s="4"/>
      <c r="L64" s="10">
        <v>62</v>
      </c>
      <c r="M64" s="2" t="s">
        <v>97</v>
      </c>
      <c r="N64" s="10">
        <v>3</v>
      </c>
      <c r="O64" s="10">
        <v>17659000</v>
      </c>
      <c r="P64" s="11">
        <v>17.659</v>
      </c>
      <c r="Q64" s="10">
        <v>6</v>
      </c>
      <c r="R64" s="10">
        <v>-20500000</v>
      </c>
      <c r="S64" s="11">
        <v>-20.5</v>
      </c>
      <c r="T64" s="10">
        <v>7</v>
      </c>
      <c r="U64" s="11">
        <v>1.8030866956521743</v>
      </c>
      <c r="V64" s="11">
        <v>-1.0379133043478268</v>
      </c>
      <c r="W64" s="10">
        <v>0</v>
      </c>
    </row>
    <row x14ac:dyDescent="0.25" r="65" customHeight="1" ht="17.25">
      <c r="A65" s="3"/>
      <c r="B65" s="2"/>
      <c r="C65" s="3"/>
      <c r="D65" s="4"/>
      <c r="E65" s="4"/>
      <c r="F65" s="3"/>
      <c r="G65" s="4"/>
      <c r="H65" s="4"/>
      <c r="I65" s="3"/>
      <c r="J65" s="4"/>
      <c r="K65" s="4"/>
      <c r="L65" s="1" t="s">
        <v>54</v>
      </c>
      <c r="M65" s="2"/>
      <c r="N65" s="10">
        <v>3883</v>
      </c>
      <c r="O65" s="11">
        <v>16745602401.81</v>
      </c>
      <c r="P65" s="11">
        <v>16745.60240181</v>
      </c>
      <c r="Q65" s="10">
        <v>1381</v>
      </c>
      <c r="R65" s="11">
        <v>5802027938.87501</v>
      </c>
      <c r="S65" s="11">
        <v>5802.02793887501</v>
      </c>
      <c r="T65" s="10">
        <v>9842</v>
      </c>
      <c r="U65" s="11">
        <v>15471.48191848945</v>
      </c>
      <c r="V65" s="11">
        <v>38019.112259174435</v>
      </c>
      <c r="W65" s="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2" width="22.290714285714284" customWidth="1" bestFit="1"/>
    <col min="5" max="5" style="14" width="26.290714285714284" customWidth="1" bestFit="1"/>
    <col min="6" max="6" style="12" width="20.005" customWidth="1" bestFit="1"/>
    <col min="7" max="7" style="12" width="24.14785714285714" customWidth="1" bestFit="1"/>
    <col min="8" max="8" style="14" width="27.719285714285714" customWidth="1" bestFit="1"/>
    <col min="9" max="9" style="12" width="23.719285714285714" customWidth="1" bestFit="1"/>
    <col min="10" max="10" style="14" width="32.71928571428572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5" width="14.576428571428572" customWidth="1" bestFit="1"/>
    <col min="15" max="15" style="15" width="22.290714285714284" customWidth="1" bestFit="1"/>
    <col min="16" max="16" style="16" width="26.290714285714284" customWidth="1" bestFit="1"/>
    <col min="17" max="17" style="15" width="20.005" customWidth="1" bestFit="1"/>
    <col min="18" max="18" style="15" width="24.14785714285714" customWidth="1" bestFit="1"/>
    <col min="19" max="19" style="16" width="27.719285714285714" customWidth="1" bestFit="1"/>
    <col min="20" max="20" style="15" width="23.719285714285714" customWidth="1" bestFit="1"/>
    <col min="21" max="21" style="16" width="32.71928571428572" customWidth="1" bestFit="1"/>
    <col min="22" max="22" style="16" width="51.57642857142857" customWidth="1" bestFit="1"/>
    <col min="23" max="23" style="12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6"/>
      <c r="P1" s="7"/>
      <c r="Q1" s="5" t="s">
        <v>3</v>
      </c>
      <c r="R1" s="6"/>
      <c r="S1" s="7"/>
      <c r="T1" s="5" t="s">
        <v>4</v>
      </c>
      <c r="U1" s="7"/>
      <c r="V1" s="8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9" t="s">
        <v>8</v>
      </c>
      <c r="F2" s="1" t="s">
        <v>9</v>
      </c>
      <c r="G2" s="1" t="s">
        <v>10</v>
      </c>
      <c r="H2" s="9" t="s">
        <v>11</v>
      </c>
      <c r="I2" s="1" t="s">
        <v>12</v>
      </c>
      <c r="J2" s="9" t="s">
        <v>13</v>
      </c>
      <c r="K2" s="9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8" t="s">
        <v>8</v>
      </c>
      <c r="Q2" s="5" t="s">
        <v>9</v>
      </c>
      <c r="R2" s="5" t="s">
        <v>10</v>
      </c>
      <c r="S2" s="8" t="s">
        <v>11</v>
      </c>
      <c r="T2" s="5" t="s">
        <v>12</v>
      </c>
      <c r="U2" s="8" t="s">
        <v>13</v>
      </c>
      <c r="V2" s="8" t="s">
        <v>5</v>
      </c>
      <c r="W2" s="3"/>
    </row>
    <row x14ac:dyDescent="0.25" r="3" customHeight="1" ht="17.25">
      <c r="A3" s="10">
        <v>1</v>
      </c>
      <c r="B3" s="2" t="s">
        <v>15</v>
      </c>
      <c r="C3" s="10">
        <v>800</v>
      </c>
      <c r="D3" s="1" t="s">
        <v>16</v>
      </c>
      <c r="E3" s="11">
        <v>7190.774148</v>
      </c>
      <c r="F3" s="10">
        <v>680</v>
      </c>
      <c r="G3" s="1" t="s">
        <v>16</v>
      </c>
      <c r="H3" s="11">
        <v>4593.85664067875</v>
      </c>
      <c r="I3" s="10">
        <v>1268</v>
      </c>
      <c r="J3" s="11">
        <v>1816.4634590623748</v>
      </c>
      <c r="K3" s="11">
        <v>13601.094247741126</v>
      </c>
      <c r="L3" s="10">
        <v>1</v>
      </c>
      <c r="M3" s="2" t="s">
        <v>17</v>
      </c>
      <c r="N3" s="10">
        <v>496</v>
      </c>
      <c r="O3" s="5" t="s">
        <v>16</v>
      </c>
      <c r="P3" s="11">
        <v>711.814401</v>
      </c>
      <c r="Q3" s="10">
        <v>158</v>
      </c>
      <c r="R3" s="5" t="s">
        <v>16</v>
      </c>
      <c r="S3" s="11">
        <v>1261.906729</v>
      </c>
      <c r="T3" s="10">
        <v>751</v>
      </c>
      <c r="U3" s="11">
        <v>1611.8166879687797</v>
      </c>
      <c r="V3" s="11">
        <v>3585.5378179687796</v>
      </c>
      <c r="W3" s="3"/>
    </row>
    <row x14ac:dyDescent="0.25" r="4" customHeight="1" ht="17.25">
      <c r="A4" s="10">
        <v>2</v>
      </c>
      <c r="B4" s="2" t="s">
        <v>18</v>
      </c>
      <c r="C4" s="10">
        <v>20</v>
      </c>
      <c r="D4" s="1" t="s">
        <v>16</v>
      </c>
      <c r="E4" s="11">
        <v>5080.813326</v>
      </c>
      <c r="F4" s="10">
        <v>8</v>
      </c>
      <c r="G4" s="1" t="s">
        <v>16</v>
      </c>
      <c r="H4" s="11">
        <v>-137.469289</v>
      </c>
      <c r="I4" s="10">
        <v>45</v>
      </c>
      <c r="J4" s="11">
        <v>199.22343076989497</v>
      </c>
      <c r="K4" s="11">
        <v>5142.567467769895</v>
      </c>
      <c r="L4" s="10">
        <v>2</v>
      </c>
      <c r="M4" s="2" t="s">
        <v>19</v>
      </c>
      <c r="N4" s="10">
        <v>950</v>
      </c>
      <c r="O4" s="5" t="s">
        <v>16</v>
      </c>
      <c r="P4" s="11">
        <v>637.68201</v>
      </c>
      <c r="Q4" s="10">
        <v>250</v>
      </c>
      <c r="R4" s="5" t="s">
        <v>16</v>
      </c>
      <c r="S4" s="11">
        <v>540.8654409784374</v>
      </c>
      <c r="T4" s="10">
        <v>3640</v>
      </c>
      <c r="U4" s="11">
        <v>3177.3834984953105</v>
      </c>
      <c r="V4" s="11">
        <v>4355.930949473748</v>
      </c>
      <c r="W4" s="3"/>
    </row>
    <row x14ac:dyDescent="0.25" r="5" customHeight="1" ht="17.25">
      <c r="A5" s="10">
        <v>3</v>
      </c>
      <c r="B5" s="2" t="s">
        <v>20</v>
      </c>
      <c r="C5" s="10">
        <v>70</v>
      </c>
      <c r="D5" s="1" t="s">
        <v>16</v>
      </c>
      <c r="E5" s="11">
        <v>987.412103</v>
      </c>
      <c r="F5" s="10">
        <v>32</v>
      </c>
      <c r="G5" s="1" t="s">
        <v>16</v>
      </c>
      <c r="H5" s="11">
        <v>1256.075787</v>
      </c>
      <c r="I5" s="10">
        <v>229</v>
      </c>
      <c r="J5" s="11">
        <v>1941.4578675752098</v>
      </c>
      <c r="K5" s="11">
        <v>4184.945757575209</v>
      </c>
      <c r="L5" s="10">
        <v>3</v>
      </c>
      <c r="M5" s="2" t="s">
        <v>21</v>
      </c>
      <c r="N5" s="10">
        <v>133</v>
      </c>
      <c r="O5" s="5" t="s">
        <v>16</v>
      </c>
      <c r="P5" s="11">
        <v>783.902917</v>
      </c>
      <c r="Q5" s="10">
        <v>92</v>
      </c>
      <c r="R5" s="5" t="s">
        <v>16</v>
      </c>
      <c r="S5" s="11">
        <v>317.639096</v>
      </c>
      <c r="T5" s="10">
        <v>395</v>
      </c>
      <c r="U5" s="11">
        <v>782.1247403258399</v>
      </c>
      <c r="V5" s="11">
        <v>1883.6667533258399</v>
      </c>
      <c r="W5" s="3"/>
    </row>
    <row x14ac:dyDescent="0.25" r="6" customHeight="1" ht="17.25">
      <c r="A6" s="10">
        <v>4</v>
      </c>
      <c r="B6" s="2" t="s">
        <v>22</v>
      </c>
      <c r="C6" s="10">
        <v>79</v>
      </c>
      <c r="D6" s="1" t="s">
        <v>16</v>
      </c>
      <c r="E6" s="11">
        <v>237.244008</v>
      </c>
      <c r="F6" s="10">
        <v>29</v>
      </c>
      <c r="G6" s="1" t="s">
        <v>16</v>
      </c>
      <c r="H6" s="11">
        <v>78.886714</v>
      </c>
      <c r="I6" s="10">
        <v>233</v>
      </c>
      <c r="J6" s="11">
        <v>243.71684897701022</v>
      </c>
      <c r="K6" s="11">
        <v>559.8475709770103</v>
      </c>
      <c r="L6" s="10">
        <v>4</v>
      </c>
      <c r="M6" s="2" t="s">
        <v>23</v>
      </c>
      <c r="N6" s="10">
        <v>69</v>
      </c>
      <c r="O6" s="5" t="s">
        <v>16</v>
      </c>
      <c r="P6" s="11">
        <v>405.035605</v>
      </c>
      <c r="Q6" s="10">
        <v>38</v>
      </c>
      <c r="R6" s="5" t="s">
        <v>16</v>
      </c>
      <c r="S6" s="11">
        <v>160.48677518</v>
      </c>
      <c r="T6" s="10">
        <v>142</v>
      </c>
      <c r="U6" s="11">
        <v>362.82623019624987</v>
      </c>
      <c r="V6" s="11">
        <v>928.3486103762499</v>
      </c>
      <c r="W6" s="3"/>
    </row>
    <row x14ac:dyDescent="0.25" r="7" customHeight="1" ht="17.25">
      <c r="A7" s="10">
        <v>5</v>
      </c>
      <c r="B7" s="2" t="s">
        <v>24</v>
      </c>
      <c r="C7" s="10">
        <v>704</v>
      </c>
      <c r="D7" s="1" t="s">
        <v>16</v>
      </c>
      <c r="E7" s="11">
        <v>431.184007</v>
      </c>
      <c r="F7" s="10">
        <v>164</v>
      </c>
      <c r="G7" s="1" t="s">
        <v>16</v>
      </c>
      <c r="H7" s="11">
        <v>234.2445251796875</v>
      </c>
      <c r="I7" s="10">
        <v>2264</v>
      </c>
      <c r="J7" s="11">
        <v>980.2147414665882</v>
      </c>
      <c r="K7" s="11">
        <v>1645.6432736462757</v>
      </c>
      <c r="L7" s="10">
        <v>5</v>
      </c>
      <c r="M7" s="2" t="s">
        <v>25</v>
      </c>
      <c r="N7" s="10">
        <v>153</v>
      </c>
      <c r="O7" s="5" t="s">
        <v>16</v>
      </c>
      <c r="P7" s="11">
        <v>429.96638</v>
      </c>
      <c r="Q7" s="10">
        <v>99</v>
      </c>
      <c r="R7" s="5" t="s">
        <v>16</v>
      </c>
      <c r="S7" s="11">
        <v>381.8738872890625</v>
      </c>
      <c r="T7" s="10">
        <v>162</v>
      </c>
      <c r="U7" s="11">
        <v>89.35222571631489</v>
      </c>
      <c r="V7" s="11">
        <v>901.1924930053774</v>
      </c>
      <c r="W7" s="3"/>
    </row>
    <row x14ac:dyDescent="0.25" r="8" customHeight="1" ht="17.25">
      <c r="A8" s="10">
        <v>6</v>
      </c>
      <c r="B8" s="2" t="s">
        <v>26</v>
      </c>
      <c r="C8" s="10">
        <v>12</v>
      </c>
      <c r="D8" s="1" t="s">
        <v>16</v>
      </c>
      <c r="E8" s="11">
        <v>103.087824</v>
      </c>
      <c r="F8" s="10">
        <v>16</v>
      </c>
      <c r="G8" s="1" t="s">
        <v>16</v>
      </c>
      <c r="H8" s="11">
        <v>79.645727</v>
      </c>
      <c r="I8" s="10">
        <v>29</v>
      </c>
      <c r="J8" s="11">
        <v>27.90132717491607</v>
      </c>
      <c r="K8" s="11">
        <v>210.63487817491605</v>
      </c>
      <c r="L8" s="10">
        <v>6</v>
      </c>
      <c r="M8" s="2" t="s">
        <v>27</v>
      </c>
      <c r="N8" s="10">
        <v>79</v>
      </c>
      <c r="O8" s="5" t="s">
        <v>16</v>
      </c>
      <c r="P8" s="11">
        <v>1064.128042</v>
      </c>
      <c r="Q8" s="10">
        <v>28</v>
      </c>
      <c r="R8" s="5" t="s">
        <v>16</v>
      </c>
      <c r="S8" s="11">
        <v>376.666041</v>
      </c>
      <c r="T8" s="10">
        <v>72</v>
      </c>
      <c r="U8" s="11">
        <v>69.75729710976896</v>
      </c>
      <c r="V8" s="11">
        <v>1510.551380109769</v>
      </c>
      <c r="W8" s="3"/>
    </row>
    <row x14ac:dyDescent="0.25" r="9" customHeight="1" ht="17.25">
      <c r="A9" s="10">
        <v>7</v>
      </c>
      <c r="B9" s="2" t="s">
        <v>28</v>
      </c>
      <c r="C9" s="10">
        <v>376</v>
      </c>
      <c r="D9" s="1" t="s">
        <v>16</v>
      </c>
      <c r="E9" s="11">
        <v>169.296008</v>
      </c>
      <c r="F9" s="10">
        <v>87</v>
      </c>
      <c r="G9" s="1" t="s">
        <v>16</v>
      </c>
      <c r="H9" s="11">
        <v>114.2967586015625</v>
      </c>
      <c r="I9" s="10">
        <v>825</v>
      </c>
      <c r="J9" s="11">
        <v>1062.9645251899863</v>
      </c>
      <c r="K9" s="11">
        <v>1346.5572917915488</v>
      </c>
      <c r="L9" s="10">
        <v>7</v>
      </c>
      <c r="M9" s="2" t="s">
        <v>29</v>
      </c>
      <c r="N9" s="10">
        <v>15</v>
      </c>
      <c r="O9" s="5" t="s">
        <v>16</v>
      </c>
      <c r="P9" s="11">
        <v>388.158102</v>
      </c>
      <c r="Q9" s="10">
        <v>29</v>
      </c>
      <c r="R9" s="5" t="s">
        <v>16</v>
      </c>
      <c r="S9" s="11">
        <v>121.910752</v>
      </c>
      <c r="T9" s="10">
        <v>34</v>
      </c>
      <c r="U9" s="11">
        <v>37.996946061191366</v>
      </c>
      <c r="V9" s="11">
        <v>548.0658000611913</v>
      </c>
      <c r="W9" s="3"/>
    </row>
    <row x14ac:dyDescent="0.25" r="10" customHeight="1" ht="17.25">
      <c r="A10" s="10">
        <v>8</v>
      </c>
      <c r="B10" s="2" t="s">
        <v>30</v>
      </c>
      <c r="C10" s="10">
        <v>59</v>
      </c>
      <c r="D10" s="1" t="s">
        <v>16</v>
      </c>
      <c r="E10" s="11">
        <v>169.231087</v>
      </c>
      <c r="F10" s="10">
        <v>19</v>
      </c>
      <c r="G10" s="1" t="s">
        <v>16</v>
      </c>
      <c r="H10" s="11">
        <v>43.165264</v>
      </c>
      <c r="I10" s="10">
        <v>155</v>
      </c>
      <c r="J10" s="11">
        <v>399.52523492744166</v>
      </c>
      <c r="K10" s="11">
        <v>611.9215859274417</v>
      </c>
      <c r="L10" s="10">
        <v>8</v>
      </c>
      <c r="M10" s="2" t="s">
        <v>31</v>
      </c>
      <c r="N10" s="10">
        <v>35</v>
      </c>
      <c r="O10" s="5" t="s">
        <v>16</v>
      </c>
      <c r="P10" s="11">
        <v>395.295628</v>
      </c>
      <c r="Q10" s="10">
        <v>55</v>
      </c>
      <c r="R10" s="5" t="s">
        <v>16</v>
      </c>
      <c r="S10" s="11">
        <v>432.491994</v>
      </c>
      <c r="T10" s="10">
        <v>39</v>
      </c>
      <c r="U10" s="11">
        <v>66.90170925138762</v>
      </c>
      <c r="V10" s="11">
        <v>894.6893312513877</v>
      </c>
      <c r="W10" s="3"/>
    </row>
    <row x14ac:dyDescent="0.25" r="11" customHeight="1" ht="17.25">
      <c r="A11" s="10">
        <v>9</v>
      </c>
      <c r="B11" s="2" t="s">
        <v>32</v>
      </c>
      <c r="C11" s="10">
        <v>57</v>
      </c>
      <c r="D11" s="1" t="s">
        <v>16</v>
      </c>
      <c r="E11" s="11">
        <v>106.129337</v>
      </c>
      <c r="F11" s="10">
        <v>15</v>
      </c>
      <c r="G11" s="1" t="s">
        <v>16</v>
      </c>
      <c r="H11" s="11">
        <v>27.715395</v>
      </c>
      <c r="I11" s="10">
        <v>399</v>
      </c>
      <c r="J11" s="11">
        <v>207.6245398135737</v>
      </c>
      <c r="K11" s="11">
        <v>341.46927181357376</v>
      </c>
      <c r="L11" s="10">
        <v>9</v>
      </c>
      <c r="M11" s="2" t="s">
        <v>33</v>
      </c>
      <c r="N11" s="10">
        <v>31</v>
      </c>
      <c r="O11" s="5" t="s">
        <v>16</v>
      </c>
      <c r="P11" s="11">
        <v>302.364094</v>
      </c>
      <c r="Q11" s="10">
        <v>8</v>
      </c>
      <c r="R11" s="5" t="s">
        <v>16</v>
      </c>
      <c r="S11" s="11">
        <v>1489.655824</v>
      </c>
      <c r="T11" s="10">
        <v>37</v>
      </c>
      <c r="U11" s="11">
        <v>381.77688043394505</v>
      </c>
      <c r="V11" s="11">
        <v>2173.796798433945</v>
      </c>
      <c r="W11" s="3"/>
    </row>
    <row x14ac:dyDescent="0.25" r="12" customHeight="1" ht="17.25">
      <c r="A12" s="10">
        <v>10</v>
      </c>
      <c r="B12" s="2" t="s">
        <v>34</v>
      </c>
      <c r="C12" s="10">
        <v>206</v>
      </c>
      <c r="D12" s="1" t="s">
        <v>16</v>
      </c>
      <c r="E12" s="11">
        <v>53.460124</v>
      </c>
      <c r="F12" s="10">
        <v>49</v>
      </c>
      <c r="G12" s="1" t="s">
        <v>16</v>
      </c>
      <c r="H12" s="11">
        <v>41.563054</v>
      </c>
      <c r="I12" s="10">
        <v>352</v>
      </c>
      <c r="J12" s="11">
        <v>176.2630631810695</v>
      </c>
      <c r="K12" s="11">
        <v>271.2862411810695</v>
      </c>
      <c r="L12" s="10">
        <v>10</v>
      </c>
      <c r="M12" s="2" t="s">
        <v>35</v>
      </c>
      <c r="N12" s="10">
        <v>33</v>
      </c>
      <c r="O12" s="5" t="s">
        <v>16</v>
      </c>
      <c r="P12" s="11">
        <v>574.255043</v>
      </c>
      <c r="Q12" s="10">
        <v>33</v>
      </c>
      <c r="R12" s="5" t="s">
        <v>16</v>
      </c>
      <c r="S12" s="11">
        <v>145.256294</v>
      </c>
      <c r="T12" s="10">
        <v>28</v>
      </c>
      <c r="U12" s="11">
        <v>10.243370661874843</v>
      </c>
      <c r="V12" s="11">
        <v>729.7547076618748</v>
      </c>
      <c r="W12" s="3"/>
    </row>
    <row x14ac:dyDescent="0.25" r="13" customHeight="1" ht="17.25">
      <c r="A13" s="10">
        <v>11</v>
      </c>
      <c r="B13" s="2" t="s">
        <v>36</v>
      </c>
      <c r="C13" s="10">
        <v>56</v>
      </c>
      <c r="D13" s="1" t="s">
        <v>16</v>
      </c>
      <c r="E13" s="11">
        <v>20.013877</v>
      </c>
      <c r="F13" s="10">
        <v>9</v>
      </c>
      <c r="G13" s="1" t="s">
        <v>16</v>
      </c>
      <c r="H13" s="11">
        <v>2.14</v>
      </c>
      <c r="I13" s="10">
        <v>130</v>
      </c>
      <c r="J13" s="11">
        <v>18.231527246014455</v>
      </c>
      <c r="K13" s="11">
        <v>40.38540424601446</v>
      </c>
      <c r="L13" s="10">
        <v>11</v>
      </c>
      <c r="M13" s="2" t="s">
        <v>37</v>
      </c>
      <c r="N13" s="10">
        <v>113</v>
      </c>
      <c r="O13" s="5" t="s">
        <v>16</v>
      </c>
      <c r="P13" s="11">
        <v>326.241471</v>
      </c>
      <c r="Q13" s="10">
        <v>102</v>
      </c>
      <c r="R13" s="5" t="s">
        <v>16</v>
      </c>
      <c r="S13" s="11">
        <v>305.113057</v>
      </c>
      <c r="T13" s="10">
        <v>132</v>
      </c>
      <c r="U13" s="11">
        <v>178.94206572026147</v>
      </c>
      <c r="V13" s="11">
        <v>810.2965937202615</v>
      </c>
      <c r="W13" s="3"/>
    </row>
    <row x14ac:dyDescent="0.25" r="14" customHeight="1" ht="17.25">
      <c r="A14" s="10">
        <v>12</v>
      </c>
      <c r="B14" s="2" t="s">
        <v>38</v>
      </c>
      <c r="C14" s="10">
        <v>4</v>
      </c>
      <c r="D14" s="1" t="s">
        <v>16</v>
      </c>
      <c r="E14" s="11">
        <v>3.423424</v>
      </c>
      <c r="F14" s="10">
        <v>7</v>
      </c>
      <c r="G14" s="1" t="s">
        <v>16</v>
      </c>
      <c r="H14" s="11">
        <v>36.740039</v>
      </c>
      <c r="I14" s="10">
        <v>18</v>
      </c>
      <c r="J14" s="11">
        <v>3.611786594243779</v>
      </c>
      <c r="K14" s="11">
        <v>43.77524959424378</v>
      </c>
      <c r="L14" s="10">
        <v>12</v>
      </c>
      <c r="M14" s="2" t="s">
        <v>39</v>
      </c>
      <c r="N14" s="10">
        <v>32</v>
      </c>
      <c r="O14" s="5" t="s">
        <v>16</v>
      </c>
      <c r="P14" s="11">
        <v>164.42</v>
      </c>
      <c r="Q14" s="10">
        <v>46</v>
      </c>
      <c r="R14" s="5" t="s">
        <v>16</v>
      </c>
      <c r="S14" s="11">
        <v>322.7972320125</v>
      </c>
      <c r="T14" s="10">
        <v>42</v>
      </c>
      <c r="U14" s="11">
        <v>33.058740354265296</v>
      </c>
      <c r="V14" s="11">
        <v>520.2759723667652</v>
      </c>
      <c r="W14" s="3"/>
    </row>
    <row x14ac:dyDescent="0.25" r="15" customHeight="1" ht="17.25">
      <c r="A15" s="10">
        <v>13</v>
      </c>
      <c r="B15" s="2" t="s">
        <v>40</v>
      </c>
      <c r="C15" s="10">
        <v>54</v>
      </c>
      <c r="D15" s="1" t="s">
        <v>16</v>
      </c>
      <c r="E15" s="11">
        <v>19.365266</v>
      </c>
      <c r="F15" s="10">
        <v>16</v>
      </c>
      <c r="G15" s="1" t="s">
        <v>16</v>
      </c>
      <c r="H15" s="11">
        <v>13.915717</v>
      </c>
      <c r="I15" s="10">
        <v>115</v>
      </c>
      <c r="J15" s="11">
        <v>75.05424153908754</v>
      </c>
      <c r="K15" s="11">
        <v>108.33522453908753</v>
      </c>
      <c r="L15" s="10">
        <v>13</v>
      </c>
      <c r="M15" s="2" t="s">
        <v>41</v>
      </c>
      <c r="N15" s="10">
        <v>20</v>
      </c>
      <c r="O15" s="5" t="s">
        <v>16</v>
      </c>
      <c r="P15" s="11">
        <v>373.922666</v>
      </c>
      <c r="Q15" s="10">
        <v>12</v>
      </c>
      <c r="R15" s="5" t="s">
        <v>16</v>
      </c>
      <c r="S15" s="11">
        <v>24.302061</v>
      </c>
      <c r="T15" s="10">
        <v>16</v>
      </c>
      <c r="U15" s="11">
        <v>2.544929067167944</v>
      </c>
      <c r="V15" s="11">
        <v>400.76965606716794</v>
      </c>
      <c r="W15" s="3"/>
    </row>
    <row x14ac:dyDescent="0.25" r="16" customHeight="1" ht="17.25">
      <c r="A16" s="10">
        <v>14</v>
      </c>
      <c r="B16" s="2" t="s">
        <v>42</v>
      </c>
      <c r="C16" s="10">
        <v>4</v>
      </c>
      <c r="D16" s="1" t="s">
        <v>16</v>
      </c>
      <c r="E16" s="11">
        <v>64.424666</v>
      </c>
      <c r="F16" s="10">
        <v>0</v>
      </c>
      <c r="G16" s="1" t="s">
        <v>16</v>
      </c>
      <c r="H16" s="10">
        <v>0</v>
      </c>
      <c r="I16" s="10">
        <v>12</v>
      </c>
      <c r="J16" s="11">
        <v>23.58549443522425</v>
      </c>
      <c r="K16" s="11">
        <v>88.01016043522425</v>
      </c>
      <c r="L16" s="10">
        <v>14</v>
      </c>
      <c r="M16" s="2" t="s">
        <v>43</v>
      </c>
      <c r="N16" s="10">
        <v>28</v>
      </c>
      <c r="O16" s="5" t="s">
        <v>16</v>
      </c>
      <c r="P16" s="11">
        <v>497.496562</v>
      </c>
      <c r="Q16" s="10">
        <v>13</v>
      </c>
      <c r="R16" s="5" t="s">
        <v>16</v>
      </c>
      <c r="S16" s="11">
        <v>20.489531</v>
      </c>
      <c r="T16" s="10">
        <v>32</v>
      </c>
      <c r="U16" s="11">
        <v>22.724484725687095</v>
      </c>
      <c r="V16" s="11">
        <v>540.7105777256871</v>
      </c>
      <c r="W16" s="3"/>
    </row>
    <row x14ac:dyDescent="0.25" r="17" customHeight="1" ht="17.25">
      <c r="A17" s="10">
        <v>15</v>
      </c>
      <c r="B17" s="2" t="s">
        <v>44</v>
      </c>
      <c r="C17" s="10">
        <v>9</v>
      </c>
      <c r="D17" s="1" t="s">
        <v>16</v>
      </c>
      <c r="E17" s="11">
        <v>4.486319</v>
      </c>
      <c r="F17" s="10">
        <v>4</v>
      </c>
      <c r="G17" s="1" t="s">
        <v>16</v>
      </c>
      <c r="H17" s="11">
        <v>12.655</v>
      </c>
      <c r="I17" s="10">
        <v>27</v>
      </c>
      <c r="J17" s="11">
        <v>15.41790511715589</v>
      </c>
      <c r="K17" s="11">
        <v>32.55922411715589</v>
      </c>
      <c r="L17" s="10">
        <v>15</v>
      </c>
      <c r="M17" s="2" t="s">
        <v>45</v>
      </c>
      <c r="N17" s="10">
        <v>83</v>
      </c>
      <c r="O17" s="5" t="s">
        <v>16</v>
      </c>
      <c r="P17" s="11">
        <v>128.855626</v>
      </c>
      <c r="Q17" s="10">
        <v>20</v>
      </c>
      <c r="R17" s="5" t="s">
        <v>16</v>
      </c>
      <c r="S17" s="11">
        <v>80.057353</v>
      </c>
      <c r="T17" s="10">
        <v>105</v>
      </c>
      <c r="U17" s="11">
        <v>8.63035877280685</v>
      </c>
      <c r="V17" s="11">
        <v>217.54333777280686</v>
      </c>
      <c r="W17" s="3"/>
    </row>
    <row x14ac:dyDescent="0.25" r="18" customHeight="1" ht="17.25">
      <c r="A18" s="10">
        <v>16</v>
      </c>
      <c r="B18" s="2" t="s">
        <v>46</v>
      </c>
      <c r="C18" s="10">
        <v>1</v>
      </c>
      <c r="D18" s="1" t="s">
        <v>16</v>
      </c>
      <c r="E18" s="11">
        <v>0.407666</v>
      </c>
      <c r="F18" s="10">
        <v>1</v>
      </c>
      <c r="G18" s="1" t="s">
        <v>16</v>
      </c>
      <c r="H18" s="11">
        <v>0.680312</v>
      </c>
      <c r="I18" s="10">
        <v>12</v>
      </c>
      <c r="J18" s="11">
        <v>5.284711695876733</v>
      </c>
      <c r="K18" s="11">
        <v>6.372689695876733</v>
      </c>
      <c r="L18" s="10">
        <v>16</v>
      </c>
      <c r="M18" s="2" t="s">
        <v>47</v>
      </c>
      <c r="N18" s="10">
        <v>22</v>
      </c>
      <c r="O18" s="5" t="s">
        <v>16</v>
      </c>
      <c r="P18" s="11">
        <v>241.736415</v>
      </c>
      <c r="Q18" s="10">
        <v>34</v>
      </c>
      <c r="R18" s="5" t="s">
        <v>16</v>
      </c>
      <c r="S18" s="11">
        <v>203.026622</v>
      </c>
      <c r="T18" s="10">
        <v>40</v>
      </c>
      <c r="U18" s="11">
        <v>43.01184392290655</v>
      </c>
      <c r="V18" s="11">
        <v>487.77488092290656</v>
      </c>
      <c r="W18" s="3"/>
    </row>
    <row x14ac:dyDescent="0.25" r="19" customHeight="1" ht="17.25">
      <c r="A19" s="10">
        <v>17</v>
      </c>
      <c r="B19" s="2" t="s">
        <v>48</v>
      </c>
      <c r="C19" s="10">
        <v>5</v>
      </c>
      <c r="D19" s="1" t="s">
        <v>16</v>
      </c>
      <c r="E19" s="11">
        <v>2.675308</v>
      </c>
      <c r="F19" s="10">
        <v>1</v>
      </c>
      <c r="G19" s="1" t="s">
        <v>16</v>
      </c>
      <c r="H19" s="11">
        <v>1.603</v>
      </c>
      <c r="I19" s="10">
        <v>4</v>
      </c>
      <c r="J19" s="11">
        <v>0.8814115499698726</v>
      </c>
      <c r="K19" s="11">
        <v>5.159719549969872</v>
      </c>
      <c r="L19" s="10">
        <v>17</v>
      </c>
      <c r="M19" s="2" t="s">
        <v>49</v>
      </c>
      <c r="N19" s="10">
        <v>48</v>
      </c>
      <c r="O19" s="5" t="s">
        <v>16</v>
      </c>
      <c r="P19" s="11">
        <v>322.381325</v>
      </c>
      <c r="Q19" s="10">
        <v>18</v>
      </c>
      <c r="R19" s="5" t="s">
        <v>16</v>
      </c>
      <c r="S19" s="11">
        <v>26.151533</v>
      </c>
      <c r="T19" s="10">
        <v>18</v>
      </c>
      <c r="U19" s="11">
        <v>20.566953783308932</v>
      </c>
      <c r="V19" s="11">
        <v>369.09981178330895</v>
      </c>
      <c r="W19" s="3"/>
    </row>
    <row x14ac:dyDescent="0.25" r="20" customHeight="1" ht="17.25">
      <c r="A20" s="10">
        <v>18</v>
      </c>
      <c r="B20" s="2" t="s">
        <v>50</v>
      </c>
      <c r="C20" s="10">
        <v>6</v>
      </c>
      <c r="D20" s="1" t="s">
        <v>16</v>
      </c>
      <c r="E20" s="11">
        <v>0.288848</v>
      </c>
      <c r="F20" s="10">
        <v>3</v>
      </c>
      <c r="G20" s="1" t="s">
        <v>16</v>
      </c>
      <c r="H20" s="11">
        <v>14.770996</v>
      </c>
      <c r="I20" s="10">
        <v>24</v>
      </c>
      <c r="J20" s="11">
        <v>271.77601564728155</v>
      </c>
      <c r="K20" s="11">
        <v>286.83585964728155</v>
      </c>
      <c r="L20" s="10">
        <v>18</v>
      </c>
      <c r="M20" s="2" t="s">
        <v>51</v>
      </c>
      <c r="N20" s="10">
        <v>9</v>
      </c>
      <c r="O20" s="5" t="s">
        <v>16</v>
      </c>
      <c r="P20" s="11">
        <v>108.187264</v>
      </c>
      <c r="Q20" s="10">
        <v>11</v>
      </c>
      <c r="R20" s="5" t="s">
        <v>16</v>
      </c>
      <c r="S20" s="11">
        <v>55.281609</v>
      </c>
      <c r="T20" s="10">
        <v>6</v>
      </c>
      <c r="U20" s="11">
        <v>3.6852256236541243</v>
      </c>
      <c r="V20" s="11">
        <v>167.15409862365414</v>
      </c>
      <c r="W20" s="3"/>
    </row>
    <row x14ac:dyDescent="0.25" r="21" customHeight="1" ht="17.25">
      <c r="A21" s="10">
        <v>19</v>
      </c>
      <c r="B21" s="2" t="s">
        <v>52</v>
      </c>
      <c r="C21" s="10">
        <v>1</v>
      </c>
      <c r="D21" s="1" t="s">
        <v>16</v>
      </c>
      <c r="E21" s="11">
        <v>2.7</v>
      </c>
      <c r="F21" s="10">
        <v>0</v>
      </c>
      <c r="G21" s="1" t="s">
        <v>16</v>
      </c>
      <c r="H21" s="10">
        <v>0</v>
      </c>
      <c r="I21" s="10">
        <v>0</v>
      </c>
      <c r="J21" s="10">
        <v>0</v>
      </c>
      <c r="K21" s="11">
        <v>2.7</v>
      </c>
      <c r="L21" s="10">
        <v>19</v>
      </c>
      <c r="M21" s="2" t="s">
        <v>53</v>
      </c>
      <c r="N21" s="10">
        <v>14</v>
      </c>
      <c r="O21" s="5" t="s">
        <v>16</v>
      </c>
      <c r="P21" s="11">
        <v>240.297</v>
      </c>
      <c r="Q21" s="10">
        <v>7</v>
      </c>
      <c r="R21" s="5" t="s">
        <v>16</v>
      </c>
      <c r="S21" s="11">
        <v>100.953055</v>
      </c>
      <c r="T21" s="10">
        <v>22</v>
      </c>
      <c r="U21" s="11">
        <v>8.293291748592582</v>
      </c>
      <c r="V21" s="11">
        <v>349.54334674859257</v>
      </c>
      <c r="W21" s="3"/>
    </row>
    <row x14ac:dyDescent="0.25" r="22" customHeight="1" ht="17.25">
      <c r="A22" s="1" t="s">
        <v>54</v>
      </c>
      <c r="B22" s="2"/>
      <c r="C22" s="10">
        <v>2523</v>
      </c>
      <c r="D22" s="10">
        <v>0</v>
      </c>
      <c r="E22" s="11">
        <v>14646.417346</v>
      </c>
      <c r="F22" s="10">
        <v>1140</v>
      </c>
      <c r="G22" s="10">
        <v>0</v>
      </c>
      <c r="H22" s="11">
        <v>6414.485640460002</v>
      </c>
      <c r="I22" s="10">
        <v>6141</v>
      </c>
      <c r="J22" s="11">
        <v>7469.198131962919</v>
      </c>
      <c r="K22" s="11">
        <v>28530.101118422925</v>
      </c>
      <c r="L22" s="10">
        <v>20</v>
      </c>
      <c r="M22" s="2" t="s">
        <v>55</v>
      </c>
      <c r="N22" s="10">
        <v>19</v>
      </c>
      <c r="O22" s="5" t="s">
        <v>16</v>
      </c>
      <c r="P22" s="11">
        <v>221.547336</v>
      </c>
      <c r="Q22" s="10">
        <v>17</v>
      </c>
      <c r="R22" s="5" t="s">
        <v>16</v>
      </c>
      <c r="S22" s="11">
        <v>59.636677</v>
      </c>
      <c r="T22" s="10">
        <v>10</v>
      </c>
      <c r="U22" s="11">
        <v>9.555636575003035</v>
      </c>
      <c r="V22" s="11">
        <v>290.739649575003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10">
        <v>21</v>
      </c>
      <c r="M23" s="2" t="s">
        <v>56</v>
      </c>
      <c r="N23" s="10">
        <v>6</v>
      </c>
      <c r="O23" s="5" t="s">
        <v>16</v>
      </c>
      <c r="P23" s="11">
        <v>18.423288</v>
      </c>
      <c r="Q23" s="10">
        <v>0</v>
      </c>
      <c r="R23" s="5" t="s">
        <v>16</v>
      </c>
      <c r="S23" s="10">
        <v>0</v>
      </c>
      <c r="T23" s="10">
        <v>23</v>
      </c>
      <c r="U23" s="11">
        <v>23.772166715305158</v>
      </c>
      <c r="V23" s="11">
        <v>42.19545471530516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10">
        <v>22</v>
      </c>
      <c r="M24" s="2" t="s">
        <v>57</v>
      </c>
      <c r="N24" s="10">
        <v>10</v>
      </c>
      <c r="O24" s="5" t="s">
        <v>16</v>
      </c>
      <c r="P24" s="11">
        <v>164.695801</v>
      </c>
      <c r="Q24" s="10">
        <v>0</v>
      </c>
      <c r="R24" s="5" t="s">
        <v>16</v>
      </c>
      <c r="S24" s="10">
        <v>0</v>
      </c>
      <c r="T24" s="10">
        <v>6</v>
      </c>
      <c r="U24" s="11">
        <v>4.7502824154256515</v>
      </c>
      <c r="V24" s="11">
        <v>169.44608341542565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10">
        <v>23</v>
      </c>
      <c r="M25" s="2" t="s">
        <v>58</v>
      </c>
      <c r="N25" s="10">
        <v>16</v>
      </c>
      <c r="O25" s="5" t="s">
        <v>16</v>
      </c>
      <c r="P25" s="11">
        <v>465.985472</v>
      </c>
      <c r="Q25" s="10">
        <v>2</v>
      </c>
      <c r="R25" s="5" t="s">
        <v>16</v>
      </c>
      <c r="S25" s="11">
        <v>14.88</v>
      </c>
      <c r="T25" s="10">
        <v>16</v>
      </c>
      <c r="U25" s="11">
        <v>24.793811429801156</v>
      </c>
      <c r="V25" s="11">
        <v>505.6592834298012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10">
        <v>24</v>
      </c>
      <c r="M26" s="2" t="s">
        <v>59</v>
      </c>
      <c r="N26" s="10">
        <v>1</v>
      </c>
      <c r="O26" s="5" t="s">
        <v>16</v>
      </c>
      <c r="P26" s="11">
        <v>0.215</v>
      </c>
      <c r="Q26" s="10">
        <v>0</v>
      </c>
      <c r="R26" s="5" t="s">
        <v>16</v>
      </c>
      <c r="S26" s="10">
        <v>0</v>
      </c>
      <c r="T26" s="10">
        <v>3</v>
      </c>
      <c r="U26" s="11">
        <v>0.2028062322458467</v>
      </c>
      <c r="V26" s="11">
        <v>0.4178062322458467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10">
        <v>25</v>
      </c>
      <c r="M27" s="2" t="s">
        <v>60</v>
      </c>
      <c r="N27" s="10">
        <v>5</v>
      </c>
      <c r="O27" s="5" t="s">
        <v>16</v>
      </c>
      <c r="P27" s="11">
        <v>30.255674</v>
      </c>
      <c r="Q27" s="10">
        <v>2</v>
      </c>
      <c r="R27" s="5" t="s">
        <v>16</v>
      </c>
      <c r="S27" s="11">
        <v>13.446827</v>
      </c>
      <c r="T27" s="10">
        <v>116</v>
      </c>
      <c r="U27" s="11">
        <v>32.86312072213825</v>
      </c>
      <c r="V27" s="11">
        <v>76.56562172213825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10">
        <v>26</v>
      </c>
      <c r="M28" s="2" t="s">
        <v>61</v>
      </c>
      <c r="N28" s="10">
        <v>8</v>
      </c>
      <c r="O28" s="5" t="s">
        <v>16</v>
      </c>
      <c r="P28" s="11">
        <v>34.102478</v>
      </c>
      <c r="Q28" s="10">
        <v>10</v>
      </c>
      <c r="R28" s="5" t="s">
        <v>16</v>
      </c>
      <c r="S28" s="11">
        <v>-97.555726</v>
      </c>
      <c r="T28" s="10">
        <v>15</v>
      </c>
      <c r="U28" s="11">
        <v>27.355556615305158</v>
      </c>
      <c r="V28" s="11">
        <v>-36.097691384694855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10">
        <v>27</v>
      </c>
      <c r="M29" s="2" t="s">
        <v>62</v>
      </c>
      <c r="N29" s="10">
        <v>6</v>
      </c>
      <c r="O29" s="5" t="s">
        <v>16</v>
      </c>
      <c r="P29" s="11">
        <v>77.767494</v>
      </c>
      <c r="Q29" s="10">
        <v>3</v>
      </c>
      <c r="R29" s="5" t="s">
        <v>16</v>
      </c>
      <c r="S29" s="11">
        <v>1.187215</v>
      </c>
      <c r="T29" s="10">
        <v>27</v>
      </c>
      <c r="U29" s="11">
        <v>21.493678009041403</v>
      </c>
      <c r="V29" s="11">
        <v>100.4483870090414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10">
        <v>28</v>
      </c>
      <c r="M30" s="2" t="s">
        <v>63</v>
      </c>
      <c r="N30" s="10">
        <v>6</v>
      </c>
      <c r="O30" s="5" t="s">
        <v>16</v>
      </c>
      <c r="P30" s="11">
        <v>104.42</v>
      </c>
      <c r="Q30" s="10">
        <v>9</v>
      </c>
      <c r="R30" s="5" t="s">
        <v>16</v>
      </c>
      <c r="S30" s="11">
        <v>52.521399</v>
      </c>
      <c r="T30" s="10">
        <v>1</v>
      </c>
      <c r="U30" s="11">
        <v>82.835341</v>
      </c>
      <c r="V30" s="11">
        <v>239.77674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10">
        <v>29</v>
      </c>
      <c r="M31" s="2" t="s">
        <v>64</v>
      </c>
      <c r="N31" s="10">
        <v>7</v>
      </c>
      <c r="O31" s="5" t="s">
        <v>16</v>
      </c>
      <c r="P31" s="11">
        <v>29.605566</v>
      </c>
      <c r="Q31" s="10">
        <v>2</v>
      </c>
      <c r="R31" s="5" t="s">
        <v>16</v>
      </c>
      <c r="S31" s="10">
        <v>42</v>
      </c>
      <c r="T31" s="10">
        <v>5</v>
      </c>
      <c r="U31" s="11">
        <v>44.126392938021866</v>
      </c>
      <c r="V31" s="11">
        <v>115.73195893802186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10">
        <v>30</v>
      </c>
      <c r="M32" s="2" t="s">
        <v>65</v>
      </c>
      <c r="N32" s="10">
        <v>3</v>
      </c>
      <c r="O32" s="5" t="s">
        <v>16</v>
      </c>
      <c r="P32" s="11">
        <v>64.025</v>
      </c>
      <c r="Q32" s="10">
        <v>7</v>
      </c>
      <c r="R32" s="5" t="s">
        <v>16</v>
      </c>
      <c r="S32" s="11">
        <v>63.3</v>
      </c>
      <c r="T32" s="10">
        <v>3</v>
      </c>
      <c r="U32" s="11">
        <v>4.247556598089008</v>
      </c>
      <c r="V32" s="11">
        <v>131.57255659808902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10">
        <v>31</v>
      </c>
      <c r="M33" s="2" t="s">
        <v>66</v>
      </c>
      <c r="N33" s="10">
        <v>0</v>
      </c>
      <c r="O33" s="5" t="s">
        <v>16</v>
      </c>
      <c r="P33" s="10">
        <v>0</v>
      </c>
      <c r="Q33" s="10">
        <v>2</v>
      </c>
      <c r="R33" s="5" t="s">
        <v>16</v>
      </c>
      <c r="S33" s="11">
        <v>-158.507083</v>
      </c>
      <c r="T33" s="10">
        <v>9</v>
      </c>
      <c r="U33" s="11">
        <v>23.220940999980197</v>
      </c>
      <c r="V33" s="11">
        <v>-135.2861420000198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10">
        <v>32</v>
      </c>
      <c r="M34" s="2" t="s">
        <v>67</v>
      </c>
      <c r="N34" s="10">
        <v>1</v>
      </c>
      <c r="O34" s="5" t="s">
        <v>16</v>
      </c>
      <c r="P34" s="10">
        <v>4000</v>
      </c>
      <c r="Q34" s="10">
        <v>0</v>
      </c>
      <c r="R34" s="5" t="s">
        <v>16</v>
      </c>
      <c r="S34" s="10">
        <v>0</v>
      </c>
      <c r="T34" s="10">
        <v>0</v>
      </c>
      <c r="U34" s="10">
        <v>0</v>
      </c>
      <c r="V34" s="10">
        <v>4000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10">
        <v>33</v>
      </c>
      <c r="M35" s="2" t="s">
        <v>68</v>
      </c>
      <c r="N35" s="10">
        <v>2</v>
      </c>
      <c r="O35" s="5" t="s">
        <v>16</v>
      </c>
      <c r="P35" s="11">
        <v>70.387843</v>
      </c>
      <c r="Q35" s="10">
        <v>5</v>
      </c>
      <c r="R35" s="5" t="s">
        <v>16</v>
      </c>
      <c r="S35" s="11">
        <v>-18.762944</v>
      </c>
      <c r="T35" s="10">
        <v>1</v>
      </c>
      <c r="U35" s="11">
        <v>0.52485</v>
      </c>
      <c r="V35" s="11">
        <v>52.149749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10">
        <v>34</v>
      </c>
      <c r="M36" s="2" t="s">
        <v>69</v>
      </c>
      <c r="N36" s="10">
        <v>3</v>
      </c>
      <c r="O36" s="5" t="s">
        <v>16</v>
      </c>
      <c r="P36" s="11">
        <v>2.78851</v>
      </c>
      <c r="Q36" s="10">
        <v>4</v>
      </c>
      <c r="R36" s="5" t="s">
        <v>16</v>
      </c>
      <c r="S36" s="11">
        <v>31.628034</v>
      </c>
      <c r="T36" s="10">
        <v>15</v>
      </c>
      <c r="U36" s="11">
        <v>83.07432734681933</v>
      </c>
      <c r="V36" s="11">
        <v>117.49087134681933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10">
        <v>35</v>
      </c>
      <c r="M37" s="2" t="s">
        <v>70</v>
      </c>
      <c r="N37" s="10">
        <v>4</v>
      </c>
      <c r="O37" s="5" t="s">
        <v>16</v>
      </c>
      <c r="P37" s="11">
        <v>10.934782</v>
      </c>
      <c r="Q37" s="10">
        <v>3</v>
      </c>
      <c r="R37" s="5" t="s">
        <v>16</v>
      </c>
      <c r="S37" s="11">
        <v>4.852584</v>
      </c>
      <c r="T37" s="10">
        <v>15</v>
      </c>
      <c r="U37" s="11">
        <v>29.21151570477232</v>
      </c>
      <c r="V37" s="11">
        <v>44.99888170477232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10">
        <v>36</v>
      </c>
      <c r="M38" s="2" t="s">
        <v>71</v>
      </c>
      <c r="N38" s="10">
        <v>1</v>
      </c>
      <c r="O38" s="5" t="s">
        <v>16</v>
      </c>
      <c r="P38" s="11">
        <v>40.772532</v>
      </c>
      <c r="Q38" s="10">
        <v>0</v>
      </c>
      <c r="R38" s="5" t="s">
        <v>16</v>
      </c>
      <c r="S38" s="10">
        <v>0</v>
      </c>
      <c r="T38" s="10">
        <v>1</v>
      </c>
      <c r="U38" s="11">
        <v>0.043040371868812904</v>
      </c>
      <c r="V38" s="11">
        <v>40.81557237186881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10">
        <v>37</v>
      </c>
      <c r="M39" s="2" t="s">
        <v>72</v>
      </c>
      <c r="N39" s="10">
        <v>1</v>
      </c>
      <c r="O39" s="5" t="s">
        <v>16</v>
      </c>
      <c r="P39" s="10">
        <v>5</v>
      </c>
      <c r="Q39" s="10">
        <v>0</v>
      </c>
      <c r="R39" s="5" t="s">
        <v>16</v>
      </c>
      <c r="S39" s="10">
        <v>0</v>
      </c>
      <c r="T39" s="10">
        <v>1</v>
      </c>
      <c r="U39" s="11">
        <v>0.0817767065507446</v>
      </c>
      <c r="V39" s="11">
        <v>5.081776706550745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10">
        <v>38</v>
      </c>
      <c r="M40" s="2" t="s">
        <v>73</v>
      </c>
      <c r="N40" s="10">
        <v>5</v>
      </c>
      <c r="O40" s="5" t="s">
        <v>16</v>
      </c>
      <c r="P40" s="11">
        <v>31.717624</v>
      </c>
      <c r="Q40" s="10">
        <v>1</v>
      </c>
      <c r="R40" s="5" t="s">
        <v>16</v>
      </c>
      <c r="S40" s="11">
        <v>0.468421</v>
      </c>
      <c r="T40" s="10">
        <v>11</v>
      </c>
      <c r="U40" s="11">
        <v>11.43468552247224</v>
      </c>
      <c r="V40" s="11">
        <v>43.62073052247224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10">
        <v>39</v>
      </c>
      <c r="M41" s="2" t="s">
        <v>74</v>
      </c>
      <c r="N41" s="10">
        <v>11</v>
      </c>
      <c r="O41" s="5" t="s">
        <v>16</v>
      </c>
      <c r="P41" s="11">
        <v>82.808165</v>
      </c>
      <c r="Q41" s="10">
        <v>1</v>
      </c>
      <c r="R41" s="5" t="s">
        <v>16</v>
      </c>
      <c r="S41" s="11">
        <v>0.295894</v>
      </c>
      <c r="T41" s="10">
        <v>9</v>
      </c>
      <c r="U41" s="11">
        <v>7.783400288370488</v>
      </c>
      <c r="V41" s="11">
        <v>90.8874592883705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10">
        <v>40</v>
      </c>
      <c r="M42" s="2" t="s">
        <v>75</v>
      </c>
      <c r="N42" s="10">
        <v>1</v>
      </c>
      <c r="O42" s="5" t="s">
        <v>16</v>
      </c>
      <c r="P42" s="11">
        <v>1.833132</v>
      </c>
      <c r="Q42" s="10">
        <v>1</v>
      </c>
      <c r="R42" s="5" t="s">
        <v>16</v>
      </c>
      <c r="S42" s="11">
        <v>1.5</v>
      </c>
      <c r="T42" s="10">
        <v>1</v>
      </c>
      <c r="U42" s="11">
        <v>2.36459671171559</v>
      </c>
      <c r="V42" s="11">
        <v>5.69772871171559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10">
        <v>41</v>
      </c>
      <c r="M43" s="2" t="s">
        <v>76</v>
      </c>
      <c r="N43" s="10">
        <v>16</v>
      </c>
      <c r="O43" s="5" t="s">
        <v>16</v>
      </c>
      <c r="P43" s="11">
        <v>50.940392</v>
      </c>
      <c r="Q43" s="10">
        <v>8</v>
      </c>
      <c r="R43" s="5" t="s">
        <v>16</v>
      </c>
      <c r="S43" s="11">
        <v>20.21715</v>
      </c>
      <c r="T43" s="10">
        <v>19</v>
      </c>
      <c r="U43" s="11">
        <v>26.75080095665811</v>
      </c>
      <c r="V43" s="11">
        <v>97.90834295665812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10">
        <v>42</v>
      </c>
      <c r="M44" s="2" t="s">
        <v>77</v>
      </c>
      <c r="N44" s="10">
        <v>8</v>
      </c>
      <c r="O44" s="5" t="s">
        <v>16</v>
      </c>
      <c r="P44" s="11">
        <v>541.124808</v>
      </c>
      <c r="Q44" s="10">
        <v>2</v>
      </c>
      <c r="R44" s="5" t="s">
        <v>16</v>
      </c>
      <c r="S44" s="11">
        <v>5.619565</v>
      </c>
      <c r="T44" s="10">
        <v>7</v>
      </c>
      <c r="U44" s="11">
        <v>21.9575916499957</v>
      </c>
      <c r="V44" s="11">
        <v>568.7019646499957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10">
        <v>43</v>
      </c>
      <c r="M45" s="2" t="s">
        <v>78</v>
      </c>
      <c r="N45" s="10">
        <v>2</v>
      </c>
      <c r="O45" s="5" t="s">
        <v>16</v>
      </c>
      <c r="P45" s="11">
        <v>10.282039</v>
      </c>
      <c r="Q45" s="10">
        <v>0</v>
      </c>
      <c r="R45" s="5" t="s">
        <v>16</v>
      </c>
      <c r="S45" s="10">
        <v>0</v>
      </c>
      <c r="T45" s="10">
        <v>8</v>
      </c>
      <c r="U45" s="11">
        <v>5.291235920332268</v>
      </c>
      <c r="V45" s="11">
        <v>15.573274920332267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10">
        <v>44</v>
      </c>
      <c r="M46" s="2" t="s">
        <v>79</v>
      </c>
      <c r="N46" s="10">
        <v>3</v>
      </c>
      <c r="O46" s="5" t="s">
        <v>16</v>
      </c>
      <c r="P46" s="10">
        <v>10</v>
      </c>
      <c r="Q46" s="10">
        <v>0</v>
      </c>
      <c r="R46" s="5" t="s">
        <v>16</v>
      </c>
      <c r="S46" s="10">
        <v>0</v>
      </c>
      <c r="T46" s="10">
        <v>41</v>
      </c>
      <c r="U46" s="11">
        <v>8.336143923043805</v>
      </c>
      <c r="V46" s="11">
        <v>18.336143923043807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10">
        <v>45</v>
      </c>
      <c r="M47" s="2" t="s">
        <v>80</v>
      </c>
      <c r="N47" s="10">
        <v>1</v>
      </c>
      <c r="O47" s="5" t="s">
        <v>16</v>
      </c>
      <c r="P47" s="10">
        <v>5</v>
      </c>
      <c r="Q47" s="10">
        <v>0</v>
      </c>
      <c r="R47" s="5" t="s">
        <v>16</v>
      </c>
      <c r="S47" s="10">
        <v>0</v>
      </c>
      <c r="T47" s="10">
        <v>19</v>
      </c>
      <c r="U47" s="11">
        <v>9.316927778256007</v>
      </c>
      <c r="V47" s="11">
        <v>14.316927778256007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10">
        <v>46</v>
      </c>
      <c r="M48" s="2" t="s">
        <v>81</v>
      </c>
      <c r="N48" s="10">
        <v>0</v>
      </c>
      <c r="O48" s="5" t="s">
        <v>16</v>
      </c>
      <c r="P48" s="10">
        <v>0</v>
      </c>
      <c r="Q48" s="10">
        <v>1</v>
      </c>
      <c r="R48" s="5" t="s">
        <v>16</v>
      </c>
      <c r="S48" s="11">
        <v>10.1</v>
      </c>
      <c r="T48" s="10">
        <v>5</v>
      </c>
      <c r="U48" s="11">
        <v>10.07450488370195</v>
      </c>
      <c r="V48" s="11">
        <v>20.17450488370195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10">
        <v>47</v>
      </c>
      <c r="M49" s="2" t="s">
        <v>82</v>
      </c>
      <c r="N49" s="10">
        <v>1</v>
      </c>
      <c r="O49" s="5" t="s">
        <v>16</v>
      </c>
      <c r="P49" s="10">
        <v>12</v>
      </c>
      <c r="Q49" s="10">
        <v>0</v>
      </c>
      <c r="R49" s="5" t="s">
        <v>16</v>
      </c>
      <c r="S49" s="10">
        <v>0</v>
      </c>
      <c r="T49" s="10">
        <v>4</v>
      </c>
      <c r="U49" s="11">
        <v>2.2957520493242662</v>
      </c>
      <c r="V49" s="11">
        <v>14.295752049324266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10">
        <v>48</v>
      </c>
      <c r="M50" s="2" t="s">
        <v>83</v>
      </c>
      <c r="N50" s="10">
        <v>0</v>
      </c>
      <c r="O50" s="5" t="s">
        <v>16</v>
      </c>
      <c r="P50" s="10">
        <v>0</v>
      </c>
      <c r="Q50" s="10">
        <v>1</v>
      </c>
      <c r="R50" s="5" t="s">
        <v>16</v>
      </c>
      <c r="S50" s="11">
        <v>1.726817</v>
      </c>
      <c r="T50" s="10">
        <v>6</v>
      </c>
      <c r="U50" s="11">
        <v>14.482927175690804</v>
      </c>
      <c r="V50" s="11">
        <v>16.209744175690805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10">
        <v>49</v>
      </c>
      <c r="M51" s="2" t="s">
        <v>84</v>
      </c>
      <c r="N51" s="10">
        <v>1</v>
      </c>
      <c r="O51" s="5" t="s">
        <v>16</v>
      </c>
      <c r="P51" s="11">
        <v>2.019156</v>
      </c>
      <c r="Q51" s="10">
        <v>1</v>
      </c>
      <c r="R51" s="5" t="s">
        <v>16</v>
      </c>
      <c r="S51" s="11">
        <v>0.680312</v>
      </c>
      <c r="T51" s="10">
        <v>10</v>
      </c>
      <c r="U51" s="11">
        <v>5.582428250150646</v>
      </c>
      <c r="V51" s="11">
        <v>8.281896250150647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10">
        <v>50</v>
      </c>
      <c r="M52" s="2" t="s">
        <v>85</v>
      </c>
      <c r="N52" s="10">
        <v>0</v>
      </c>
      <c r="O52" s="5" t="s">
        <v>16</v>
      </c>
      <c r="P52" s="10">
        <v>0</v>
      </c>
      <c r="Q52" s="10">
        <v>0</v>
      </c>
      <c r="R52" s="5" t="s">
        <v>16</v>
      </c>
      <c r="S52" s="10">
        <v>0</v>
      </c>
      <c r="T52" s="10">
        <v>3</v>
      </c>
      <c r="U52" s="11">
        <v>0.3086425066712571</v>
      </c>
      <c r="V52" s="11">
        <v>0.3086425066712571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10">
        <v>51</v>
      </c>
      <c r="M53" s="2" t="s">
        <v>86</v>
      </c>
      <c r="N53" s="5" t="s">
        <v>16</v>
      </c>
      <c r="O53" s="5" t="s">
        <v>16</v>
      </c>
      <c r="P53" s="8" t="s">
        <v>16</v>
      </c>
      <c r="Q53" s="5" t="s">
        <v>16</v>
      </c>
      <c r="R53" s="5" t="s">
        <v>16</v>
      </c>
      <c r="S53" s="8" t="s">
        <v>16</v>
      </c>
      <c r="T53" s="5" t="s">
        <v>16</v>
      </c>
      <c r="U53" s="8" t="s">
        <v>16</v>
      </c>
      <c r="V53" s="8" t="s">
        <v>16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10">
        <v>52</v>
      </c>
      <c r="M54" s="2" t="s">
        <v>87</v>
      </c>
      <c r="N54" s="10">
        <v>1</v>
      </c>
      <c r="O54" s="5" t="s">
        <v>16</v>
      </c>
      <c r="P54" s="11">
        <v>4.052247</v>
      </c>
      <c r="Q54" s="10">
        <v>0</v>
      </c>
      <c r="R54" s="5" t="s">
        <v>16</v>
      </c>
      <c r="S54" s="10">
        <v>0</v>
      </c>
      <c r="T54" s="10">
        <v>0</v>
      </c>
      <c r="U54" s="10">
        <v>0</v>
      </c>
      <c r="V54" s="11">
        <v>4.052247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10">
        <v>53</v>
      </c>
      <c r="M55" s="2" t="s">
        <v>88</v>
      </c>
      <c r="N55" s="5" t="s">
        <v>16</v>
      </c>
      <c r="O55" s="5" t="s">
        <v>16</v>
      </c>
      <c r="P55" s="8" t="s">
        <v>16</v>
      </c>
      <c r="Q55" s="5" t="s">
        <v>16</v>
      </c>
      <c r="R55" s="5" t="s">
        <v>16</v>
      </c>
      <c r="S55" s="8" t="s">
        <v>16</v>
      </c>
      <c r="T55" s="5" t="s">
        <v>16</v>
      </c>
      <c r="U55" s="8" t="s">
        <v>16</v>
      </c>
      <c r="V55" s="8" t="s">
        <v>16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10">
        <v>54</v>
      </c>
      <c r="M56" s="2" t="s">
        <v>89</v>
      </c>
      <c r="N56" s="10">
        <v>0</v>
      </c>
      <c r="O56" s="5" t="s">
        <v>16</v>
      </c>
      <c r="P56" s="10">
        <v>0</v>
      </c>
      <c r="Q56" s="10">
        <v>0</v>
      </c>
      <c r="R56" s="5" t="s">
        <v>16</v>
      </c>
      <c r="S56" s="10">
        <v>0</v>
      </c>
      <c r="T56" s="10">
        <v>1</v>
      </c>
      <c r="U56" s="11">
        <v>0.115132994749075</v>
      </c>
      <c r="V56" s="11">
        <v>0.115132994749075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10">
        <v>55</v>
      </c>
      <c r="M57" s="2" t="s">
        <v>90</v>
      </c>
      <c r="N57" s="10">
        <v>1</v>
      </c>
      <c r="O57" s="5" t="s">
        <v>16</v>
      </c>
      <c r="P57" s="11">
        <v>2.2556</v>
      </c>
      <c r="Q57" s="10">
        <v>0</v>
      </c>
      <c r="R57" s="5" t="s">
        <v>16</v>
      </c>
      <c r="S57" s="10">
        <v>0</v>
      </c>
      <c r="T57" s="10">
        <v>1</v>
      </c>
      <c r="U57" s="11">
        <v>5.3989842472239</v>
      </c>
      <c r="V57" s="11">
        <v>7.6545842472239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10">
        <v>56</v>
      </c>
      <c r="M58" s="2" t="s">
        <v>91</v>
      </c>
      <c r="N58" s="10">
        <v>3</v>
      </c>
      <c r="O58" s="5" t="s">
        <v>16</v>
      </c>
      <c r="P58" s="11">
        <v>295.113973</v>
      </c>
      <c r="Q58" s="10">
        <v>1</v>
      </c>
      <c r="R58" s="5" t="s">
        <v>16</v>
      </c>
      <c r="S58" s="11">
        <v>-10.967</v>
      </c>
      <c r="T58" s="10">
        <v>2</v>
      </c>
      <c r="U58" s="11">
        <v>0.11621330808298187</v>
      </c>
      <c r="V58" s="11">
        <v>284.263186308083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10">
        <v>57</v>
      </c>
      <c r="M59" s="2" t="s">
        <v>92</v>
      </c>
      <c r="N59" s="5" t="s">
        <v>16</v>
      </c>
      <c r="O59" s="5" t="s">
        <v>16</v>
      </c>
      <c r="P59" s="8" t="s">
        <v>16</v>
      </c>
      <c r="Q59" s="5" t="s">
        <v>16</v>
      </c>
      <c r="R59" s="5" t="s">
        <v>16</v>
      </c>
      <c r="S59" s="8" t="s">
        <v>16</v>
      </c>
      <c r="T59" s="5" t="s">
        <v>16</v>
      </c>
      <c r="U59" s="8" t="s">
        <v>16</v>
      </c>
      <c r="V59" s="8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10">
        <v>58</v>
      </c>
      <c r="M60" s="2" t="s">
        <v>93</v>
      </c>
      <c r="N60" s="10">
        <v>0</v>
      </c>
      <c r="O60" s="5" t="s">
        <v>16</v>
      </c>
      <c r="P60" s="10">
        <v>0</v>
      </c>
      <c r="Q60" s="10">
        <v>0</v>
      </c>
      <c r="R60" s="5" t="s">
        <v>16</v>
      </c>
      <c r="S60" s="10">
        <v>0</v>
      </c>
      <c r="T60" s="10">
        <v>1</v>
      </c>
      <c r="U60" s="11">
        <v>0.878927433933029</v>
      </c>
      <c r="V60" s="11">
        <v>0.878927433933029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10">
        <v>59</v>
      </c>
      <c r="M61" s="2" t="s">
        <v>94</v>
      </c>
      <c r="N61" s="10">
        <v>4</v>
      </c>
      <c r="O61" s="5" t="s">
        <v>16</v>
      </c>
      <c r="P61" s="11">
        <v>149.622883</v>
      </c>
      <c r="Q61" s="10">
        <v>0</v>
      </c>
      <c r="R61" s="5" t="s">
        <v>16</v>
      </c>
      <c r="S61" s="10">
        <v>0</v>
      </c>
      <c r="T61" s="10">
        <v>1</v>
      </c>
      <c r="U61" s="11">
        <v>0.135846617285013</v>
      </c>
      <c r="V61" s="11">
        <v>149.758729617285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10">
        <v>60</v>
      </c>
      <c r="M62" s="2" t="s">
        <v>95</v>
      </c>
      <c r="N62" s="10">
        <v>0</v>
      </c>
      <c r="O62" s="5" t="s">
        <v>16</v>
      </c>
      <c r="P62" s="10">
        <v>0</v>
      </c>
      <c r="Q62" s="10">
        <v>0</v>
      </c>
      <c r="R62" s="5" t="s">
        <v>16</v>
      </c>
      <c r="S62" s="10">
        <v>0</v>
      </c>
      <c r="T62" s="10">
        <v>1</v>
      </c>
      <c r="U62" s="11">
        <v>0.084090746061806</v>
      </c>
      <c r="V62" s="11">
        <v>0.084090746061806</v>
      </c>
      <c r="W62" s="10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10">
        <v>61</v>
      </c>
      <c r="M63" s="2" t="s">
        <v>96</v>
      </c>
      <c r="N63" s="5" t="s">
        <v>16</v>
      </c>
      <c r="O63" s="5" t="s">
        <v>16</v>
      </c>
      <c r="P63" s="8" t="s">
        <v>16</v>
      </c>
      <c r="Q63" s="5" t="s">
        <v>16</v>
      </c>
      <c r="R63" s="5" t="s">
        <v>16</v>
      </c>
      <c r="S63" s="8" t="s">
        <v>16</v>
      </c>
      <c r="T63" s="5" t="s">
        <v>16</v>
      </c>
      <c r="U63" s="8" t="s">
        <v>16</v>
      </c>
      <c r="V63" s="8" t="s">
        <v>16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10">
        <v>62</v>
      </c>
      <c r="M64" s="2" t="s">
        <v>97</v>
      </c>
      <c r="N64" s="10">
        <v>2</v>
      </c>
      <c r="O64" s="5" t="s">
        <v>16</v>
      </c>
      <c r="P64" s="11">
        <v>3.58</v>
      </c>
      <c r="Q64" s="10">
        <v>3</v>
      </c>
      <c r="R64" s="5" t="s">
        <v>16</v>
      </c>
      <c r="S64" s="11">
        <v>8.860358</v>
      </c>
      <c r="T64" s="10">
        <v>9</v>
      </c>
      <c r="U64" s="11">
        <v>11.838211242145142</v>
      </c>
      <c r="V64" s="11">
        <v>24.278569242145142</v>
      </c>
      <c r="W64" s="10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10">
        <v>63</v>
      </c>
      <c r="M65" s="2" t="s">
        <v>98</v>
      </c>
      <c r="N65" s="10">
        <v>1</v>
      </c>
      <c r="O65" s="5" t="s">
        <v>16</v>
      </c>
      <c r="P65" s="10">
        <v>7</v>
      </c>
      <c r="Q65" s="10">
        <v>1</v>
      </c>
      <c r="R65" s="5" t="s">
        <v>16</v>
      </c>
      <c r="S65" s="11">
        <v>0.432254</v>
      </c>
      <c r="T65" s="10">
        <v>2</v>
      </c>
      <c r="U65" s="11">
        <v>0.8608074373762584</v>
      </c>
      <c r="V65" s="11">
        <v>8.29306143737626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10">
        <v>2523</v>
      </c>
      <c r="O66" s="10">
        <v>0</v>
      </c>
      <c r="P66" s="11">
        <v>14646.417346000006</v>
      </c>
      <c r="Q66" s="10">
        <v>1140</v>
      </c>
      <c r="R66" s="10">
        <v>0</v>
      </c>
      <c r="S66" s="11">
        <v>6414.485640460002</v>
      </c>
      <c r="T66" s="10">
        <v>6141</v>
      </c>
      <c r="U66" s="11">
        <v>7469.19813196292</v>
      </c>
      <c r="V66" s="11">
        <v>28530.10111842292</v>
      </c>
      <c r="W66" s="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2" width="22.290714285714284" customWidth="1" bestFit="1"/>
    <col min="5" max="5" style="14" width="26.290714285714284" customWidth="1" bestFit="1"/>
    <col min="6" max="6" style="12" width="20.005" customWidth="1" bestFit="1"/>
    <col min="7" max="7" style="12" width="24.14785714285714" customWidth="1" bestFit="1"/>
    <col min="8" max="8" style="14" width="27.719285714285714" customWidth="1" bestFit="1"/>
    <col min="9" max="9" style="12" width="23.719285714285714" customWidth="1" bestFit="1"/>
    <col min="10" max="10" style="14" width="32.71928571428572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5" width="14.576428571428572" customWidth="1" bestFit="1"/>
    <col min="15" max="15" style="15" width="22.290714285714284" customWidth="1" bestFit="1"/>
    <col min="16" max="16" style="16" width="26.290714285714284" customWidth="1" bestFit="1"/>
    <col min="17" max="17" style="15" width="20.005" customWidth="1" bestFit="1"/>
    <col min="18" max="18" style="15" width="24.14785714285714" customWidth="1" bestFit="1"/>
    <col min="19" max="19" style="16" width="27.719285714285714" customWidth="1" bestFit="1"/>
    <col min="20" max="20" style="15" width="23.719285714285714" customWidth="1" bestFit="1"/>
    <col min="21" max="21" style="16" width="32.71928571428572" customWidth="1" bestFit="1"/>
    <col min="22" max="22" style="16" width="51.57642857142857" customWidth="1" bestFit="1"/>
    <col min="23" max="23" style="12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6"/>
      <c r="P1" s="7"/>
      <c r="Q1" s="5" t="s">
        <v>3</v>
      </c>
      <c r="R1" s="6"/>
      <c r="S1" s="7"/>
      <c r="T1" s="5" t="s">
        <v>4</v>
      </c>
      <c r="U1" s="7"/>
      <c r="V1" s="8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9" t="s">
        <v>8</v>
      </c>
      <c r="F2" s="1" t="s">
        <v>9</v>
      </c>
      <c r="G2" s="1" t="s">
        <v>10</v>
      </c>
      <c r="H2" s="9" t="s">
        <v>11</v>
      </c>
      <c r="I2" s="1" t="s">
        <v>12</v>
      </c>
      <c r="J2" s="9" t="s">
        <v>13</v>
      </c>
      <c r="K2" s="9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8" t="s">
        <v>8</v>
      </c>
      <c r="Q2" s="5" t="s">
        <v>9</v>
      </c>
      <c r="R2" s="5" t="s">
        <v>10</v>
      </c>
      <c r="S2" s="8" t="s">
        <v>11</v>
      </c>
      <c r="T2" s="5" t="s">
        <v>12</v>
      </c>
      <c r="U2" s="8" t="s">
        <v>13</v>
      </c>
      <c r="V2" s="8" t="s">
        <v>5</v>
      </c>
      <c r="W2" s="3"/>
    </row>
    <row x14ac:dyDescent="0.25" r="3" customHeight="1" ht="17.25">
      <c r="A3" s="10">
        <v>1</v>
      </c>
      <c r="B3" s="2" t="s">
        <v>15</v>
      </c>
      <c r="C3" s="10">
        <v>533</v>
      </c>
      <c r="D3" s="1" t="s">
        <v>16</v>
      </c>
      <c r="E3" s="11">
        <v>7251.98293987</v>
      </c>
      <c r="F3" s="10">
        <v>612</v>
      </c>
      <c r="G3" s="1" t="s">
        <v>16</v>
      </c>
      <c r="H3" s="11">
        <v>7346.304395578125</v>
      </c>
      <c r="I3" s="10">
        <v>650</v>
      </c>
      <c r="J3" s="11">
        <v>3522.599397369999</v>
      </c>
      <c r="K3" s="11">
        <v>18120.886732818126</v>
      </c>
      <c r="L3" s="10">
        <v>1</v>
      </c>
      <c r="M3" s="2" t="s">
        <v>17</v>
      </c>
      <c r="N3" s="10">
        <v>362</v>
      </c>
      <c r="O3" s="5" t="s">
        <v>16</v>
      </c>
      <c r="P3" s="11">
        <v>237.54789533000002</v>
      </c>
      <c r="Q3" s="10">
        <v>146</v>
      </c>
      <c r="R3" s="5" t="s">
        <v>16</v>
      </c>
      <c r="S3" s="11">
        <v>838.7680362890625</v>
      </c>
      <c r="T3" s="10">
        <v>462</v>
      </c>
      <c r="U3" s="11">
        <v>448.1381635817392</v>
      </c>
      <c r="V3" s="11">
        <v>1524.4540952008017</v>
      </c>
      <c r="W3" s="3"/>
    </row>
    <row x14ac:dyDescent="0.25" r="4" customHeight="1" ht="17.25">
      <c r="A4" s="10">
        <v>2</v>
      </c>
      <c r="B4" s="2" t="s">
        <v>18</v>
      </c>
      <c r="C4" s="10">
        <v>23</v>
      </c>
      <c r="D4" s="1" t="s">
        <v>16</v>
      </c>
      <c r="E4" s="11">
        <v>5316.160082</v>
      </c>
      <c r="F4" s="10">
        <v>12</v>
      </c>
      <c r="G4" s="1" t="s">
        <v>16</v>
      </c>
      <c r="H4" s="11">
        <v>260.995754</v>
      </c>
      <c r="I4" s="10">
        <v>29</v>
      </c>
      <c r="J4" s="11">
        <v>134.59673822173914</v>
      </c>
      <c r="K4" s="11">
        <v>5711.752574221739</v>
      </c>
      <c r="L4" s="10">
        <v>2</v>
      </c>
      <c r="M4" s="2" t="s">
        <v>19</v>
      </c>
      <c r="N4" s="10">
        <v>633</v>
      </c>
      <c r="O4" s="5" t="s">
        <v>16</v>
      </c>
      <c r="P4" s="11">
        <v>686.6319967100002</v>
      </c>
      <c r="Q4" s="10">
        <v>178</v>
      </c>
      <c r="R4" s="5" t="s">
        <v>16</v>
      </c>
      <c r="S4" s="11">
        <v>1124.2848928828125</v>
      </c>
      <c r="T4" s="10">
        <v>2289</v>
      </c>
      <c r="U4" s="11">
        <v>1927.2088600800002</v>
      </c>
      <c r="V4" s="11">
        <v>3738.125749672813</v>
      </c>
      <c r="W4" s="3"/>
    </row>
    <row x14ac:dyDescent="0.25" r="5" customHeight="1" ht="17.25">
      <c r="A5" s="10">
        <v>3</v>
      </c>
      <c r="B5" s="2" t="s">
        <v>20</v>
      </c>
      <c r="C5" s="10">
        <v>57</v>
      </c>
      <c r="D5" s="1" t="s">
        <v>16</v>
      </c>
      <c r="E5" s="11">
        <v>1390.02722472</v>
      </c>
      <c r="F5" s="10">
        <v>29</v>
      </c>
      <c r="G5" s="1" t="s">
        <v>16</v>
      </c>
      <c r="H5" s="11">
        <v>246.661224</v>
      </c>
      <c r="I5" s="10">
        <v>120</v>
      </c>
      <c r="J5" s="11">
        <v>1000.7277755900005</v>
      </c>
      <c r="K5" s="11">
        <v>2637.4162243100004</v>
      </c>
      <c r="L5" s="10">
        <v>3</v>
      </c>
      <c r="M5" s="2" t="s">
        <v>21</v>
      </c>
      <c r="N5" s="10">
        <v>75</v>
      </c>
      <c r="O5" s="5" t="s">
        <v>16</v>
      </c>
      <c r="P5" s="11">
        <v>629.557201</v>
      </c>
      <c r="Q5" s="10">
        <v>26</v>
      </c>
      <c r="R5" s="5" t="s">
        <v>16</v>
      </c>
      <c r="S5" s="11">
        <v>669.5231390859375</v>
      </c>
      <c r="T5" s="10">
        <v>202</v>
      </c>
      <c r="U5" s="11">
        <v>834.0462116900001</v>
      </c>
      <c r="V5" s="11">
        <v>2133.1265517759375</v>
      </c>
      <c r="W5" s="3"/>
    </row>
    <row x14ac:dyDescent="0.25" r="6" customHeight="1" ht="17.25">
      <c r="A6" s="10">
        <v>4</v>
      </c>
      <c r="B6" s="2" t="s">
        <v>22</v>
      </c>
      <c r="C6" s="10">
        <v>28</v>
      </c>
      <c r="D6" s="1" t="s">
        <v>16</v>
      </c>
      <c r="E6" s="11">
        <v>58.603879</v>
      </c>
      <c r="F6" s="10">
        <v>12</v>
      </c>
      <c r="G6" s="1" t="s">
        <v>16</v>
      </c>
      <c r="H6" s="11">
        <v>226.597885</v>
      </c>
      <c r="I6" s="10">
        <v>119</v>
      </c>
      <c r="J6" s="11">
        <v>172.07651475999992</v>
      </c>
      <c r="K6" s="11">
        <v>457.2782787599999</v>
      </c>
      <c r="L6" s="10">
        <v>4</v>
      </c>
      <c r="M6" s="2" t="s">
        <v>23</v>
      </c>
      <c r="N6" s="10">
        <v>51</v>
      </c>
      <c r="O6" s="5" t="s">
        <v>16</v>
      </c>
      <c r="P6" s="11">
        <v>295.44167649</v>
      </c>
      <c r="Q6" s="10">
        <v>49</v>
      </c>
      <c r="R6" s="5" t="s">
        <v>16</v>
      </c>
      <c r="S6" s="11">
        <v>466.968004</v>
      </c>
      <c r="T6" s="10">
        <v>87</v>
      </c>
      <c r="U6" s="11">
        <v>597.2740968</v>
      </c>
      <c r="V6" s="11">
        <v>1359.68377729</v>
      </c>
      <c r="W6" s="3"/>
    </row>
    <row x14ac:dyDescent="0.25" r="7" customHeight="1" ht="17.25">
      <c r="A7" s="10">
        <v>5</v>
      </c>
      <c r="B7" s="2" t="s">
        <v>24</v>
      </c>
      <c r="C7" s="10">
        <v>488</v>
      </c>
      <c r="D7" s="1" t="s">
        <v>16</v>
      </c>
      <c r="E7" s="11">
        <v>293.78942202</v>
      </c>
      <c r="F7" s="10">
        <v>130</v>
      </c>
      <c r="G7" s="1" t="s">
        <v>16</v>
      </c>
      <c r="H7" s="11">
        <v>416.58294765625</v>
      </c>
      <c r="I7" s="10">
        <v>1338</v>
      </c>
      <c r="J7" s="11">
        <v>693.6431785399993</v>
      </c>
      <c r="K7" s="11">
        <v>1404.0155482162493</v>
      </c>
      <c r="L7" s="10">
        <v>5</v>
      </c>
      <c r="M7" s="2" t="s">
        <v>25</v>
      </c>
      <c r="N7" s="10">
        <v>126</v>
      </c>
      <c r="O7" s="5" t="s">
        <v>16</v>
      </c>
      <c r="P7" s="11">
        <v>1170.505469</v>
      </c>
      <c r="Q7" s="10">
        <v>96</v>
      </c>
      <c r="R7" s="5" t="s">
        <v>16</v>
      </c>
      <c r="S7" s="11">
        <v>320.564038828125</v>
      </c>
      <c r="T7" s="10">
        <v>113</v>
      </c>
      <c r="U7" s="11">
        <v>171.7052967099999</v>
      </c>
      <c r="V7" s="11">
        <v>1662.7748045381247</v>
      </c>
      <c r="W7" s="3"/>
    </row>
    <row x14ac:dyDescent="0.25" r="8" customHeight="1" ht="17.25">
      <c r="A8" s="10">
        <v>6</v>
      </c>
      <c r="B8" s="2" t="s">
        <v>26</v>
      </c>
      <c r="C8" s="10">
        <v>15</v>
      </c>
      <c r="D8" s="1" t="s">
        <v>16</v>
      </c>
      <c r="E8" s="11">
        <v>59.96841178999999</v>
      </c>
      <c r="F8" s="10">
        <v>13</v>
      </c>
      <c r="G8" s="1" t="s">
        <v>16</v>
      </c>
      <c r="H8" s="11">
        <v>61.3830621875</v>
      </c>
      <c r="I8" s="10">
        <v>30</v>
      </c>
      <c r="J8" s="11">
        <v>35.43311433999999</v>
      </c>
      <c r="K8" s="11">
        <v>156.78458831749998</v>
      </c>
      <c r="L8" s="10">
        <v>6</v>
      </c>
      <c r="M8" s="2" t="s">
        <v>27</v>
      </c>
      <c r="N8" s="10">
        <v>48</v>
      </c>
      <c r="O8" s="5" t="s">
        <v>16</v>
      </c>
      <c r="P8" s="11">
        <v>317.07539567000003</v>
      </c>
      <c r="Q8" s="10">
        <v>65</v>
      </c>
      <c r="R8" s="5" t="s">
        <v>16</v>
      </c>
      <c r="S8" s="11">
        <v>2727.590212</v>
      </c>
      <c r="T8" s="10">
        <v>35</v>
      </c>
      <c r="U8" s="11">
        <v>2217.57518327</v>
      </c>
      <c r="V8" s="11">
        <v>5262.24079094</v>
      </c>
      <c r="W8" s="3"/>
    </row>
    <row x14ac:dyDescent="0.25" r="9" customHeight="1" ht="17.25">
      <c r="A9" s="10">
        <v>7</v>
      </c>
      <c r="B9" s="2" t="s">
        <v>28</v>
      </c>
      <c r="C9" s="10">
        <v>291</v>
      </c>
      <c r="D9" s="1" t="s">
        <v>16</v>
      </c>
      <c r="E9" s="11">
        <v>143.30586036</v>
      </c>
      <c r="F9" s="10">
        <v>87</v>
      </c>
      <c r="G9" s="1" t="s">
        <v>16</v>
      </c>
      <c r="H9" s="11">
        <v>276.5512550625</v>
      </c>
      <c r="I9" s="10">
        <v>620</v>
      </c>
      <c r="J9" s="11">
        <v>604.1214847399991</v>
      </c>
      <c r="K9" s="11">
        <v>1023.9786001624991</v>
      </c>
      <c r="L9" s="10">
        <v>7</v>
      </c>
      <c r="M9" s="2" t="s">
        <v>29</v>
      </c>
      <c r="N9" s="10">
        <v>16</v>
      </c>
      <c r="O9" s="5" t="s">
        <v>16</v>
      </c>
      <c r="P9" s="11">
        <v>247.898691</v>
      </c>
      <c r="Q9" s="10">
        <v>26</v>
      </c>
      <c r="R9" s="5" t="s">
        <v>16</v>
      </c>
      <c r="S9" s="11">
        <v>573.887369</v>
      </c>
      <c r="T9" s="10">
        <v>8</v>
      </c>
      <c r="U9" s="11">
        <v>1.6897235800000003</v>
      </c>
      <c r="V9" s="11">
        <v>823.47578358</v>
      </c>
      <c r="W9" s="3"/>
    </row>
    <row x14ac:dyDescent="0.25" r="10" customHeight="1" ht="17.25">
      <c r="A10" s="10">
        <v>8</v>
      </c>
      <c r="B10" s="2" t="s">
        <v>30</v>
      </c>
      <c r="C10" s="10">
        <v>53</v>
      </c>
      <c r="D10" s="1" t="s">
        <v>16</v>
      </c>
      <c r="E10" s="11">
        <v>426.367905</v>
      </c>
      <c r="F10" s="10">
        <v>14</v>
      </c>
      <c r="G10" s="1" t="s">
        <v>16</v>
      </c>
      <c r="H10" s="11">
        <v>40.469126</v>
      </c>
      <c r="I10" s="10">
        <v>118</v>
      </c>
      <c r="J10" s="11">
        <v>316.95538808</v>
      </c>
      <c r="K10" s="11">
        <v>783.79241908</v>
      </c>
      <c r="L10" s="10">
        <v>8</v>
      </c>
      <c r="M10" s="2" t="s">
        <v>31</v>
      </c>
      <c r="N10" s="10">
        <v>21</v>
      </c>
      <c r="O10" s="5" t="s">
        <v>16</v>
      </c>
      <c r="P10" s="11">
        <v>621.838696</v>
      </c>
      <c r="Q10" s="10">
        <v>45</v>
      </c>
      <c r="R10" s="5" t="s">
        <v>16</v>
      </c>
      <c r="S10" s="11">
        <v>652.708227</v>
      </c>
      <c r="T10" s="10">
        <v>40</v>
      </c>
      <c r="U10" s="11">
        <v>39.5976206</v>
      </c>
      <c r="V10" s="11">
        <v>1314.1445436</v>
      </c>
      <c r="W10" s="3"/>
    </row>
    <row x14ac:dyDescent="0.25" r="11" customHeight="1" ht="17.25">
      <c r="A11" s="10">
        <v>9</v>
      </c>
      <c r="B11" s="2" t="s">
        <v>32</v>
      </c>
      <c r="C11" s="10">
        <v>23</v>
      </c>
      <c r="D11" s="1" t="s">
        <v>16</v>
      </c>
      <c r="E11" s="11">
        <v>41.59123309</v>
      </c>
      <c r="F11" s="10">
        <v>15</v>
      </c>
      <c r="G11" s="1" t="s">
        <v>16</v>
      </c>
      <c r="H11" s="11">
        <v>21.43831</v>
      </c>
      <c r="I11" s="10">
        <v>322</v>
      </c>
      <c r="J11" s="11">
        <v>104.57391995000003</v>
      </c>
      <c r="K11" s="11">
        <v>167.60346304000004</v>
      </c>
      <c r="L11" s="10">
        <v>9</v>
      </c>
      <c r="M11" s="2" t="s">
        <v>33</v>
      </c>
      <c r="N11" s="10">
        <v>21</v>
      </c>
      <c r="O11" s="5" t="s">
        <v>16</v>
      </c>
      <c r="P11" s="11">
        <v>345.0847</v>
      </c>
      <c r="Q11" s="10">
        <v>10</v>
      </c>
      <c r="R11" s="5" t="s">
        <v>16</v>
      </c>
      <c r="S11" s="11">
        <v>10.424977</v>
      </c>
      <c r="T11" s="10">
        <v>23</v>
      </c>
      <c r="U11" s="11">
        <v>42.65521196</v>
      </c>
      <c r="V11" s="11">
        <v>398.16488896</v>
      </c>
      <c r="W11" s="3"/>
    </row>
    <row x14ac:dyDescent="0.25" r="12" customHeight="1" ht="17.25">
      <c r="A12" s="10">
        <v>10</v>
      </c>
      <c r="B12" s="2" t="s">
        <v>34</v>
      </c>
      <c r="C12" s="10">
        <v>156</v>
      </c>
      <c r="D12" s="1" t="s">
        <v>16</v>
      </c>
      <c r="E12" s="11">
        <v>226.05259894</v>
      </c>
      <c r="F12" s="10">
        <v>25</v>
      </c>
      <c r="G12" s="1" t="s">
        <v>16</v>
      </c>
      <c r="H12" s="11">
        <v>52.435763</v>
      </c>
      <c r="I12" s="10">
        <v>268</v>
      </c>
      <c r="J12" s="11">
        <v>125.90001697999996</v>
      </c>
      <c r="K12" s="11">
        <v>404.38837892</v>
      </c>
      <c r="L12" s="10">
        <v>10</v>
      </c>
      <c r="M12" s="2" t="s">
        <v>35</v>
      </c>
      <c r="N12" s="10">
        <v>20</v>
      </c>
      <c r="O12" s="5" t="s">
        <v>16</v>
      </c>
      <c r="P12" s="11">
        <v>237.246614</v>
      </c>
      <c r="Q12" s="10">
        <v>28</v>
      </c>
      <c r="R12" s="5" t="s">
        <v>16</v>
      </c>
      <c r="S12" s="11">
        <v>68.639651</v>
      </c>
      <c r="T12" s="10">
        <v>3</v>
      </c>
      <c r="U12" s="11">
        <v>1.99091133</v>
      </c>
      <c r="V12" s="11">
        <v>307.87717633</v>
      </c>
      <c r="W12" s="3"/>
    </row>
    <row x14ac:dyDescent="0.25" r="13" customHeight="1" ht="17.25">
      <c r="A13" s="10">
        <v>11</v>
      </c>
      <c r="B13" s="2" t="s">
        <v>36</v>
      </c>
      <c r="C13" s="10">
        <v>38</v>
      </c>
      <c r="D13" s="1" t="s">
        <v>16</v>
      </c>
      <c r="E13" s="11">
        <v>11.827855</v>
      </c>
      <c r="F13" s="10">
        <v>14</v>
      </c>
      <c r="G13" s="1" t="s">
        <v>16</v>
      </c>
      <c r="H13" s="11">
        <v>11.71899</v>
      </c>
      <c r="I13" s="10">
        <v>66</v>
      </c>
      <c r="J13" s="11">
        <v>22.97783216</v>
      </c>
      <c r="K13" s="11">
        <v>46.524677159999996</v>
      </c>
      <c r="L13" s="10">
        <v>11</v>
      </c>
      <c r="M13" s="2" t="s">
        <v>37</v>
      </c>
      <c r="N13" s="10">
        <v>54</v>
      </c>
      <c r="O13" s="5" t="s">
        <v>16</v>
      </c>
      <c r="P13" s="11">
        <v>3518.84488904</v>
      </c>
      <c r="Q13" s="10">
        <v>65</v>
      </c>
      <c r="R13" s="5" t="s">
        <v>16</v>
      </c>
      <c r="S13" s="11">
        <v>255.2436595</v>
      </c>
      <c r="T13" s="10">
        <v>43</v>
      </c>
      <c r="U13" s="11">
        <v>68.8906499</v>
      </c>
      <c r="V13" s="11">
        <v>3842.97919844</v>
      </c>
      <c r="W13" s="3"/>
    </row>
    <row x14ac:dyDescent="0.25" r="14" customHeight="1" ht="17.25">
      <c r="A14" s="10">
        <v>12</v>
      </c>
      <c r="B14" s="2" t="s">
        <v>38</v>
      </c>
      <c r="C14" s="10">
        <v>1</v>
      </c>
      <c r="D14" s="1" t="s">
        <v>16</v>
      </c>
      <c r="E14" s="11">
        <v>0.15</v>
      </c>
      <c r="F14" s="10">
        <v>2</v>
      </c>
      <c r="G14" s="1" t="s">
        <v>16</v>
      </c>
      <c r="H14" s="11">
        <v>0.4</v>
      </c>
      <c r="I14" s="10">
        <v>9</v>
      </c>
      <c r="J14" s="11">
        <v>3.0490673399999997</v>
      </c>
      <c r="K14" s="11">
        <v>3.5990673399999995</v>
      </c>
      <c r="L14" s="10">
        <v>12</v>
      </c>
      <c r="M14" s="2" t="s">
        <v>39</v>
      </c>
      <c r="N14" s="10">
        <v>17</v>
      </c>
      <c r="O14" s="5" t="s">
        <v>16</v>
      </c>
      <c r="P14" s="11">
        <v>110.245331</v>
      </c>
      <c r="Q14" s="10">
        <v>43</v>
      </c>
      <c r="R14" s="5" t="s">
        <v>16</v>
      </c>
      <c r="S14" s="11">
        <v>195.049664</v>
      </c>
      <c r="T14" s="10">
        <v>50</v>
      </c>
      <c r="U14" s="11">
        <v>26.30664583</v>
      </c>
      <c r="V14" s="11">
        <v>331.60164082999995</v>
      </c>
      <c r="W14" s="3"/>
    </row>
    <row x14ac:dyDescent="0.25" r="15" customHeight="1" ht="17.25">
      <c r="A15" s="10">
        <v>13</v>
      </c>
      <c r="B15" s="2" t="s">
        <v>40</v>
      </c>
      <c r="C15" s="10">
        <v>27</v>
      </c>
      <c r="D15" s="1" t="s">
        <v>16</v>
      </c>
      <c r="E15" s="11">
        <v>12.643249</v>
      </c>
      <c r="F15" s="10">
        <v>14</v>
      </c>
      <c r="G15" s="1" t="s">
        <v>16</v>
      </c>
      <c r="H15" s="11">
        <v>17.296975</v>
      </c>
      <c r="I15" s="10">
        <v>55</v>
      </c>
      <c r="J15" s="11">
        <v>21.144640550000005</v>
      </c>
      <c r="K15" s="11">
        <v>51.084864550000006</v>
      </c>
      <c r="L15" s="10">
        <v>13</v>
      </c>
      <c r="M15" s="2" t="s">
        <v>41</v>
      </c>
      <c r="N15" s="10">
        <v>15</v>
      </c>
      <c r="O15" s="5" t="s">
        <v>16</v>
      </c>
      <c r="P15" s="11">
        <v>111.33558</v>
      </c>
      <c r="Q15" s="10">
        <v>15</v>
      </c>
      <c r="R15" s="5" t="s">
        <v>16</v>
      </c>
      <c r="S15" s="11">
        <v>104.631026</v>
      </c>
      <c r="T15" s="10">
        <v>8</v>
      </c>
      <c r="U15" s="11">
        <v>4.33207672</v>
      </c>
      <c r="V15" s="11">
        <v>220.29868272000002</v>
      </c>
      <c r="W15" s="3"/>
    </row>
    <row x14ac:dyDescent="0.25" r="16" customHeight="1" ht="17.25">
      <c r="A16" s="10">
        <v>14</v>
      </c>
      <c r="B16" s="2" t="s">
        <v>42</v>
      </c>
      <c r="C16" s="10">
        <v>2</v>
      </c>
      <c r="D16" s="1" t="s">
        <v>16</v>
      </c>
      <c r="E16" s="11">
        <v>7.202</v>
      </c>
      <c r="F16" s="10">
        <v>1</v>
      </c>
      <c r="G16" s="1" t="s">
        <v>16</v>
      </c>
      <c r="H16" s="11">
        <v>4.71494</v>
      </c>
      <c r="I16" s="10">
        <v>10</v>
      </c>
      <c r="J16" s="11">
        <v>105.01985169</v>
      </c>
      <c r="K16" s="11">
        <v>116.93679168999999</v>
      </c>
      <c r="L16" s="10">
        <v>14</v>
      </c>
      <c r="M16" s="2" t="s">
        <v>43</v>
      </c>
      <c r="N16" s="10">
        <v>27</v>
      </c>
      <c r="O16" s="5" t="s">
        <v>16</v>
      </c>
      <c r="P16" s="11">
        <v>703.142904</v>
      </c>
      <c r="Q16" s="10">
        <v>8</v>
      </c>
      <c r="R16" s="5" t="s">
        <v>16</v>
      </c>
      <c r="S16" s="11">
        <v>33.209525</v>
      </c>
      <c r="T16" s="10">
        <v>13</v>
      </c>
      <c r="U16" s="11">
        <v>7.67762388</v>
      </c>
      <c r="V16" s="11">
        <v>744.0300528800001</v>
      </c>
      <c r="W16" s="3"/>
    </row>
    <row x14ac:dyDescent="0.25" r="17" customHeight="1" ht="17.25">
      <c r="A17" s="10">
        <v>15</v>
      </c>
      <c r="B17" s="2" t="s">
        <v>44</v>
      </c>
      <c r="C17" s="10">
        <v>1</v>
      </c>
      <c r="D17" s="1" t="s">
        <v>16</v>
      </c>
      <c r="E17" s="11">
        <v>1.1</v>
      </c>
      <c r="F17" s="10">
        <v>3</v>
      </c>
      <c r="G17" s="1" t="s">
        <v>16</v>
      </c>
      <c r="H17" s="11">
        <v>0.616791125</v>
      </c>
      <c r="I17" s="10">
        <v>11</v>
      </c>
      <c r="J17" s="11">
        <v>2.8011978200000005</v>
      </c>
      <c r="K17" s="11">
        <v>4.517988945000001</v>
      </c>
      <c r="L17" s="10">
        <v>15</v>
      </c>
      <c r="M17" s="2" t="s">
        <v>45</v>
      </c>
      <c r="N17" s="10">
        <v>40</v>
      </c>
      <c r="O17" s="5" t="s">
        <v>16</v>
      </c>
      <c r="P17" s="11">
        <v>150.001955</v>
      </c>
      <c r="Q17" s="10">
        <v>19</v>
      </c>
      <c r="R17" s="5" t="s">
        <v>16</v>
      </c>
      <c r="S17" s="11">
        <v>10.6069719375</v>
      </c>
      <c r="T17" s="10">
        <v>51</v>
      </c>
      <c r="U17" s="11">
        <v>11.732700099999999</v>
      </c>
      <c r="V17" s="11">
        <v>172.3416270375</v>
      </c>
      <c r="W17" s="3"/>
    </row>
    <row x14ac:dyDescent="0.25" r="18" customHeight="1" ht="17.25">
      <c r="A18" s="10">
        <v>16</v>
      </c>
      <c r="B18" s="2" t="s">
        <v>46</v>
      </c>
      <c r="C18" s="10">
        <v>0</v>
      </c>
      <c r="D18" s="1" t="s">
        <v>16</v>
      </c>
      <c r="E18" s="10">
        <v>0</v>
      </c>
      <c r="F18" s="10">
        <v>1</v>
      </c>
      <c r="G18" s="1" t="s">
        <v>16</v>
      </c>
      <c r="H18" s="11">
        <v>0.135</v>
      </c>
      <c r="I18" s="10">
        <v>4</v>
      </c>
      <c r="J18" s="11">
        <v>1.3364363099999998</v>
      </c>
      <c r="K18" s="11">
        <v>1.4714363099999999</v>
      </c>
      <c r="L18" s="10">
        <v>16</v>
      </c>
      <c r="M18" s="2" t="s">
        <v>47</v>
      </c>
      <c r="N18" s="10">
        <v>28</v>
      </c>
      <c r="O18" s="5" t="s">
        <v>16</v>
      </c>
      <c r="P18" s="11">
        <v>393.80411</v>
      </c>
      <c r="Q18" s="10">
        <v>38</v>
      </c>
      <c r="R18" s="5" t="s">
        <v>16</v>
      </c>
      <c r="S18" s="11">
        <v>272.5907721796875</v>
      </c>
      <c r="T18" s="10">
        <v>34</v>
      </c>
      <c r="U18" s="11">
        <v>45.73723589</v>
      </c>
      <c r="V18" s="11">
        <v>712.1321180696875</v>
      </c>
      <c r="W18" s="3"/>
    </row>
    <row x14ac:dyDescent="0.25" r="19" customHeight="1" ht="17.25">
      <c r="A19" s="10">
        <v>17</v>
      </c>
      <c r="B19" s="2" t="s">
        <v>48</v>
      </c>
      <c r="C19" s="10">
        <v>1</v>
      </c>
      <c r="D19" s="1" t="s">
        <v>16</v>
      </c>
      <c r="E19" s="11">
        <v>0.13052</v>
      </c>
      <c r="F19" s="10">
        <v>0</v>
      </c>
      <c r="G19" s="1" t="s">
        <v>16</v>
      </c>
      <c r="H19" s="10">
        <v>0</v>
      </c>
      <c r="I19" s="10">
        <v>7</v>
      </c>
      <c r="J19" s="11">
        <v>1.55103786</v>
      </c>
      <c r="K19" s="11">
        <v>1.68155786</v>
      </c>
      <c r="L19" s="10">
        <v>17</v>
      </c>
      <c r="M19" s="2" t="s">
        <v>49</v>
      </c>
      <c r="N19" s="10">
        <v>49</v>
      </c>
      <c r="O19" s="5" t="s">
        <v>16</v>
      </c>
      <c r="P19" s="11">
        <v>327.52064355</v>
      </c>
      <c r="Q19" s="10">
        <v>32</v>
      </c>
      <c r="R19" s="5" t="s">
        <v>16</v>
      </c>
      <c r="S19" s="11">
        <v>109.371286</v>
      </c>
      <c r="T19" s="10">
        <v>13</v>
      </c>
      <c r="U19" s="11">
        <v>13.479669229999999</v>
      </c>
      <c r="V19" s="11">
        <v>450.37159878</v>
      </c>
      <c r="W19" s="3"/>
    </row>
    <row x14ac:dyDescent="0.25" r="20" customHeight="1" ht="17.25">
      <c r="A20" s="10">
        <v>18</v>
      </c>
      <c r="B20" s="2" t="s">
        <v>50</v>
      </c>
      <c r="C20" s="10">
        <v>1</v>
      </c>
      <c r="D20" s="1" t="s">
        <v>16</v>
      </c>
      <c r="E20" s="11">
        <v>4.5</v>
      </c>
      <c r="F20" s="10">
        <v>1</v>
      </c>
      <c r="G20" s="1" t="s">
        <v>16</v>
      </c>
      <c r="H20" s="11">
        <v>30.47</v>
      </c>
      <c r="I20" s="10">
        <v>21</v>
      </c>
      <c r="J20" s="11">
        <v>24.655916169999998</v>
      </c>
      <c r="K20" s="11">
        <v>59.625916169999996</v>
      </c>
      <c r="L20" s="10">
        <v>18</v>
      </c>
      <c r="M20" s="2" t="s">
        <v>51</v>
      </c>
      <c r="N20" s="10">
        <v>2</v>
      </c>
      <c r="O20" s="5" t="s">
        <v>16</v>
      </c>
      <c r="P20" s="11">
        <v>2.059</v>
      </c>
      <c r="Q20" s="10">
        <v>4</v>
      </c>
      <c r="R20" s="5" t="s">
        <v>16</v>
      </c>
      <c r="S20" s="11">
        <v>134.4</v>
      </c>
      <c r="T20" s="10">
        <v>3</v>
      </c>
      <c r="U20" s="11">
        <v>1.4653288899999999</v>
      </c>
      <c r="V20" s="11">
        <v>137.92432889</v>
      </c>
      <c r="W20" s="3"/>
    </row>
    <row x14ac:dyDescent="0.25" r="21" customHeight="1" ht="17.25">
      <c r="A21" s="10">
        <v>19</v>
      </c>
      <c r="B21" s="2" t="s">
        <v>52</v>
      </c>
      <c r="C21" s="1" t="s">
        <v>16</v>
      </c>
      <c r="D21" s="1" t="s">
        <v>16</v>
      </c>
      <c r="E21" s="9" t="s">
        <v>16</v>
      </c>
      <c r="F21" s="1" t="s">
        <v>16</v>
      </c>
      <c r="G21" s="1" t="s">
        <v>16</v>
      </c>
      <c r="H21" s="9" t="s">
        <v>16</v>
      </c>
      <c r="I21" s="1" t="s">
        <v>16</v>
      </c>
      <c r="J21" s="9" t="s">
        <v>16</v>
      </c>
      <c r="K21" s="9" t="s">
        <v>16</v>
      </c>
      <c r="L21" s="10">
        <v>19</v>
      </c>
      <c r="M21" s="2" t="s">
        <v>53</v>
      </c>
      <c r="N21" s="10">
        <v>11</v>
      </c>
      <c r="O21" s="5" t="s">
        <v>16</v>
      </c>
      <c r="P21" s="11">
        <v>137.441141</v>
      </c>
      <c r="Q21" s="10">
        <v>8</v>
      </c>
      <c r="R21" s="5" t="s">
        <v>16</v>
      </c>
      <c r="S21" s="11">
        <v>42.432306</v>
      </c>
      <c r="T21" s="10">
        <v>7</v>
      </c>
      <c r="U21" s="11">
        <v>12.963728080000003</v>
      </c>
      <c r="V21" s="11">
        <v>192.83717508</v>
      </c>
      <c r="W21" s="3"/>
    </row>
    <row x14ac:dyDescent="0.25" r="22" customHeight="1" ht="17.25">
      <c r="A22" s="1" t="s">
        <v>54</v>
      </c>
      <c r="B22" s="2"/>
      <c r="C22" s="10">
        <v>1738</v>
      </c>
      <c r="D22" s="10">
        <v>0</v>
      </c>
      <c r="E22" s="11">
        <v>15245.40318079</v>
      </c>
      <c r="F22" s="10">
        <v>985</v>
      </c>
      <c r="G22" s="10">
        <v>0</v>
      </c>
      <c r="H22" s="11">
        <v>9014.772418609373</v>
      </c>
      <c r="I22" s="10">
        <v>3797</v>
      </c>
      <c r="J22" s="11">
        <v>6893.163508471737</v>
      </c>
      <c r="K22" s="11">
        <v>31153.339107871117</v>
      </c>
      <c r="L22" s="10">
        <v>20</v>
      </c>
      <c r="M22" s="2" t="s">
        <v>55</v>
      </c>
      <c r="N22" s="10">
        <v>15</v>
      </c>
      <c r="O22" s="5" t="s">
        <v>16</v>
      </c>
      <c r="P22" s="11">
        <v>434.236733</v>
      </c>
      <c r="Q22" s="10">
        <v>16</v>
      </c>
      <c r="R22" s="5" t="s">
        <v>16</v>
      </c>
      <c r="S22" s="11">
        <v>133.549029</v>
      </c>
      <c r="T22" s="10">
        <v>7</v>
      </c>
      <c r="U22" s="11">
        <v>9.59815775</v>
      </c>
      <c r="V22" s="11">
        <v>577.38391975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10">
        <v>21</v>
      </c>
      <c r="M23" s="2" t="s">
        <v>56</v>
      </c>
      <c r="N23" s="10">
        <v>3</v>
      </c>
      <c r="O23" s="5" t="s">
        <v>16</v>
      </c>
      <c r="P23" s="11">
        <v>165.558366</v>
      </c>
      <c r="Q23" s="10">
        <v>2</v>
      </c>
      <c r="R23" s="5" t="s">
        <v>16</v>
      </c>
      <c r="S23" s="11">
        <v>16.3</v>
      </c>
      <c r="T23" s="10">
        <v>11</v>
      </c>
      <c r="U23" s="11">
        <v>1.62469497</v>
      </c>
      <c r="V23" s="11">
        <v>183.48306097000003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10">
        <v>22</v>
      </c>
      <c r="M24" s="2" t="s">
        <v>57</v>
      </c>
      <c r="N24" s="10">
        <v>9</v>
      </c>
      <c r="O24" s="5" t="s">
        <v>16</v>
      </c>
      <c r="P24" s="11">
        <v>283.184702</v>
      </c>
      <c r="Q24" s="10">
        <v>6</v>
      </c>
      <c r="R24" s="5" t="s">
        <v>16</v>
      </c>
      <c r="S24" s="11">
        <v>34.67384475</v>
      </c>
      <c r="T24" s="10">
        <v>3</v>
      </c>
      <c r="U24" s="11">
        <v>0.6642563</v>
      </c>
      <c r="V24" s="11">
        <v>318.52280305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10">
        <v>23</v>
      </c>
      <c r="M25" s="2" t="s">
        <v>58</v>
      </c>
      <c r="N25" s="10">
        <v>10</v>
      </c>
      <c r="O25" s="5" t="s">
        <v>16</v>
      </c>
      <c r="P25" s="11">
        <v>1011.547296</v>
      </c>
      <c r="Q25" s="10">
        <v>4</v>
      </c>
      <c r="R25" s="5" t="s">
        <v>16</v>
      </c>
      <c r="S25" s="11">
        <v>113.950922</v>
      </c>
      <c r="T25" s="10">
        <v>11</v>
      </c>
      <c r="U25" s="11">
        <v>31.165627689999994</v>
      </c>
      <c r="V25" s="11">
        <v>1156.66384569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10">
        <v>24</v>
      </c>
      <c r="M26" s="2" t="s">
        <v>59</v>
      </c>
      <c r="N26" s="10">
        <v>1</v>
      </c>
      <c r="O26" s="5" t="s">
        <v>16</v>
      </c>
      <c r="P26" s="11">
        <v>1.109319</v>
      </c>
      <c r="Q26" s="10">
        <v>0</v>
      </c>
      <c r="R26" s="5" t="s">
        <v>16</v>
      </c>
      <c r="S26" s="10">
        <v>0</v>
      </c>
      <c r="T26" s="10">
        <v>0</v>
      </c>
      <c r="U26" s="10">
        <v>0</v>
      </c>
      <c r="V26" s="11">
        <v>1.109319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10">
        <v>25</v>
      </c>
      <c r="M27" s="2" t="s">
        <v>60</v>
      </c>
      <c r="N27" s="10">
        <v>1</v>
      </c>
      <c r="O27" s="5" t="s">
        <v>16</v>
      </c>
      <c r="P27" s="11">
        <v>6.75</v>
      </c>
      <c r="Q27" s="10">
        <v>5</v>
      </c>
      <c r="R27" s="5" t="s">
        <v>16</v>
      </c>
      <c r="S27" s="11">
        <v>25.139394</v>
      </c>
      <c r="T27" s="10">
        <v>63</v>
      </c>
      <c r="U27" s="11">
        <v>5.893242059999997</v>
      </c>
      <c r="V27" s="11">
        <v>37.782636059999994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10">
        <v>26</v>
      </c>
      <c r="M28" s="2" t="s">
        <v>61</v>
      </c>
      <c r="N28" s="10">
        <v>7</v>
      </c>
      <c r="O28" s="5" t="s">
        <v>16</v>
      </c>
      <c r="P28" s="11">
        <v>15.207852</v>
      </c>
      <c r="Q28" s="10">
        <v>6</v>
      </c>
      <c r="R28" s="5" t="s">
        <v>16</v>
      </c>
      <c r="S28" s="11">
        <v>13.092245</v>
      </c>
      <c r="T28" s="10">
        <v>40</v>
      </c>
      <c r="U28" s="11">
        <v>11.65513059</v>
      </c>
      <c r="V28" s="11">
        <v>39.95522759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10">
        <v>27</v>
      </c>
      <c r="M29" s="2" t="s">
        <v>62</v>
      </c>
      <c r="N29" s="10">
        <v>2</v>
      </c>
      <c r="O29" s="5" t="s">
        <v>16</v>
      </c>
      <c r="P29" s="11">
        <v>12.348071</v>
      </c>
      <c r="Q29" s="10">
        <v>0</v>
      </c>
      <c r="R29" s="5" t="s">
        <v>16</v>
      </c>
      <c r="S29" s="10">
        <v>0</v>
      </c>
      <c r="T29" s="10">
        <v>10</v>
      </c>
      <c r="U29" s="11">
        <v>2.1022177099999997</v>
      </c>
      <c r="V29" s="11">
        <v>14.450288709999999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10">
        <v>28</v>
      </c>
      <c r="M30" s="2" t="s">
        <v>63</v>
      </c>
      <c r="N30" s="10">
        <v>6</v>
      </c>
      <c r="O30" s="5" t="s">
        <v>16</v>
      </c>
      <c r="P30" s="11">
        <v>13.742829</v>
      </c>
      <c r="Q30" s="10">
        <v>6</v>
      </c>
      <c r="R30" s="5" t="s">
        <v>16</v>
      </c>
      <c r="S30" s="11">
        <v>33.68879415625</v>
      </c>
      <c r="T30" s="10">
        <v>3</v>
      </c>
      <c r="U30" s="11">
        <v>2.87690301</v>
      </c>
      <c r="V30" s="11">
        <v>50.30852616625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10">
        <v>29</v>
      </c>
      <c r="M31" s="2" t="s">
        <v>64</v>
      </c>
      <c r="N31" s="10">
        <v>7</v>
      </c>
      <c r="O31" s="5" t="s">
        <v>16</v>
      </c>
      <c r="P31" s="11">
        <v>83.759542</v>
      </c>
      <c r="Q31" s="10">
        <v>2</v>
      </c>
      <c r="R31" s="5" t="s">
        <v>16</v>
      </c>
      <c r="S31" s="10">
        <v>22</v>
      </c>
      <c r="T31" s="10">
        <v>11</v>
      </c>
      <c r="U31" s="11">
        <v>51.084819010000004</v>
      </c>
      <c r="V31" s="11">
        <v>156.84436101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10">
        <v>30</v>
      </c>
      <c r="M32" s="2" t="s">
        <v>65</v>
      </c>
      <c r="N32" s="10">
        <v>2</v>
      </c>
      <c r="O32" s="5" t="s">
        <v>16</v>
      </c>
      <c r="P32" s="11">
        <v>24.95</v>
      </c>
      <c r="Q32" s="10">
        <v>2</v>
      </c>
      <c r="R32" s="5" t="s">
        <v>16</v>
      </c>
      <c r="S32" s="11">
        <v>17.06</v>
      </c>
      <c r="T32" s="10">
        <v>0</v>
      </c>
      <c r="U32" s="10">
        <v>0</v>
      </c>
      <c r="V32" s="11">
        <v>42.01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10">
        <v>31</v>
      </c>
      <c r="M33" s="2" t="s">
        <v>66</v>
      </c>
      <c r="N33" s="10">
        <v>1</v>
      </c>
      <c r="O33" s="5" t="s">
        <v>16</v>
      </c>
      <c r="P33" s="10">
        <v>4</v>
      </c>
      <c r="Q33" s="10">
        <v>0</v>
      </c>
      <c r="R33" s="5" t="s">
        <v>16</v>
      </c>
      <c r="S33" s="10">
        <v>0</v>
      </c>
      <c r="T33" s="10">
        <v>12</v>
      </c>
      <c r="U33" s="11">
        <v>74.75700603</v>
      </c>
      <c r="V33" s="11">
        <v>78.75700603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10">
        <v>32</v>
      </c>
      <c r="M34" s="2" t="s">
        <v>67</v>
      </c>
      <c r="N34" s="10">
        <v>1</v>
      </c>
      <c r="O34" s="5" t="s">
        <v>16</v>
      </c>
      <c r="P34" s="11">
        <v>0.004316</v>
      </c>
      <c r="Q34" s="10">
        <v>0</v>
      </c>
      <c r="R34" s="5" t="s">
        <v>16</v>
      </c>
      <c r="S34" s="10">
        <v>0</v>
      </c>
      <c r="T34" s="10">
        <v>1</v>
      </c>
      <c r="U34" s="11">
        <v>0.20077720000000002</v>
      </c>
      <c r="V34" s="11">
        <v>0.20509320000000003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10">
        <v>33</v>
      </c>
      <c r="M35" s="2" t="s">
        <v>68</v>
      </c>
      <c r="N35" s="10">
        <v>0</v>
      </c>
      <c r="O35" s="5" t="s">
        <v>16</v>
      </c>
      <c r="P35" s="10">
        <v>0</v>
      </c>
      <c r="Q35" s="10">
        <v>1</v>
      </c>
      <c r="R35" s="5" t="s">
        <v>16</v>
      </c>
      <c r="S35" s="11">
        <v>0.5</v>
      </c>
      <c r="T35" s="10">
        <v>0</v>
      </c>
      <c r="U35" s="10">
        <v>0</v>
      </c>
      <c r="V35" s="11">
        <v>0.5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10">
        <v>34</v>
      </c>
      <c r="M36" s="2" t="s">
        <v>69</v>
      </c>
      <c r="N36" s="10">
        <v>1</v>
      </c>
      <c r="O36" s="5" t="s">
        <v>16</v>
      </c>
      <c r="P36" s="11">
        <v>0.25</v>
      </c>
      <c r="Q36" s="10">
        <v>2</v>
      </c>
      <c r="R36" s="5" t="s">
        <v>16</v>
      </c>
      <c r="S36" s="11">
        <v>8.707138</v>
      </c>
      <c r="T36" s="10">
        <v>4</v>
      </c>
      <c r="U36" s="11">
        <v>3.09426919</v>
      </c>
      <c r="V36" s="11">
        <v>12.05140719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10">
        <v>35</v>
      </c>
      <c r="M37" s="2" t="s">
        <v>70</v>
      </c>
      <c r="N37" s="10">
        <v>4</v>
      </c>
      <c r="O37" s="5" t="s">
        <v>16</v>
      </c>
      <c r="P37" s="11">
        <v>80.342</v>
      </c>
      <c r="Q37" s="10">
        <v>3</v>
      </c>
      <c r="R37" s="5" t="s">
        <v>16</v>
      </c>
      <c r="S37" s="11">
        <v>12.401764</v>
      </c>
      <c r="T37" s="10">
        <v>12</v>
      </c>
      <c r="U37" s="11">
        <v>21.14896388</v>
      </c>
      <c r="V37" s="11">
        <v>113.89272788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10">
        <v>36</v>
      </c>
      <c r="M38" s="2" t="s">
        <v>71</v>
      </c>
      <c r="N38" s="10">
        <v>1</v>
      </c>
      <c r="O38" s="5" t="s">
        <v>16</v>
      </c>
      <c r="P38" s="11">
        <v>4.309983</v>
      </c>
      <c r="Q38" s="10">
        <v>1</v>
      </c>
      <c r="R38" s="5" t="s">
        <v>16</v>
      </c>
      <c r="S38" s="11">
        <v>0.878869</v>
      </c>
      <c r="T38" s="10">
        <v>2</v>
      </c>
      <c r="U38" s="11">
        <v>30.149335630000003</v>
      </c>
      <c r="V38" s="11">
        <v>35.33818763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10">
        <v>37</v>
      </c>
      <c r="M39" s="2" t="s">
        <v>72</v>
      </c>
      <c r="N39" s="10">
        <v>6</v>
      </c>
      <c r="O39" s="5" t="s">
        <v>16</v>
      </c>
      <c r="P39" s="11">
        <v>145.537834</v>
      </c>
      <c r="Q39" s="10">
        <v>2</v>
      </c>
      <c r="R39" s="5" t="s">
        <v>16</v>
      </c>
      <c r="S39" s="10">
        <v>8</v>
      </c>
      <c r="T39" s="10">
        <v>3</v>
      </c>
      <c r="U39" s="11">
        <v>0.50049957</v>
      </c>
      <c r="V39" s="11">
        <v>154.03833357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10">
        <v>38</v>
      </c>
      <c r="M40" s="2" t="s">
        <v>73</v>
      </c>
      <c r="N40" s="10">
        <v>5</v>
      </c>
      <c r="O40" s="5" t="s">
        <v>16</v>
      </c>
      <c r="P40" s="11">
        <v>1316.816784</v>
      </c>
      <c r="Q40" s="10">
        <v>1</v>
      </c>
      <c r="R40" s="5" t="s">
        <v>16</v>
      </c>
      <c r="S40" s="10">
        <v>9</v>
      </c>
      <c r="T40" s="10">
        <v>7</v>
      </c>
      <c r="U40" s="11">
        <v>1.45682112</v>
      </c>
      <c r="V40" s="11">
        <v>1327.2736051200002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10">
        <v>39</v>
      </c>
      <c r="M41" s="2" t="s">
        <v>74</v>
      </c>
      <c r="N41" s="10">
        <v>6</v>
      </c>
      <c r="O41" s="5" t="s">
        <v>16</v>
      </c>
      <c r="P41" s="11">
        <v>459.851975</v>
      </c>
      <c r="Q41" s="10">
        <v>1</v>
      </c>
      <c r="R41" s="5" t="s">
        <v>16</v>
      </c>
      <c r="S41" s="11">
        <v>1.435577</v>
      </c>
      <c r="T41" s="10">
        <v>3</v>
      </c>
      <c r="U41" s="11">
        <v>1.35180393</v>
      </c>
      <c r="V41" s="11">
        <v>462.63935593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10">
        <v>40</v>
      </c>
      <c r="M42" s="2" t="s">
        <v>75</v>
      </c>
      <c r="N42" s="10">
        <v>1</v>
      </c>
      <c r="O42" s="5" t="s">
        <v>16</v>
      </c>
      <c r="P42" s="10">
        <v>11</v>
      </c>
      <c r="Q42" s="10">
        <v>0</v>
      </c>
      <c r="R42" s="5" t="s">
        <v>16</v>
      </c>
      <c r="S42" s="10">
        <v>0</v>
      </c>
      <c r="T42" s="10">
        <v>3</v>
      </c>
      <c r="U42" s="11">
        <v>0.93827</v>
      </c>
      <c r="V42" s="11">
        <v>11.93827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10">
        <v>41</v>
      </c>
      <c r="M43" s="2" t="s">
        <v>76</v>
      </c>
      <c r="N43" s="10">
        <v>3</v>
      </c>
      <c r="O43" s="5" t="s">
        <v>16</v>
      </c>
      <c r="P43" s="11">
        <v>3.6</v>
      </c>
      <c r="Q43" s="10">
        <v>15</v>
      </c>
      <c r="R43" s="5" t="s">
        <v>16</v>
      </c>
      <c r="S43" s="11">
        <v>55.76708</v>
      </c>
      <c r="T43" s="10">
        <v>7</v>
      </c>
      <c r="U43" s="11">
        <v>89.70823503999999</v>
      </c>
      <c r="V43" s="11">
        <v>149.07531504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10">
        <v>42</v>
      </c>
      <c r="M44" s="2" t="s">
        <v>77</v>
      </c>
      <c r="N44" s="10">
        <v>3</v>
      </c>
      <c r="O44" s="5" t="s">
        <v>16</v>
      </c>
      <c r="P44" s="11">
        <v>63.132355</v>
      </c>
      <c r="Q44" s="10">
        <v>5</v>
      </c>
      <c r="R44" s="5" t="s">
        <v>16</v>
      </c>
      <c r="S44" s="11">
        <v>-91.759601</v>
      </c>
      <c r="T44" s="10">
        <v>6</v>
      </c>
      <c r="U44" s="11">
        <v>12.52597263</v>
      </c>
      <c r="V44" s="11">
        <v>-16.10127337000001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10">
        <v>43</v>
      </c>
      <c r="M45" s="2" t="s">
        <v>78</v>
      </c>
      <c r="N45" s="10">
        <v>0</v>
      </c>
      <c r="O45" s="5" t="s">
        <v>16</v>
      </c>
      <c r="P45" s="10">
        <v>0</v>
      </c>
      <c r="Q45" s="10">
        <v>0</v>
      </c>
      <c r="R45" s="5" t="s">
        <v>16</v>
      </c>
      <c r="S45" s="10">
        <v>0</v>
      </c>
      <c r="T45" s="10">
        <v>13</v>
      </c>
      <c r="U45" s="11">
        <v>11.75114219</v>
      </c>
      <c r="V45" s="11">
        <v>11.75114219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10">
        <v>44</v>
      </c>
      <c r="M46" s="2" t="s">
        <v>79</v>
      </c>
      <c r="N46" s="10">
        <v>1</v>
      </c>
      <c r="O46" s="5" t="s">
        <v>16</v>
      </c>
      <c r="P46" s="10">
        <v>2</v>
      </c>
      <c r="Q46" s="10">
        <v>2</v>
      </c>
      <c r="R46" s="5" t="s">
        <v>16</v>
      </c>
      <c r="S46" s="11">
        <v>3.367358</v>
      </c>
      <c r="T46" s="10">
        <v>31</v>
      </c>
      <c r="U46" s="11">
        <v>7.21950857</v>
      </c>
      <c r="V46" s="11">
        <v>12.58686657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10">
        <v>45</v>
      </c>
      <c r="M47" s="2" t="s">
        <v>80</v>
      </c>
      <c r="N47" s="10">
        <v>0</v>
      </c>
      <c r="O47" s="5" t="s">
        <v>16</v>
      </c>
      <c r="P47" s="10">
        <v>0</v>
      </c>
      <c r="Q47" s="10">
        <v>0</v>
      </c>
      <c r="R47" s="5" t="s">
        <v>16</v>
      </c>
      <c r="S47" s="10">
        <v>0</v>
      </c>
      <c r="T47" s="10">
        <v>22</v>
      </c>
      <c r="U47" s="11">
        <v>6.387289430000001</v>
      </c>
      <c r="V47" s="11">
        <v>6.387289430000001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10">
        <v>46</v>
      </c>
      <c r="M48" s="2" t="s">
        <v>81</v>
      </c>
      <c r="N48" s="10">
        <v>2</v>
      </c>
      <c r="O48" s="5" t="s">
        <v>16</v>
      </c>
      <c r="P48" s="11">
        <v>91.75673</v>
      </c>
      <c r="Q48" s="10">
        <v>0</v>
      </c>
      <c r="R48" s="5" t="s">
        <v>16</v>
      </c>
      <c r="S48" s="10">
        <v>0</v>
      </c>
      <c r="T48" s="10">
        <v>2</v>
      </c>
      <c r="U48" s="11">
        <v>11.02604199</v>
      </c>
      <c r="V48" s="11">
        <v>102.78277199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10">
        <v>47</v>
      </c>
      <c r="M49" s="2" t="s">
        <v>82</v>
      </c>
      <c r="N49" s="10">
        <v>1</v>
      </c>
      <c r="O49" s="5" t="s">
        <v>16</v>
      </c>
      <c r="P49" s="10">
        <v>2</v>
      </c>
      <c r="Q49" s="10">
        <v>1</v>
      </c>
      <c r="R49" s="5" t="s">
        <v>16</v>
      </c>
      <c r="S49" s="11">
        <v>-15.073753</v>
      </c>
      <c r="T49" s="10">
        <v>1</v>
      </c>
      <c r="U49" s="11">
        <v>0.36755784999999996</v>
      </c>
      <c r="V49" s="11">
        <v>-12.70619515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10">
        <v>48</v>
      </c>
      <c r="M50" s="2" t="s">
        <v>83</v>
      </c>
      <c r="N50" s="10">
        <v>4</v>
      </c>
      <c r="O50" s="5" t="s">
        <v>16</v>
      </c>
      <c r="P50" s="11">
        <v>42.757704</v>
      </c>
      <c r="Q50" s="10">
        <v>0</v>
      </c>
      <c r="R50" s="5" t="s">
        <v>16</v>
      </c>
      <c r="S50" s="10">
        <v>0</v>
      </c>
      <c r="T50" s="10">
        <v>4</v>
      </c>
      <c r="U50" s="11">
        <v>4.95461658</v>
      </c>
      <c r="V50" s="11">
        <v>47.71232058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10">
        <v>49</v>
      </c>
      <c r="M51" s="2" t="s">
        <v>84</v>
      </c>
      <c r="N51" s="10">
        <v>7</v>
      </c>
      <c r="O51" s="5" t="s">
        <v>16</v>
      </c>
      <c r="P51" s="11">
        <v>48.501919</v>
      </c>
      <c r="Q51" s="10">
        <v>0</v>
      </c>
      <c r="R51" s="5" t="s">
        <v>16</v>
      </c>
      <c r="S51" s="10">
        <v>0</v>
      </c>
      <c r="T51" s="10">
        <v>7</v>
      </c>
      <c r="U51" s="11">
        <v>6.7657854</v>
      </c>
      <c r="V51" s="11">
        <v>55.2677044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10">
        <v>50</v>
      </c>
      <c r="M52" s="2" t="s">
        <v>85</v>
      </c>
      <c r="N52" s="10">
        <v>1</v>
      </c>
      <c r="O52" s="5" t="s">
        <v>16</v>
      </c>
      <c r="P52" s="11">
        <v>152.865802</v>
      </c>
      <c r="Q52" s="10">
        <v>0</v>
      </c>
      <c r="R52" s="5" t="s">
        <v>16</v>
      </c>
      <c r="S52" s="10">
        <v>0</v>
      </c>
      <c r="T52" s="10">
        <v>1</v>
      </c>
      <c r="U52" s="11">
        <v>0.52840443</v>
      </c>
      <c r="V52" s="11">
        <v>153.39420643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10">
        <v>51</v>
      </c>
      <c r="M53" s="2" t="s">
        <v>86</v>
      </c>
      <c r="N53" s="5" t="s">
        <v>16</v>
      </c>
      <c r="O53" s="5" t="s">
        <v>16</v>
      </c>
      <c r="P53" s="8" t="s">
        <v>16</v>
      </c>
      <c r="Q53" s="5" t="s">
        <v>16</v>
      </c>
      <c r="R53" s="5" t="s">
        <v>16</v>
      </c>
      <c r="S53" s="8" t="s">
        <v>16</v>
      </c>
      <c r="T53" s="5" t="s">
        <v>16</v>
      </c>
      <c r="U53" s="8" t="s">
        <v>16</v>
      </c>
      <c r="V53" s="8" t="s">
        <v>16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10">
        <v>52</v>
      </c>
      <c r="M54" s="2" t="s">
        <v>87</v>
      </c>
      <c r="N54" s="10">
        <v>8</v>
      </c>
      <c r="O54" s="5" t="s">
        <v>16</v>
      </c>
      <c r="P54" s="11">
        <v>454.8817</v>
      </c>
      <c r="Q54" s="10">
        <v>0</v>
      </c>
      <c r="R54" s="5" t="s">
        <v>16</v>
      </c>
      <c r="S54" s="10">
        <v>0</v>
      </c>
      <c r="T54" s="10">
        <v>2</v>
      </c>
      <c r="U54" s="11">
        <v>0.217982</v>
      </c>
      <c r="V54" s="11">
        <v>455.09968200000003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10">
        <v>53</v>
      </c>
      <c r="M55" s="2" t="s">
        <v>88</v>
      </c>
      <c r="N55" s="10">
        <v>0</v>
      </c>
      <c r="O55" s="5" t="s">
        <v>16</v>
      </c>
      <c r="P55" s="10">
        <v>0</v>
      </c>
      <c r="Q55" s="10">
        <v>0</v>
      </c>
      <c r="R55" s="5" t="s">
        <v>16</v>
      </c>
      <c r="S55" s="10">
        <v>0</v>
      </c>
      <c r="T55" s="10">
        <v>1</v>
      </c>
      <c r="U55" s="11">
        <v>5.99618698</v>
      </c>
      <c r="V55" s="11">
        <v>5.99618698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10">
        <v>54</v>
      </c>
      <c r="M56" s="2" t="s">
        <v>89</v>
      </c>
      <c r="N56" s="5" t="s">
        <v>16</v>
      </c>
      <c r="O56" s="5" t="s">
        <v>16</v>
      </c>
      <c r="P56" s="8" t="s">
        <v>16</v>
      </c>
      <c r="Q56" s="5" t="s">
        <v>16</v>
      </c>
      <c r="R56" s="5" t="s">
        <v>16</v>
      </c>
      <c r="S56" s="8" t="s">
        <v>16</v>
      </c>
      <c r="T56" s="5" t="s">
        <v>16</v>
      </c>
      <c r="U56" s="8" t="s">
        <v>16</v>
      </c>
      <c r="V56" s="8" t="s">
        <v>16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10">
        <v>55</v>
      </c>
      <c r="M57" s="2" t="s">
        <v>90</v>
      </c>
      <c r="N57" s="10">
        <v>1</v>
      </c>
      <c r="O57" s="5" t="s">
        <v>16</v>
      </c>
      <c r="P57" s="11">
        <v>3.93</v>
      </c>
      <c r="Q57" s="10">
        <v>0</v>
      </c>
      <c r="R57" s="5" t="s">
        <v>16</v>
      </c>
      <c r="S57" s="10">
        <v>0</v>
      </c>
      <c r="T57" s="10">
        <v>1</v>
      </c>
      <c r="U57" s="11">
        <v>7.56665341</v>
      </c>
      <c r="V57" s="11">
        <v>11.49665341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10">
        <v>56</v>
      </c>
      <c r="M58" s="2" t="s">
        <v>91</v>
      </c>
      <c r="N58" s="10">
        <v>1</v>
      </c>
      <c r="O58" s="5" t="s">
        <v>16</v>
      </c>
      <c r="P58" s="11">
        <v>54.6</v>
      </c>
      <c r="Q58" s="10">
        <v>0</v>
      </c>
      <c r="R58" s="5" t="s">
        <v>16</v>
      </c>
      <c r="S58" s="10">
        <v>0</v>
      </c>
      <c r="T58" s="10">
        <v>3</v>
      </c>
      <c r="U58" s="11">
        <v>1.47991867</v>
      </c>
      <c r="V58" s="11">
        <v>56.07991867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10">
        <v>57</v>
      </c>
      <c r="M59" s="2" t="s">
        <v>92</v>
      </c>
      <c r="N59" s="5" t="s">
        <v>16</v>
      </c>
      <c r="O59" s="5" t="s">
        <v>16</v>
      </c>
      <c r="P59" s="8" t="s">
        <v>16</v>
      </c>
      <c r="Q59" s="5" t="s">
        <v>16</v>
      </c>
      <c r="R59" s="5" t="s">
        <v>16</v>
      </c>
      <c r="S59" s="8" t="s">
        <v>16</v>
      </c>
      <c r="T59" s="5" t="s">
        <v>16</v>
      </c>
      <c r="U59" s="8" t="s">
        <v>16</v>
      </c>
      <c r="V59" s="8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10">
        <v>58</v>
      </c>
      <c r="M60" s="2" t="s">
        <v>93</v>
      </c>
      <c r="N60" s="5" t="s">
        <v>16</v>
      </c>
      <c r="O60" s="5" t="s">
        <v>16</v>
      </c>
      <c r="P60" s="8" t="s">
        <v>16</v>
      </c>
      <c r="Q60" s="5" t="s">
        <v>16</v>
      </c>
      <c r="R60" s="5" t="s">
        <v>16</v>
      </c>
      <c r="S60" s="8" t="s">
        <v>16</v>
      </c>
      <c r="T60" s="5" t="s">
        <v>16</v>
      </c>
      <c r="U60" s="8" t="s">
        <v>16</v>
      </c>
      <c r="V60" s="8" t="s">
        <v>16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10">
        <v>59</v>
      </c>
      <c r="M61" s="2" t="s">
        <v>94</v>
      </c>
      <c r="N61" s="10">
        <v>1</v>
      </c>
      <c r="O61" s="5" t="s">
        <v>16</v>
      </c>
      <c r="P61" s="11">
        <v>7.64548</v>
      </c>
      <c r="Q61" s="10">
        <v>0</v>
      </c>
      <c r="R61" s="5" t="s">
        <v>16</v>
      </c>
      <c r="S61" s="10">
        <v>0</v>
      </c>
      <c r="T61" s="10">
        <v>0</v>
      </c>
      <c r="U61" s="10">
        <v>0</v>
      </c>
      <c r="V61" s="11">
        <v>7.64548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10">
        <v>60</v>
      </c>
      <c r="M62" s="2" t="s">
        <v>95</v>
      </c>
      <c r="N62" s="10">
        <v>0</v>
      </c>
      <c r="O62" s="5" t="s">
        <v>16</v>
      </c>
      <c r="P62" s="10">
        <v>0</v>
      </c>
      <c r="Q62" s="10">
        <v>0</v>
      </c>
      <c r="R62" s="5" t="s">
        <v>16</v>
      </c>
      <c r="S62" s="10">
        <v>0</v>
      </c>
      <c r="T62" s="10">
        <v>1</v>
      </c>
      <c r="U62" s="11">
        <v>0.8633341999999999</v>
      </c>
      <c r="V62" s="11">
        <v>0.8633341999999999</v>
      </c>
      <c r="W62" s="10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10">
        <v>61</v>
      </c>
      <c r="M63" s="2" t="s">
        <v>96</v>
      </c>
      <c r="N63" s="10">
        <v>0</v>
      </c>
      <c r="O63" s="5" t="s">
        <v>16</v>
      </c>
      <c r="P63" s="10">
        <v>0</v>
      </c>
      <c r="Q63" s="10">
        <v>0</v>
      </c>
      <c r="R63" s="5" t="s">
        <v>16</v>
      </c>
      <c r="S63" s="10">
        <v>0</v>
      </c>
      <c r="T63" s="10">
        <v>2</v>
      </c>
      <c r="U63" s="11">
        <v>0.54577154</v>
      </c>
      <c r="V63" s="11">
        <v>0.54577154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10">
        <v>62</v>
      </c>
      <c r="M64" s="2" t="s">
        <v>97</v>
      </c>
      <c r="N64" s="10">
        <v>0</v>
      </c>
      <c r="O64" s="5" t="s">
        <v>16</v>
      </c>
      <c r="P64" s="10">
        <v>0</v>
      </c>
      <c r="Q64" s="10">
        <v>0</v>
      </c>
      <c r="R64" s="5" t="s">
        <v>16</v>
      </c>
      <c r="S64" s="10">
        <v>0</v>
      </c>
      <c r="T64" s="10">
        <v>2</v>
      </c>
      <c r="U64" s="11">
        <v>0.12017741</v>
      </c>
      <c r="V64" s="11">
        <v>0.12017741</v>
      </c>
      <c r="W64" s="10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10">
        <v>63</v>
      </c>
      <c r="M65" s="2" t="s">
        <v>98</v>
      </c>
      <c r="N65" s="10">
        <v>0</v>
      </c>
      <c r="O65" s="5" t="s">
        <v>16</v>
      </c>
      <c r="P65" s="10">
        <v>0</v>
      </c>
      <c r="Q65" s="10">
        <v>1</v>
      </c>
      <c r="R65" s="5" t="s">
        <v>16</v>
      </c>
      <c r="S65" s="11">
        <v>1.2</v>
      </c>
      <c r="T65" s="10">
        <v>1</v>
      </c>
      <c r="U65" s="11">
        <v>0.40919639</v>
      </c>
      <c r="V65" s="11">
        <v>1.60919639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10">
        <v>1738</v>
      </c>
      <c r="O66" s="10">
        <v>0</v>
      </c>
      <c r="P66" s="11">
        <v>15245.40318079</v>
      </c>
      <c r="Q66" s="10">
        <v>985</v>
      </c>
      <c r="R66" s="10">
        <v>0</v>
      </c>
      <c r="S66" s="11">
        <v>9014.772418609373</v>
      </c>
      <c r="T66" s="10">
        <v>3797</v>
      </c>
      <c r="U66" s="11">
        <v>6893.163508471738</v>
      </c>
      <c r="V66" s="11">
        <v>31153.339107871103</v>
      </c>
      <c r="W66" s="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2" width="22.290714285714284" customWidth="1" bestFit="1"/>
    <col min="5" max="5" style="14" width="26.290714285714284" customWidth="1" bestFit="1"/>
    <col min="6" max="6" style="12" width="20.005" customWidth="1" bestFit="1"/>
    <col min="7" max="7" style="12" width="24.14785714285714" customWidth="1" bestFit="1"/>
    <col min="8" max="8" style="14" width="27.719285714285714" customWidth="1" bestFit="1"/>
    <col min="9" max="9" style="12" width="23.719285714285714" customWidth="1" bestFit="1"/>
    <col min="10" max="10" style="14" width="32.71928571428572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5" width="14.576428571428572" customWidth="1" bestFit="1"/>
    <col min="15" max="15" style="15" width="22.290714285714284" customWidth="1" bestFit="1"/>
    <col min="16" max="16" style="16" width="26.290714285714284" customWidth="1" bestFit="1"/>
    <col min="17" max="17" style="15" width="20.005" customWidth="1" bestFit="1"/>
    <col min="18" max="18" style="15" width="24.14785714285714" customWidth="1" bestFit="1"/>
    <col min="19" max="19" style="16" width="27.719285714285714" customWidth="1" bestFit="1"/>
    <col min="20" max="20" style="15" width="23.719285714285714" customWidth="1" bestFit="1"/>
    <col min="21" max="21" style="16" width="32.71928571428572" customWidth="1" bestFit="1"/>
    <col min="22" max="22" style="16" width="51.57642857142857" customWidth="1" bestFit="1"/>
    <col min="23" max="23" style="12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6"/>
      <c r="P1" s="7"/>
      <c r="Q1" s="5" t="s">
        <v>3</v>
      </c>
      <c r="R1" s="6"/>
      <c r="S1" s="7"/>
      <c r="T1" s="5" t="s">
        <v>4</v>
      </c>
      <c r="U1" s="7"/>
      <c r="V1" s="8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9" t="s">
        <v>8</v>
      </c>
      <c r="F2" s="1" t="s">
        <v>9</v>
      </c>
      <c r="G2" s="1" t="s">
        <v>10</v>
      </c>
      <c r="H2" s="9" t="s">
        <v>11</v>
      </c>
      <c r="I2" s="1" t="s">
        <v>12</v>
      </c>
      <c r="J2" s="9" t="s">
        <v>13</v>
      </c>
      <c r="K2" s="9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8" t="s">
        <v>8</v>
      </c>
      <c r="Q2" s="5" t="s">
        <v>9</v>
      </c>
      <c r="R2" s="5" t="s">
        <v>10</v>
      </c>
      <c r="S2" s="8" t="s">
        <v>11</v>
      </c>
      <c r="T2" s="5" t="s">
        <v>12</v>
      </c>
      <c r="U2" s="8" t="s">
        <v>13</v>
      </c>
      <c r="V2" s="8" t="s">
        <v>5</v>
      </c>
      <c r="W2" s="3"/>
    </row>
    <row x14ac:dyDescent="0.25" r="3" customHeight="1" ht="17.25">
      <c r="A3" s="10">
        <v>1</v>
      </c>
      <c r="B3" s="2" t="s">
        <v>15</v>
      </c>
      <c r="C3" s="10">
        <v>511</v>
      </c>
      <c r="D3" s="1" t="s">
        <v>16</v>
      </c>
      <c r="E3" s="11">
        <v>7212.568197669998</v>
      </c>
      <c r="F3" s="10">
        <v>644</v>
      </c>
      <c r="G3" s="1" t="s">
        <v>16</v>
      </c>
      <c r="H3" s="11">
        <v>7977.900133924769</v>
      </c>
      <c r="I3" s="10">
        <v>471</v>
      </c>
      <c r="J3" s="11">
        <v>1611.0596202899997</v>
      </c>
      <c r="K3" s="11">
        <v>16801.527951884767</v>
      </c>
      <c r="L3" s="10">
        <v>1</v>
      </c>
      <c r="M3" s="2" t="s">
        <v>17</v>
      </c>
      <c r="N3" s="10">
        <v>365</v>
      </c>
      <c r="O3" s="5" t="s">
        <v>16</v>
      </c>
      <c r="P3" s="11">
        <v>233.27274274</v>
      </c>
      <c r="Q3" s="10">
        <v>206</v>
      </c>
      <c r="R3" s="5" t="s">
        <v>16</v>
      </c>
      <c r="S3" s="11">
        <v>842.5310107288282</v>
      </c>
      <c r="T3" s="10">
        <v>387</v>
      </c>
      <c r="U3" s="11">
        <v>630.0319901400002</v>
      </c>
      <c r="V3" s="11">
        <v>1705.8357436088286</v>
      </c>
      <c r="W3" s="3"/>
    </row>
    <row x14ac:dyDescent="0.25" r="4" customHeight="1" ht="17.25">
      <c r="A4" s="10">
        <v>2</v>
      </c>
      <c r="B4" s="2" t="s">
        <v>18</v>
      </c>
      <c r="C4" s="10">
        <v>11</v>
      </c>
      <c r="D4" s="1" t="s">
        <v>16</v>
      </c>
      <c r="E4" s="11">
        <v>2100.802567</v>
      </c>
      <c r="F4" s="10">
        <v>6</v>
      </c>
      <c r="G4" s="1" t="s">
        <v>16</v>
      </c>
      <c r="H4" s="11">
        <v>70.73884</v>
      </c>
      <c r="I4" s="10">
        <v>17</v>
      </c>
      <c r="J4" s="11">
        <v>89.97326308</v>
      </c>
      <c r="K4" s="11">
        <v>2261.51467008</v>
      </c>
      <c r="L4" s="10">
        <v>2</v>
      </c>
      <c r="M4" s="2" t="s">
        <v>19</v>
      </c>
      <c r="N4" s="10">
        <v>893</v>
      </c>
      <c r="O4" s="5" t="s">
        <v>16</v>
      </c>
      <c r="P4" s="11">
        <v>601.07350723</v>
      </c>
      <c r="Q4" s="10">
        <v>192</v>
      </c>
      <c r="R4" s="5" t="s">
        <v>16</v>
      </c>
      <c r="S4" s="11">
        <v>1600.7169918457032</v>
      </c>
      <c r="T4" s="10">
        <v>2411</v>
      </c>
      <c r="U4" s="11">
        <v>1738.6137775100003</v>
      </c>
      <c r="V4" s="11">
        <v>3940.404276585704</v>
      </c>
      <c r="W4" s="3"/>
    </row>
    <row x14ac:dyDescent="0.25" r="5" customHeight="1" ht="17.25">
      <c r="A5" s="10">
        <v>3</v>
      </c>
      <c r="B5" s="2" t="s">
        <v>20</v>
      </c>
      <c r="C5" s="10">
        <v>75</v>
      </c>
      <c r="D5" s="1" t="s">
        <v>16</v>
      </c>
      <c r="E5" s="11">
        <v>1815.61165716</v>
      </c>
      <c r="F5" s="10">
        <v>37</v>
      </c>
      <c r="G5" s="1" t="s">
        <v>16</v>
      </c>
      <c r="H5" s="11">
        <v>1059.275524</v>
      </c>
      <c r="I5" s="10">
        <v>103</v>
      </c>
      <c r="J5" s="11">
        <v>1576.54932937</v>
      </c>
      <c r="K5" s="11">
        <v>4451.43651053</v>
      </c>
      <c r="L5" s="10">
        <v>3</v>
      </c>
      <c r="M5" s="2" t="s">
        <v>21</v>
      </c>
      <c r="N5" s="10">
        <v>68</v>
      </c>
      <c r="O5" s="5" t="s">
        <v>16</v>
      </c>
      <c r="P5" s="11">
        <v>1909.081449</v>
      </c>
      <c r="Q5" s="10">
        <v>26</v>
      </c>
      <c r="R5" s="5" t="s">
        <v>16</v>
      </c>
      <c r="S5" s="11">
        <v>37.10693</v>
      </c>
      <c r="T5" s="10">
        <v>186</v>
      </c>
      <c r="U5" s="11">
        <v>1196.4831572700007</v>
      </c>
      <c r="V5" s="11">
        <v>3142.6715362700006</v>
      </c>
      <c r="W5" s="3"/>
    </row>
    <row x14ac:dyDescent="0.25" r="6" customHeight="1" ht="17.25">
      <c r="A6" s="10">
        <v>4</v>
      </c>
      <c r="B6" s="2" t="s">
        <v>22</v>
      </c>
      <c r="C6" s="10">
        <v>32</v>
      </c>
      <c r="D6" s="1" t="s">
        <v>16</v>
      </c>
      <c r="E6" s="11">
        <v>94.04156709</v>
      </c>
      <c r="F6" s="10">
        <v>23</v>
      </c>
      <c r="G6" s="1" t="s">
        <v>16</v>
      </c>
      <c r="H6" s="11">
        <v>35.53926236328125</v>
      </c>
      <c r="I6" s="10">
        <v>77</v>
      </c>
      <c r="J6" s="11">
        <v>117.90348286</v>
      </c>
      <c r="K6" s="11">
        <v>247.48431231328124</v>
      </c>
      <c r="L6" s="10">
        <v>4</v>
      </c>
      <c r="M6" s="2" t="s">
        <v>23</v>
      </c>
      <c r="N6" s="10">
        <v>51</v>
      </c>
      <c r="O6" s="5" t="s">
        <v>16</v>
      </c>
      <c r="P6" s="11">
        <v>485.188061</v>
      </c>
      <c r="Q6" s="10">
        <v>90</v>
      </c>
      <c r="R6" s="5" t="s">
        <v>16</v>
      </c>
      <c r="S6" s="11">
        <v>593.53859133375</v>
      </c>
      <c r="T6" s="10">
        <v>66</v>
      </c>
      <c r="U6" s="11">
        <v>173.36632086999998</v>
      </c>
      <c r="V6" s="11">
        <v>1252.09297320375</v>
      </c>
      <c r="W6" s="3"/>
    </row>
    <row x14ac:dyDescent="0.25" r="7" customHeight="1" ht="17.25">
      <c r="A7" s="10">
        <v>5</v>
      </c>
      <c r="B7" s="2" t="s">
        <v>24</v>
      </c>
      <c r="C7" s="10">
        <v>611</v>
      </c>
      <c r="D7" s="1" t="s">
        <v>16</v>
      </c>
      <c r="E7" s="11">
        <v>318.48201896000006</v>
      </c>
      <c r="F7" s="10">
        <v>151</v>
      </c>
      <c r="G7" s="1" t="s">
        <v>16</v>
      </c>
      <c r="H7" s="11">
        <v>297.36366116578125</v>
      </c>
      <c r="I7" s="10">
        <v>1417</v>
      </c>
      <c r="J7" s="11">
        <v>394.8480421599995</v>
      </c>
      <c r="K7" s="11">
        <v>1010.6937222857808</v>
      </c>
      <c r="L7" s="10">
        <v>5</v>
      </c>
      <c r="M7" s="2" t="s">
        <v>25</v>
      </c>
      <c r="N7" s="10">
        <v>147</v>
      </c>
      <c r="O7" s="5" t="s">
        <v>16</v>
      </c>
      <c r="P7" s="11">
        <v>503.08780029</v>
      </c>
      <c r="Q7" s="10">
        <v>123</v>
      </c>
      <c r="R7" s="5" t="s">
        <v>16</v>
      </c>
      <c r="S7" s="11">
        <v>1685.6250685375062</v>
      </c>
      <c r="T7" s="10">
        <v>60</v>
      </c>
      <c r="U7" s="11">
        <v>55.18678786000001</v>
      </c>
      <c r="V7" s="11">
        <v>2243.899656687506</v>
      </c>
      <c r="W7" s="3"/>
    </row>
    <row x14ac:dyDescent="0.25" r="8" customHeight="1" ht="17.25">
      <c r="A8" s="10">
        <v>6</v>
      </c>
      <c r="B8" s="2" t="s">
        <v>26</v>
      </c>
      <c r="C8" s="10">
        <v>12</v>
      </c>
      <c r="D8" s="1" t="s">
        <v>16</v>
      </c>
      <c r="E8" s="11">
        <v>29.595246900000003</v>
      </c>
      <c r="F8" s="10">
        <v>5</v>
      </c>
      <c r="G8" s="1" t="s">
        <v>16</v>
      </c>
      <c r="H8" s="11">
        <v>11.6653546875</v>
      </c>
      <c r="I8" s="10">
        <v>16</v>
      </c>
      <c r="J8" s="11">
        <v>26.698707900000006</v>
      </c>
      <c r="K8" s="11">
        <v>67.95930948750001</v>
      </c>
      <c r="L8" s="10">
        <v>6</v>
      </c>
      <c r="M8" s="2" t="s">
        <v>27</v>
      </c>
      <c r="N8" s="10">
        <v>91</v>
      </c>
      <c r="O8" s="5" t="s">
        <v>16</v>
      </c>
      <c r="P8" s="11">
        <v>1139.0042105</v>
      </c>
      <c r="Q8" s="10">
        <v>41</v>
      </c>
      <c r="R8" s="5" t="s">
        <v>16</v>
      </c>
      <c r="S8" s="11">
        <v>792.73843621875</v>
      </c>
      <c r="T8" s="10">
        <v>26</v>
      </c>
      <c r="U8" s="11">
        <v>31.483740909999998</v>
      </c>
      <c r="V8" s="11">
        <v>1963.2263876287502</v>
      </c>
      <c r="W8" s="3"/>
    </row>
    <row x14ac:dyDescent="0.25" r="9" customHeight="1" ht="17.25">
      <c r="A9" s="10">
        <v>7</v>
      </c>
      <c r="B9" s="2" t="s">
        <v>28</v>
      </c>
      <c r="C9" s="10">
        <v>331</v>
      </c>
      <c r="D9" s="1" t="s">
        <v>16</v>
      </c>
      <c r="E9" s="11">
        <v>248.97973805999996</v>
      </c>
      <c r="F9" s="10">
        <v>106</v>
      </c>
      <c r="G9" s="1" t="s">
        <v>16</v>
      </c>
      <c r="H9" s="11">
        <v>172.43471217500002</v>
      </c>
      <c r="I9" s="10">
        <v>603</v>
      </c>
      <c r="J9" s="11">
        <v>867.89743933</v>
      </c>
      <c r="K9" s="11">
        <v>1289.311889565</v>
      </c>
      <c r="L9" s="10">
        <v>7</v>
      </c>
      <c r="M9" s="2" t="s">
        <v>29</v>
      </c>
      <c r="N9" s="10">
        <v>18</v>
      </c>
      <c r="O9" s="5" t="s">
        <v>16</v>
      </c>
      <c r="P9" s="11">
        <v>537.800975</v>
      </c>
      <c r="Q9" s="10">
        <v>19</v>
      </c>
      <c r="R9" s="5" t="s">
        <v>16</v>
      </c>
      <c r="S9" s="11">
        <v>155.0333326875</v>
      </c>
      <c r="T9" s="10">
        <v>7</v>
      </c>
      <c r="U9" s="11">
        <v>5.4872517599999995</v>
      </c>
      <c r="V9" s="11">
        <v>698.3215594475</v>
      </c>
      <c r="W9" s="3"/>
    </row>
    <row x14ac:dyDescent="0.25" r="10" customHeight="1" ht="17.25">
      <c r="A10" s="10">
        <v>8</v>
      </c>
      <c r="B10" s="2" t="s">
        <v>30</v>
      </c>
      <c r="C10" s="10">
        <v>72</v>
      </c>
      <c r="D10" s="1" t="s">
        <v>16</v>
      </c>
      <c r="E10" s="11">
        <v>356.3239425</v>
      </c>
      <c r="F10" s="10">
        <v>16</v>
      </c>
      <c r="G10" s="1" t="s">
        <v>16</v>
      </c>
      <c r="H10" s="11">
        <v>46.775494</v>
      </c>
      <c r="I10" s="10">
        <v>133</v>
      </c>
      <c r="J10" s="11">
        <v>35.80935614999999</v>
      </c>
      <c r="K10" s="11">
        <v>438.90879264999995</v>
      </c>
      <c r="L10" s="10">
        <v>8</v>
      </c>
      <c r="M10" s="2" t="s">
        <v>31</v>
      </c>
      <c r="N10" s="10">
        <v>36</v>
      </c>
      <c r="O10" s="5" t="s">
        <v>16</v>
      </c>
      <c r="P10" s="11">
        <v>438.960417</v>
      </c>
      <c r="Q10" s="10">
        <v>45</v>
      </c>
      <c r="R10" s="5" t="s">
        <v>16</v>
      </c>
      <c r="S10" s="11">
        <v>678.163281</v>
      </c>
      <c r="T10" s="10">
        <v>30</v>
      </c>
      <c r="U10" s="11">
        <v>97.50466775999999</v>
      </c>
      <c r="V10" s="11">
        <v>1214.62836576</v>
      </c>
      <c r="W10" s="3"/>
    </row>
    <row x14ac:dyDescent="0.25" r="11" customHeight="1" ht="17.25">
      <c r="A11" s="10">
        <v>9</v>
      </c>
      <c r="B11" s="2" t="s">
        <v>32</v>
      </c>
      <c r="C11" s="10">
        <v>33</v>
      </c>
      <c r="D11" s="1" t="s">
        <v>16</v>
      </c>
      <c r="E11" s="11">
        <v>7.54864754</v>
      </c>
      <c r="F11" s="10">
        <v>18</v>
      </c>
      <c r="G11" s="1" t="s">
        <v>16</v>
      </c>
      <c r="H11" s="11">
        <v>-59.818035</v>
      </c>
      <c r="I11" s="10">
        <v>240</v>
      </c>
      <c r="J11" s="11">
        <v>63.71167543</v>
      </c>
      <c r="K11" s="11">
        <v>11.442287969999995</v>
      </c>
      <c r="L11" s="10">
        <v>9</v>
      </c>
      <c r="M11" s="2" t="s">
        <v>33</v>
      </c>
      <c r="N11" s="10">
        <v>17</v>
      </c>
      <c r="O11" s="5" t="s">
        <v>16</v>
      </c>
      <c r="P11" s="11">
        <v>282.131725</v>
      </c>
      <c r="Q11" s="10">
        <v>7</v>
      </c>
      <c r="R11" s="5" t="s">
        <v>16</v>
      </c>
      <c r="S11" s="11">
        <v>50.223269837890626</v>
      </c>
      <c r="T11" s="10">
        <v>22</v>
      </c>
      <c r="U11" s="11">
        <v>621.87116701</v>
      </c>
      <c r="V11" s="11">
        <v>954.2261618478907</v>
      </c>
      <c r="W11" s="3"/>
    </row>
    <row x14ac:dyDescent="0.25" r="12" customHeight="1" ht="17.25">
      <c r="A12" s="10">
        <v>10</v>
      </c>
      <c r="B12" s="2" t="s">
        <v>34</v>
      </c>
      <c r="C12" s="10">
        <v>241</v>
      </c>
      <c r="D12" s="1" t="s">
        <v>16</v>
      </c>
      <c r="E12" s="11">
        <v>182.85791655</v>
      </c>
      <c r="F12" s="10">
        <v>52</v>
      </c>
      <c r="G12" s="1" t="s">
        <v>16</v>
      </c>
      <c r="H12" s="11">
        <v>310.7337987890625</v>
      </c>
      <c r="I12" s="10">
        <v>305</v>
      </c>
      <c r="J12" s="11">
        <v>161.63767391000005</v>
      </c>
      <c r="K12" s="11">
        <v>655.2293892490625</v>
      </c>
      <c r="L12" s="10">
        <v>10</v>
      </c>
      <c r="M12" s="2" t="s">
        <v>35</v>
      </c>
      <c r="N12" s="10">
        <v>19</v>
      </c>
      <c r="O12" s="5" t="s">
        <v>16</v>
      </c>
      <c r="P12" s="11">
        <v>176.861156</v>
      </c>
      <c r="Q12" s="10">
        <v>38</v>
      </c>
      <c r="R12" s="5" t="s">
        <v>16</v>
      </c>
      <c r="S12" s="11">
        <v>350.591592625</v>
      </c>
      <c r="T12" s="10">
        <v>3</v>
      </c>
      <c r="U12" s="11">
        <v>0.7580396299999999</v>
      </c>
      <c r="V12" s="11">
        <v>528.2107882549999</v>
      </c>
      <c r="W12" s="3"/>
    </row>
    <row x14ac:dyDescent="0.25" r="13" customHeight="1" ht="17.25">
      <c r="A13" s="10">
        <v>11</v>
      </c>
      <c r="B13" s="2" t="s">
        <v>36</v>
      </c>
      <c r="C13" s="10">
        <v>54</v>
      </c>
      <c r="D13" s="1" t="s">
        <v>16</v>
      </c>
      <c r="E13" s="11">
        <v>23.515755</v>
      </c>
      <c r="F13" s="10">
        <v>22</v>
      </c>
      <c r="G13" s="1" t="s">
        <v>16</v>
      </c>
      <c r="H13" s="11">
        <v>12.50114214</v>
      </c>
      <c r="I13" s="10">
        <v>70</v>
      </c>
      <c r="J13" s="11">
        <v>27.652751050000006</v>
      </c>
      <c r="K13" s="11">
        <v>63.669648190000004</v>
      </c>
      <c r="L13" s="10">
        <v>11</v>
      </c>
      <c r="M13" s="2" t="s">
        <v>37</v>
      </c>
      <c r="N13" s="10">
        <v>61</v>
      </c>
      <c r="O13" s="5" t="s">
        <v>16</v>
      </c>
      <c r="P13" s="11">
        <v>468.8896985</v>
      </c>
      <c r="Q13" s="10">
        <v>83</v>
      </c>
      <c r="R13" s="5" t="s">
        <v>16</v>
      </c>
      <c r="S13" s="11">
        <v>315.1476614257812</v>
      </c>
      <c r="T13" s="10">
        <v>58</v>
      </c>
      <c r="U13" s="11">
        <v>62.34159681000001</v>
      </c>
      <c r="V13" s="11">
        <v>846.3789567357812</v>
      </c>
      <c r="W13" s="3"/>
    </row>
    <row x14ac:dyDescent="0.25" r="14" customHeight="1" ht="17.25">
      <c r="A14" s="10">
        <v>12</v>
      </c>
      <c r="B14" s="2" t="s">
        <v>38</v>
      </c>
      <c r="C14" s="10">
        <v>2</v>
      </c>
      <c r="D14" s="1" t="s">
        <v>16</v>
      </c>
      <c r="E14" s="11">
        <v>0.3</v>
      </c>
      <c r="F14" s="10">
        <v>4</v>
      </c>
      <c r="G14" s="1" t="s">
        <v>16</v>
      </c>
      <c r="H14" s="11">
        <v>3.371405</v>
      </c>
      <c r="I14" s="10">
        <v>17</v>
      </c>
      <c r="J14" s="11">
        <v>2.24499201</v>
      </c>
      <c r="K14" s="11">
        <v>5.91639701</v>
      </c>
      <c r="L14" s="10">
        <v>12</v>
      </c>
      <c r="M14" s="2" t="s">
        <v>39</v>
      </c>
      <c r="N14" s="10">
        <v>17</v>
      </c>
      <c r="O14" s="5" t="s">
        <v>16</v>
      </c>
      <c r="P14" s="11">
        <v>59.436507</v>
      </c>
      <c r="Q14" s="10">
        <v>33</v>
      </c>
      <c r="R14" s="5" t="s">
        <v>16</v>
      </c>
      <c r="S14" s="11">
        <v>306.00791696875</v>
      </c>
      <c r="T14" s="10">
        <v>21</v>
      </c>
      <c r="U14" s="11">
        <v>5.1632978</v>
      </c>
      <c r="V14" s="11">
        <v>370.60772176875</v>
      </c>
      <c r="W14" s="3"/>
    </row>
    <row x14ac:dyDescent="0.25" r="15" customHeight="1" ht="17.25">
      <c r="A15" s="10">
        <v>13</v>
      </c>
      <c r="B15" s="2" t="s">
        <v>40</v>
      </c>
      <c r="C15" s="10">
        <v>36</v>
      </c>
      <c r="D15" s="1" t="s">
        <v>16</v>
      </c>
      <c r="E15" s="11">
        <v>11.92994532</v>
      </c>
      <c r="F15" s="10">
        <v>16</v>
      </c>
      <c r="G15" s="1" t="s">
        <v>16</v>
      </c>
      <c r="H15" s="11">
        <v>136.78070360546874</v>
      </c>
      <c r="I15" s="10">
        <v>51</v>
      </c>
      <c r="J15" s="11">
        <v>104.70366788999999</v>
      </c>
      <c r="K15" s="11">
        <v>253.41431681546874</v>
      </c>
      <c r="L15" s="10">
        <v>13</v>
      </c>
      <c r="M15" s="2" t="s">
        <v>41</v>
      </c>
      <c r="N15" s="10">
        <v>5</v>
      </c>
      <c r="O15" s="5" t="s">
        <v>16</v>
      </c>
      <c r="P15" s="10">
        <v>323</v>
      </c>
      <c r="Q15" s="10">
        <v>11</v>
      </c>
      <c r="R15" s="5" t="s">
        <v>16</v>
      </c>
      <c r="S15" s="11">
        <v>1212.158736</v>
      </c>
      <c r="T15" s="10">
        <v>7</v>
      </c>
      <c r="U15" s="11">
        <v>10.465306</v>
      </c>
      <c r="V15" s="11">
        <v>1545.6240420000001</v>
      </c>
      <c r="W15" s="3"/>
    </row>
    <row x14ac:dyDescent="0.25" r="16" customHeight="1" ht="17.25">
      <c r="A16" s="10">
        <v>14</v>
      </c>
      <c r="B16" s="2" t="s">
        <v>42</v>
      </c>
      <c r="C16" s="10">
        <v>3</v>
      </c>
      <c r="D16" s="1" t="s">
        <v>16</v>
      </c>
      <c r="E16" s="11">
        <v>1.852493</v>
      </c>
      <c r="F16" s="10">
        <v>1</v>
      </c>
      <c r="G16" s="1" t="s">
        <v>16</v>
      </c>
      <c r="H16" s="10">
        <v>16</v>
      </c>
      <c r="I16" s="10">
        <v>7</v>
      </c>
      <c r="J16" s="11">
        <v>39.44372611</v>
      </c>
      <c r="K16" s="11">
        <v>57.296219109999996</v>
      </c>
      <c r="L16" s="10">
        <v>14</v>
      </c>
      <c r="M16" s="2" t="s">
        <v>43</v>
      </c>
      <c r="N16" s="10">
        <v>28</v>
      </c>
      <c r="O16" s="5" t="s">
        <v>16</v>
      </c>
      <c r="P16" s="11">
        <v>225.473035</v>
      </c>
      <c r="Q16" s="10">
        <v>3</v>
      </c>
      <c r="R16" s="5" t="s">
        <v>16</v>
      </c>
      <c r="S16" s="11">
        <v>18.444907</v>
      </c>
      <c r="T16" s="10">
        <v>4</v>
      </c>
      <c r="U16" s="11">
        <v>0.60570908</v>
      </c>
      <c r="V16" s="11">
        <v>244.52365108</v>
      </c>
      <c r="W16" s="3"/>
    </row>
    <row x14ac:dyDescent="0.25" r="17" customHeight="1" ht="17.25">
      <c r="A17" s="10">
        <v>15</v>
      </c>
      <c r="B17" s="2" t="s">
        <v>44</v>
      </c>
      <c r="C17" s="10">
        <v>2</v>
      </c>
      <c r="D17" s="1" t="s">
        <v>16</v>
      </c>
      <c r="E17" s="11">
        <v>10.432</v>
      </c>
      <c r="F17" s="10">
        <v>4</v>
      </c>
      <c r="G17" s="1" t="s">
        <v>16</v>
      </c>
      <c r="H17" s="11">
        <v>1.713338</v>
      </c>
      <c r="I17" s="10">
        <v>11</v>
      </c>
      <c r="J17" s="11">
        <v>9.01600113</v>
      </c>
      <c r="K17" s="11">
        <v>21.16133913</v>
      </c>
      <c r="L17" s="10">
        <v>15</v>
      </c>
      <c r="M17" s="2" t="s">
        <v>45</v>
      </c>
      <c r="N17" s="10">
        <v>47</v>
      </c>
      <c r="O17" s="5" t="s">
        <v>16</v>
      </c>
      <c r="P17" s="11">
        <v>69.87921953</v>
      </c>
      <c r="Q17" s="10">
        <v>35</v>
      </c>
      <c r="R17" s="5" t="s">
        <v>16</v>
      </c>
      <c r="S17" s="11">
        <v>5.7854757890625</v>
      </c>
      <c r="T17" s="10">
        <v>49</v>
      </c>
      <c r="U17" s="11">
        <v>58.329016939999995</v>
      </c>
      <c r="V17" s="11">
        <v>133.9937122590625</v>
      </c>
      <c r="W17" s="3"/>
    </row>
    <row x14ac:dyDescent="0.25" r="18" customHeight="1" ht="17.25">
      <c r="A18" s="10">
        <v>16</v>
      </c>
      <c r="B18" s="2" t="s">
        <v>46</v>
      </c>
      <c r="C18" s="10">
        <v>1</v>
      </c>
      <c r="D18" s="1" t="s">
        <v>16</v>
      </c>
      <c r="E18" s="11">
        <v>1.977153</v>
      </c>
      <c r="F18" s="10">
        <v>0</v>
      </c>
      <c r="G18" s="1" t="s">
        <v>16</v>
      </c>
      <c r="H18" s="10">
        <v>0</v>
      </c>
      <c r="I18" s="10">
        <v>3</v>
      </c>
      <c r="J18" s="11">
        <v>17.08691194</v>
      </c>
      <c r="K18" s="11">
        <v>19.06406494</v>
      </c>
      <c r="L18" s="10">
        <v>16</v>
      </c>
      <c r="M18" s="2" t="s">
        <v>47</v>
      </c>
      <c r="N18" s="10">
        <v>21</v>
      </c>
      <c r="O18" s="5" t="s">
        <v>16</v>
      </c>
      <c r="P18" s="11">
        <v>316.765474</v>
      </c>
      <c r="Q18" s="10">
        <v>58</v>
      </c>
      <c r="R18" s="5" t="s">
        <v>16</v>
      </c>
      <c r="S18" s="11">
        <v>387.34681565625</v>
      </c>
      <c r="T18" s="10">
        <v>19</v>
      </c>
      <c r="U18" s="11">
        <v>41.98736971000001</v>
      </c>
      <c r="V18" s="11">
        <v>746.09965936625</v>
      </c>
      <c r="W18" s="3"/>
    </row>
    <row x14ac:dyDescent="0.25" r="19" customHeight="1" ht="17.25">
      <c r="A19" s="10">
        <v>17</v>
      </c>
      <c r="B19" s="2" t="s">
        <v>48</v>
      </c>
      <c r="C19" s="10">
        <v>1</v>
      </c>
      <c r="D19" s="1" t="s">
        <v>16</v>
      </c>
      <c r="E19" s="11">
        <v>0.2</v>
      </c>
      <c r="F19" s="10">
        <v>1</v>
      </c>
      <c r="G19" s="1" t="s">
        <v>16</v>
      </c>
      <c r="H19" s="11">
        <v>0.15</v>
      </c>
      <c r="I19" s="10">
        <v>11</v>
      </c>
      <c r="J19" s="11">
        <v>3.49962623</v>
      </c>
      <c r="K19" s="11">
        <v>3.84962623</v>
      </c>
      <c r="L19" s="10">
        <v>17</v>
      </c>
      <c r="M19" s="2" t="s">
        <v>49</v>
      </c>
      <c r="N19" s="10">
        <v>33</v>
      </c>
      <c r="O19" s="5" t="s">
        <v>16</v>
      </c>
      <c r="P19" s="11">
        <v>121.02974389999999</v>
      </c>
      <c r="Q19" s="10">
        <v>21</v>
      </c>
      <c r="R19" s="5" t="s">
        <v>16</v>
      </c>
      <c r="S19" s="11">
        <v>93.19482794999695</v>
      </c>
      <c r="T19" s="10">
        <v>4</v>
      </c>
      <c r="U19" s="11">
        <v>11.668916629999998</v>
      </c>
      <c r="V19" s="11">
        <v>225.89348847999696</v>
      </c>
      <c r="W19" s="3"/>
    </row>
    <row x14ac:dyDescent="0.25" r="20" customHeight="1" ht="17.25">
      <c r="A20" s="10">
        <v>18</v>
      </c>
      <c r="B20" s="2" t="s">
        <v>50</v>
      </c>
      <c r="C20" s="10">
        <v>8</v>
      </c>
      <c r="D20" s="1" t="s">
        <v>16</v>
      </c>
      <c r="E20" s="11">
        <v>29.199856</v>
      </c>
      <c r="F20" s="10">
        <v>1</v>
      </c>
      <c r="G20" s="1" t="s">
        <v>16</v>
      </c>
      <c r="H20" s="11">
        <v>24.68776</v>
      </c>
      <c r="I20" s="10">
        <v>13</v>
      </c>
      <c r="J20" s="11">
        <v>3.8131179499999996</v>
      </c>
      <c r="K20" s="11">
        <v>57.70073395</v>
      </c>
      <c r="L20" s="10">
        <v>18</v>
      </c>
      <c r="M20" s="2" t="s">
        <v>51</v>
      </c>
      <c r="N20" s="10">
        <v>9</v>
      </c>
      <c r="O20" s="5" t="s">
        <v>16</v>
      </c>
      <c r="P20" s="11">
        <v>40.677</v>
      </c>
      <c r="Q20" s="10">
        <v>4</v>
      </c>
      <c r="R20" s="5" t="s">
        <v>16</v>
      </c>
      <c r="S20" s="11">
        <v>181.045409</v>
      </c>
      <c r="T20" s="10">
        <v>1</v>
      </c>
      <c r="U20" s="11">
        <v>0.038094</v>
      </c>
      <c r="V20" s="11">
        <v>221.760503</v>
      </c>
      <c r="W20" s="3"/>
    </row>
    <row x14ac:dyDescent="0.25" r="21" customHeight="1" ht="17.25">
      <c r="A21" s="10">
        <v>19</v>
      </c>
      <c r="B21" s="2" t="s">
        <v>52</v>
      </c>
      <c r="C21" s="10">
        <v>0</v>
      </c>
      <c r="D21" s="1" t="s">
        <v>16</v>
      </c>
      <c r="E21" s="10">
        <v>0</v>
      </c>
      <c r="F21" s="10">
        <v>0</v>
      </c>
      <c r="G21" s="1" t="s">
        <v>16</v>
      </c>
      <c r="H21" s="10">
        <v>0</v>
      </c>
      <c r="I21" s="10">
        <v>1</v>
      </c>
      <c r="J21" s="11">
        <v>0.54912562</v>
      </c>
      <c r="K21" s="11">
        <v>0.54912562</v>
      </c>
      <c r="L21" s="10">
        <v>19</v>
      </c>
      <c r="M21" s="2" t="s">
        <v>53</v>
      </c>
      <c r="N21" s="10">
        <v>7</v>
      </c>
      <c r="O21" s="5" t="s">
        <v>16</v>
      </c>
      <c r="P21" s="11">
        <v>69.328</v>
      </c>
      <c r="Q21" s="10">
        <v>5</v>
      </c>
      <c r="R21" s="5" t="s">
        <v>16</v>
      </c>
      <c r="S21" s="11">
        <v>27.400684</v>
      </c>
      <c r="T21" s="10">
        <v>4</v>
      </c>
      <c r="U21" s="11">
        <v>0.77907538</v>
      </c>
      <c r="V21" s="11">
        <v>97.50775938</v>
      </c>
      <c r="W21" s="3"/>
    </row>
    <row x14ac:dyDescent="0.25" r="22" customHeight="1" ht="17.25">
      <c r="A22" s="1" t="s">
        <v>54</v>
      </c>
      <c r="B22" s="2"/>
      <c r="C22" s="10">
        <v>2036</v>
      </c>
      <c r="D22" s="10">
        <v>0</v>
      </c>
      <c r="E22" s="11">
        <v>12446.218701749996</v>
      </c>
      <c r="F22" s="10">
        <v>1107</v>
      </c>
      <c r="G22" s="10">
        <v>0</v>
      </c>
      <c r="H22" s="11">
        <v>10117.813094850862</v>
      </c>
      <c r="I22" s="10">
        <v>3566</v>
      </c>
      <c r="J22" s="11">
        <v>5154.098510409999</v>
      </c>
      <c r="K22" s="11">
        <v>27718.13030701087</v>
      </c>
      <c r="L22" s="10">
        <v>20</v>
      </c>
      <c r="M22" s="2" t="s">
        <v>55</v>
      </c>
      <c r="N22" s="10">
        <v>8</v>
      </c>
      <c r="O22" s="5" t="s">
        <v>16</v>
      </c>
      <c r="P22" s="11">
        <v>406.870097</v>
      </c>
      <c r="Q22" s="10">
        <v>20</v>
      </c>
      <c r="R22" s="5" t="s">
        <v>16</v>
      </c>
      <c r="S22" s="11">
        <v>288.587007</v>
      </c>
      <c r="T22" s="10">
        <v>3</v>
      </c>
      <c r="U22" s="11">
        <v>5.212975950000001</v>
      </c>
      <c r="V22" s="11">
        <v>700.6700799500001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10">
        <v>21</v>
      </c>
      <c r="M23" s="2" t="s">
        <v>56</v>
      </c>
      <c r="N23" s="10">
        <v>6</v>
      </c>
      <c r="O23" s="5" t="s">
        <v>16</v>
      </c>
      <c r="P23" s="11">
        <v>197.310411</v>
      </c>
      <c r="Q23" s="10">
        <v>2</v>
      </c>
      <c r="R23" s="5" t="s">
        <v>16</v>
      </c>
      <c r="S23" s="11">
        <v>0.021363</v>
      </c>
      <c r="T23" s="10">
        <v>2</v>
      </c>
      <c r="U23" s="11">
        <v>0.165321</v>
      </c>
      <c r="V23" s="11">
        <v>197.497095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10">
        <v>22</v>
      </c>
      <c r="M24" s="2" t="s">
        <v>57</v>
      </c>
      <c r="N24" s="10">
        <v>19</v>
      </c>
      <c r="O24" s="5" t="s">
        <v>16</v>
      </c>
      <c r="P24" s="11">
        <v>490.505141</v>
      </c>
      <c r="Q24" s="10">
        <v>2</v>
      </c>
      <c r="R24" s="5" t="s">
        <v>16</v>
      </c>
      <c r="S24" s="10">
        <v>400</v>
      </c>
      <c r="T24" s="10">
        <v>2</v>
      </c>
      <c r="U24" s="11">
        <v>0.16963856</v>
      </c>
      <c r="V24" s="11">
        <v>890.6747795599999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10">
        <v>23</v>
      </c>
      <c r="M25" s="2" t="s">
        <v>58</v>
      </c>
      <c r="N25" s="10">
        <v>9</v>
      </c>
      <c r="O25" s="5" t="s">
        <v>16</v>
      </c>
      <c r="P25" s="11">
        <v>2181.169915</v>
      </c>
      <c r="Q25" s="10">
        <v>0</v>
      </c>
      <c r="R25" s="5" t="s">
        <v>16</v>
      </c>
      <c r="S25" s="10">
        <v>0</v>
      </c>
      <c r="T25" s="10">
        <v>6</v>
      </c>
      <c r="U25" s="11">
        <v>186.99053985000003</v>
      </c>
      <c r="V25" s="11">
        <v>2368.16045485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10">
        <v>24</v>
      </c>
      <c r="M26" s="2" t="s">
        <v>59</v>
      </c>
      <c r="N26" s="10">
        <v>0</v>
      </c>
      <c r="O26" s="5" t="s">
        <v>16</v>
      </c>
      <c r="P26" s="10">
        <v>0</v>
      </c>
      <c r="Q26" s="10">
        <v>0</v>
      </c>
      <c r="R26" s="5" t="s">
        <v>16</v>
      </c>
      <c r="S26" s="10">
        <v>0</v>
      </c>
      <c r="T26" s="10">
        <v>2</v>
      </c>
      <c r="U26" s="11">
        <v>1.82677172</v>
      </c>
      <c r="V26" s="11">
        <v>1.82677172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10">
        <v>25</v>
      </c>
      <c r="M27" s="2" t="s">
        <v>60</v>
      </c>
      <c r="N27" s="10">
        <v>1</v>
      </c>
      <c r="O27" s="5" t="s">
        <v>16</v>
      </c>
      <c r="P27" s="11">
        <v>0.76524</v>
      </c>
      <c r="Q27" s="10">
        <v>0</v>
      </c>
      <c r="R27" s="5" t="s">
        <v>16</v>
      </c>
      <c r="S27" s="10">
        <v>0</v>
      </c>
      <c r="T27" s="10">
        <v>55</v>
      </c>
      <c r="U27" s="11">
        <v>7.923142050000001</v>
      </c>
      <c r="V27" s="11">
        <v>8.688382050000001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10">
        <v>26</v>
      </c>
      <c r="M28" s="2" t="s">
        <v>61</v>
      </c>
      <c r="N28" s="10">
        <v>5</v>
      </c>
      <c r="O28" s="5" t="s">
        <v>16</v>
      </c>
      <c r="P28" s="11">
        <v>68.243</v>
      </c>
      <c r="Q28" s="10">
        <v>3</v>
      </c>
      <c r="R28" s="5" t="s">
        <v>16</v>
      </c>
      <c r="S28" s="11">
        <v>1.7</v>
      </c>
      <c r="T28" s="10">
        <v>19</v>
      </c>
      <c r="U28" s="11">
        <v>9.302652430000002</v>
      </c>
      <c r="V28" s="11">
        <v>79.24565243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10">
        <v>27</v>
      </c>
      <c r="M29" s="2" t="s">
        <v>62</v>
      </c>
      <c r="N29" s="10">
        <v>2</v>
      </c>
      <c r="O29" s="5" t="s">
        <v>16</v>
      </c>
      <c r="P29" s="11">
        <v>16.063357</v>
      </c>
      <c r="Q29" s="10">
        <v>1</v>
      </c>
      <c r="R29" s="5" t="s">
        <v>16</v>
      </c>
      <c r="S29" s="11">
        <v>0.21495</v>
      </c>
      <c r="T29" s="10">
        <v>5</v>
      </c>
      <c r="U29" s="11">
        <v>8.51022702</v>
      </c>
      <c r="V29" s="11">
        <v>24.78853402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10">
        <v>28</v>
      </c>
      <c r="M30" s="2" t="s">
        <v>63</v>
      </c>
      <c r="N30" s="10">
        <v>4</v>
      </c>
      <c r="O30" s="5" t="s">
        <v>16</v>
      </c>
      <c r="P30" s="11">
        <v>102.235267</v>
      </c>
      <c r="Q30" s="10">
        <v>12</v>
      </c>
      <c r="R30" s="5" t="s">
        <v>16</v>
      </c>
      <c r="S30" s="11">
        <v>53.58914805859375</v>
      </c>
      <c r="T30" s="10">
        <v>1</v>
      </c>
      <c r="U30" s="11">
        <v>0.12923793</v>
      </c>
      <c r="V30" s="11">
        <v>155.95365298859372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10">
        <v>29</v>
      </c>
      <c r="M31" s="2" t="s">
        <v>64</v>
      </c>
      <c r="N31" s="10">
        <v>5</v>
      </c>
      <c r="O31" s="5" t="s">
        <v>16</v>
      </c>
      <c r="P31" s="11">
        <v>16.513836</v>
      </c>
      <c r="Q31" s="10">
        <v>1</v>
      </c>
      <c r="R31" s="5" t="s">
        <v>16</v>
      </c>
      <c r="S31" s="11">
        <v>2.02</v>
      </c>
      <c r="T31" s="10">
        <v>5</v>
      </c>
      <c r="U31" s="11">
        <v>48.836924200000006</v>
      </c>
      <c r="V31" s="11">
        <v>67.3707602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10">
        <v>30</v>
      </c>
      <c r="M32" s="2" t="s">
        <v>65</v>
      </c>
      <c r="N32" s="10">
        <v>4</v>
      </c>
      <c r="O32" s="5" t="s">
        <v>16</v>
      </c>
      <c r="P32" s="11">
        <v>73.4233</v>
      </c>
      <c r="Q32" s="10">
        <v>2</v>
      </c>
      <c r="R32" s="5" t="s">
        <v>16</v>
      </c>
      <c r="S32" s="11">
        <v>13.5</v>
      </c>
      <c r="T32" s="10">
        <v>1</v>
      </c>
      <c r="U32" s="11">
        <v>0.00035427</v>
      </c>
      <c r="V32" s="11">
        <v>86.92365427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10">
        <v>31</v>
      </c>
      <c r="M33" s="2" t="s">
        <v>66</v>
      </c>
      <c r="N33" s="10">
        <v>1</v>
      </c>
      <c r="O33" s="5" t="s">
        <v>16</v>
      </c>
      <c r="P33" s="10">
        <v>6</v>
      </c>
      <c r="Q33" s="10">
        <v>0</v>
      </c>
      <c r="R33" s="5" t="s">
        <v>16</v>
      </c>
      <c r="S33" s="10">
        <v>0</v>
      </c>
      <c r="T33" s="10">
        <v>12</v>
      </c>
      <c r="U33" s="11">
        <v>81.56493067</v>
      </c>
      <c r="V33" s="11">
        <v>87.56493067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10">
        <v>32</v>
      </c>
      <c r="M34" s="2" t="s">
        <v>67</v>
      </c>
      <c r="N34" s="10">
        <v>1</v>
      </c>
      <c r="O34" s="5" t="s">
        <v>16</v>
      </c>
      <c r="P34" s="11">
        <v>18.35</v>
      </c>
      <c r="Q34" s="10">
        <v>1</v>
      </c>
      <c r="R34" s="5" t="s">
        <v>16</v>
      </c>
      <c r="S34" s="11">
        <v>-79.29512</v>
      </c>
      <c r="T34" s="10">
        <v>0</v>
      </c>
      <c r="U34" s="10">
        <v>0</v>
      </c>
      <c r="V34" s="11">
        <v>-60.945119999999996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10">
        <v>33</v>
      </c>
      <c r="M35" s="2" t="s">
        <v>68</v>
      </c>
      <c r="N35" s="10">
        <v>2</v>
      </c>
      <c r="O35" s="5" t="s">
        <v>16</v>
      </c>
      <c r="P35" s="11">
        <v>110.032701</v>
      </c>
      <c r="Q35" s="10">
        <v>1</v>
      </c>
      <c r="R35" s="5" t="s">
        <v>16</v>
      </c>
      <c r="S35" s="11">
        <v>1.8</v>
      </c>
      <c r="T35" s="10">
        <v>1</v>
      </c>
      <c r="U35" s="11">
        <v>4.5428163</v>
      </c>
      <c r="V35" s="11">
        <v>116.3755173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10">
        <v>34</v>
      </c>
      <c r="M36" s="2" t="s">
        <v>69</v>
      </c>
      <c r="N36" s="10">
        <v>1</v>
      </c>
      <c r="O36" s="5" t="s">
        <v>16</v>
      </c>
      <c r="P36" s="10">
        <v>3</v>
      </c>
      <c r="Q36" s="10">
        <v>1</v>
      </c>
      <c r="R36" s="5" t="s">
        <v>16</v>
      </c>
      <c r="S36" s="11">
        <v>0.030078</v>
      </c>
      <c r="T36" s="10">
        <v>0</v>
      </c>
      <c r="U36" s="10">
        <v>0</v>
      </c>
      <c r="V36" s="11">
        <v>3.030078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10">
        <v>35</v>
      </c>
      <c r="M37" s="2" t="s">
        <v>70</v>
      </c>
      <c r="N37" s="10">
        <v>2</v>
      </c>
      <c r="O37" s="5" t="s">
        <v>16</v>
      </c>
      <c r="P37" s="11">
        <v>4.318334</v>
      </c>
      <c r="Q37" s="10">
        <v>2</v>
      </c>
      <c r="R37" s="5" t="s">
        <v>16</v>
      </c>
      <c r="S37" s="11">
        <v>15.153307</v>
      </c>
      <c r="T37" s="10">
        <v>6</v>
      </c>
      <c r="U37" s="11">
        <v>14.73824225</v>
      </c>
      <c r="V37" s="11">
        <v>34.20988325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10">
        <v>36</v>
      </c>
      <c r="M38" s="2" t="s">
        <v>71</v>
      </c>
      <c r="N38" s="10">
        <v>0</v>
      </c>
      <c r="O38" s="5" t="s">
        <v>16</v>
      </c>
      <c r="P38" s="10">
        <v>0</v>
      </c>
      <c r="Q38" s="10">
        <v>0</v>
      </c>
      <c r="R38" s="5" t="s">
        <v>16</v>
      </c>
      <c r="S38" s="10">
        <v>0</v>
      </c>
      <c r="T38" s="10">
        <v>2</v>
      </c>
      <c r="U38" s="11">
        <v>0.14466173</v>
      </c>
      <c r="V38" s="11">
        <v>0.14466173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10">
        <v>37</v>
      </c>
      <c r="M39" s="2" t="s">
        <v>72</v>
      </c>
      <c r="N39" s="10">
        <v>1</v>
      </c>
      <c r="O39" s="5" t="s">
        <v>16</v>
      </c>
      <c r="P39" s="11">
        <v>0.01</v>
      </c>
      <c r="Q39" s="10">
        <v>0</v>
      </c>
      <c r="R39" s="5" t="s">
        <v>16</v>
      </c>
      <c r="S39" s="10">
        <v>0</v>
      </c>
      <c r="T39" s="10">
        <v>3</v>
      </c>
      <c r="U39" s="11">
        <v>0.28005339</v>
      </c>
      <c r="V39" s="11">
        <v>0.29005339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10">
        <v>38</v>
      </c>
      <c r="M40" s="2" t="s">
        <v>73</v>
      </c>
      <c r="N40" s="10">
        <v>6</v>
      </c>
      <c r="O40" s="5" t="s">
        <v>16</v>
      </c>
      <c r="P40" s="11">
        <v>174.23413106</v>
      </c>
      <c r="Q40" s="10">
        <v>2</v>
      </c>
      <c r="R40" s="5" t="s">
        <v>16</v>
      </c>
      <c r="S40" s="11">
        <v>2.342305</v>
      </c>
      <c r="T40" s="10">
        <v>9</v>
      </c>
      <c r="U40" s="11">
        <v>9.39438265</v>
      </c>
      <c r="V40" s="11">
        <v>185.97081871000003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10">
        <v>39</v>
      </c>
      <c r="M41" s="2" t="s">
        <v>74</v>
      </c>
      <c r="N41" s="10">
        <v>8</v>
      </c>
      <c r="O41" s="5" t="s">
        <v>16</v>
      </c>
      <c r="P41" s="11">
        <v>219.819749</v>
      </c>
      <c r="Q41" s="10">
        <v>5</v>
      </c>
      <c r="R41" s="5" t="s">
        <v>16</v>
      </c>
      <c r="S41" s="11">
        <v>86.29269</v>
      </c>
      <c r="T41" s="10">
        <v>2</v>
      </c>
      <c r="U41" s="11">
        <v>1.75284892</v>
      </c>
      <c r="V41" s="11">
        <v>307.86528792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10">
        <v>40</v>
      </c>
      <c r="M42" s="2" t="s">
        <v>75</v>
      </c>
      <c r="N42" s="10">
        <v>2</v>
      </c>
      <c r="O42" s="5" t="s">
        <v>16</v>
      </c>
      <c r="P42" s="10">
        <v>23</v>
      </c>
      <c r="Q42" s="10">
        <v>1</v>
      </c>
      <c r="R42" s="5" t="s">
        <v>16</v>
      </c>
      <c r="S42" s="11">
        <v>1.5</v>
      </c>
      <c r="T42" s="10">
        <v>2</v>
      </c>
      <c r="U42" s="11">
        <v>0.13692053</v>
      </c>
      <c r="V42" s="11">
        <v>24.63692053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10">
        <v>41</v>
      </c>
      <c r="M43" s="2" t="s">
        <v>76</v>
      </c>
      <c r="N43" s="10">
        <v>7</v>
      </c>
      <c r="O43" s="5" t="s">
        <v>16</v>
      </c>
      <c r="P43" s="11">
        <v>43.02363</v>
      </c>
      <c r="Q43" s="10">
        <v>4</v>
      </c>
      <c r="R43" s="5" t="s">
        <v>16</v>
      </c>
      <c r="S43" s="11">
        <v>2.949579</v>
      </c>
      <c r="T43" s="10">
        <v>6</v>
      </c>
      <c r="U43" s="11">
        <v>11.624876270000001</v>
      </c>
      <c r="V43" s="11">
        <v>57.59808527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10">
        <v>42</v>
      </c>
      <c r="M44" s="2" t="s">
        <v>77</v>
      </c>
      <c r="N44" s="10">
        <v>1</v>
      </c>
      <c r="O44" s="5" t="s">
        <v>16</v>
      </c>
      <c r="P44" s="11">
        <v>1.082803</v>
      </c>
      <c r="Q44" s="10">
        <v>1</v>
      </c>
      <c r="R44" s="5" t="s">
        <v>16</v>
      </c>
      <c r="S44" s="11">
        <v>-0.445</v>
      </c>
      <c r="T44" s="10">
        <v>3</v>
      </c>
      <c r="U44" s="11">
        <v>2.225598</v>
      </c>
      <c r="V44" s="11">
        <v>2.863401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10">
        <v>43</v>
      </c>
      <c r="M45" s="2" t="s">
        <v>78</v>
      </c>
      <c r="N45" s="10">
        <v>1</v>
      </c>
      <c r="O45" s="5" t="s">
        <v>16</v>
      </c>
      <c r="P45" s="10">
        <v>275</v>
      </c>
      <c r="Q45" s="10">
        <v>0</v>
      </c>
      <c r="R45" s="5" t="s">
        <v>16</v>
      </c>
      <c r="S45" s="10">
        <v>0</v>
      </c>
      <c r="T45" s="10">
        <v>2</v>
      </c>
      <c r="U45" s="11">
        <v>1.12803625</v>
      </c>
      <c r="V45" s="11">
        <v>276.12803625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10">
        <v>44</v>
      </c>
      <c r="M46" s="2" t="s">
        <v>79</v>
      </c>
      <c r="N46" s="10">
        <v>1</v>
      </c>
      <c r="O46" s="5" t="s">
        <v>16</v>
      </c>
      <c r="P46" s="11">
        <v>0.04302</v>
      </c>
      <c r="Q46" s="10">
        <v>3</v>
      </c>
      <c r="R46" s="5" t="s">
        <v>16</v>
      </c>
      <c r="S46" s="11">
        <v>-9.3780588125</v>
      </c>
      <c r="T46" s="10">
        <v>17</v>
      </c>
      <c r="U46" s="11">
        <v>3.0204535799999994</v>
      </c>
      <c r="V46" s="11">
        <v>-6.314585232500001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10">
        <v>45</v>
      </c>
      <c r="M47" s="2" t="s">
        <v>80</v>
      </c>
      <c r="N47" s="10">
        <v>1</v>
      </c>
      <c r="O47" s="5" t="s">
        <v>16</v>
      </c>
      <c r="P47" s="10">
        <v>2</v>
      </c>
      <c r="Q47" s="10">
        <v>0</v>
      </c>
      <c r="R47" s="5" t="s">
        <v>16</v>
      </c>
      <c r="S47" s="10">
        <v>0</v>
      </c>
      <c r="T47" s="10">
        <v>11</v>
      </c>
      <c r="U47" s="11">
        <v>2.6680168899999996</v>
      </c>
      <c r="V47" s="11">
        <v>4.66801689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10">
        <v>46</v>
      </c>
      <c r="M48" s="2" t="s">
        <v>81</v>
      </c>
      <c r="N48" s="10">
        <v>0</v>
      </c>
      <c r="O48" s="5" t="s">
        <v>16</v>
      </c>
      <c r="P48" s="10">
        <v>0</v>
      </c>
      <c r="Q48" s="10">
        <v>0</v>
      </c>
      <c r="R48" s="5" t="s">
        <v>16</v>
      </c>
      <c r="S48" s="10">
        <v>0</v>
      </c>
      <c r="T48" s="10">
        <v>3</v>
      </c>
      <c r="U48" s="11">
        <v>0.4681614</v>
      </c>
      <c r="V48" s="11">
        <v>0.4681614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10">
        <v>47</v>
      </c>
      <c r="M49" s="2" t="s">
        <v>82</v>
      </c>
      <c r="N49" s="10">
        <v>0</v>
      </c>
      <c r="O49" s="5" t="s">
        <v>16</v>
      </c>
      <c r="P49" s="10">
        <v>0</v>
      </c>
      <c r="Q49" s="10">
        <v>0</v>
      </c>
      <c r="R49" s="5" t="s">
        <v>16</v>
      </c>
      <c r="S49" s="10">
        <v>0</v>
      </c>
      <c r="T49" s="10">
        <v>4</v>
      </c>
      <c r="U49" s="11">
        <v>0.86432255</v>
      </c>
      <c r="V49" s="11">
        <v>0.86432255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10">
        <v>48</v>
      </c>
      <c r="M50" s="2" t="s">
        <v>83</v>
      </c>
      <c r="N50" s="5" t="s">
        <v>16</v>
      </c>
      <c r="O50" s="5" t="s">
        <v>16</v>
      </c>
      <c r="P50" s="8" t="s">
        <v>16</v>
      </c>
      <c r="Q50" s="5" t="s">
        <v>16</v>
      </c>
      <c r="R50" s="5" t="s">
        <v>16</v>
      </c>
      <c r="S50" s="8" t="s">
        <v>16</v>
      </c>
      <c r="T50" s="5" t="s">
        <v>16</v>
      </c>
      <c r="U50" s="8" t="s">
        <v>16</v>
      </c>
      <c r="V50" s="8" t="s">
        <v>16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10">
        <v>49</v>
      </c>
      <c r="M51" s="2" t="s">
        <v>84</v>
      </c>
      <c r="N51" s="10">
        <v>3</v>
      </c>
      <c r="O51" s="5" t="s">
        <v>16</v>
      </c>
      <c r="P51" s="11">
        <v>6.611875</v>
      </c>
      <c r="Q51" s="10">
        <v>0</v>
      </c>
      <c r="R51" s="5" t="s">
        <v>16</v>
      </c>
      <c r="S51" s="10">
        <v>0</v>
      </c>
      <c r="T51" s="10">
        <v>6</v>
      </c>
      <c r="U51" s="11">
        <v>3.0967129399999997</v>
      </c>
      <c r="V51" s="11">
        <v>9.708587940000001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10">
        <v>50</v>
      </c>
      <c r="M52" s="2" t="s">
        <v>85</v>
      </c>
      <c r="N52" s="10">
        <v>0</v>
      </c>
      <c r="O52" s="5" t="s">
        <v>16</v>
      </c>
      <c r="P52" s="10">
        <v>0</v>
      </c>
      <c r="Q52" s="10">
        <v>0</v>
      </c>
      <c r="R52" s="5" t="s">
        <v>16</v>
      </c>
      <c r="S52" s="10">
        <v>0</v>
      </c>
      <c r="T52" s="10">
        <v>3</v>
      </c>
      <c r="U52" s="11">
        <v>0.57247375</v>
      </c>
      <c r="V52" s="11">
        <v>0.57247375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10">
        <v>51</v>
      </c>
      <c r="M53" s="2" t="s">
        <v>86</v>
      </c>
      <c r="N53" s="5" t="s">
        <v>16</v>
      </c>
      <c r="O53" s="5" t="s">
        <v>16</v>
      </c>
      <c r="P53" s="8" t="s">
        <v>16</v>
      </c>
      <c r="Q53" s="5" t="s">
        <v>16</v>
      </c>
      <c r="R53" s="5" t="s">
        <v>16</v>
      </c>
      <c r="S53" s="8" t="s">
        <v>16</v>
      </c>
      <c r="T53" s="5" t="s">
        <v>16</v>
      </c>
      <c r="U53" s="8" t="s">
        <v>16</v>
      </c>
      <c r="V53" s="8" t="s">
        <v>16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10">
        <v>52</v>
      </c>
      <c r="M54" s="2" t="s">
        <v>87</v>
      </c>
      <c r="N54" s="10">
        <v>2</v>
      </c>
      <c r="O54" s="5" t="s">
        <v>16</v>
      </c>
      <c r="P54" s="11">
        <v>5.652173</v>
      </c>
      <c r="Q54" s="10">
        <v>2</v>
      </c>
      <c r="R54" s="5" t="s">
        <v>16</v>
      </c>
      <c r="S54" s="11">
        <v>3.939335</v>
      </c>
      <c r="T54" s="10">
        <v>2</v>
      </c>
      <c r="U54" s="11">
        <v>1.2426292700000001</v>
      </c>
      <c r="V54" s="11">
        <v>10.834137270000001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10">
        <v>53</v>
      </c>
      <c r="M55" s="2" t="s">
        <v>88</v>
      </c>
      <c r="N55" s="10">
        <v>0</v>
      </c>
      <c r="O55" s="5" t="s">
        <v>16</v>
      </c>
      <c r="P55" s="10">
        <v>0</v>
      </c>
      <c r="Q55" s="10">
        <v>0</v>
      </c>
      <c r="R55" s="5" t="s">
        <v>16</v>
      </c>
      <c r="S55" s="10">
        <v>0</v>
      </c>
      <c r="T55" s="10">
        <v>1</v>
      </c>
      <c r="U55" s="11">
        <v>1.7231723600000002</v>
      </c>
      <c r="V55" s="11">
        <v>1.7231723600000002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10">
        <v>54</v>
      </c>
      <c r="M56" s="2" t="s">
        <v>89</v>
      </c>
      <c r="N56" s="5" t="s">
        <v>16</v>
      </c>
      <c r="O56" s="5" t="s">
        <v>16</v>
      </c>
      <c r="P56" s="8" t="s">
        <v>16</v>
      </c>
      <c r="Q56" s="5" t="s">
        <v>16</v>
      </c>
      <c r="R56" s="5" t="s">
        <v>16</v>
      </c>
      <c r="S56" s="8" t="s">
        <v>16</v>
      </c>
      <c r="T56" s="5" t="s">
        <v>16</v>
      </c>
      <c r="U56" s="8" t="s">
        <v>16</v>
      </c>
      <c r="V56" s="8" t="s">
        <v>16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10">
        <v>55</v>
      </c>
      <c r="M57" s="2" t="s">
        <v>90</v>
      </c>
      <c r="N57" s="5" t="s">
        <v>16</v>
      </c>
      <c r="O57" s="5" t="s">
        <v>16</v>
      </c>
      <c r="P57" s="8" t="s">
        <v>16</v>
      </c>
      <c r="Q57" s="5" t="s">
        <v>16</v>
      </c>
      <c r="R57" s="5" t="s">
        <v>16</v>
      </c>
      <c r="S57" s="8" t="s">
        <v>16</v>
      </c>
      <c r="T57" s="5" t="s">
        <v>16</v>
      </c>
      <c r="U57" s="8" t="s">
        <v>16</v>
      </c>
      <c r="V57" s="8" t="s">
        <v>16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10">
        <v>56</v>
      </c>
      <c r="M58" s="2" t="s">
        <v>91</v>
      </c>
      <c r="N58" s="5" t="s">
        <v>16</v>
      </c>
      <c r="O58" s="5" t="s">
        <v>16</v>
      </c>
      <c r="P58" s="8" t="s">
        <v>16</v>
      </c>
      <c r="Q58" s="5" t="s">
        <v>16</v>
      </c>
      <c r="R58" s="5" t="s">
        <v>16</v>
      </c>
      <c r="S58" s="8" t="s">
        <v>16</v>
      </c>
      <c r="T58" s="5" t="s">
        <v>16</v>
      </c>
      <c r="U58" s="8" t="s">
        <v>16</v>
      </c>
      <c r="V58" s="8" t="s">
        <v>16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10">
        <v>57</v>
      </c>
      <c r="M59" s="2" t="s">
        <v>92</v>
      </c>
      <c r="N59" s="5" t="s">
        <v>16</v>
      </c>
      <c r="O59" s="5" t="s">
        <v>16</v>
      </c>
      <c r="P59" s="8" t="s">
        <v>16</v>
      </c>
      <c r="Q59" s="5" t="s">
        <v>16</v>
      </c>
      <c r="R59" s="5" t="s">
        <v>16</v>
      </c>
      <c r="S59" s="8" t="s">
        <v>16</v>
      </c>
      <c r="T59" s="5" t="s">
        <v>16</v>
      </c>
      <c r="U59" s="8" t="s">
        <v>16</v>
      </c>
      <c r="V59" s="8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10">
        <v>58</v>
      </c>
      <c r="M60" s="2" t="s">
        <v>93</v>
      </c>
      <c r="N60" s="5" t="s">
        <v>16</v>
      </c>
      <c r="O60" s="5" t="s">
        <v>16</v>
      </c>
      <c r="P60" s="8" t="s">
        <v>16</v>
      </c>
      <c r="Q60" s="5" t="s">
        <v>16</v>
      </c>
      <c r="R60" s="5" t="s">
        <v>16</v>
      </c>
      <c r="S60" s="8" t="s">
        <v>16</v>
      </c>
      <c r="T60" s="5" t="s">
        <v>16</v>
      </c>
      <c r="U60" s="8" t="s">
        <v>16</v>
      </c>
      <c r="V60" s="8" t="s">
        <v>16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10">
        <v>59</v>
      </c>
      <c r="M61" s="2" t="s">
        <v>94</v>
      </c>
      <c r="N61" s="10">
        <v>0</v>
      </c>
      <c r="O61" s="5" t="s">
        <v>16</v>
      </c>
      <c r="P61" s="10">
        <v>0</v>
      </c>
      <c r="Q61" s="10">
        <v>1</v>
      </c>
      <c r="R61" s="5" t="s">
        <v>16</v>
      </c>
      <c r="S61" s="11">
        <v>0.490573</v>
      </c>
      <c r="T61" s="10">
        <v>1</v>
      </c>
      <c r="U61" s="11">
        <v>0.12658228</v>
      </c>
      <c r="V61" s="11">
        <v>0.61715528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10">
        <v>60</v>
      </c>
      <c r="M62" s="2" t="s">
        <v>95</v>
      </c>
      <c r="N62" s="5" t="s">
        <v>16</v>
      </c>
      <c r="O62" s="5" t="s">
        <v>16</v>
      </c>
      <c r="P62" s="8" t="s">
        <v>16</v>
      </c>
      <c r="Q62" s="5" t="s">
        <v>16</v>
      </c>
      <c r="R62" s="5" t="s">
        <v>16</v>
      </c>
      <c r="S62" s="8" t="s">
        <v>16</v>
      </c>
      <c r="T62" s="5" t="s">
        <v>16</v>
      </c>
      <c r="U62" s="8" t="s">
        <v>16</v>
      </c>
      <c r="V62" s="8" t="s">
        <v>16</v>
      </c>
      <c r="W62" s="10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10">
        <v>61</v>
      </c>
      <c r="M63" s="2" t="s">
        <v>96</v>
      </c>
      <c r="N63" s="5" t="s">
        <v>16</v>
      </c>
      <c r="O63" s="5" t="s">
        <v>16</v>
      </c>
      <c r="P63" s="8" t="s">
        <v>16</v>
      </c>
      <c r="Q63" s="5" t="s">
        <v>16</v>
      </c>
      <c r="R63" s="5" t="s">
        <v>16</v>
      </c>
      <c r="S63" s="8" t="s">
        <v>16</v>
      </c>
      <c r="T63" s="5" t="s">
        <v>16</v>
      </c>
      <c r="U63" s="8" t="s">
        <v>16</v>
      </c>
      <c r="V63" s="8" t="s">
        <v>16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10">
        <v>62</v>
      </c>
      <c r="M64" s="2" t="s">
        <v>97</v>
      </c>
      <c r="N64" s="10">
        <v>0</v>
      </c>
      <c r="O64" s="5" t="s">
        <v>16</v>
      </c>
      <c r="P64" s="10">
        <v>0</v>
      </c>
      <c r="Q64" s="10">
        <v>0</v>
      </c>
      <c r="R64" s="5" t="s">
        <v>16</v>
      </c>
      <c r="S64" s="10">
        <v>0</v>
      </c>
      <c r="T64" s="10">
        <v>3</v>
      </c>
      <c r="U64" s="11">
        <v>1.44189385</v>
      </c>
      <c r="V64" s="11">
        <v>1.44189385</v>
      </c>
      <c r="W64" s="10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10">
        <v>63</v>
      </c>
      <c r="M65" s="2" t="s">
        <v>98</v>
      </c>
      <c r="N65" s="10">
        <v>0</v>
      </c>
      <c r="O65" s="5" t="s">
        <v>16</v>
      </c>
      <c r="P65" s="10">
        <v>0</v>
      </c>
      <c r="Q65" s="10">
        <v>0</v>
      </c>
      <c r="R65" s="5" t="s">
        <v>16</v>
      </c>
      <c r="S65" s="10">
        <v>0</v>
      </c>
      <c r="T65" s="10">
        <v>1</v>
      </c>
      <c r="U65" s="11">
        <v>0.10765653</v>
      </c>
      <c r="V65" s="11">
        <v>0.10765653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10">
        <v>2036</v>
      </c>
      <c r="O66" s="10">
        <v>0</v>
      </c>
      <c r="P66" s="11">
        <v>12446.218701750004</v>
      </c>
      <c r="Q66" s="10">
        <v>1107</v>
      </c>
      <c r="R66" s="10">
        <v>0</v>
      </c>
      <c r="S66" s="11">
        <v>10117.81309485086</v>
      </c>
      <c r="T66" s="10">
        <v>3566</v>
      </c>
      <c r="U66" s="11">
        <v>5154.098510410001</v>
      </c>
      <c r="V66" s="11">
        <v>27718.130307010862</v>
      </c>
      <c r="W66" s="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2" width="22.290714285714284" customWidth="1" bestFit="1"/>
    <col min="5" max="5" style="14" width="26.290714285714284" customWidth="1" bestFit="1"/>
    <col min="6" max="6" style="12" width="20.005" customWidth="1" bestFit="1"/>
    <col min="7" max="7" style="12" width="24.14785714285714" customWidth="1" bestFit="1"/>
    <col min="8" max="8" style="14" width="27.719285714285714" customWidth="1" bestFit="1"/>
    <col min="9" max="9" style="12" width="23.719285714285714" customWidth="1" bestFit="1"/>
    <col min="10" max="10" style="14" width="32.71928571428572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5" width="14.576428571428572" customWidth="1" bestFit="1"/>
    <col min="15" max="15" style="15" width="22.290714285714284" customWidth="1" bestFit="1"/>
    <col min="16" max="16" style="16" width="26.290714285714284" customWidth="1" bestFit="1"/>
    <col min="17" max="17" style="15" width="20.005" customWidth="1" bestFit="1"/>
    <col min="18" max="18" style="15" width="24.14785714285714" customWidth="1" bestFit="1"/>
    <col min="19" max="19" style="16" width="27.719285714285714" customWidth="1" bestFit="1"/>
    <col min="20" max="20" style="15" width="23.719285714285714" customWidth="1" bestFit="1"/>
    <col min="21" max="21" style="16" width="32.71928571428572" customWidth="1" bestFit="1"/>
    <col min="22" max="22" style="16" width="51.57642857142857" customWidth="1" bestFit="1"/>
    <col min="23" max="23" style="12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6"/>
      <c r="P1" s="7"/>
      <c r="Q1" s="5" t="s">
        <v>3</v>
      </c>
      <c r="R1" s="6"/>
      <c r="S1" s="7"/>
      <c r="T1" s="5" t="s">
        <v>4</v>
      </c>
      <c r="U1" s="7"/>
      <c r="V1" s="8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9" t="s">
        <v>8</v>
      </c>
      <c r="F2" s="1" t="s">
        <v>9</v>
      </c>
      <c r="G2" s="1" t="s">
        <v>10</v>
      </c>
      <c r="H2" s="9" t="s">
        <v>11</v>
      </c>
      <c r="I2" s="1" t="s">
        <v>12</v>
      </c>
      <c r="J2" s="9" t="s">
        <v>13</v>
      </c>
      <c r="K2" s="9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8" t="s">
        <v>8</v>
      </c>
      <c r="Q2" s="5" t="s">
        <v>9</v>
      </c>
      <c r="R2" s="5" t="s">
        <v>10</v>
      </c>
      <c r="S2" s="8" t="s">
        <v>11</v>
      </c>
      <c r="T2" s="5" t="s">
        <v>12</v>
      </c>
      <c r="U2" s="8" t="s">
        <v>13</v>
      </c>
      <c r="V2" s="8" t="s">
        <v>5</v>
      </c>
      <c r="W2" s="3"/>
    </row>
    <row x14ac:dyDescent="0.25" r="3" customHeight="1" ht="17.25">
      <c r="A3" s="10">
        <v>1</v>
      </c>
      <c r="B3" s="2" t="s">
        <v>15</v>
      </c>
      <c r="C3" s="10">
        <v>1075</v>
      </c>
      <c r="D3" s="1" t="s">
        <v>16</v>
      </c>
      <c r="E3" s="11">
        <v>15850.065404339999</v>
      </c>
      <c r="F3" s="10">
        <v>691</v>
      </c>
      <c r="G3" s="1" t="s">
        <v>16</v>
      </c>
      <c r="H3" s="11">
        <v>6116.813420719061</v>
      </c>
      <c r="I3" s="10">
        <v>529</v>
      </c>
      <c r="J3" s="11">
        <v>1538.101506879999</v>
      </c>
      <c r="K3" s="11">
        <v>23504.98033193906</v>
      </c>
      <c r="L3" s="10">
        <v>1</v>
      </c>
      <c r="M3" s="2" t="s">
        <v>17</v>
      </c>
      <c r="N3" s="10">
        <v>408</v>
      </c>
      <c r="O3" s="5" t="s">
        <v>16</v>
      </c>
      <c r="P3" s="11">
        <v>440.9757669400001</v>
      </c>
      <c r="Q3" s="10">
        <v>174</v>
      </c>
      <c r="R3" s="5" t="s">
        <v>16</v>
      </c>
      <c r="S3" s="11">
        <v>306.6592680839844</v>
      </c>
      <c r="T3" s="10">
        <v>318</v>
      </c>
      <c r="U3" s="11">
        <v>1985.3442298679772</v>
      </c>
      <c r="V3" s="11">
        <v>2732.979264891962</v>
      </c>
      <c r="W3" s="3"/>
    </row>
    <row x14ac:dyDescent="0.25" r="4" customHeight="1" ht="17.25">
      <c r="A4" s="10">
        <v>2</v>
      </c>
      <c r="B4" s="2" t="s">
        <v>18</v>
      </c>
      <c r="C4" s="10">
        <v>12</v>
      </c>
      <c r="D4" s="1" t="s">
        <v>16</v>
      </c>
      <c r="E4" s="11">
        <v>2090.9405841099997</v>
      </c>
      <c r="F4" s="10">
        <v>1</v>
      </c>
      <c r="G4" s="1" t="s">
        <v>16</v>
      </c>
      <c r="H4" s="11">
        <v>179.795984</v>
      </c>
      <c r="I4" s="10">
        <v>9</v>
      </c>
      <c r="J4" s="11">
        <v>102.68474255</v>
      </c>
      <c r="K4" s="11">
        <v>2373.4213106599996</v>
      </c>
      <c r="L4" s="10">
        <v>2</v>
      </c>
      <c r="M4" s="2" t="s">
        <v>19</v>
      </c>
      <c r="N4" s="10">
        <v>1202</v>
      </c>
      <c r="O4" s="5" t="s">
        <v>16</v>
      </c>
      <c r="P4" s="11">
        <v>598.29865288</v>
      </c>
      <c r="Q4" s="10">
        <v>296</v>
      </c>
      <c r="R4" s="5" t="s">
        <v>16</v>
      </c>
      <c r="S4" s="11">
        <v>964.9305494707718</v>
      </c>
      <c r="T4" s="10">
        <v>2314</v>
      </c>
      <c r="U4" s="11">
        <v>4288.72168014</v>
      </c>
      <c r="V4" s="11">
        <v>5851.950882490772</v>
      </c>
      <c r="W4" s="3"/>
    </row>
    <row x14ac:dyDescent="0.25" r="5" customHeight="1" ht="17.25">
      <c r="A5" s="10">
        <v>3</v>
      </c>
      <c r="B5" s="2" t="s">
        <v>20</v>
      </c>
      <c r="C5" s="10">
        <v>68</v>
      </c>
      <c r="D5" s="1" t="s">
        <v>16</v>
      </c>
      <c r="E5" s="11">
        <v>982.23831002</v>
      </c>
      <c r="F5" s="10">
        <v>45</v>
      </c>
      <c r="G5" s="1" t="s">
        <v>16</v>
      </c>
      <c r="H5" s="11">
        <v>528.1548554043655</v>
      </c>
      <c r="I5" s="10">
        <v>102</v>
      </c>
      <c r="J5" s="11">
        <v>3155.362373157978</v>
      </c>
      <c r="K5" s="11">
        <v>4665.755538582343</v>
      </c>
      <c r="L5" s="10">
        <v>3</v>
      </c>
      <c r="M5" s="2" t="s">
        <v>21</v>
      </c>
      <c r="N5" s="10">
        <v>136</v>
      </c>
      <c r="O5" s="5" t="s">
        <v>16</v>
      </c>
      <c r="P5" s="11">
        <v>639.7975447800001</v>
      </c>
      <c r="Q5" s="10">
        <v>50</v>
      </c>
      <c r="R5" s="5" t="s">
        <v>16</v>
      </c>
      <c r="S5" s="11">
        <v>39.41184823624757</v>
      </c>
      <c r="T5" s="10">
        <v>197</v>
      </c>
      <c r="U5" s="11">
        <v>894.7207161299998</v>
      </c>
      <c r="V5" s="11">
        <v>1573.9301091462476</v>
      </c>
      <c r="W5" s="3"/>
    </row>
    <row x14ac:dyDescent="0.25" r="6" customHeight="1" ht="17.25">
      <c r="A6" s="10">
        <v>4</v>
      </c>
      <c r="B6" s="2" t="s">
        <v>22</v>
      </c>
      <c r="C6" s="10">
        <v>40</v>
      </c>
      <c r="D6" s="1" t="s">
        <v>16</v>
      </c>
      <c r="E6" s="11">
        <v>74.50138623000001</v>
      </c>
      <c r="F6" s="10">
        <v>47</v>
      </c>
      <c r="G6" s="1" t="s">
        <v>16</v>
      </c>
      <c r="H6" s="11">
        <v>192.405338640625</v>
      </c>
      <c r="I6" s="10">
        <v>53</v>
      </c>
      <c r="J6" s="11">
        <v>22.453812110000005</v>
      </c>
      <c r="K6" s="11">
        <v>289.360536980625</v>
      </c>
      <c r="L6" s="10">
        <v>4</v>
      </c>
      <c r="M6" s="2" t="s">
        <v>23</v>
      </c>
      <c r="N6" s="10">
        <v>85</v>
      </c>
      <c r="O6" s="5" t="s">
        <v>16</v>
      </c>
      <c r="P6" s="11">
        <v>558.9271034100001</v>
      </c>
      <c r="Q6" s="10">
        <v>64</v>
      </c>
      <c r="R6" s="5" t="s">
        <v>16</v>
      </c>
      <c r="S6" s="11">
        <v>503.441602671875</v>
      </c>
      <c r="T6" s="10">
        <v>83</v>
      </c>
      <c r="U6" s="11">
        <v>451.80774392</v>
      </c>
      <c r="V6" s="11">
        <v>1514.1764500018753</v>
      </c>
      <c r="W6" s="3"/>
    </row>
    <row x14ac:dyDescent="0.25" r="7" customHeight="1" ht="17.25">
      <c r="A7" s="10">
        <v>5</v>
      </c>
      <c r="B7" s="2" t="s">
        <v>24</v>
      </c>
      <c r="C7" s="10">
        <v>942</v>
      </c>
      <c r="D7" s="1" t="s">
        <v>16</v>
      </c>
      <c r="E7" s="11">
        <v>439.1911476100001</v>
      </c>
      <c r="F7" s="10">
        <v>205</v>
      </c>
      <c r="G7" s="1" t="s">
        <v>16</v>
      </c>
      <c r="H7" s="11">
        <v>218.04426457617188</v>
      </c>
      <c r="I7" s="10">
        <v>1433</v>
      </c>
      <c r="J7" s="11">
        <v>604.7170422499992</v>
      </c>
      <c r="K7" s="11">
        <v>1261.9524544361711</v>
      </c>
      <c r="L7" s="10">
        <v>5</v>
      </c>
      <c r="M7" s="2" t="s">
        <v>25</v>
      </c>
      <c r="N7" s="10">
        <v>384</v>
      </c>
      <c r="O7" s="5" t="s">
        <v>16</v>
      </c>
      <c r="P7" s="11">
        <v>1089.29023411</v>
      </c>
      <c r="Q7" s="10">
        <v>162</v>
      </c>
      <c r="R7" s="5" t="s">
        <v>16</v>
      </c>
      <c r="S7" s="11">
        <v>634.9157719222657</v>
      </c>
      <c r="T7" s="10">
        <v>87</v>
      </c>
      <c r="U7" s="11">
        <v>45.53863077</v>
      </c>
      <c r="V7" s="11">
        <v>1769.7446368022656</v>
      </c>
      <c r="W7" s="3"/>
    </row>
    <row x14ac:dyDescent="0.25" r="8" customHeight="1" ht="17.25">
      <c r="A8" s="10">
        <v>6</v>
      </c>
      <c r="B8" s="2" t="s">
        <v>26</v>
      </c>
      <c r="C8" s="10">
        <v>19</v>
      </c>
      <c r="D8" s="1" t="s">
        <v>16</v>
      </c>
      <c r="E8" s="11">
        <v>48.34362139999998</v>
      </c>
      <c r="F8" s="10">
        <v>10</v>
      </c>
      <c r="G8" s="1" t="s">
        <v>16</v>
      </c>
      <c r="H8" s="11">
        <v>2.7987714499999883</v>
      </c>
      <c r="I8" s="10">
        <v>18</v>
      </c>
      <c r="J8" s="11">
        <v>10.83676869</v>
      </c>
      <c r="K8" s="11">
        <v>61.97916153999997</v>
      </c>
      <c r="L8" s="10">
        <v>6</v>
      </c>
      <c r="M8" s="2" t="s">
        <v>27</v>
      </c>
      <c r="N8" s="10">
        <v>119</v>
      </c>
      <c r="O8" s="5" t="s">
        <v>16</v>
      </c>
      <c r="P8" s="11">
        <v>1478.70012444</v>
      </c>
      <c r="Q8" s="10">
        <v>51</v>
      </c>
      <c r="R8" s="5" t="s">
        <v>16</v>
      </c>
      <c r="S8" s="11">
        <v>1654.8340725</v>
      </c>
      <c r="T8" s="10">
        <v>49</v>
      </c>
      <c r="U8" s="11">
        <v>128.77857574</v>
      </c>
      <c r="V8" s="11">
        <v>3262.3127726800003</v>
      </c>
      <c r="W8" s="3"/>
    </row>
    <row x14ac:dyDescent="0.25" r="9" customHeight="1" ht="17.25">
      <c r="A9" s="10">
        <v>7</v>
      </c>
      <c r="B9" s="2" t="s">
        <v>28</v>
      </c>
      <c r="C9" s="10">
        <v>403</v>
      </c>
      <c r="D9" s="1" t="s">
        <v>16</v>
      </c>
      <c r="E9" s="11">
        <v>179.64483942</v>
      </c>
      <c r="F9" s="10">
        <v>103</v>
      </c>
      <c r="G9" s="1" t="s">
        <v>16</v>
      </c>
      <c r="H9" s="11">
        <v>332.62458846875</v>
      </c>
      <c r="I9" s="10">
        <v>531</v>
      </c>
      <c r="J9" s="11">
        <v>772.7283716700002</v>
      </c>
      <c r="K9" s="11">
        <v>1284.99779955875</v>
      </c>
      <c r="L9" s="10">
        <v>7</v>
      </c>
      <c r="M9" s="2" t="s">
        <v>29</v>
      </c>
      <c r="N9" s="10">
        <v>28</v>
      </c>
      <c r="O9" s="5" t="s">
        <v>16</v>
      </c>
      <c r="P9" s="11">
        <v>252.981332</v>
      </c>
      <c r="Q9" s="10">
        <v>38</v>
      </c>
      <c r="R9" s="5" t="s">
        <v>16</v>
      </c>
      <c r="S9" s="11">
        <v>403.334656125</v>
      </c>
      <c r="T9" s="10">
        <v>4</v>
      </c>
      <c r="U9" s="11">
        <v>0.53955489</v>
      </c>
      <c r="V9" s="11">
        <v>656.855543015</v>
      </c>
      <c r="W9" s="3"/>
    </row>
    <row x14ac:dyDescent="0.25" r="10" customHeight="1" ht="17.25">
      <c r="A10" s="10">
        <v>8</v>
      </c>
      <c r="B10" s="2" t="s">
        <v>30</v>
      </c>
      <c r="C10" s="10">
        <v>117</v>
      </c>
      <c r="D10" s="1" t="s">
        <v>16</v>
      </c>
      <c r="E10" s="11">
        <v>220.66831485999998</v>
      </c>
      <c r="F10" s="10">
        <v>37</v>
      </c>
      <c r="G10" s="1" t="s">
        <v>16</v>
      </c>
      <c r="H10" s="11">
        <v>92.7144380703125</v>
      </c>
      <c r="I10" s="10">
        <v>138</v>
      </c>
      <c r="J10" s="11">
        <v>150.39830835</v>
      </c>
      <c r="K10" s="11">
        <v>463.78106128031243</v>
      </c>
      <c r="L10" s="10">
        <v>8</v>
      </c>
      <c r="M10" s="2" t="s">
        <v>31</v>
      </c>
      <c r="N10" s="10">
        <v>92</v>
      </c>
      <c r="O10" s="5" t="s">
        <v>16</v>
      </c>
      <c r="P10" s="11">
        <v>1529.52937</v>
      </c>
      <c r="Q10" s="10">
        <v>53</v>
      </c>
      <c r="R10" s="5" t="s">
        <v>16</v>
      </c>
      <c r="S10" s="11">
        <v>1445.496435</v>
      </c>
      <c r="T10" s="10">
        <v>51</v>
      </c>
      <c r="U10" s="11">
        <v>40.61291442</v>
      </c>
      <c r="V10" s="11">
        <v>3015.63871942</v>
      </c>
      <c r="W10" s="3"/>
    </row>
    <row x14ac:dyDescent="0.25" r="11" customHeight="1" ht="17.25">
      <c r="A11" s="10">
        <v>9</v>
      </c>
      <c r="B11" s="2" t="s">
        <v>32</v>
      </c>
      <c r="C11" s="10">
        <v>62</v>
      </c>
      <c r="D11" s="1" t="s">
        <v>16</v>
      </c>
      <c r="E11" s="11">
        <v>30.76110995</v>
      </c>
      <c r="F11" s="10">
        <v>19</v>
      </c>
      <c r="G11" s="1" t="s">
        <v>16</v>
      </c>
      <c r="H11" s="11">
        <v>8.9401307109375</v>
      </c>
      <c r="I11" s="10">
        <v>188</v>
      </c>
      <c r="J11" s="11">
        <v>44.333561060000015</v>
      </c>
      <c r="K11" s="11">
        <v>84.03480172093751</v>
      </c>
      <c r="L11" s="10">
        <v>9</v>
      </c>
      <c r="M11" s="2" t="s">
        <v>33</v>
      </c>
      <c r="N11" s="10">
        <v>21</v>
      </c>
      <c r="O11" s="5" t="s">
        <v>16</v>
      </c>
      <c r="P11" s="11">
        <v>848.004047</v>
      </c>
      <c r="Q11" s="10">
        <v>0</v>
      </c>
      <c r="R11" s="5" t="s">
        <v>16</v>
      </c>
      <c r="S11" s="10">
        <v>0</v>
      </c>
      <c r="T11" s="10">
        <v>27</v>
      </c>
      <c r="U11" s="11">
        <v>191.56463693999999</v>
      </c>
      <c r="V11" s="11">
        <v>1039.56868394</v>
      </c>
      <c r="W11" s="3"/>
    </row>
    <row x14ac:dyDescent="0.25" r="12" customHeight="1" ht="17.25">
      <c r="A12" s="10">
        <v>10</v>
      </c>
      <c r="B12" s="2" t="s">
        <v>34</v>
      </c>
      <c r="C12" s="10">
        <v>291</v>
      </c>
      <c r="D12" s="1" t="s">
        <v>16</v>
      </c>
      <c r="E12" s="11">
        <v>51.2928645</v>
      </c>
      <c r="F12" s="10">
        <v>73</v>
      </c>
      <c r="G12" s="1" t="s">
        <v>16</v>
      </c>
      <c r="H12" s="11">
        <v>176.00148515625</v>
      </c>
      <c r="I12" s="10">
        <v>265</v>
      </c>
      <c r="J12" s="11">
        <v>189.25332861999993</v>
      </c>
      <c r="K12" s="11">
        <v>416.54767827624994</v>
      </c>
      <c r="L12" s="10">
        <v>10</v>
      </c>
      <c r="M12" s="2" t="s">
        <v>35</v>
      </c>
      <c r="N12" s="10">
        <v>35</v>
      </c>
      <c r="O12" s="5" t="s">
        <v>16</v>
      </c>
      <c r="P12" s="11">
        <v>470.67468922</v>
      </c>
      <c r="Q12" s="10">
        <v>23</v>
      </c>
      <c r="R12" s="5" t="s">
        <v>16</v>
      </c>
      <c r="S12" s="11">
        <v>231.0190056875</v>
      </c>
      <c r="T12" s="10">
        <v>5</v>
      </c>
      <c r="U12" s="11">
        <v>13.861131760000001</v>
      </c>
      <c r="V12" s="11">
        <v>715.5548266675</v>
      </c>
      <c r="W12" s="3"/>
    </row>
    <row x14ac:dyDescent="0.25" r="13" customHeight="1" ht="17.25">
      <c r="A13" s="10">
        <v>11</v>
      </c>
      <c r="B13" s="2" t="s">
        <v>36</v>
      </c>
      <c r="C13" s="10">
        <v>59</v>
      </c>
      <c r="D13" s="1" t="s">
        <v>16</v>
      </c>
      <c r="E13" s="11">
        <v>23.156375280000002</v>
      </c>
      <c r="F13" s="10">
        <v>13</v>
      </c>
      <c r="G13" s="1" t="s">
        <v>16</v>
      </c>
      <c r="H13" s="11">
        <v>5.469830578125</v>
      </c>
      <c r="I13" s="10">
        <v>89</v>
      </c>
      <c r="J13" s="11">
        <v>29.98623604999999</v>
      </c>
      <c r="K13" s="11">
        <v>58.61244190812499</v>
      </c>
      <c r="L13" s="10">
        <v>11</v>
      </c>
      <c r="M13" s="2" t="s">
        <v>37</v>
      </c>
      <c r="N13" s="10">
        <v>118</v>
      </c>
      <c r="O13" s="5" t="s">
        <v>16</v>
      </c>
      <c r="P13" s="11">
        <v>602.7669286999999</v>
      </c>
      <c r="Q13" s="10">
        <v>81</v>
      </c>
      <c r="R13" s="5" t="s">
        <v>16</v>
      </c>
      <c r="S13" s="11">
        <v>117.88781366015625</v>
      </c>
      <c r="T13" s="10">
        <v>40</v>
      </c>
      <c r="U13" s="11">
        <v>32.6718656</v>
      </c>
      <c r="V13" s="11">
        <v>753.3266079601561</v>
      </c>
      <c r="W13" s="3"/>
    </row>
    <row x14ac:dyDescent="0.25" r="14" customHeight="1" ht="17.25">
      <c r="A14" s="10">
        <v>12</v>
      </c>
      <c r="B14" s="2" t="s">
        <v>38</v>
      </c>
      <c r="C14" s="10">
        <v>8</v>
      </c>
      <c r="D14" s="1" t="s">
        <v>16</v>
      </c>
      <c r="E14" s="11">
        <v>43.870513</v>
      </c>
      <c r="F14" s="10">
        <v>2</v>
      </c>
      <c r="G14" s="1" t="s">
        <v>16</v>
      </c>
      <c r="H14" s="11">
        <v>0.195</v>
      </c>
      <c r="I14" s="10">
        <v>15</v>
      </c>
      <c r="J14" s="11">
        <v>1.5176263700000001</v>
      </c>
      <c r="K14" s="11">
        <v>45.583139370000005</v>
      </c>
      <c r="L14" s="10">
        <v>12</v>
      </c>
      <c r="M14" s="2" t="s">
        <v>39</v>
      </c>
      <c r="N14" s="10">
        <v>83</v>
      </c>
      <c r="O14" s="5" t="s">
        <v>16</v>
      </c>
      <c r="P14" s="11">
        <v>1059.872805</v>
      </c>
      <c r="Q14" s="10">
        <v>29</v>
      </c>
      <c r="R14" s="5" t="s">
        <v>16</v>
      </c>
      <c r="S14" s="11">
        <v>142.803196</v>
      </c>
      <c r="T14" s="10">
        <v>23</v>
      </c>
      <c r="U14" s="11">
        <v>14.052826810000001</v>
      </c>
      <c r="V14" s="11">
        <v>1216.72882781</v>
      </c>
      <c r="W14" s="3"/>
    </row>
    <row x14ac:dyDescent="0.25" r="15" customHeight="1" ht="17.25">
      <c r="A15" s="10">
        <v>13</v>
      </c>
      <c r="B15" s="2" t="s">
        <v>40</v>
      </c>
      <c r="C15" s="10">
        <v>69</v>
      </c>
      <c r="D15" s="1" t="s">
        <v>16</v>
      </c>
      <c r="E15" s="11">
        <v>13.18250683</v>
      </c>
      <c r="F15" s="10">
        <v>10</v>
      </c>
      <c r="G15" s="1" t="s">
        <v>16</v>
      </c>
      <c r="H15" s="11">
        <v>18.76443365625</v>
      </c>
      <c r="I15" s="10">
        <v>32</v>
      </c>
      <c r="J15" s="11">
        <v>15.563057580000002</v>
      </c>
      <c r="K15" s="11">
        <v>47.509998066250006</v>
      </c>
      <c r="L15" s="10">
        <v>13</v>
      </c>
      <c r="M15" s="2" t="s">
        <v>41</v>
      </c>
      <c r="N15" s="10">
        <v>40</v>
      </c>
      <c r="O15" s="5" t="s">
        <v>16</v>
      </c>
      <c r="P15" s="11">
        <v>257.17745534</v>
      </c>
      <c r="Q15" s="10">
        <v>17</v>
      </c>
      <c r="R15" s="5" t="s">
        <v>16</v>
      </c>
      <c r="S15" s="11">
        <v>70.7878501875</v>
      </c>
      <c r="T15" s="10">
        <v>9</v>
      </c>
      <c r="U15" s="11">
        <v>11.20401565</v>
      </c>
      <c r="V15" s="11">
        <v>339.16932117749997</v>
      </c>
      <c r="W15" s="3"/>
    </row>
    <row x14ac:dyDescent="0.25" r="16" customHeight="1" ht="17.25">
      <c r="A16" s="10">
        <v>14</v>
      </c>
      <c r="B16" s="2" t="s">
        <v>42</v>
      </c>
      <c r="C16" s="10">
        <v>3</v>
      </c>
      <c r="D16" s="1" t="s">
        <v>16</v>
      </c>
      <c r="E16" s="11">
        <v>115.750417</v>
      </c>
      <c r="F16" s="10">
        <v>0</v>
      </c>
      <c r="G16" s="1" t="s">
        <v>16</v>
      </c>
      <c r="H16" s="10">
        <v>0</v>
      </c>
      <c r="I16" s="10">
        <v>3</v>
      </c>
      <c r="J16" s="11">
        <v>0.42789475</v>
      </c>
      <c r="K16" s="11">
        <v>116.17831174999999</v>
      </c>
      <c r="L16" s="10">
        <v>14</v>
      </c>
      <c r="M16" s="2" t="s">
        <v>43</v>
      </c>
      <c r="N16" s="10">
        <v>29</v>
      </c>
      <c r="O16" s="5" t="s">
        <v>16</v>
      </c>
      <c r="P16" s="11">
        <v>282.042343</v>
      </c>
      <c r="Q16" s="10">
        <v>8</v>
      </c>
      <c r="R16" s="5" t="s">
        <v>16</v>
      </c>
      <c r="S16" s="11">
        <v>19.416948</v>
      </c>
      <c r="T16" s="10">
        <v>6</v>
      </c>
      <c r="U16" s="11">
        <v>1.21429132</v>
      </c>
      <c r="V16" s="11">
        <v>302.67358232</v>
      </c>
      <c r="W16" s="3"/>
    </row>
    <row x14ac:dyDescent="0.25" r="17" customHeight="1" ht="17.25">
      <c r="A17" s="10">
        <v>15</v>
      </c>
      <c r="B17" s="2" t="s">
        <v>44</v>
      </c>
      <c r="C17" s="10">
        <v>4</v>
      </c>
      <c r="D17" s="1" t="s">
        <v>16</v>
      </c>
      <c r="E17" s="11">
        <v>7.05</v>
      </c>
      <c r="F17" s="10">
        <v>6</v>
      </c>
      <c r="G17" s="1" t="s">
        <v>16</v>
      </c>
      <c r="H17" s="11">
        <v>8.047007</v>
      </c>
      <c r="I17" s="10">
        <v>11</v>
      </c>
      <c r="J17" s="11">
        <v>347.29642608</v>
      </c>
      <c r="K17" s="11">
        <v>362.39343308</v>
      </c>
      <c r="L17" s="10">
        <v>15</v>
      </c>
      <c r="M17" s="2" t="s">
        <v>45</v>
      </c>
      <c r="N17" s="10">
        <v>104</v>
      </c>
      <c r="O17" s="5" t="s">
        <v>16</v>
      </c>
      <c r="P17" s="11">
        <v>151.19409156</v>
      </c>
      <c r="Q17" s="10">
        <v>43</v>
      </c>
      <c r="R17" s="5" t="s">
        <v>16</v>
      </c>
      <c r="S17" s="11">
        <v>20.301149310546876</v>
      </c>
      <c r="T17" s="10">
        <v>35</v>
      </c>
      <c r="U17" s="11">
        <v>10.66654745</v>
      </c>
      <c r="V17" s="11">
        <v>182.16178832054686</v>
      </c>
      <c r="W17" s="3"/>
    </row>
    <row x14ac:dyDescent="0.25" r="18" customHeight="1" ht="17.25">
      <c r="A18" s="10">
        <v>16</v>
      </c>
      <c r="B18" s="2" t="s">
        <v>46</v>
      </c>
      <c r="C18" s="10">
        <v>0</v>
      </c>
      <c r="D18" s="1" t="s">
        <v>16</v>
      </c>
      <c r="E18" s="10">
        <v>0</v>
      </c>
      <c r="F18" s="10">
        <v>0</v>
      </c>
      <c r="G18" s="1" t="s">
        <v>16</v>
      </c>
      <c r="H18" s="10">
        <v>0</v>
      </c>
      <c r="I18" s="10">
        <v>3</v>
      </c>
      <c r="J18" s="11">
        <v>1.02872326</v>
      </c>
      <c r="K18" s="11">
        <v>1.02872326</v>
      </c>
      <c r="L18" s="10">
        <v>16</v>
      </c>
      <c r="M18" s="2" t="s">
        <v>47</v>
      </c>
      <c r="N18" s="10">
        <v>50</v>
      </c>
      <c r="O18" s="5" t="s">
        <v>16</v>
      </c>
      <c r="P18" s="11">
        <v>651.710735</v>
      </c>
      <c r="Q18" s="10">
        <v>48</v>
      </c>
      <c r="R18" s="5" t="s">
        <v>16</v>
      </c>
      <c r="S18" s="11">
        <v>258.055431125</v>
      </c>
      <c r="T18" s="10">
        <v>24</v>
      </c>
      <c r="U18" s="11">
        <v>18.76936531</v>
      </c>
      <c r="V18" s="11">
        <v>928.5355314349999</v>
      </c>
      <c r="W18" s="3"/>
    </row>
    <row x14ac:dyDescent="0.25" r="19" customHeight="1" ht="17.25">
      <c r="A19" s="10">
        <v>17</v>
      </c>
      <c r="B19" s="2" t="s">
        <v>48</v>
      </c>
      <c r="C19" s="10">
        <v>5</v>
      </c>
      <c r="D19" s="1" t="s">
        <v>16</v>
      </c>
      <c r="E19" s="11">
        <v>7.38571067</v>
      </c>
      <c r="F19" s="10">
        <v>0</v>
      </c>
      <c r="G19" s="1" t="s">
        <v>16</v>
      </c>
      <c r="H19" s="10">
        <v>0</v>
      </c>
      <c r="I19" s="10">
        <v>10</v>
      </c>
      <c r="J19" s="11">
        <v>6.2367835</v>
      </c>
      <c r="K19" s="11">
        <v>13.62249417</v>
      </c>
      <c r="L19" s="10">
        <v>17</v>
      </c>
      <c r="M19" s="2" t="s">
        <v>49</v>
      </c>
      <c r="N19" s="10">
        <v>50</v>
      </c>
      <c r="O19" s="5" t="s">
        <v>16</v>
      </c>
      <c r="P19" s="11">
        <v>747.8738183999998</v>
      </c>
      <c r="Q19" s="10">
        <v>38</v>
      </c>
      <c r="R19" s="5" t="s">
        <v>16</v>
      </c>
      <c r="S19" s="11">
        <v>6.96063725</v>
      </c>
      <c r="T19" s="10">
        <v>6</v>
      </c>
      <c r="U19" s="11">
        <v>2.74226091</v>
      </c>
      <c r="V19" s="11">
        <v>757.5767165599998</v>
      </c>
      <c r="W19" s="3"/>
    </row>
    <row x14ac:dyDescent="0.25" r="20" customHeight="1" ht="17.25">
      <c r="A20" s="10">
        <v>18</v>
      </c>
      <c r="B20" s="2" t="s">
        <v>50</v>
      </c>
      <c r="C20" s="10">
        <v>11</v>
      </c>
      <c r="D20" s="1" t="s">
        <v>16</v>
      </c>
      <c r="E20" s="11">
        <v>7.579575</v>
      </c>
      <c r="F20" s="10">
        <v>0</v>
      </c>
      <c r="G20" s="1" t="s">
        <v>16</v>
      </c>
      <c r="H20" s="10">
        <v>0</v>
      </c>
      <c r="I20" s="10">
        <v>22</v>
      </c>
      <c r="J20" s="11">
        <v>1548.30815325</v>
      </c>
      <c r="K20" s="11">
        <v>1555.88772825</v>
      </c>
      <c r="L20" s="10">
        <v>18</v>
      </c>
      <c r="M20" s="2" t="s">
        <v>51</v>
      </c>
      <c r="N20" s="10">
        <v>6</v>
      </c>
      <c r="O20" s="5" t="s">
        <v>16</v>
      </c>
      <c r="P20" s="11">
        <v>15.235497</v>
      </c>
      <c r="Q20" s="10">
        <v>3</v>
      </c>
      <c r="R20" s="5" t="s">
        <v>16</v>
      </c>
      <c r="S20" s="11">
        <v>20.204752</v>
      </c>
      <c r="T20" s="10">
        <v>2</v>
      </c>
      <c r="U20" s="11">
        <v>0.09623694</v>
      </c>
      <c r="V20" s="11">
        <v>35.53648594</v>
      </c>
      <c r="W20" s="3"/>
    </row>
    <row x14ac:dyDescent="0.25" r="21" customHeight="1" ht="17.25">
      <c r="A21" s="10">
        <v>19</v>
      </c>
      <c r="B21" s="2" t="s">
        <v>52</v>
      </c>
      <c r="C21" s="1" t="s">
        <v>16</v>
      </c>
      <c r="D21" s="1" t="s">
        <v>16</v>
      </c>
      <c r="E21" s="9" t="s">
        <v>16</v>
      </c>
      <c r="F21" s="1" t="s">
        <v>16</v>
      </c>
      <c r="G21" s="1" t="s">
        <v>16</v>
      </c>
      <c r="H21" s="9" t="s">
        <v>16</v>
      </c>
      <c r="I21" s="1" t="s">
        <v>16</v>
      </c>
      <c r="J21" s="9" t="s">
        <v>16</v>
      </c>
      <c r="K21" s="9" t="s">
        <v>16</v>
      </c>
      <c r="L21" s="10">
        <v>19</v>
      </c>
      <c r="M21" s="2" t="s">
        <v>53</v>
      </c>
      <c r="N21" s="10">
        <v>19</v>
      </c>
      <c r="O21" s="5" t="s">
        <v>16</v>
      </c>
      <c r="P21" s="11">
        <v>254.316403</v>
      </c>
      <c r="Q21" s="10">
        <v>2</v>
      </c>
      <c r="R21" s="5" t="s">
        <v>16</v>
      </c>
      <c r="S21" s="11">
        <v>47.1</v>
      </c>
      <c r="T21" s="10">
        <v>9</v>
      </c>
      <c r="U21" s="11">
        <v>12.44274356</v>
      </c>
      <c r="V21" s="11">
        <v>313.85914656</v>
      </c>
      <c r="W21" s="3"/>
    </row>
    <row x14ac:dyDescent="0.25" r="22" customHeight="1" ht="17.25">
      <c r="A22" s="1" t="s">
        <v>54</v>
      </c>
      <c r="B22" s="2"/>
      <c r="C22" s="10">
        <v>3188</v>
      </c>
      <c r="D22" s="10">
        <v>0</v>
      </c>
      <c r="E22" s="11">
        <v>20185.622680219996</v>
      </c>
      <c r="F22" s="10">
        <v>1262</v>
      </c>
      <c r="G22" s="10">
        <v>0</v>
      </c>
      <c r="H22" s="11">
        <v>7880.769548430847</v>
      </c>
      <c r="I22" s="10">
        <v>3451</v>
      </c>
      <c r="J22" s="11">
        <v>8541.234716177976</v>
      </c>
      <c r="K22" s="11">
        <v>36607.62694482882</v>
      </c>
      <c r="L22" s="10">
        <v>20</v>
      </c>
      <c r="M22" s="2" t="s">
        <v>55</v>
      </c>
      <c r="N22" s="10">
        <v>8</v>
      </c>
      <c r="O22" s="5" t="s">
        <v>16</v>
      </c>
      <c r="P22" s="11">
        <v>53.892807</v>
      </c>
      <c r="Q22" s="10">
        <v>15</v>
      </c>
      <c r="R22" s="5" t="s">
        <v>16</v>
      </c>
      <c r="S22" s="11">
        <v>186.370566</v>
      </c>
      <c r="T22" s="10">
        <v>3</v>
      </c>
      <c r="U22" s="11">
        <v>51.282133120000005</v>
      </c>
      <c r="V22" s="11">
        <v>291.54550612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10">
        <v>21</v>
      </c>
      <c r="M23" s="2" t="s">
        <v>56</v>
      </c>
      <c r="N23" s="10">
        <v>10</v>
      </c>
      <c r="O23" s="5" t="s">
        <v>16</v>
      </c>
      <c r="P23" s="11">
        <v>46.788627</v>
      </c>
      <c r="Q23" s="10">
        <v>1</v>
      </c>
      <c r="R23" s="5" t="s">
        <v>16</v>
      </c>
      <c r="S23" s="11">
        <v>-2.382</v>
      </c>
      <c r="T23" s="10">
        <v>7</v>
      </c>
      <c r="U23" s="11">
        <v>0.229572</v>
      </c>
      <c r="V23" s="11">
        <v>44.636199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10">
        <v>22</v>
      </c>
      <c r="M24" s="2" t="s">
        <v>57</v>
      </c>
      <c r="N24" s="10">
        <v>19</v>
      </c>
      <c r="O24" s="5" t="s">
        <v>16</v>
      </c>
      <c r="P24" s="11">
        <v>1326.933632</v>
      </c>
      <c r="Q24" s="10">
        <v>11</v>
      </c>
      <c r="R24" s="5" t="s">
        <v>16</v>
      </c>
      <c r="S24" s="11">
        <v>271.16996</v>
      </c>
      <c r="T24" s="10">
        <v>2</v>
      </c>
      <c r="U24" s="11">
        <v>5.18377587</v>
      </c>
      <c r="V24" s="11">
        <v>1603.28736787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10">
        <v>23</v>
      </c>
      <c r="M25" s="2" t="s">
        <v>58</v>
      </c>
      <c r="N25" s="10">
        <v>26</v>
      </c>
      <c r="O25" s="5" t="s">
        <v>16</v>
      </c>
      <c r="P25" s="11">
        <v>3103.92572</v>
      </c>
      <c r="Q25" s="10">
        <v>0</v>
      </c>
      <c r="R25" s="5" t="s">
        <v>16</v>
      </c>
      <c r="S25" s="10">
        <v>0</v>
      </c>
      <c r="T25" s="10">
        <v>4</v>
      </c>
      <c r="U25" s="11">
        <v>6.6460889299999995</v>
      </c>
      <c r="V25" s="11">
        <v>3110.5718089300003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10">
        <v>24</v>
      </c>
      <c r="M26" s="2" t="s">
        <v>59</v>
      </c>
      <c r="N26" s="10">
        <v>3</v>
      </c>
      <c r="O26" s="5" t="s">
        <v>16</v>
      </c>
      <c r="P26" s="11">
        <v>3.732709</v>
      </c>
      <c r="Q26" s="10">
        <v>0</v>
      </c>
      <c r="R26" s="5" t="s">
        <v>16</v>
      </c>
      <c r="S26" s="10">
        <v>0</v>
      </c>
      <c r="T26" s="10">
        <v>1</v>
      </c>
      <c r="U26" s="11">
        <v>0.20907379999999998</v>
      </c>
      <c r="V26" s="11">
        <v>3.9417828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10">
        <v>25</v>
      </c>
      <c r="M27" s="2" t="s">
        <v>60</v>
      </c>
      <c r="N27" s="10">
        <v>3</v>
      </c>
      <c r="O27" s="5" t="s">
        <v>16</v>
      </c>
      <c r="P27" s="11">
        <v>1.22064</v>
      </c>
      <c r="Q27" s="10">
        <v>5</v>
      </c>
      <c r="R27" s="5" t="s">
        <v>16</v>
      </c>
      <c r="S27" s="11">
        <v>45.51337644999999</v>
      </c>
      <c r="T27" s="10">
        <v>35</v>
      </c>
      <c r="U27" s="11">
        <v>2.0312373999999997</v>
      </c>
      <c r="V27" s="11">
        <v>48.76525384999999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10">
        <v>26</v>
      </c>
      <c r="M28" s="2" t="s">
        <v>61</v>
      </c>
      <c r="N28" s="10">
        <v>1</v>
      </c>
      <c r="O28" s="5" t="s">
        <v>16</v>
      </c>
      <c r="P28" s="11">
        <v>0.7</v>
      </c>
      <c r="Q28" s="10">
        <v>2</v>
      </c>
      <c r="R28" s="5" t="s">
        <v>16</v>
      </c>
      <c r="S28" s="11">
        <v>7.331216</v>
      </c>
      <c r="T28" s="10">
        <v>10</v>
      </c>
      <c r="U28" s="11">
        <v>3.7970856299999998</v>
      </c>
      <c r="V28" s="11">
        <v>11.82830163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10">
        <v>27</v>
      </c>
      <c r="M29" s="2" t="s">
        <v>62</v>
      </c>
      <c r="N29" s="10">
        <v>2</v>
      </c>
      <c r="O29" s="5" t="s">
        <v>16</v>
      </c>
      <c r="P29" s="11">
        <v>6.6</v>
      </c>
      <c r="Q29" s="10">
        <v>2</v>
      </c>
      <c r="R29" s="5" t="s">
        <v>16</v>
      </c>
      <c r="S29" s="11">
        <v>5.37</v>
      </c>
      <c r="T29" s="10">
        <v>6</v>
      </c>
      <c r="U29" s="11">
        <v>0.9780670600000001</v>
      </c>
      <c r="V29" s="11">
        <v>12.94806706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10">
        <v>28</v>
      </c>
      <c r="M30" s="2" t="s">
        <v>63</v>
      </c>
      <c r="N30" s="10">
        <v>2</v>
      </c>
      <c r="O30" s="5" t="s">
        <v>16</v>
      </c>
      <c r="P30" s="11">
        <v>15.8099538</v>
      </c>
      <c r="Q30" s="10">
        <v>9</v>
      </c>
      <c r="R30" s="5" t="s">
        <v>16</v>
      </c>
      <c r="S30" s="11">
        <v>62.95088475</v>
      </c>
      <c r="T30" s="10">
        <v>1</v>
      </c>
      <c r="U30" s="11">
        <v>0.28</v>
      </c>
      <c r="V30" s="11">
        <v>79.04083855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10">
        <v>29</v>
      </c>
      <c r="M31" s="2" t="s">
        <v>64</v>
      </c>
      <c r="N31" s="10">
        <v>7</v>
      </c>
      <c r="O31" s="5" t="s">
        <v>16</v>
      </c>
      <c r="P31" s="11">
        <v>111.291028</v>
      </c>
      <c r="Q31" s="10">
        <v>1</v>
      </c>
      <c r="R31" s="5" t="s">
        <v>16</v>
      </c>
      <c r="S31" s="10">
        <v>12</v>
      </c>
      <c r="T31" s="10">
        <v>1</v>
      </c>
      <c r="U31" s="11">
        <v>0.1702</v>
      </c>
      <c r="V31" s="11">
        <v>123.46122799999999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10">
        <v>30</v>
      </c>
      <c r="M32" s="2" t="s">
        <v>65</v>
      </c>
      <c r="N32" s="10">
        <v>7</v>
      </c>
      <c r="O32" s="5" t="s">
        <v>16</v>
      </c>
      <c r="P32" s="11">
        <v>203.979847</v>
      </c>
      <c r="Q32" s="10">
        <v>9</v>
      </c>
      <c r="R32" s="5" t="s">
        <v>16</v>
      </c>
      <c r="S32" s="11">
        <v>44.092332</v>
      </c>
      <c r="T32" s="10">
        <v>0</v>
      </c>
      <c r="U32" s="10">
        <v>0</v>
      </c>
      <c r="V32" s="11">
        <v>248.072179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10">
        <v>31</v>
      </c>
      <c r="M33" s="2" t="s">
        <v>66</v>
      </c>
      <c r="N33" s="10">
        <v>3</v>
      </c>
      <c r="O33" s="5" t="s">
        <v>16</v>
      </c>
      <c r="P33" s="11">
        <v>16.636565</v>
      </c>
      <c r="Q33" s="10">
        <v>0</v>
      </c>
      <c r="R33" s="5" t="s">
        <v>16</v>
      </c>
      <c r="S33" s="10">
        <v>0</v>
      </c>
      <c r="T33" s="10">
        <v>5</v>
      </c>
      <c r="U33" s="11">
        <v>149.51608635</v>
      </c>
      <c r="V33" s="11">
        <v>166.15265134999999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10">
        <v>32</v>
      </c>
      <c r="M34" s="2" t="s">
        <v>67</v>
      </c>
      <c r="N34" s="10">
        <v>0</v>
      </c>
      <c r="O34" s="5" t="s">
        <v>16</v>
      </c>
      <c r="P34" s="10">
        <v>0</v>
      </c>
      <c r="Q34" s="10">
        <v>1</v>
      </c>
      <c r="R34" s="5" t="s">
        <v>16</v>
      </c>
      <c r="S34" s="11">
        <v>179.795984</v>
      </c>
      <c r="T34" s="10">
        <v>1</v>
      </c>
      <c r="U34" s="11">
        <v>0.051</v>
      </c>
      <c r="V34" s="11">
        <v>179.846984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10">
        <v>33</v>
      </c>
      <c r="M35" s="2" t="s">
        <v>68</v>
      </c>
      <c r="N35" s="10">
        <v>1</v>
      </c>
      <c r="O35" s="5" t="s">
        <v>16</v>
      </c>
      <c r="P35" s="11">
        <v>90.756312</v>
      </c>
      <c r="Q35" s="10">
        <v>1</v>
      </c>
      <c r="R35" s="5" t="s">
        <v>16</v>
      </c>
      <c r="S35" s="11">
        <v>0.5</v>
      </c>
      <c r="T35" s="10">
        <v>0</v>
      </c>
      <c r="U35" s="10">
        <v>0</v>
      </c>
      <c r="V35" s="11">
        <v>91.256312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10">
        <v>34</v>
      </c>
      <c r="M36" s="2" t="s">
        <v>69</v>
      </c>
      <c r="N36" s="10">
        <v>2</v>
      </c>
      <c r="O36" s="5" t="s">
        <v>16</v>
      </c>
      <c r="P36" s="11">
        <v>6.308968</v>
      </c>
      <c r="Q36" s="10">
        <v>0</v>
      </c>
      <c r="R36" s="5" t="s">
        <v>16</v>
      </c>
      <c r="S36" s="10">
        <v>0</v>
      </c>
      <c r="T36" s="10">
        <v>7</v>
      </c>
      <c r="U36" s="11">
        <v>11.08831798</v>
      </c>
      <c r="V36" s="11">
        <v>17.39728598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10">
        <v>35</v>
      </c>
      <c r="M37" s="2" t="s">
        <v>70</v>
      </c>
      <c r="N37" s="10">
        <v>6</v>
      </c>
      <c r="O37" s="5" t="s">
        <v>16</v>
      </c>
      <c r="P37" s="11">
        <v>46.201351</v>
      </c>
      <c r="Q37" s="10">
        <v>4</v>
      </c>
      <c r="R37" s="5" t="s">
        <v>16</v>
      </c>
      <c r="S37" s="11">
        <v>2.744908</v>
      </c>
      <c r="T37" s="10">
        <v>3</v>
      </c>
      <c r="U37" s="11">
        <v>21.484356</v>
      </c>
      <c r="V37" s="11">
        <v>70.430615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10">
        <v>36</v>
      </c>
      <c r="M38" s="2" t="s">
        <v>71</v>
      </c>
      <c r="N38" s="10">
        <v>1</v>
      </c>
      <c r="O38" s="5" t="s">
        <v>16</v>
      </c>
      <c r="P38" s="11">
        <v>0.15</v>
      </c>
      <c r="Q38" s="10">
        <v>1</v>
      </c>
      <c r="R38" s="5" t="s">
        <v>16</v>
      </c>
      <c r="S38" s="10">
        <v>1</v>
      </c>
      <c r="T38" s="10">
        <v>1</v>
      </c>
      <c r="U38" s="11">
        <v>0.20532464</v>
      </c>
      <c r="V38" s="11">
        <v>1.3553246399999999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10">
        <v>37</v>
      </c>
      <c r="M39" s="2" t="s">
        <v>72</v>
      </c>
      <c r="N39" s="10">
        <v>1</v>
      </c>
      <c r="O39" s="5" t="s">
        <v>16</v>
      </c>
      <c r="P39" s="11">
        <v>1.03214711</v>
      </c>
      <c r="Q39" s="10">
        <v>0</v>
      </c>
      <c r="R39" s="5" t="s">
        <v>16</v>
      </c>
      <c r="S39" s="10">
        <v>0</v>
      </c>
      <c r="T39" s="10">
        <v>2</v>
      </c>
      <c r="U39" s="11">
        <v>0.0042844499999999995</v>
      </c>
      <c r="V39" s="11">
        <v>1.03643156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10">
        <v>38</v>
      </c>
      <c r="M40" s="2" t="s">
        <v>73</v>
      </c>
      <c r="N40" s="10">
        <v>3</v>
      </c>
      <c r="O40" s="5" t="s">
        <v>16</v>
      </c>
      <c r="P40" s="11">
        <v>0.6353916799999999</v>
      </c>
      <c r="Q40" s="10">
        <v>5</v>
      </c>
      <c r="R40" s="5" t="s">
        <v>16</v>
      </c>
      <c r="S40" s="11">
        <v>54.141614</v>
      </c>
      <c r="T40" s="10">
        <v>6</v>
      </c>
      <c r="U40" s="11">
        <v>5.81964479</v>
      </c>
      <c r="V40" s="11">
        <v>60.59665046999999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10">
        <v>39</v>
      </c>
      <c r="M41" s="2" t="s">
        <v>74</v>
      </c>
      <c r="N41" s="10">
        <v>34</v>
      </c>
      <c r="O41" s="5" t="s">
        <v>16</v>
      </c>
      <c r="P41" s="11">
        <v>2686.315015</v>
      </c>
      <c r="Q41" s="10">
        <v>4</v>
      </c>
      <c r="R41" s="5" t="s">
        <v>16</v>
      </c>
      <c r="S41" s="11">
        <v>104.268255</v>
      </c>
      <c r="T41" s="10">
        <v>1</v>
      </c>
      <c r="U41" s="11">
        <v>0.050215510000000005</v>
      </c>
      <c r="V41" s="11">
        <v>2790.63348551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10">
        <v>40</v>
      </c>
      <c r="M42" s="2" t="s">
        <v>75</v>
      </c>
      <c r="N42" s="10">
        <v>0</v>
      </c>
      <c r="O42" s="5" t="s">
        <v>16</v>
      </c>
      <c r="P42" s="10">
        <v>0</v>
      </c>
      <c r="Q42" s="10">
        <v>0</v>
      </c>
      <c r="R42" s="5" t="s">
        <v>16</v>
      </c>
      <c r="S42" s="10">
        <v>0</v>
      </c>
      <c r="T42" s="10">
        <v>2</v>
      </c>
      <c r="U42" s="11">
        <v>0.36775621999999997</v>
      </c>
      <c r="V42" s="11">
        <v>0.36775621999999997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10">
        <v>41</v>
      </c>
      <c r="M43" s="2" t="s">
        <v>76</v>
      </c>
      <c r="N43" s="10">
        <v>19</v>
      </c>
      <c r="O43" s="5" t="s">
        <v>16</v>
      </c>
      <c r="P43" s="11">
        <v>328.254748</v>
      </c>
      <c r="Q43" s="10">
        <v>3</v>
      </c>
      <c r="R43" s="5" t="s">
        <v>16</v>
      </c>
      <c r="S43" s="11">
        <v>4.95501</v>
      </c>
      <c r="T43" s="10">
        <v>8</v>
      </c>
      <c r="U43" s="11">
        <v>96.13967489</v>
      </c>
      <c r="V43" s="11">
        <v>429.34943289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10">
        <v>42</v>
      </c>
      <c r="M44" s="2" t="s">
        <v>77</v>
      </c>
      <c r="N44" s="10">
        <v>2</v>
      </c>
      <c r="O44" s="5" t="s">
        <v>16</v>
      </c>
      <c r="P44" s="11">
        <v>5.28586902</v>
      </c>
      <c r="Q44" s="10">
        <v>2</v>
      </c>
      <c r="R44" s="5" t="s">
        <v>16</v>
      </c>
      <c r="S44" s="11">
        <v>-0.840336</v>
      </c>
      <c r="T44" s="10">
        <v>4</v>
      </c>
      <c r="U44" s="11">
        <v>3.84536414</v>
      </c>
      <c r="V44" s="11">
        <v>8.29089716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10">
        <v>43</v>
      </c>
      <c r="M45" s="2" t="s">
        <v>78</v>
      </c>
      <c r="N45" s="10">
        <v>4</v>
      </c>
      <c r="O45" s="5" t="s">
        <v>16</v>
      </c>
      <c r="P45" s="11">
        <v>73.746344</v>
      </c>
      <c r="Q45" s="10">
        <v>0</v>
      </c>
      <c r="R45" s="5" t="s">
        <v>16</v>
      </c>
      <c r="S45" s="10">
        <v>0</v>
      </c>
      <c r="T45" s="10">
        <v>0</v>
      </c>
      <c r="U45" s="10">
        <v>0</v>
      </c>
      <c r="V45" s="11">
        <v>73.746344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10">
        <v>44</v>
      </c>
      <c r="M46" s="2" t="s">
        <v>79</v>
      </c>
      <c r="N46" s="10">
        <v>2</v>
      </c>
      <c r="O46" s="5" t="s">
        <v>16</v>
      </c>
      <c r="P46" s="11">
        <v>1.421527</v>
      </c>
      <c r="Q46" s="10">
        <v>1</v>
      </c>
      <c r="R46" s="5" t="s">
        <v>16</v>
      </c>
      <c r="S46" s="11">
        <v>0.1</v>
      </c>
      <c r="T46" s="10">
        <v>15</v>
      </c>
      <c r="U46" s="11">
        <v>11.25961835</v>
      </c>
      <c r="V46" s="11">
        <v>12.781145350000001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10">
        <v>45</v>
      </c>
      <c r="M47" s="2" t="s">
        <v>80</v>
      </c>
      <c r="N47" s="10">
        <v>3</v>
      </c>
      <c r="O47" s="5" t="s">
        <v>16</v>
      </c>
      <c r="P47" s="11">
        <v>2.671527</v>
      </c>
      <c r="Q47" s="10">
        <v>0</v>
      </c>
      <c r="R47" s="5" t="s">
        <v>16</v>
      </c>
      <c r="S47" s="10">
        <v>0</v>
      </c>
      <c r="T47" s="10">
        <v>12</v>
      </c>
      <c r="U47" s="11">
        <v>2.4722209300000006</v>
      </c>
      <c r="V47" s="11">
        <v>5.143747930000001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10">
        <v>46</v>
      </c>
      <c r="M48" s="2" t="s">
        <v>81</v>
      </c>
      <c r="N48" s="10">
        <v>2</v>
      </c>
      <c r="O48" s="5" t="s">
        <v>16</v>
      </c>
      <c r="P48" s="11">
        <v>0.30106383000000003</v>
      </c>
      <c r="Q48" s="10">
        <v>1</v>
      </c>
      <c r="R48" s="5" t="s">
        <v>16</v>
      </c>
      <c r="S48" s="11">
        <v>0.3</v>
      </c>
      <c r="T48" s="10">
        <v>0</v>
      </c>
      <c r="U48" s="10">
        <v>0</v>
      </c>
      <c r="V48" s="11">
        <v>0.60106383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10">
        <v>47</v>
      </c>
      <c r="M49" s="2" t="s">
        <v>82</v>
      </c>
      <c r="N49" s="10">
        <v>2</v>
      </c>
      <c r="O49" s="5" t="s">
        <v>16</v>
      </c>
      <c r="P49" s="11">
        <v>20.71</v>
      </c>
      <c r="Q49" s="10">
        <v>0</v>
      </c>
      <c r="R49" s="5" t="s">
        <v>16</v>
      </c>
      <c r="S49" s="10">
        <v>0</v>
      </c>
      <c r="T49" s="10">
        <v>2</v>
      </c>
      <c r="U49" s="11">
        <v>0.117045</v>
      </c>
      <c r="V49" s="11">
        <v>20.827045000000002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10">
        <v>48</v>
      </c>
      <c r="M50" s="2" t="s">
        <v>83</v>
      </c>
      <c r="N50" s="10">
        <v>0</v>
      </c>
      <c r="O50" s="5" t="s">
        <v>16</v>
      </c>
      <c r="P50" s="10">
        <v>0</v>
      </c>
      <c r="Q50" s="10">
        <v>0</v>
      </c>
      <c r="R50" s="5" t="s">
        <v>16</v>
      </c>
      <c r="S50" s="10">
        <v>0</v>
      </c>
      <c r="T50" s="10">
        <v>2</v>
      </c>
      <c r="U50" s="11">
        <v>0.47383473</v>
      </c>
      <c r="V50" s="11">
        <v>0.47383473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10">
        <v>49</v>
      </c>
      <c r="M51" s="2" t="s">
        <v>84</v>
      </c>
      <c r="N51" s="10">
        <v>2</v>
      </c>
      <c r="O51" s="5" t="s">
        <v>16</v>
      </c>
      <c r="P51" s="11">
        <v>31.61669</v>
      </c>
      <c r="Q51" s="10">
        <v>1</v>
      </c>
      <c r="R51" s="5" t="s">
        <v>16</v>
      </c>
      <c r="S51" s="10">
        <v>2</v>
      </c>
      <c r="T51" s="10">
        <v>7</v>
      </c>
      <c r="U51" s="11">
        <v>2.05580774</v>
      </c>
      <c r="V51" s="11">
        <v>35.67249774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10">
        <v>50</v>
      </c>
      <c r="M52" s="2" t="s">
        <v>85</v>
      </c>
      <c r="N52" s="5" t="s">
        <v>16</v>
      </c>
      <c r="O52" s="5" t="s">
        <v>16</v>
      </c>
      <c r="P52" s="8" t="s">
        <v>16</v>
      </c>
      <c r="Q52" s="5" t="s">
        <v>16</v>
      </c>
      <c r="R52" s="5" t="s">
        <v>16</v>
      </c>
      <c r="S52" s="8" t="s">
        <v>16</v>
      </c>
      <c r="T52" s="5" t="s">
        <v>16</v>
      </c>
      <c r="U52" s="8" t="s">
        <v>16</v>
      </c>
      <c r="V52" s="8" t="s">
        <v>16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10">
        <v>51</v>
      </c>
      <c r="M53" s="2" t="s">
        <v>86</v>
      </c>
      <c r="N53" s="10">
        <v>1</v>
      </c>
      <c r="O53" s="5" t="s">
        <v>16</v>
      </c>
      <c r="P53" s="10">
        <v>25</v>
      </c>
      <c r="Q53" s="10">
        <v>0</v>
      </c>
      <c r="R53" s="5" t="s">
        <v>16</v>
      </c>
      <c r="S53" s="10">
        <v>0</v>
      </c>
      <c r="T53" s="10">
        <v>0</v>
      </c>
      <c r="U53" s="10">
        <v>0</v>
      </c>
      <c r="V53" s="10">
        <v>25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10">
        <v>52</v>
      </c>
      <c r="M54" s="2" t="s">
        <v>87</v>
      </c>
      <c r="N54" s="10">
        <v>2</v>
      </c>
      <c r="O54" s="5" t="s">
        <v>16</v>
      </c>
      <c r="P54" s="11">
        <v>44.313256</v>
      </c>
      <c r="Q54" s="10">
        <v>2</v>
      </c>
      <c r="R54" s="5" t="s">
        <v>16</v>
      </c>
      <c r="S54" s="11">
        <v>10.892794</v>
      </c>
      <c r="T54" s="10">
        <v>8</v>
      </c>
      <c r="U54" s="11">
        <v>6.530063</v>
      </c>
      <c r="V54" s="11">
        <v>61.736113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10">
        <v>53</v>
      </c>
      <c r="M55" s="2" t="s">
        <v>88</v>
      </c>
      <c r="N55" s="10">
        <v>0</v>
      </c>
      <c r="O55" s="5" t="s">
        <v>16</v>
      </c>
      <c r="P55" s="10">
        <v>0</v>
      </c>
      <c r="Q55" s="10">
        <v>0</v>
      </c>
      <c r="R55" s="5" t="s">
        <v>16</v>
      </c>
      <c r="S55" s="10">
        <v>0</v>
      </c>
      <c r="T55" s="10">
        <v>1</v>
      </c>
      <c r="U55" s="11">
        <v>10.10175646</v>
      </c>
      <c r="V55" s="11">
        <v>10.10175646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10">
        <v>54</v>
      </c>
      <c r="M56" s="2" t="s">
        <v>89</v>
      </c>
      <c r="N56" s="5" t="s">
        <v>16</v>
      </c>
      <c r="O56" s="5" t="s">
        <v>16</v>
      </c>
      <c r="P56" s="8" t="s">
        <v>16</v>
      </c>
      <c r="Q56" s="5" t="s">
        <v>16</v>
      </c>
      <c r="R56" s="5" t="s">
        <v>16</v>
      </c>
      <c r="S56" s="8" t="s">
        <v>16</v>
      </c>
      <c r="T56" s="5" t="s">
        <v>16</v>
      </c>
      <c r="U56" s="8" t="s">
        <v>16</v>
      </c>
      <c r="V56" s="8" t="s">
        <v>16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10">
        <v>55</v>
      </c>
      <c r="M57" s="2" t="s">
        <v>90</v>
      </c>
      <c r="N57" s="10">
        <v>1</v>
      </c>
      <c r="O57" s="5" t="s">
        <v>16</v>
      </c>
      <c r="P57" s="11">
        <v>0.022</v>
      </c>
      <c r="Q57" s="10">
        <v>0</v>
      </c>
      <c r="R57" s="5" t="s">
        <v>16</v>
      </c>
      <c r="S57" s="10">
        <v>0</v>
      </c>
      <c r="T57" s="10">
        <v>1</v>
      </c>
      <c r="U57" s="11">
        <v>0.14138176000000002</v>
      </c>
      <c r="V57" s="11">
        <v>0.16338176000000001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10">
        <v>56</v>
      </c>
      <c r="M58" s="2" t="s">
        <v>91</v>
      </c>
      <c r="N58" s="10">
        <v>0</v>
      </c>
      <c r="O58" s="5" t="s">
        <v>16</v>
      </c>
      <c r="P58" s="10">
        <v>0</v>
      </c>
      <c r="Q58" s="10">
        <v>0</v>
      </c>
      <c r="R58" s="5" t="s">
        <v>16</v>
      </c>
      <c r="S58" s="10">
        <v>0</v>
      </c>
      <c r="T58" s="10">
        <v>1</v>
      </c>
      <c r="U58" s="11">
        <v>0.82793226</v>
      </c>
      <c r="V58" s="11">
        <v>0.82793226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10">
        <v>57</v>
      </c>
      <c r="M59" s="2" t="s">
        <v>92</v>
      </c>
      <c r="N59" s="5" t="s">
        <v>16</v>
      </c>
      <c r="O59" s="5" t="s">
        <v>16</v>
      </c>
      <c r="P59" s="8" t="s">
        <v>16</v>
      </c>
      <c r="Q59" s="5" t="s">
        <v>16</v>
      </c>
      <c r="R59" s="5" t="s">
        <v>16</v>
      </c>
      <c r="S59" s="8" t="s">
        <v>16</v>
      </c>
      <c r="T59" s="5" t="s">
        <v>16</v>
      </c>
      <c r="U59" s="8" t="s">
        <v>16</v>
      </c>
      <c r="V59" s="8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10">
        <v>58</v>
      </c>
      <c r="M60" s="2" t="s">
        <v>93</v>
      </c>
      <c r="N60" s="5" t="s">
        <v>16</v>
      </c>
      <c r="O60" s="5" t="s">
        <v>16</v>
      </c>
      <c r="P60" s="8" t="s">
        <v>16</v>
      </c>
      <c r="Q60" s="5" t="s">
        <v>16</v>
      </c>
      <c r="R60" s="5" t="s">
        <v>16</v>
      </c>
      <c r="S60" s="8" t="s">
        <v>16</v>
      </c>
      <c r="T60" s="5" t="s">
        <v>16</v>
      </c>
      <c r="U60" s="8" t="s">
        <v>16</v>
      </c>
      <c r="V60" s="8" t="s">
        <v>16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10">
        <v>59</v>
      </c>
      <c r="M61" s="2" t="s">
        <v>94</v>
      </c>
      <c r="N61" s="5" t="s">
        <v>16</v>
      </c>
      <c r="O61" s="5" t="s">
        <v>16</v>
      </c>
      <c r="P61" s="8" t="s">
        <v>16</v>
      </c>
      <c r="Q61" s="5" t="s">
        <v>16</v>
      </c>
      <c r="R61" s="5" t="s">
        <v>16</v>
      </c>
      <c r="S61" s="8" t="s">
        <v>16</v>
      </c>
      <c r="T61" s="5" t="s">
        <v>16</v>
      </c>
      <c r="U61" s="8" t="s">
        <v>16</v>
      </c>
      <c r="V61" s="8" t="s">
        <v>16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10">
        <v>60</v>
      </c>
      <c r="M62" s="2" t="s">
        <v>95</v>
      </c>
      <c r="N62" s="5" t="s">
        <v>16</v>
      </c>
      <c r="O62" s="5" t="s">
        <v>16</v>
      </c>
      <c r="P62" s="8" t="s">
        <v>16</v>
      </c>
      <c r="Q62" s="5" t="s">
        <v>16</v>
      </c>
      <c r="R62" s="5" t="s">
        <v>16</v>
      </c>
      <c r="S62" s="8" t="s">
        <v>16</v>
      </c>
      <c r="T62" s="5" t="s">
        <v>16</v>
      </c>
      <c r="U62" s="8" t="s">
        <v>16</v>
      </c>
      <c r="V62" s="8" t="s">
        <v>16</v>
      </c>
      <c r="W62" s="10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10">
        <v>61</v>
      </c>
      <c r="M63" s="2" t="s">
        <v>96</v>
      </c>
      <c r="N63" s="5" t="s">
        <v>16</v>
      </c>
      <c r="O63" s="5" t="s">
        <v>16</v>
      </c>
      <c r="P63" s="8" t="s">
        <v>16</v>
      </c>
      <c r="Q63" s="5" t="s">
        <v>16</v>
      </c>
      <c r="R63" s="5" t="s">
        <v>16</v>
      </c>
      <c r="S63" s="8" t="s">
        <v>16</v>
      </c>
      <c r="T63" s="5" t="s">
        <v>16</v>
      </c>
      <c r="U63" s="8" t="s">
        <v>16</v>
      </c>
      <c r="V63" s="8" t="s">
        <v>16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10">
        <v>62</v>
      </c>
      <c r="M64" s="2" t="s">
        <v>97</v>
      </c>
      <c r="N64" s="10">
        <v>0</v>
      </c>
      <c r="O64" s="5" t="s">
        <v>16</v>
      </c>
      <c r="P64" s="10">
        <v>0</v>
      </c>
      <c r="Q64" s="10">
        <v>0</v>
      </c>
      <c r="R64" s="5" t="s">
        <v>16</v>
      </c>
      <c r="S64" s="10">
        <v>0</v>
      </c>
      <c r="T64" s="10">
        <v>1</v>
      </c>
      <c r="U64" s="11">
        <v>0.84445195</v>
      </c>
      <c r="V64" s="11">
        <v>0.84445195</v>
      </c>
      <c r="W64" s="10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10">
        <v>63</v>
      </c>
      <c r="M65" s="2" t="s">
        <v>98</v>
      </c>
      <c r="N65" s="10">
        <v>0</v>
      </c>
      <c r="O65" s="5" t="s">
        <v>16</v>
      </c>
      <c r="P65" s="10">
        <v>0</v>
      </c>
      <c r="Q65" s="10">
        <v>1</v>
      </c>
      <c r="R65" s="5" t="s">
        <v>16</v>
      </c>
      <c r="S65" s="11">
        <v>0.933997</v>
      </c>
      <c r="T65" s="10">
        <v>2</v>
      </c>
      <c r="U65" s="11">
        <v>1.6813770899999998</v>
      </c>
      <c r="V65" s="11">
        <v>2.6153740899999995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10">
        <v>3188</v>
      </c>
      <c r="O66" s="10">
        <v>0</v>
      </c>
      <c r="P66" s="11">
        <v>20185.622680219996</v>
      </c>
      <c r="Q66" s="10">
        <v>1262</v>
      </c>
      <c r="R66" s="10">
        <v>0</v>
      </c>
      <c r="S66" s="11">
        <v>7880.769548430848</v>
      </c>
      <c r="T66" s="10">
        <v>3451</v>
      </c>
      <c r="U66" s="11">
        <v>8541.234716177982</v>
      </c>
      <c r="V66" s="11">
        <v>36607.62694482881</v>
      </c>
      <c r="W66" s="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W66"/>
  <sheetViews>
    <sheetView workbookViewId="0"/>
  </sheetViews>
  <sheetFormatPr defaultRowHeight="15" x14ac:dyDescent="0.25"/>
  <cols>
    <col min="1" max="1" style="12" width="7.005" customWidth="1" bestFit="1"/>
    <col min="2" max="2" style="13" width="44.86214285714286" customWidth="1" bestFit="1"/>
    <col min="3" max="3" style="12" width="14.576428571428572" customWidth="1" bestFit="1"/>
    <col min="4" max="4" style="12" width="22.290714285714284" customWidth="1" bestFit="1"/>
    <col min="5" max="5" style="14" width="26.290714285714284" customWidth="1" bestFit="1"/>
    <col min="6" max="6" style="12" width="20.005" customWidth="1" bestFit="1"/>
    <col min="7" max="7" style="12" width="24.14785714285714" customWidth="1" bestFit="1"/>
    <col min="8" max="8" style="14" width="27.719285714285714" customWidth="1" bestFit="1"/>
    <col min="9" max="9" style="12" width="23.719285714285714" customWidth="1" bestFit="1"/>
    <col min="10" max="10" style="14" width="32.71928571428572" customWidth="1" bestFit="1"/>
    <col min="11" max="11" style="14" width="51.57642857142857" customWidth="1" bestFit="1"/>
    <col min="12" max="12" style="12" width="7.005" customWidth="1" bestFit="1"/>
    <col min="13" max="13" style="13" width="14.719285714285713" customWidth="1" bestFit="1"/>
    <col min="14" max="14" style="15" width="14.576428571428572" customWidth="1" bestFit="1"/>
    <col min="15" max="15" style="15" width="22.290714285714284" customWidth="1" bestFit="1"/>
    <col min="16" max="16" style="16" width="26.290714285714284" customWidth="1" bestFit="1"/>
    <col min="17" max="17" style="15" width="20.005" customWidth="1" bestFit="1"/>
    <col min="18" max="18" style="15" width="24.14785714285714" customWidth="1" bestFit="1"/>
    <col min="19" max="19" style="16" width="27.719285714285714" customWidth="1" bestFit="1"/>
    <col min="20" max="20" style="15" width="23.719285714285714" customWidth="1" bestFit="1"/>
    <col min="21" max="21" style="16" width="32.71928571428572" customWidth="1" bestFit="1"/>
    <col min="22" max="22" style="16" width="51.57642857142857" customWidth="1" bestFit="1"/>
    <col min="23" max="23" style="12" width="2.005" customWidth="1" bestFit="1"/>
  </cols>
  <sheetData>
    <row x14ac:dyDescent="0.25" r="1" customHeight="1" ht="17.25">
      <c r="A1" s="1" t="s">
        <v>0</v>
      </c>
      <c r="B1" s="2" t="s">
        <v>1</v>
      </c>
      <c r="C1" s="1" t="s">
        <v>2</v>
      </c>
      <c r="D1" s="3"/>
      <c r="E1" s="4"/>
      <c r="F1" s="1" t="s">
        <v>3</v>
      </c>
      <c r="G1" s="3"/>
      <c r="H1" s="4"/>
      <c r="I1" s="1" t="s">
        <v>4</v>
      </c>
      <c r="J1" s="4"/>
      <c r="K1" s="4"/>
      <c r="L1" s="3"/>
      <c r="M1" s="2"/>
      <c r="N1" s="5" t="s">
        <v>2</v>
      </c>
      <c r="O1" s="6"/>
      <c r="P1" s="7"/>
      <c r="Q1" s="5" t="s">
        <v>3</v>
      </c>
      <c r="R1" s="6"/>
      <c r="S1" s="7"/>
      <c r="T1" s="5" t="s">
        <v>4</v>
      </c>
      <c r="U1" s="7"/>
      <c r="V1" s="8" t="s">
        <v>5</v>
      </c>
      <c r="W1" s="3"/>
    </row>
    <row x14ac:dyDescent="0.25" r="2" customHeight="1" ht="17.25">
      <c r="A2" s="3"/>
      <c r="B2" s="2"/>
      <c r="C2" s="1" t="s">
        <v>6</v>
      </c>
      <c r="D2" s="1" t="s">
        <v>7</v>
      </c>
      <c r="E2" s="9" t="s">
        <v>8</v>
      </c>
      <c r="F2" s="1" t="s">
        <v>9</v>
      </c>
      <c r="G2" s="1" t="s">
        <v>10</v>
      </c>
      <c r="H2" s="9" t="s">
        <v>11</v>
      </c>
      <c r="I2" s="1" t="s">
        <v>12</v>
      </c>
      <c r="J2" s="9" t="s">
        <v>13</v>
      </c>
      <c r="K2" s="9" t="s">
        <v>5</v>
      </c>
      <c r="L2" s="1" t="s">
        <v>0</v>
      </c>
      <c r="M2" s="2" t="s">
        <v>14</v>
      </c>
      <c r="N2" s="5" t="s">
        <v>6</v>
      </c>
      <c r="O2" s="5" t="s">
        <v>7</v>
      </c>
      <c r="P2" s="8" t="s">
        <v>8</v>
      </c>
      <c r="Q2" s="5" t="s">
        <v>9</v>
      </c>
      <c r="R2" s="5" t="s">
        <v>10</v>
      </c>
      <c r="S2" s="8" t="s">
        <v>11</v>
      </c>
      <c r="T2" s="5" t="s">
        <v>12</v>
      </c>
      <c r="U2" s="8" t="s">
        <v>13</v>
      </c>
      <c r="V2" s="8" t="s">
        <v>5</v>
      </c>
      <c r="W2" s="3"/>
    </row>
    <row x14ac:dyDescent="0.25" r="3" customHeight="1" ht="17.25">
      <c r="A3" s="10">
        <v>1</v>
      </c>
      <c r="B3" s="2" t="s">
        <v>15</v>
      </c>
      <c r="C3" s="10">
        <v>541</v>
      </c>
      <c r="D3" s="1" t="s">
        <v>16</v>
      </c>
      <c r="E3" s="11">
        <v>6826.00565272</v>
      </c>
      <c r="F3" s="10">
        <v>390</v>
      </c>
      <c r="G3" s="1" t="s">
        <v>16</v>
      </c>
      <c r="H3" s="11">
        <v>3539.99417840625</v>
      </c>
      <c r="I3" s="10">
        <v>190</v>
      </c>
      <c r="J3" s="11">
        <v>323.14804267999995</v>
      </c>
      <c r="K3" s="11">
        <v>10689.14787380625</v>
      </c>
      <c r="L3" s="10">
        <v>1</v>
      </c>
      <c r="M3" s="2" t="s">
        <v>17</v>
      </c>
      <c r="N3" s="10">
        <v>120</v>
      </c>
      <c r="O3" s="5" t="s">
        <v>16</v>
      </c>
      <c r="P3" s="11">
        <v>1036.90828625</v>
      </c>
      <c r="Q3" s="10">
        <v>79</v>
      </c>
      <c r="R3" s="5" t="s">
        <v>16</v>
      </c>
      <c r="S3" s="11">
        <v>55.654967379999995</v>
      </c>
      <c r="T3" s="10">
        <v>102</v>
      </c>
      <c r="U3" s="11">
        <v>89.54765999</v>
      </c>
      <c r="V3" s="11">
        <v>1182.11091362</v>
      </c>
      <c r="W3" s="3"/>
    </row>
    <row x14ac:dyDescent="0.25" r="4" customHeight="1" ht="17.25">
      <c r="A4" s="10">
        <v>2</v>
      </c>
      <c r="B4" s="2" t="s">
        <v>18</v>
      </c>
      <c r="C4" s="10">
        <v>2</v>
      </c>
      <c r="D4" s="1" t="s">
        <v>16</v>
      </c>
      <c r="E4" s="11">
        <v>118.00064751000001</v>
      </c>
      <c r="F4" s="10">
        <v>0</v>
      </c>
      <c r="G4" s="1" t="s">
        <v>16</v>
      </c>
      <c r="H4" s="10">
        <v>0</v>
      </c>
      <c r="I4" s="10">
        <v>5</v>
      </c>
      <c r="J4" s="11">
        <v>30.778100379869564</v>
      </c>
      <c r="K4" s="11">
        <v>148.77874788986958</v>
      </c>
      <c r="L4" s="10">
        <v>2</v>
      </c>
      <c r="M4" s="2" t="s">
        <v>19</v>
      </c>
      <c r="N4" s="10">
        <v>597</v>
      </c>
      <c r="O4" s="5" t="s">
        <v>16</v>
      </c>
      <c r="P4" s="11">
        <v>192.64746200999997</v>
      </c>
      <c r="Q4" s="10">
        <v>79</v>
      </c>
      <c r="R4" s="5" t="s">
        <v>16</v>
      </c>
      <c r="S4" s="11">
        <v>107.00646922119141</v>
      </c>
      <c r="T4" s="10">
        <v>1015</v>
      </c>
      <c r="U4" s="11">
        <v>821.3418073000003</v>
      </c>
      <c r="V4" s="11">
        <v>1120.9957385311916</v>
      </c>
      <c r="W4" s="3"/>
    </row>
    <row x14ac:dyDescent="0.25" r="5" customHeight="1" ht="17.25">
      <c r="A5" s="10">
        <v>3</v>
      </c>
      <c r="B5" s="2" t="s">
        <v>20</v>
      </c>
      <c r="C5" s="10">
        <v>37</v>
      </c>
      <c r="D5" s="1" t="s">
        <v>16</v>
      </c>
      <c r="E5" s="11">
        <v>1893.10590241</v>
      </c>
      <c r="F5" s="10">
        <v>20</v>
      </c>
      <c r="G5" s="1" t="s">
        <v>16</v>
      </c>
      <c r="H5" s="11">
        <v>98.135739</v>
      </c>
      <c r="I5" s="10">
        <v>31</v>
      </c>
      <c r="J5" s="11">
        <v>480.29133308999997</v>
      </c>
      <c r="K5" s="11">
        <v>2471.5329745</v>
      </c>
      <c r="L5" s="10">
        <v>3</v>
      </c>
      <c r="M5" s="2" t="s">
        <v>21</v>
      </c>
      <c r="N5" s="10">
        <v>88</v>
      </c>
      <c r="O5" s="5" t="s">
        <v>16</v>
      </c>
      <c r="P5" s="11">
        <v>318.77570535999996</v>
      </c>
      <c r="Q5" s="10">
        <v>63</v>
      </c>
      <c r="R5" s="5" t="s">
        <v>16</v>
      </c>
      <c r="S5" s="11">
        <v>261.01168125</v>
      </c>
      <c r="T5" s="10">
        <v>77</v>
      </c>
      <c r="U5" s="11">
        <v>89.33114716999997</v>
      </c>
      <c r="V5" s="11">
        <v>669.1185337799999</v>
      </c>
      <c r="W5" s="3"/>
    </row>
    <row x14ac:dyDescent="0.25" r="6" customHeight="1" ht="17.25">
      <c r="A6" s="10">
        <v>4</v>
      </c>
      <c r="B6" s="2" t="s">
        <v>22</v>
      </c>
      <c r="C6" s="10">
        <v>25</v>
      </c>
      <c r="D6" s="1" t="s">
        <v>16</v>
      </c>
      <c r="E6" s="11">
        <v>10.181926</v>
      </c>
      <c r="F6" s="10">
        <v>17</v>
      </c>
      <c r="G6" s="1" t="s">
        <v>16</v>
      </c>
      <c r="H6" s="11">
        <v>16.666286171875</v>
      </c>
      <c r="I6" s="10">
        <v>32</v>
      </c>
      <c r="J6" s="11">
        <v>16.64878243</v>
      </c>
      <c r="K6" s="11">
        <v>43.496994601875</v>
      </c>
      <c r="L6" s="10">
        <v>4</v>
      </c>
      <c r="M6" s="2" t="s">
        <v>23</v>
      </c>
      <c r="N6" s="10">
        <v>48</v>
      </c>
      <c r="O6" s="5" t="s">
        <v>16</v>
      </c>
      <c r="P6" s="11">
        <v>570.6343</v>
      </c>
      <c r="Q6" s="10">
        <v>40</v>
      </c>
      <c r="R6" s="5" t="s">
        <v>16</v>
      </c>
      <c r="S6" s="11">
        <v>242.90185125</v>
      </c>
      <c r="T6" s="10">
        <v>20</v>
      </c>
      <c r="U6" s="11">
        <v>123.93534785986957</v>
      </c>
      <c r="V6" s="11">
        <v>937.4714991098697</v>
      </c>
      <c r="W6" s="3"/>
    </row>
    <row x14ac:dyDescent="0.25" r="7" customHeight="1" ht="17.25">
      <c r="A7" s="10">
        <v>5</v>
      </c>
      <c r="B7" s="2" t="s">
        <v>24</v>
      </c>
      <c r="C7" s="10">
        <v>539</v>
      </c>
      <c r="D7" s="1" t="s">
        <v>16</v>
      </c>
      <c r="E7" s="11">
        <v>375.3376435100001</v>
      </c>
      <c r="F7" s="10">
        <v>71</v>
      </c>
      <c r="G7" s="1" t="s">
        <v>16</v>
      </c>
      <c r="H7" s="11">
        <v>67.91844071875</v>
      </c>
      <c r="I7" s="10">
        <v>617</v>
      </c>
      <c r="J7" s="11">
        <v>170.32377357000001</v>
      </c>
      <c r="K7" s="11">
        <v>613.57985779875</v>
      </c>
      <c r="L7" s="10">
        <v>5</v>
      </c>
      <c r="M7" s="2" t="s">
        <v>25</v>
      </c>
      <c r="N7" s="10">
        <v>224</v>
      </c>
      <c r="O7" s="5" t="s">
        <v>16</v>
      </c>
      <c r="P7" s="11">
        <v>1076.1801175900002</v>
      </c>
      <c r="Q7" s="10">
        <v>80</v>
      </c>
      <c r="R7" s="5" t="s">
        <v>16</v>
      </c>
      <c r="S7" s="11">
        <v>1465.052144125</v>
      </c>
      <c r="T7" s="10">
        <v>32</v>
      </c>
      <c r="U7" s="11">
        <v>36.26047286</v>
      </c>
      <c r="V7" s="11">
        <v>2577.492734575</v>
      </c>
      <c r="W7" s="3"/>
    </row>
    <row x14ac:dyDescent="0.25" r="8" customHeight="1" ht="17.25">
      <c r="A8" s="10">
        <v>6</v>
      </c>
      <c r="B8" s="2" t="s">
        <v>26</v>
      </c>
      <c r="C8" s="10">
        <v>4</v>
      </c>
      <c r="D8" s="1" t="s">
        <v>16</v>
      </c>
      <c r="E8" s="11">
        <v>18.07375639</v>
      </c>
      <c r="F8" s="10">
        <v>3</v>
      </c>
      <c r="G8" s="1" t="s">
        <v>16</v>
      </c>
      <c r="H8" s="11">
        <v>33.994564</v>
      </c>
      <c r="I8" s="10">
        <v>6</v>
      </c>
      <c r="J8" s="11">
        <v>2.30824207</v>
      </c>
      <c r="K8" s="11">
        <v>54.376562459999995</v>
      </c>
      <c r="L8" s="10">
        <v>6</v>
      </c>
      <c r="M8" s="2" t="s">
        <v>27</v>
      </c>
      <c r="N8" s="10">
        <v>54</v>
      </c>
      <c r="O8" s="5" t="s">
        <v>16</v>
      </c>
      <c r="P8" s="11">
        <v>276.7130089</v>
      </c>
      <c r="Q8" s="10">
        <v>25</v>
      </c>
      <c r="R8" s="5" t="s">
        <v>16</v>
      </c>
      <c r="S8" s="11">
        <v>454.7624365</v>
      </c>
      <c r="T8" s="10">
        <v>22</v>
      </c>
      <c r="U8" s="11">
        <v>405.85064782000006</v>
      </c>
      <c r="V8" s="11">
        <v>1137.32609322</v>
      </c>
      <c r="W8" s="3"/>
    </row>
    <row x14ac:dyDescent="0.25" r="9" customHeight="1" ht="17.25">
      <c r="A9" s="10">
        <v>7</v>
      </c>
      <c r="B9" s="2" t="s">
        <v>28</v>
      </c>
      <c r="C9" s="10">
        <v>161</v>
      </c>
      <c r="D9" s="1" t="s">
        <v>16</v>
      </c>
      <c r="E9" s="11">
        <v>52.61286934</v>
      </c>
      <c r="F9" s="10">
        <v>31</v>
      </c>
      <c r="G9" s="1" t="s">
        <v>16</v>
      </c>
      <c r="H9" s="11">
        <v>75.10086652062499</v>
      </c>
      <c r="I9" s="10">
        <v>220</v>
      </c>
      <c r="J9" s="11">
        <v>324.69714139000007</v>
      </c>
      <c r="K9" s="11">
        <v>452.41087725062505</v>
      </c>
      <c r="L9" s="10">
        <v>7</v>
      </c>
      <c r="M9" s="2" t="s">
        <v>29</v>
      </c>
      <c r="N9" s="10">
        <v>13</v>
      </c>
      <c r="O9" s="5" t="s">
        <v>16</v>
      </c>
      <c r="P9" s="11">
        <v>76.8</v>
      </c>
      <c r="Q9" s="10">
        <v>14</v>
      </c>
      <c r="R9" s="5" t="s">
        <v>16</v>
      </c>
      <c r="S9" s="11">
        <v>138.6426628125</v>
      </c>
      <c r="T9" s="10">
        <v>2</v>
      </c>
      <c r="U9" s="11">
        <v>0.35981907</v>
      </c>
      <c r="V9" s="11">
        <v>215.80248188249996</v>
      </c>
      <c r="W9" s="3"/>
    </row>
    <row x14ac:dyDescent="0.25" r="10" customHeight="1" ht="17.25">
      <c r="A10" s="10">
        <v>8</v>
      </c>
      <c r="B10" s="2" t="s">
        <v>30</v>
      </c>
      <c r="C10" s="10">
        <v>42</v>
      </c>
      <c r="D10" s="1" t="s">
        <v>16</v>
      </c>
      <c r="E10" s="11">
        <v>161.983947</v>
      </c>
      <c r="F10" s="10">
        <v>5</v>
      </c>
      <c r="G10" s="1" t="s">
        <v>16</v>
      </c>
      <c r="H10" s="11">
        <v>16.872689</v>
      </c>
      <c r="I10" s="10">
        <v>59</v>
      </c>
      <c r="J10" s="11">
        <v>203.61474425999998</v>
      </c>
      <c r="K10" s="11">
        <v>382.47138026</v>
      </c>
      <c r="L10" s="10">
        <v>8</v>
      </c>
      <c r="M10" s="2" t="s">
        <v>31</v>
      </c>
      <c r="N10" s="10">
        <v>39</v>
      </c>
      <c r="O10" s="5" t="s">
        <v>16</v>
      </c>
      <c r="P10" s="11">
        <v>250.477853</v>
      </c>
      <c r="Q10" s="10">
        <v>29</v>
      </c>
      <c r="R10" s="5" t="s">
        <v>16</v>
      </c>
      <c r="S10" s="11">
        <v>483.9782853125</v>
      </c>
      <c r="T10" s="10">
        <v>20</v>
      </c>
      <c r="U10" s="11">
        <v>29.76012285</v>
      </c>
      <c r="V10" s="11">
        <v>764.2162611625</v>
      </c>
      <c r="W10" s="3"/>
    </row>
    <row x14ac:dyDescent="0.25" r="11" customHeight="1" ht="17.25">
      <c r="A11" s="10">
        <v>9</v>
      </c>
      <c r="B11" s="2" t="s">
        <v>32</v>
      </c>
      <c r="C11" s="10">
        <v>18</v>
      </c>
      <c r="D11" s="1" t="s">
        <v>16</v>
      </c>
      <c r="E11" s="11">
        <v>16.602468</v>
      </c>
      <c r="F11" s="10">
        <v>10</v>
      </c>
      <c r="G11" s="1" t="s">
        <v>16</v>
      </c>
      <c r="H11" s="11">
        <v>15.892573689941406</v>
      </c>
      <c r="I11" s="10">
        <v>76</v>
      </c>
      <c r="J11" s="11">
        <v>24.12975467</v>
      </c>
      <c r="K11" s="11">
        <v>56.6247963599414</v>
      </c>
      <c r="L11" s="10">
        <v>9</v>
      </c>
      <c r="M11" s="2" t="s">
        <v>33</v>
      </c>
      <c r="N11" s="10">
        <v>20</v>
      </c>
      <c r="O11" s="5" t="s">
        <v>16</v>
      </c>
      <c r="P11" s="11">
        <v>1533.14114155</v>
      </c>
      <c r="Q11" s="10">
        <v>2</v>
      </c>
      <c r="R11" s="5" t="s">
        <v>16</v>
      </c>
      <c r="S11" s="11">
        <v>-9.557457</v>
      </c>
      <c r="T11" s="10">
        <v>4</v>
      </c>
      <c r="U11" s="11">
        <v>11.968528529999999</v>
      </c>
      <c r="V11" s="11">
        <v>1535.5522130799998</v>
      </c>
      <c r="W11" s="3"/>
    </row>
    <row x14ac:dyDescent="0.25" r="12" customHeight="1" ht="17.25">
      <c r="A12" s="10">
        <v>10</v>
      </c>
      <c r="B12" s="2" t="s">
        <v>34</v>
      </c>
      <c r="C12" s="10">
        <v>106</v>
      </c>
      <c r="D12" s="1" t="s">
        <v>16</v>
      </c>
      <c r="E12" s="11">
        <v>21.54454192</v>
      </c>
      <c r="F12" s="10">
        <v>24</v>
      </c>
      <c r="G12" s="1" t="s">
        <v>16</v>
      </c>
      <c r="H12" s="11">
        <v>28.031444125</v>
      </c>
      <c r="I12" s="10">
        <v>113</v>
      </c>
      <c r="J12" s="11">
        <v>23.065518329999996</v>
      </c>
      <c r="K12" s="11">
        <v>72.641504375</v>
      </c>
      <c r="L12" s="10">
        <v>10</v>
      </c>
      <c r="M12" s="2" t="s">
        <v>35</v>
      </c>
      <c r="N12" s="10">
        <v>14</v>
      </c>
      <c r="O12" s="5" t="s">
        <v>16</v>
      </c>
      <c r="P12" s="11">
        <v>85.18</v>
      </c>
      <c r="Q12" s="10">
        <v>13</v>
      </c>
      <c r="R12" s="5" t="s">
        <v>16</v>
      </c>
      <c r="S12" s="11">
        <v>283.625061625</v>
      </c>
      <c r="T12" s="10">
        <v>0</v>
      </c>
      <c r="U12" s="10">
        <v>0</v>
      </c>
      <c r="V12" s="11">
        <v>368.805061625</v>
      </c>
      <c r="W12" s="3"/>
    </row>
    <row x14ac:dyDescent="0.25" r="13" customHeight="1" ht="17.25">
      <c r="A13" s="10">
        <v>11</v>
      </c>
      <c r="B13" s="2" t="s">
        <v>36</v>
      </c>
      <c r="C13" s="10">
        <v>35</v>
      </c>
      <c r="D13" s="1" t="s">
        <v>16</v>
      </c>
      <c r="E13" s="11">
        <v>16.934717329999998</v>
      </c>
      <c r="F13" s="10">
        <v>9</v>
      </c>
      <c r="G13" s="1" t="s">
        <v>16</v>
      </c>
      <c r="H13" s="11">
        <v>2.847406</v>
      </c>
      <c r="I13" s="10">
        <v>29</v>
      </c>
      <c r="J13" s="11">
        <v>42.37566248</v>
      </c>
      <c r="K13" s="11">
        <v>62.15778581</v>
      </c>
      <c r="L13" s="10">
        <v>11</v>
      </c>
      <c r="M13" s="2" t="s">
        <v>37</v>
      </c>
      <c r="N13" s="10">
        <v>59</v>
      </c>
      <c r="O13" s="5" t="s">
        <v>16</v>
      </c>
      <c r="P13" s="11">
        <v>273.477972</v>
      </c>
      <c r="Q13" s="10">
        <v>46</v>
      </c>
      <c r="R13" s="5" t="s">
        <v>16</v>
      </c>
      <c r="S13" s="11">
        <v>108.28722462011719</v>
      </c>
      <c r="T13" s="10">
        <v>25</v>
      </c>
      <c r="U13" s="11">
        <v>11.559325130000003</v>
      </c>
      <c r="V13" s="11">
        <v>393.3245217501172</v>
      </c>
      <c r="W13" s="3"/>
    </row>
    <row x14ac:dyDescent="0.25" r="14" customHeight="1" ht="17.25">
      <c r="A14" s="10">
        <v>12</v>
      </c>
      <c r="B14" s="2" t="s">
        <v>38</v>
      </c>
      <c r="C14" s="10">
        <v>2</v>
      </c>
      <c r="D14" s="1" t="s">
        <v>16</v>
      </c>
      <c r="E14" s="11">
        <v>0.275</v>
      </c>
      <c r="F14" s="10">
        <v>2</v>
      </c>
      <c r="G14" s="1" t="s">
        <v>16</v>
      </c>
      <c r="H14" s="10">
        <v>160</v>
      </c>
      <c r="I14" s="10">
        <v>6</v>
      </c>
      <c r="J14" s="11">
        <v>0.53486009</v>
      </c>
      <c r="K14" s="11">
        <v>160.80986009</v>
      </c>
      <c r="L14" s="10">
        <v>12</v>
      </c>
      <c r="M14" s="2" t="s">
        <v>39</v>
      </c>
      <c r="N14" s="10">
        <v>30</v>
      </c>
      <c r="O14" s="5" t="s">
        <v>16</v>
      </c>
      <c r="P14" s="11">
        <v>115.34</v>
      </c>
      <c r="Q14" s="10">
        <v>8</v>
      </c>
      <c r="R14" s="5" t="s">
        <v>16</v>
      </c>
      <c r="S14" s="11">
        <v>32.478</v>
      </c>
      <c r="T14" s="10">
        <v>17</v>
      </c>
      <c r="U14" s="11">
        <v>2.7905917399999995</v>
      </c>
      <c r="V14" s="11">
        <v>150.60859174</v>
      </c>
      <c r="W14" s="3"/>
    </row>
    <row x14ac:dyDescent="0.25" r="15" customHeight="1" ht="17.25">
      <c r="A15" s="10">
        <v>13</v>
      </c>
      <c r="B15" s="2" t="s">
        <v>40</v>
      </c>
      <c r="C15" s="10">
        <v>19</v>
      </c>
      <c r="D15" s="1" t="s">
        <v>16</v>
      </c>
      <c r="E15" s="11">
        <v>18.3862329</v>
      </c>
      <c r="F15" s="10">
        <v>4</v>
      </c>
      <c r="G15" s="1" t="s">
        <v>16</v>
      </c>
      <c r="H15" s="11">
        <v>2.9141695</v>
      </c>
      <c r="I15" s="10">
        <v>15</v>
      </c>
      <c r="J15" s="11">
        <v>2.290695599999999</v>
      </c>
      <c r="K15" s="11">
        <v>23.591098</v>
      </c>
      <c r="L15" s="10">
        <v>13</v>
      </c>
      <c r="M15" s="2" t="s">
        <v>41</v>
      </c>
      <c r="N15" s="10">
        <v>10</v>
      </c>
      <c r="O15" s="5" t="s">
        <v>16</v>
      </c>
      <c r="P15" s="11">
        <v>482.857</v>
      </c>
      <c r="Q15" s="10">
        <v>12</v>
      </c>
      <c r="R15" s="5" t="s">
        <v>16</v>
      </c>
      <c r="S15" s="11">
        <v>62.8708765</v>
      </c>
      <c r="T15" s="10">
        <v>2</v>
      </c>
      <c r="U15" s="11">
        <v>0.7840661999999999</v>
      </c>
      <c r="V15" s="11">
        <v>546.5119427</v>
      </c>
      <c r="W15" s="3"/>
    </row>
    <row x14ac:dyDescent="0.25" r="16" customHeight="1" ht="17.25">
      <c r="A16" s="10">
        <v>14</v>
      </c>
      <c r="B16" s="2" t="s">
        <v>42</v>
      </c>
      <c r="C16" s="10">
        <v>1</v>
      </c>
      <c r="D16" s="1" t="s">
        <v>16</v>
      </c>
      <c r="E16" s="11">
        <v>0.024679</v>
      </c>
      <c r="F16" s="10">
        <v>2</v>
      </c>
      <c r="G16" s="1" t="s">
        <v>16</v>
      </c>
      <c r="H16" s="11">
        <v>-109.061249</v>
      </c>
      <c r="I16" s="10">
        <v>1</v>
      </c>
      <c r="J16" s="11">
        <v>2.5</v>
      </c>
      <c r="K16" s="11">
        <v>-106.53657</v>
      </c>
      <c r="L16" s="10">
        <v>14</v>
      </c>
      <c r="M16" s="2" t="s">
        <v>43</v>
      </c>
      <c r="N16" s="10">
        <v>19</v>
      </c>
      <c r="O16" s="5" t="s">
        <v>16</v>
      </c>
      <c r="P16" s="11">
        <v>70.929241</v>
      </c>
      <c r="Q16" s="10">
        <v>2</v>
      </c>
      <c r="R16" s="5" t="s">
        <v>16</v>
      </c>
      <c r="S16" s="11">
        <v>94.77</v>
      </c>
      <c r="T16" s="10">
        <v>2</v>
      </c>
      <c r="U16" s="11">
        <v>1.3528713900000002</v>
      </c>
      <c r="V16" s="11">
        <v>167.05211239</v>
      </c>
      <c r="W16" s="3"/>
    </row>
    <row x14ac:dyDescent="0.25" r="17" customHeight="1" ht="17.25">
      <c r="A17" s="10">
        <v>15</v>
      </c>
      <c r="B17" s="2" t="s">
        <v>44</v>
      </c>
      <c r="C17" s="10">
        <v>0</v>
      </c>
      <c r="D17" s="1" t="s">
        <v>16</v>
      </c>
      <c r="E17" s="10">
        <v>0</v>
      </c>
      <c r="F17" s="10">
        <v>2</v>
      </c>
      <c r="G17" s="1" t="s">
        <v>16</v>
      </c>
      <c r="H17" s="11">
        <v>0.758621</v>
      </c>
      <c r="I17" s="10">
        <v>8</v>
      </c>
      <c r="J17" s="11">
        <v>18.310070900000003</v>
      </c>
      <c r="K17" s="11">
        <v>19.068691900000005</v>
      </c>
      <c r="L17" s="10">
        <v>15</v>
      </c>
      <c r="M17" s="2" t="s">
        <v>45</v>
      </c>
      <c r="N17" s="10">
        <v>36</v>
      </c>
      <c r="O17" s="5" t="s">
        <v>16</v>
      </c>
      <c r="P17" s="11">
        <v>23.474592</v>
      </c>
      <c r="Q17" s="10">
        <v>14</v>
      </c>
      <c r="R17" s="5" t="s">
        <v>16</v>
      </c>
      <c r="S17" s="11">
        <v>0.037905</v>
      </c>
      <c r="T17" s="10">
        <v>7</v>
      </c>
      <c r="U17" s="11">
        <v>0.7264553600000001</v>
      </c>
      <c r="V17" s="11">
        <v>24.23895236</v>
      </c>
      <c r="W17" s="3"/>
    </row>
    <row x14ac:dyDescent="0.25" r="18" customHeight="1" ht="17.25">
      <c r="A18" s="10">
        <v>16</v>
      </c>
      <c r="B18" s="2" t="s">
        <v>46</v>
      </c>
      <c r="C18" s="10">
        <v>0</v>
      </c>
      <c r="D18" s="1" t="s">
        <v>16</v>
      </c>
      <c r="E18" s="10">
        <v>0</v>
      </c>
      <c r="F18" s="10">
        <v>1</v>
      </c>
      <c r="G18" s="1" t="s">
        <v>16</v>
      </c>
      <c r="H18" s="11">
        <v>0.225</v>
      </c>
      <c r="I18" s="10">
        <v>1</v>
      </c>
      <c r="J18" s="11">
        <v>0.54999</v>
      </c>
      <c r="K18" s="11">
        <v>0.77499</v>
      </c>
      <c r="L18" s="10">
        <v>16</v>
      </c>
      <c r="M18" s="2" t="s">
        <v>47</v>
      </c>
      <c r="N18" s="10">
        <v>32</v>
      </c>
      <c r="O18" s="5" t="s">
        <v>16</v>
      </c>
      <c r="P18" s="11">
        <v>543.787448</v>
      </c>
      <c r="Q18" s="10">
        <v>22</v>
      </c>
      <c r="R18" s="5" t="s">
        <v>16</v>
      </c>
      <c r="S18" s="11">
        <v>-29.109233</v>
      </c>
      <c r="T18" s="10">
        <v>9</v>
      </c>
      <c r="U18" s="11">
        <v>1.73622636</v>
      </c>
      <c r="V18" s="11">
        <v>516.4144413600001</v>
      </c>
      <c r="W18" s="3"/>
    </row>
    <row x14ac:dyDescent="0.25" r="19" customHeight="1" ht="17.25">
      <c r="A19" s="10">
        <v>17</v>
      </c>
      <c r="B19" s="2" t="s">
        <v>48</v>
      </c>
      <c r="C19" s="10">
        <v>3</v>
      </c>
      <c r="D19" s="1" t="s">
        <v>16</v>
      </c>
      <c r="E19" s="11">
        <v>5.697476119999999</v>
      </c>
      <c r="F19" s="10">
        <v>0</v>
      </c>
      <c r="G19" s="1" t="s">
        <v>16</v>
      </c>
      <c r="H19" s="10">
        <v>0</v>
      </c>
      <c r="I19" s="10">
        <v>3</v>
      </c>
      <c r="J19" s="11">
        <v>0.586163</v>
      </c>
      <c r="K19" s="11">
        <v>6.283639119999999</v>
      </c>
      <c r="L19" s="10">
        <v>17</v>
      </c>
      <c r="M19" s="2" t="s">
        <v>49</v>
      </c>
      <c r="N19" s="10">
        <v>10</v>
      </c>
      <c r="O19" s="5" t="s">
        <v>16</v>
      </c>
      <c r="P19" s="11">
        <v>42.608328390000004</v>
      </c>
      <c r="Q19" s="10">
        <v>22</v>
      </c>
      <c r="R19" s="5" t="s">
        <v>16</v>
      </c>
      <c r="S19" s="11">
        <v>50.8491067265625</v>
      </c>
      <c r="T19" s="10">
        <v>5</v>
      </c>
      <c r="U19" s="11">
        <v>4.365552070000001</v>
      </c>
      <c r="V19" s="11">
        <v>97.82298718656251</v>
      </c>
      <c r="W19" s="3"/>
    </row>
    <row x14ac:dyDescent="0.25" r="20" customHeight="1" ht="17.25">
      <c r="A20" s="10">
        <v>18</v>
      </c>
      <c r="B20" s="2" t="s">
        <v>50</v>
      </c>
      <c r="C20" s="10">
        <v>3</v>
      </c>
      <c r="D20" s="1" t="s">
        <v>16</v>
      </c>
      <c r="E20" s="11">
        <v>1.986645</v>
      </c>
      <c r="F20" s="10">
        <v>1</v>
      </c>
      <c r="G20" s="1" t="s">
        <v>16</v>
      </c>
      <c r="H20" s="11">
        <v>0.06</v>
      </c>
      <c r="I20" s="10">
        <v>8</v>
      </c>
      <c r="J20" s="11">
        <v>31.960474630000004</v>
      </c>
      <c r="K20" s="11">
        <v>34.007119630000005</v>
      </c>
      <c r="L20" s="10">
        <v>18</v>
      </c>
      <c r="M20" s="2" t="s">
        <v>51</v>
      </c>
      <c r="N20" s="10">
        <v>3</v>
      </c>
      <c r="O20" s="5" t="s">
        <v>16</v>
      </c>
      <c r="P20" s="10">
        <v>24</v>
      </c>
      <c r="Q20" s="10">
        <v>3</v>
      </c>
      <c r="R20" s="5" t="s">
        <v>16</v>
      </c>
      <c r="S20" s="11">
        <v>13.12</v>
      </c>
      <c r="T20" s="10">
        <v>1</v>
      </c>
      <c r="U20" s="11">
        <v>0.08238928999999999</v>
      </c>
      <c r="V20" s="11">
        <v>37.20238929</v>
      </c>
      <c r="W20" s="3"/>
    </row>
    <row x14ac:dyDescent="0.25" r="21" customHeight="1" ht="17.25">
      <c r="A21" s="10">
        <v>19</v>
      </c>
      <c r="B21" s="2" t="s">
        <v>52</v>
      </c>
      <c r="C21" s="1" t="s">
        <v>16</v>
      </c>
      <c r="D21" s="1" t="s">
        <v>16</v>
      </c>
      <c r="E21" s="9" t="s">
        <v>16</v>
      </c>
      <c r="F21" s="1" t="s">
        <v>16</v>
      </c>
      <c r="G21" s="1" t="s">
        <v>16</v>
      </c>
      <c r="H21" s="9" t="s">
        <v>16</v>
      </c>
      <c r="I21" s="1" t="s">
        <v>16</v>
      </c>
      <c r="J21" s="9" t="s">
        <v>16</v>
      </c>
      <c r="K21" s="9" t="s">
        <v>16</v>
      </c>
      <c r="L21" s="10">
        <v>19</v>
      </c>
      <c r="M21" s="2" t="s">
        <v>53</v>
      </c>
      <c r="N21" s="10">
        <v>15</v>
      </c>
      <c r="O21" s="5" t="s">
        <v>16</v>
      </c>
      <c r="P21" s="11">
        <v>183.905437</v>
      </c>
      <c r="Q21" s="10">
        <v>1</v>
      </c>
      <c r="R21" s="5" t="s">
        <v>16</v>
      </c>
      <c r="S21" s="11">
        <v>0.5</v>
      </c>
      <c r="T21" s="10">
        <v>1</v>
      </c>
      <c r="U21" s="11">
        <v>0.575096</v>
      </c>
      <c r="V21" s="11">
        <v>184.980533</v>
      </c>
      <c r="W21" s="3"/>
    </row>
    <row x14ac:dyDescent="0.25" r="22" customHeight="1" ht="17.25">
      <c r="A22" s="1" t="s">
        <v>54</v>
      </c>
      <c r="B22" s="2"/>
      <c r="C22" s="10">
        <v>1538</v>
      </c>
      <c r="D22" s="10">
        <v>0</v>
      </c>
      <c r="E22" s="11">
        <v>9536.754105150001</v>
      </c>
      <c r="F22" s="10">
        <v>592</v>
      </c>
      <c r="G22" s="10">
        <v>0</v>
      </c>
      <c r="H22" s="11">
        <v>3950.3507291324404</v>
      </c>
      <c r="I22" s="10">
        <v>1420</v>
      </c>
      <c r="J22" s="11">
        <v>1698.1133495698693</v>
      </c>
      <c r="K22" s="11">
        <v>15185.218183852312</v>
      </c>
      <c r="L22" s="10">
        <v>20</v>
      </c>
      <c r="M22" s="2" t="s">
        <v>55</v>
      </c>
      <c r="N22" s="10">
        <v>12</v>
      </c>
      <c r="O22" s="5" t="s">
        <v>16</v>
      </c>
      <c r="P22" s="11">
        <v>71.133335</v>
      </c>
      <c r="Q22" s="10">
        <v>7</v>
      </c>
      <c r="R22" s="5" t="s">
        <v>16</v>
      </c>
      <c r="S22" s="11">
        <v>-0.145222375</v>
      </c>
      <c r="T22" s="10">
        <v>1</v>
      </c>
      <c r="U22" s="11">
        <v>0.64991876</v>
      </c>
      <c r="V22" s="11">
        <v>71.638031385</v>
      </c>
      <c r="W22" s="3"/>
    </row>
    <row x14ac:dyDescent="0.25" r="23" customHeight="1" ht="17.25">
      <c r="A23" s="3"/>
      <c r="B23" s="2"/>
      <c r="C23" s="3"/>
      <c r="D23" s="3"/>
      <c r="E23" s="4"/>
      <c r="F23" s="3"/>
      <c r="G23" s="3"/>
      <c r="H23" s="4"/>
      <c r="I23" s="3"/>
      <c r="J23" s="4"/>
      <c r="K23" s="4"/>
      <c r="L23" s="10">
        <v>21</v>
      </c>
      <c r="M23" s="2" t="s">
        <v>56</v>
      </c>
      <c r="N23" s="10">
        <v>8</v>
      </c>
      <c r="O23" s="5" t="s">
        <v>16</v>
      </c>
      <c r="P23" s="11">
        <v>33.167255</v>
      </c>
      <c r="Q23" s="10">
        <v>0</v>
      </c>
      <c r="R23" s="5" t="s">
        <v>16</v>
      </c>
      <c r="S23" s="10">
        <v>0</v>
      </c>
      <c r="T23" s="10">
        <v>3</v>
      </c>
      <c r="U23" s="11">
        <v>0.29403319</v>
      </c>
      <c r="V23" s="11">
        <v>33.46128819</v>
      </c>
      <c r="W23" s="3"/>
    </row>
    <row x14ac:dyDescent="0.25" r="24" customHeight="1" ht="17.25">
      <c r="A24" s="3"/>
      <c r="B24" s="2"/>
      <c r="C24" s="3"/>
      <c r="D24" s="3"/>
      <c r="E24" s="4"/>
      <c r="F24" s="3"/>
      <c r="G24" s="3"/>
      <c r="H24" s="4"/>
      <c r="I24" s="3"/>
      <c r="J24" s="4"/>
      <c r="K24" s="4"/>
      <c r="L24" s="10">
        <v>22</v>
      </c>
      <c r="M24" s="2" t="s">
        <v>57</v>
      </c>
      <c r="N24" s="10">
        <v>3</v>
      </c>
      <c r="O24" s="5" t="s">
        <v>16</v>
      </c>
      <c r="P24" s="10">
        <v>48</v>
      </c>
      <c r="Q24" s="10">
        <v>3</v>
      </c>
      <c r="R24" s="5" t="s">
        <v>16</v>
      </c>
      <c r="S24" s="11">
        <v>45.968938</v>
      </c>
      <c r="T24" s="10">
        <v>0</v>
      </c>
      <c r="U24" s="10">
        <v>0</v>
      </c>
      <c r="V24" s="11">
        <v>93.96893800000001</v>
      </c>
      <c r="W24" s="3"/>
    </row>
    <row x14ac:dyDescent="0.25" r="25" customHeight="1" ht="17.25">
      <c r="A25" s="3"/>
      <c r="B25" s="2"/>
      <c r="C25" s="3"/>
      <c r="D25" s="3"/>
      <c r="E25" s="4"/>
      <c r="F25" s="3"/>
      <c r="G25" s="3"/>
      <c r="H25" s="4"/>
      <c r="I25" s="3"/>
      <c r="J25" s="4"/>
      <c r="K25" s="4"/>
      <c r="L25" s="10">
        <v>23</v>
      </c>
      <c r="M25" s="2" t="s">
        <v>58</v>
      </c>
      <c r="N25" s="10">
        <v>23</v>
      </c>
      <c r="O25" s="5" t="s">
        <v>16</v>
      </c>
      <c r="P25" s="11">
        <v>1357.968328</v>
      </c>
      <c r="Q25" s="10">
        <v>3</v>
      </c>
      <c r="R25" s="5" t="s">
        <v>16</v>
      </c>
      <c r="S25" s="11">
        <v>3.671038</v>
      </c>
      <c r="T25" s="10">
        <v>1</v>
      </c>
      <c r="U25" s="11">
        <v>0.066791</v>
      </c>
      <c r="V25" s="11">
        <v>1361.7061569999998</v>
      </c>
      <c r="W25" s="3"/>
    </row>
    <row x14ac:dyDescent="0.25" r="26" customHeight="1" ht="17.25">
      <c r="A26" s="3"/>
      <c r="B26" s="2"/>
      <c r="C26" s="3"/>
      <c r="D26" s="3"/>
      <c r="E26" s="4"/>
      <c r="F26" s="3"/>
      <c r="G26" s="3"/>
      <c r="H26" s="4"/>
      <c r="I26" s="3"/>
      <c r="J26" s="4"/>
      <c r="K26" s="4"/>
      <c r="L26" s="10">
        <v>24</v>
      </c>
      <c r="M26" s="2" t="s">
        <v>59</v>
      </c>
      <c r="N26" s="10">
        <v>1</v>
      </c>
      <c r="O26" s="5" t="s">
        <v>16</v>
      </c>
      <c r="P26" s="11">
        <v>2.744552</v>
      </c>
      <c r="Q26" s="10">
        <v>0</v>
      </c>
      <c r="R26" s="5" t="s">
        <v>16</v>
      </c>
      <c r="S26" s="10">
        <v>0</v>
      </c>
      <c r="T26" s="10">
        <v>0</v>
      </c>
      <c r="U26" s="10">
        <v>0</v>
      </c>
      <c r="V26" s="11">
        <v>2.744552</v>
      </c>
      <c r="W26" s="3"/>
    </row>
    <row x14ac:dyDescent="0.25" r="27" customHeight="1" ht="17.25">
      <c r="A27" s="3"/>
      <c r="B27" s="2"/>
      <c r="C27" s="3"/>
      <c r="D27" s="3"/>
      <c r="E27" s="4"/>
      <c r="F27" s="3"/>
      <c r="G27" s="3"/>
      <c r="H27" s="4"/>
      <c r="I27" s="3"/>
      <c r="J27" s="4"/>
      <c r="K27" s="4"/>
      <c r="L27" s="10">
        <v>25</v>
      </c>
      <c r="M27" s="2" t="s">
        <v>60</v>
      </c>
      <c r="N27" s="10">
        <v>1</v>
      </c>
      <c r="O27" s="5" t="s">
        <v>16</v>
      </c>
      <c r="P27" s="10">
        <v>11</v>
      </c>
      <c r="Q27" s="10">
        <v>0</v>
      </c>
      <c r="R27" s="5" t="s">
        <v>16</v>
      </c>
      <c r="S27" s="10">
        <v>0</v>
      </c>
      <c r="T27" s="10">
        <v>28</v>
      </c>
      <c r="U27" s="11">
        <v>26.31452207</v>
      </c>
      <c r="V27" s="11">
        <v>37.314522069999995</v>
      </c>
      <c r="W27" s="3"/>
    </row>
    <row x14ac:dyDescent="0.25" r="28" customHeight="1" ht="17.25">
      <c r="A28" s="3"/>
      <c r="B28" s="2"/>
      <c r="C28" s="3"/>
      <c r="D28" s="3"/>
      <c r="E28" s="4"/>
      <c r="F28" s="3"/>
      <c r="G28" s="3"/>
      <c r="H28" s="4"/>
      <c r="I28" s="3"/>
      <c r="J28" s="4"/>
      <c r="K28" s="4"/>
      <c r="L28" s="10">
        <v>26</v>
      </c>
      <c r="M28" s="2" t="s">
        <v>61</v>
      </c>
      <c r="N28" s="10">
        <v>6</v>
      </c>
      <c r="O28" s="5" t="s">
        <v>16</v>
      </c>
      <c r="P28" s="11">
        <v>87.061285</v>
      </c>
      <c r="Q28" s="10">
        <v>1</v>
      </c>
      <c r="R28" s="5" t="s">
        <v>16</v>
      </c>
      <c r="S28" s="11">
        <v>1.000419</v>
      </c>
      <c r="T28" s="10">
        <v>1</v>
      </c>
      <c r="U28" s="11">
        <v>0.00841098</v>
      </c>
      <c r="V28" s="11">
        <v>88.07011497999999</v>
      </c>
      <c r="W28" s="3"/>
    </row>
    <row x14ac:dyDescent="0.25" r="29" customHeight="1" ht="17.25">
      <c r="A29" s="3"/>
      <c r="B29" s="2"/>
      <c r="C29" s="3"/>
      <c r="D29" s="3"/>
      <c r="E29" s="4"/>
      <c r="F29" s="3"/>
      <c r="G29" s="3"/>
      <c r="H29" s="4"/>
      <c r="I29" s="3"/>
      <c r="J29" s="4"/>
      <c r="K29" s="4"/>
      <c r="L29" s="10">
        <v>27</v>
      </c>
      <c r="M29" s="2" t="s">
        <v>62</v>
      </c>
      <c r="N29" s="10">
        <v>0</v>
      </c>
      <c r="O29" s="5" t="s">
        <v>16</v>
      </c>
      <c r="P29" s="10">
        <v>0</v>
      </c>
      <c r="Q29" s="10">
        <v>1</v>
      </c>
      <c r="R29" s="5" t="s">
        <v>16</v>
      </c>
      <c r="S29" s="11">
        <v>3.5</v>
      </c>
      <c r="T29" s="10">
        <v>2</v>
      </c>
      <c r="U29" s="11">
        <v>0.028510760000000003</v>
      </c>
      <c r="V29" s="11">
        <v>3.52851076</v>
      </c>
      <c r="W29" s="3"/>
    </row>
    <row x14ac:dyDescent="0.25" r="30" customHeight="1" ht="17.25">
      <c r="A30" s="3"/>
      <c r="B30" s="2"/>
      <c r="C30" s="3"/>
      <c r="D30" s="3"/>
      <c r="E30" s="4"/>
      <c r="F30" s="3"/>
      <c r="G30" s="3"/>
      <c r="H30" s="4"/>
      <c r="I30" s="3"/>
      <c r="J30" s="4"/>
      <c r="K30" s="4"/>
      <c r="L30" s="10">
        <v>28</v>
      </c>
      <c r="M30" s="2" t="s">
        <v>63</v>
      </c>
      <c r="N30" s="10">
        <v>1</v>
      </c>
      <c r="O30" s="5" t="s">
        <v>16</v>
      </c>
      <c r="P30" s="11">
        <v>1.278881</v>
      </c>
      <c r="Q30" s="10">
        <v>5</v>
      </c>
      <c r="R30" s="5" t="s">
        <v>16</v>
      </c>
      <c r="S30" s="11">
        <v>3.8270101845703124</v>
      </c>
      <c r="T30" s="10">
        <v>0</v>
      </c>
      <c r="U30" s="10">
        <v>0</v>
      </c>
      <c r="V30" s="11">
        <v>5.1058911845703125</v>
      </c>
      <c r="W30" s="3"/>
    </row>
    <row x14ac:dyDescent="0.25" r="31" customHeight="1" ht="17.25">
      <c r="A31" s="3"/>
      <c r="B31" s="2"/>
      <c r="C31" s="3"/>
      <c r="D31" s="3"/>
      <c r="E31" s="4"/>
      <c r="F31" s="3"/>
      <c r="G31" s="3"/>
      <c r="H31" s="4"/>
      <c r="I31" s="3"/>
      <c r="J31" s="4"/>
      <c r="K31" s="4"/>
      <c r="L31" s="10">
        <v>29</v>
      </c>
      <c r="M31" s="2" t="s">
        <v>64</v>
      </c>
      <c r="N31" s="10">
        <v>4</v>
      </c>
      <c r="O31" s="5" t="s">
        <v>16</v>
      </c>
      <c r="P31" s="11">
        <v>31.390045</v>
      </c>
      <c r="Q31" s="10">
        <v>0</v>
      </c>
      <c r="R31" s="5" t="s">
        <v>16</v>
      </c>
      <c r="S31" s="10">
        <v>0</v>
      </c>
      <c r="T31" s="10">
        <v>0</v>
      </c>
      <c r="U31" s="10">
        <v>0</v>
      </c>
      <c r="V31" s="11">
        <v>31.390045</v>
      </c>
      <c r="W31" s="3"/>
    </row>
    <row x14ac:dyDescent="0.25" r="32" customHeight="1" ht="17.25">
      <c r="A32" s="3"/>
      <c r="B32" s="2"/>
      <c r="C32" s="3"/>
      <c r="D32" s="3"/>
      <c r="E32" s="4"/>
      <c r="F32" s="3"/>
      <c r="G32" s="3"/>
      <c r="H32" s="4"/>
      <c r="I32" s="3"/>
      <c r="J32" s="4"/>
      <c r="K32" s="4"/>
      <c r="L32" s="10">
        <v>30</v>
      </c>
      <c r="M32" s="2" t="s">
        <v>65</v>
      </c>
      <c r="N32" s="10">
        <v>2</v>
      </c>
      <c r="O32" s="5" t="s">
        <v>16</v>
      </c>
      <c r="P32" s="11">
        <v>14.107623</v>
      </c>
      <c r="Q32" s="10">
        <v>3</v>
      </c>
      <c r="R32" s="5" t="s">
        <v>16</v>
      </c>
      <c r="S32" s="11">
        <v>34.401</v>
      </c>
      <c r="T32" s="10">
        <v>0</v>
      </c>
      <c r="U32" s="10">
        <v>0</v>
      </c>
      <c r="V32" s="11">
        <v>48.508623</v>
      </c>
      <c r="W32" s="3"/>
    </row>
    <row x14ac:dyDescent="0.25" r="33" customHeight="1" ht="17.25">
      <c r="A33" s="3"/>
      <c r="B33" s="2"/>
      <c r="C33" s="3"/>
      <c r="D33" s="3"/>
      <c r="E33" s="4"/>
      <c r="F33" s="3"/>
      <c r="G33" s="3"/>
      <c r="H33" s="4"/>
      <c r="I33" s="3"/>
      <c r="J33" s="4"/>
      <c r="K33" s="4"/>
      <c r="L33" s="10">
        <v>31</v>
      </c>
      <c r="M33" s="2" t="s">
        <v>66</v>
      </c>
      <c r="N33" s="10">
        <v>1</v>
      </c>
      <c r="O33" s="5" t="s">
        <v>16</v>
      </c>
      <c r="P33" s="11">
        <v>0.025</v>
      </c>
      <c r="Q33" s="10">
        <v>1</v>
      </c>
      <c r="R33" s="5" t="s">
        <v>16</v>
      </c>
      <c r="S33" s="11">
        <v>17.415216</v>
      </c>
      <c r="T33" s="10">
        <v>3</v>
      </c>
      <c r="U33" s="11">
        <v>28.76932521</v>
      </c>
      <c r="V33" s="11">
        <v>46.20954121</v>
      </c>
      <c r="W33" s="3"/>
    </row>
    <row x14ac:dyDescent="0.25" r="34" customHeight="1" ht="17.25">
      <c r="A34" s="3"/>
      <c r="B34" s="2"/>
      <c r="C34" s="3"/>
      <c r="D34" s="3"/>
      <c r="E34" s="4"/>
      <c r="F34" s="3"/>
      <c r="G34" s="3"/>
      <c r="H34" s="4"/>
      <c r="I34" s="3"/>
      <c r="J34" s="4"/>
      <c r="K34" s="4"/>
      <c r="L34" s="10">
        <v>32</v>
      </c>
      <c r="M34" s="2" t="s">
        <v>67</v>
      </c>
      <c r="N34" s="10">
        <v>1</v>
      </c>
      <c r="O34" s="5" t="s">
        <v>16</v>
      </c>
      <c r="P34" s="11">
        <v>4.96</v>
      </c>
      <c r="Q34" s="10">
        <v>1</v>
      </c>
      <c r="R34" s="5" t="s">
        <v>16</v>
      </c>
      <c r="S34" s="10">
        <v>16</v>
      </c>
      <c r="T34" s="10">
        <v>0</v>
      </c>
      <c r="U34" s="10">
        <v>0</v>
      </c>
      <c r="V34" s="11">
        <v>20.96</v>
      </c>
      <c r="W34" s="3"/>
    </row>
    <row x14ac:dyDescent="0.25" r="35" customHeight="1" ht="17.25">
      <c r="A35" s="3"/>
      <c r="B35" s="2"/>
      <c r="C35" s="3"/>
      <c r="D35" s="3"/>
      <c r="E35" s="4"/>
      <c r="F35" s="3"/>
      <c r="G35" s="3"/>
      <c r="H35" s="4"/>
      <c r="I35" s="3"/>
      <c r="J35" s="4"/>
      <c r="K35" s="4"/>
      <c r="L35" s="10">
        <v>33</v>
      </c>
      <c r="M35" s="2" t="s">
        <v>68</v>
      </c>
      <c r="N35" s="10">
        <v>0</v>
      </c>
      <c r="O35" s="5" t="s">
        <v>16</v>
      </c>
      <c r="P35" s="10">
        <v>0</v>
      </c>
      <c r="Q35" s="10">
        <v>1</v>
      </c>
      <c r="R35" s="5" t="s">
        <v>16</v>
      </c>
      <c r="S35" s="11">
        <v>16.502125</v>
      </c>
      <c r="T35" s="10">
        <v>0</v>
      </c>
      <c r="U35" s="10">
        <v>0</v>
      </c>
      <c r="V35" s="11">
        <v>16.502125</v>
      </c>
      <c r="W35" s="3"/>
    </row>
    <row x14ac:dyDescent="0.25" r="36" customHeight="1" ht="17.25">
      <c r="A36" s="3"/>
      <c r="B36" s="2"/>
      <c r="C36" s="3"/>
      <c r="D36" s="3"/>
      <c r="E36" s="4"/>
      <c r="F36" s="3"/>
      <c r="G36" s="3"/>
      <c r="H36" s="4"/>
      <c r="I36" s="3"/>
      <c r="J36" s="4"/>
      <c r="K36" s="4"/>
      <c r="L36" s="10">
        <v>34</v>
      </c>
      <c r="M36" s="2" t="s">
        <v>69</v>
      </c>
      <c r="N36" s="10">
        <v>0</v>
      </c>
      <c r="O36" s="5" t="s">
        <v>16</v>
      </c>
      <c r="P36" s="10">
        <v>0</v>
      </c>
      <c r="Q36" s="10">
        <v>0</v>
      </c>
      <c r="R36" s="5" t="s">
        <v>16</v>
      </c>
      <c r="S36" s="10">
        <v>0</v>
      </c>
      <c r="T36" s="10">
        <v>1</v>
      </c>
      <c r="U36" s="11">
        <v>0.05054448</v>
      </c>
      <c r="V36" s="11">
        <v>0.05054448</v>
      </c>
      <c r="W36" s="3"/>
    </row>
    <row x14ac:dyDescent="0.25" r="37" customHeight="1" ht="17.25">
      <c r="A37" s="3"/>
      <c r="B37" s="2"/>
      <c r="C37" s="3"/>
      <c r="D37" s="3"/>
      <c r="E37" s="4"/>
      <c r="F37" s="3"/>
      <c r="G37" s="3"/>
      <c r="H37" s="4"/>
      <c r="I37" s="3"/>
      <c r="J37" s="4"/>
      <c r="K37" s="4"/>
      <c r="L37" s="10">
        <v>35</v>
      </c>
      <c r="M37" s="2" t="s">
        <v>70</v>
      </c>
      <c r="N37" s="5" t="s">
        <v>16</v>
      </c>
      <c r="O37" s="5" t="s">
        <v>16</v>
      </c>
      <c r="P37" s="8" t="s">
        <v>16</v>
      </c>
      <c r="Q37" s="5" t="s">
        <v>16</v>
      </c>
      <c r="R37" s="5" t="s">
        <v>16</v>
      </c>
      <c r="S37" s="8" t="s">
        <v>16</v>
      </c>
      <c r="T37" s="5" t="s">
        <v>16</v>
      </c>
      <c r="U37" s="8" t="s">
        <v>16</v>
      </c>
      <c r="V37" s="8" t="s">
        <v>16</v>
      </c>
      <c r="W37" s="3"/>
    </row>
    <row x14ac:dyDescent="0.25" r="38" customHeight="1" ht="17.25">
      <c r="A38" s="3"/>
      <c r="B38" s="2"/>
      <c r="C38" s="3"/>
      <c r="D38" s="3"/>
      <c r="E38" s="4"/>
      <c r="F38" s="3"/>
      <c r="G38" s="3"/>
      <c r="H38" s="4"/>
      <c r="I38" s="3"/>
      <c r="J38" s="4"/>
      <c r="K38" s="4"/>
      <c r="L38" s="10">
        <v>36</v>
      </c>
      <c r="M38" s="2" t="s">
        <v>71</v>
      </c>
      <c r="N38" s="10">
        <v>1</v>
      </c>
      <c r="O38" s="5" t="s">
        <v>16</v>
      </c>
      <c r="P38" s="11">
        <v>2.4175</v>
      </c>
      <c r="Q38" s="10">
        <v>0</v>
      </c>
      <c r="R38" s="5" t="s">
        <v>16</v>
      </c>
      <c r="S38" s="10">
        <v>0</v>
      </c>
      <c r="T38" s="10">
        <v>0</v>
      </c>
      <c r="U38" s="10">
        <v>0</v>
      </c>
      <c r="V38" s="11">
        <v>2.4175</v>
      </c>
      <c r="W38" s="3"/>
    </row>
    <row x14ac:dyDescent="0.25" r="39" customHeight="1" ht="17.25">
      <c r="A39" s="3"/>
      <c r="B39" s="2"/>
      <c r="C39" s="3"/>
      <c r="D39" s="3"/>
      <c r="E39" s="4"/>
      <c r="F39" s="3"/>
      <c r="G39" s="3"/>
      <c r="H39" s="4"/>
      <c r="I39" s="3"/>
      <c r="J39" s="4"/>
      <c r="K39" s="4"/>
      <c r="L39" s="10">
        <v>37</v>
      </c>
      <c r="M39" s="2" t="s">
        <v>72</v>
      </c>
      <c r="N39" s="10">
        <v>1</v>
      </c>
      <c r="O39" s="5" t="s">
        <v>16</v>
      </c>
      <c r="P39" s="11">
        <v>0.15</v>
      </c>
      <c r="Q39" s="10">
        <v>0</v>
      </c>
      <c r="R39" s="5" t="s">
        <v>16</v>
      </c>
      <c r="S39" s="10">
        <v>0</v>
      </c>
      <c r="T39" s="10">
        <v>0</v>
      </c>
      <c r="U39" s="10">
        <v>0</v>
      </c>
      <c r="V39" s="11">
        <v>0.15</v>
      </c>
      <c r="W39" s="3"/>
    </row>
    <row x14ac:dyDescent="0.25" r="40" customHeight="1" ht="17.25">
      <c r="A40" s="3"/>
      <c r="B40" s="2"/>
      <c r="C40" s="3"/>
      <c r="D40" s="3"/>
      <c r="E40" s="4"/>
      <c r="F40" s="3"/>
      <c r="G40" s="3"/>
      <c r="H40" s="4"/>
      <c r="I40" s="3"/>
      <c r="J40" s="4"/>
      <c r="K40" s="4"/>
      <c r="L40" s="10">
        <v>38</v>
      </c>
      <c r="M40" s="2" t="s">
        <v>73</v>
      </c>
      <c r="N40" s="10">
        <v>1</v>
      </c>
      <c r="O40" s="5" t="s">
        <v>16</v>
      </c>
      <c r="P40" s="11">
        <v>0.15</v>
      </c>
      <c r="Q40" s="10">
        <v>0</v>
      </c>
      <c r="R40" s="5" t="s">
        <v>16</v>
      </c>
      <c r="S40" s="10">
        <v>0</v>
      </c>
      <c r="T40" s="10">
        <v>4</v>
      </c>
      <c r="U40" s="11">
        <v>0.10593225</v>
      </c>
      <c r="V40" s="11">
        <v>0.25593225</v>
      </c>
      <c r="W40" s="3"/>
    </row>
    <row x14ac:dyDescent="0.25" r="41" customHeight="1" ht="17.25">
      <c r="A41" s="3"/>
      <c r="B41" s="2"/>
      <c r="C41" s="3"/>
      <c r="D41" s="3"/>
      <c r="E41" s="4"/>
      <c r="F41" s="3"/>
      <c r="G41" s="3"/>
      <c r="H41" s="4"/>
      <c r="I41" s="3"/>
      <c r="J41" s="4"/>
      <c r="K41" s="4"/>
      <c r="L41" s="10">
        <v>39</v>
      </c>
      <c r="M41" s="2" t="s">
        <v>74</v>
      </c>
      <c r="N41" s="10">
        <v>17</v>
      </c>
      <c r="O41" s="5" t="s">
        <v>16</v>
      </c>
      <c r="P41" s="11">
        <v>396.588599</v>
      </c>
      <c r="Q41" s="10">
        <v>2</v>
      </c>
      <c r="R41" s="5" t="s">
        <v>16</v>
      </c>
      <c r="S41" s="10">
        <v>5</v>
      </c>
      <c r="T41" s="10">
        <v>1</v>
      </c>
      <c r="U41" s="11">
        <v>0.03562055</v>
      </c>
      <c r="V41" s="11">
        <v>401.62421954999996</v>
      </c>
      <c r="W41" s="3"/>
    </row>
    <row x14ac:dyDescent="0.25" r="42" customHeight="1" ht="17.25">
      <c r="A42" s="3"/>
      <c r="B42" s="2"/>
      <c r="C42" s="3"/>
      <c r="D42" s="3"/>
      <c r="E42" s="4"/>
      <c r="F42" s="3"/>
      <c r="G42" s="3"/>
      <c r="H42" s="4"/>
      <c r="I42" s="3"/>
      <c r="J42" s="4"/>
      <c r="K42" s="4"/>
      <c r="L42" s="10">
        <v>40</v>
      </c>
      <c r="M42" s="2" t="s">
        <v>75</v>
      </c>
      <c r="N42" s="10">
        <v>0</v>
      </c>
      <c r="O42" s="5" t="s">
        <v>16</v>
      </c>
      <c r="P42" s="10">
        <v>0</v>
      </c>
      <c r="Q42" s="10">
        <v>0</v>
      </c>
      <c r="R42" s="5" t="s">
        <v>16</v>
      </c>
      <c r="S42" s="10">
        <v>0</v>
      </c>
      <c r="T42" s="10">
        <v>2</v>
      </c>
      <c r="U42" s="11">
        <v>0.589822</v>
      </c>
      <c r="V42" s="11">
        <v>0.589822</v>
      </c>
      <c r="W42" s="3"/>
    </row>
    <row x14ac:dyDescent="0.25" r="43" customHeight="1" ht="17.25">
      <c r="A43" s="3"/>
      <c r="B43" s="2"/>
      <c r="C43" s="3"/>
      <c r="D43" s="3"/>
      <c r="E43" s="4"/>
      <c r="F43" s="3"/>
      <c r="G43" s="3"/>
      <c r="H43" s="4"/>
      <c r="I43" s="3"/>
      <c r="J43" s="4"/>
      <c r="K43" s="4"/>
      <c r="L43" s="10">
        <v>41</v>
      </c>
      <c r="M43" s="2" t="s">
        <v>76</v>
      </c>
      <c r="N43" s="10">
        <v>14</v>
      </c>
      <c r="O43" s="5" t="s">
        <v>16</v>
      </c>
      <c r="P43" s="11">
        <v>136.451065</v>
      </c>
      <c r="Q43" s="10">
        <v>8</v>
      </c>
      <c r="R43" s="5" t="s">
        <v>16</v>
      </c>
      <c r="S43" s="11">
        <v>-20.358521</v>
      </c>
      <c r="T43" s="10">
        <v>1</v>
      </c>
      <c r="U43" s="11">
        <v>0.02218</v>
      </c>
      <c r="V43" s="11">
        <v>116.11472400000001</v>
      </c>
      <c r="W43" s="3"/>
    </row>
    <row x14ac:dyDescent="0.25" r="44" customHeight="1" ht="17.25">
      <c r="A44" s="3"/>
      <c r="B44" s="2"/>
      <c r="C44" s="3"/>
      <c r="D44" s="3"/>
      <c r="E44" s="4"/>
      <c r="F44" s="3"/>
      <c r="G44" s="3"/>
      <c r="H44" s="4"/>
      <c r="I44" s="3"/>
      <c r="J44" s="4"/>
      <c r="K44" s="4"/>
      <c r="L44" s="10">
        <v>42</v>
      </c>
      <c r="M44" s="2" t="s">
        <v>77</v>
      </c>
      <c r="N44" s="5" t="s">
        <v>16</v>
      </c>
      <c r="O44" s="5" t="s">
        <v>16</v>
      </c>
      <c r="P44" s="8" t="s">
        <v>16</v>
      </c>
      <c r="Q44" s="5" t="s">
        <v>16</v>
      </c>
      <c r="R44" s="5" t="s">
        <v>16</v>
      </c>
      <c r="S44" s="8" t="s">
        <v>16</v>
      </c>
      <c r="T44" s="5" t="s">
        <v>16</v>
      </c>
      <c r="U44" s="8" t="s">
        <v>16</v>
      </c>
      <c r="V44" s="8" t="s">
        <v>16</v>
      </c>
      <c r="W44" s="3"/>
    </row>
    <row x14ac:dyDescent="0.25" r="45" customHeight="1" ht="17.25">
      <c r="A45" s="3"/>
      <c r="B45" s="2"/>
      <c r="C45" s="3"/>
      <c r="D45" s="3"/>
      <c r="E45" s="4"/>
      <c r="F45" s="3"/>
      <c r="G45" s="3"/>
      <c r="H45" s="4"/>
      <c r="I45" s="3"/>
      <c r="J45" s="4"/>
      <c r="K45" s="4"/>
      <c r="L45" s="10">
        <v>43</v>
      </c>
      <c r="M45" s="2" t="s">
        <v>78</v>
      </c>
      <c r="N45" s="10">
        <v>0</v>
      </c>
      <c r="O45" s="5" t="s">
        <v>16</v>
      </c>
      <c r="P45" s="10">
        <v>0</v>
      </c>
      <c r="Q45" s="10">
        <v>0</v>
      </c>
      <c r="R45" s="5" t="s">
        <v>16</v>
      </c>
      <c r="S45" s="10">
        <v>0</v>
      </c>
      <c r="T45" s="10">
        <v>1</v>
      </c>
      <c r="U45" s="11">
        <v>5.68477545</v>
      </c>
      <c r="V45" s="11">
        <v>5.68477545</v>
      </c>
      <c r="W45" s="3"/>
    </row>
    <row x14ac:dyDescent="0.25" r="46" customHeight="1" ht="17.25">
      <c r="A46" s="3"/>
      <c r="B46" s="2"/>
      <c r="C46" s="3"/>
      <c r="D46" s="3"/>
      <c r="E46" s="4"/>
      <c r="F46" s="3"/>
      <c r="G46" s="3"/>
      <c r="H46" s="4"/>
      <c r="I46" s="3"/>
      <c r="J46" s="4"/>
      <c r="K46" s="4"/>
      <c r="L46" s="10">
        <v>44</v>
      </c>
      <c r="M46" s="2" t="s">
        <v>79</v>
      </c>
      <c r="N46" s="10">
        <v>0</v>
      </c>
      <c r="O46" s="5" t="s">
        <v>16</v>
      </c>
      <c r="P46" s="10">
        <v>0</v>
      </c>
      <c r="Q46" s="10">
        <v>0</v>
      </c>
      <c r="R46" s="5" t="s">
        <v>16</v>
      </c>
      <c r="S46" s="10">
        <v>0</v>
      </c>
      <c r="T46" s="10">
        <v>1</v>
      </c>
      <c r="U46" s="11">
        <v>0.004</v>
      </c>
      <c r="V46" s="11">
        <v>0.004</v>
      </c>
      <c r="W46" s="3"/>
    </row>
    <row x14ac:dyDescent="0.25" r="47" customHeight="1" ht="17.25">
      <c r="A47" s="3"/>
      <c r="B47" s="2"/>
      <c r="C47" s="3"/>
      <c r="D47" s="3"/>
      <c r="E47" s="4"/>
      <c r="F47" s="3"/>
      <c r="G47" s="3"/>
      <c r="H47" s="4"/>
      <c r="I47" s="3"/>
      <c r="J47" s="4"/>
      <c r="K47" s="4"/>
      <c r="L47" s="10">
        <v>45</v>
      </c>
      <c r="M47" s="2" t="s">
        <v>80</v>
      </c>
      <c r="N47" s="10">
        <v>2</v>
      </c>
      <c r="O47" s="5" t="s">
        <v>16</v>
      </c>
      <c r="P47" s="11">
        <v>4.469</v>
      </c>
      <c r="Q47" s="10">
        <v>0</v>
      </c>
      <c r="R47" s="5" t="s">
        <v>16</v>
      </c>
      <c r="S47" s="10">
        <v>0</v>
      </c>
      <c r="T47" s="10">
        <v>0</v>
      </c>
      <c r="U47" s="10">
        <v>0</v>
      </c>
      <c r="V47" s="11">
        <v>4.469</v>
      </c>
      <c r="W47" s="3"/>
    </row>
    <row x14ac:dyDescent="0.25" r="48" customHeight="1" ht="17.25">
      <c r="A48" s="3"/>
      <c r="B48" s="2"/>
      <c r="C48" s="3"/>
      <c r="D48" s="3"/>
      <c r="E48" s="4"/>
      <c r="F48" s="3"/>
      <c r="G48" s="3"/>
      <c r="H48" s="4"/>
      <c r="I48" s="3"/>
      <c r="J48" s="4"/>
      <c r="K48" s="4"/>
      <c r="L48" s="10">
        <v>46</v>
      </c>
      <c r="M48" s="2" t="s">
        <v>81</v>
      </c>
      <c r="N48" s="5" t="s">
        <v>16</v>
      </c>
      <c r="O48" s="5" t="s">
        <v>16</v>
      </c>
      <c r="P48" s="8" t="s">
        <v>16</v>
      </c>
      <c r="Q48" s="5" t="s">
        <v>16</v>
      </c>
      <c r="R48" s="5" t="s">
        <v>16</v>
      </c>
      <c r="S48" s="8" t="s">
        <v>16</v>
      </c>
      <c r="T48" s="5" t="s">
        <v>16</v>
      </c>
      <c r="U48" s="8" t="s">
        <v>16</v>
      </c>
      <c r="V48" s="8" t="s">
        <v>16</v>
      </c>
      <c r="W48" s="3"/>
    </row>
    <row x14ac:dyDescent="0.25" r="49" customHeight="1" ht="17.25">
      <c r="A49" s="3"/>
      <c r="B49" s="2"/>
      <c r="C49" s="3"/>
      <c r="D49" s="3"/>
      <c r="E49" s="4"/>
      <c r="F49" s="3"/>
      <c r="G49" s="3"/>
      <c r="H49" s="4"/>
      <c r="I49" s="3"/>
      <c r="J49" s="4"/>
      <c r="K49" s="4"/>
      <c r="L49" s="10">
        <v>47</v>
      </c>
      <c r="M49" s="2" t="s">
        <v>82</v>
      </c>
      <c r="N49" s="10">
        <v>1</v>
      </c>
      <c r="O49" s="5" t="s">
        <v>16</v>
      </c>
      <c r="P49" s="11">
        <v>6.6</v>
      </c>
      <c r="Q49" s="10">
        <v>1</v>
      </c>
      <c r="R49" s="5" t="s">
        <v>16</v>
      </c>
      <c r="S49" s="10">
        <v>1</v>
      </c>
      <c r="T49" s="10">
        <v>2</v>
      </c>
      <c r="U49" s="11">
        <v>1.4473818799999998</v>
      </c>
      <c r="V49" s="11">
        <v>9.04738188</v>
      </c>
      <c r="W49" s="3"/>
    </row>
    <row x14ac:dyDescent="0.25" r="50" customHeight="1" ht="17.25">
      <c r="A50" s="3"/>
      <c r="B50" s="2"/>
      <c r="C50" s="3"/>
      <c r="D50" s="3"/>
      <c r="E50" s="4"/>
      <c r="F50" s="3"/>
      <c r="G50" s="3"/>
      <c r="H50" s="4"/>
      <c r="I50" s="3"/>
      <c r="J50" s="4"/>
      <c r="K50" s="4"/>
      <c r="L50" s="10">
        <v>48</v>
      </c>
      <c r="M50" s="2" t="s">
        <v>83</v>
      </c>
      <c r="N50" s="5" t="s">
        <v>16</v>
      </c>
      <c r="O50" s="5" t="s">
        <v>16</v>
      </c>
      <c r="P50" s="8" t="s">
        <v>16</v>
      </c>
      <c r="Q50" s="5" t="s">
        <v>16</v>
      </c>
      <c r="R50" s="5" t="s">
        <v>16</v>
      </c>
      <c r="S50" s="8" t="s">
        <v>16</v>
      </c>
      <c r="T50" s="5" t="s">
        <v>16</v>
      </c>
      <c r="U50" s="8" t="s">
        <v>16</v>
      </c>
      <c r="V50" s="8" t="s">
        <v>16</v>
      </c>
      <c r="W50" s="3"/>
    </row>
    <row x14ac:dyDescent="0.25" r="51" customHeight="1" ht="17.25">
      <c r="A51" s="3"/>
      <c r="B51" s="2"/>
      <c r="C51" s="3"/>
      <c r="D51" s="3"/>
      <c r="E51" s="4"/>
      <c r="F51" s="3"/>
      <c r="G51" s="3"/>
      <c r="H51" s="4"/>
      <c r="I51" s="3"/>
      <c r="J51" s="4"/>
      <c r="K51" s="4"/>
      <c r="L51" s="10">
        <v>49</v>
      </c>
      <c r="M51" s="2" t="s">
        <v>84</v>
      </c>
      <c r="N51" s="10">
        <v>3</v>
      </c>
      <c r="O51" s="5" t="s">
        <v>16</v>
      </c>
      <c r="P51" s="11">
        <v>131.641664</v>
      </c>
      <c r="Q51" s="10">
        <v>0</v>
      </c>
      <c r="R51" s="5" t="s">
        <v>16</v>
      </c>
      <c r="S51" s="10">
        <v>0</v>
      </c>
      <c r="T51" s="10">
        <v>3</v>
      </c>
      <c r="U51" s="11">
        <v>1.400954</v>
      </c>
      <c r="V51" s="11">
        <v>133.042618</v>
      </c>
      <c r="W51" s="3"/>
    </row>
    <row x14ac:dyDescent="0.25" r="52" customHeight="1" ht="17.25">
      <c r="A52" s="3"/>
      <c r="B52" s="2"/>
      <c r="C52" s="3"/>
      <c r="D52" s="3"/>
      <c r="E52" s="4"/>
      <c r="F52" s="3"/>
      <c r="G52" s="3"/>
      <c r="H52" s="4"/>
      <c r="I52" s="3"/>
      <c r="J52" s="4"/>
      <c r="K52" s="4"/>
      <c r="L52" s="10">
        <v>50</v>
      </c>
      <c r="M52" s="2" t="s">
        <v>85</v>
      </c>
      <c r="N52" s="5" t="s">
        <v>16</v>
      </c>
      <c r="O52" s="5" t="s">
        <v>16</v>
      </c>
      <c r="P52" s="8" t="s">
        <v>16</v>
      </c>
      <c r="Q52" s="5" t="s">
        <v>16</v>
      </c>
      <c r="R52" s="5" t="s">
        <v>16</v>
      </c>
      <c r="S52" s="8" t="s">
        <v>16</v>
      </c>
      <c r="T52" s="5" t="s">
        <v>16</v>
      </c>
      <c r="U52" s="8" t="s">
        <v>16</v>
      </c>
      <c r="V52" s="8" t="s">
        <v>16</v>
      </c>
      <c r="W52" s="3"/>
    </row>
    <row x14ac:dyDescent="0.25" r="53" customHeight="1" ht="17.25">
      <c r="A53" s="3"/>
      <c r="B53" s="2"/>
      <c r="C53" s="3"/>
      <c r="D53" s="3"/>
      <c r="E53" s="4"/>
      <c r="F53" s="3"/>
      <c r="G53" s="3"/>
      <c r="H53" s="4"/>
      <c r="I53" s="3"/>
      <c r="J53" s="4"/>
      <c r="K53" s="4"/>
      <c r="L53" s="10">
        <v>51</v>
      </c>
      <c r="M53" s="2" t="s">
        <v>86</v>
      </c>
      <c r="N53" s="5" t="s">
        <v>16</v>
      </c>
      <c r="O53" s="5" t="s">
        <v>16</v>
      </c>
      <c r="P53" s="8" t="s">
        <v>16</v>
      </c>
      <c r="Q53" s="5" t="s">
        <v>16</v>
      </c>
      <c r="R53" s="5" t="s">
        <v>16</v>
      </c>
      <c r="S53" s="8" t="s">
        <v>16</v>
      </c>
      <c r="T53" s="5" t="s">
        <v>16</v>
      </c>
      <c r="U53" s="8" t="s">
        <v>16</v>
      </c>
      <c r="V53" s="8" t="s">
        <v>16</v>
      </c>
      <c r="W53" s="3"/>
    </row>
    <row x14ac:dyDescent="0.25" r="54" customHeight="1" ht="17.25">
      <c r="A54" s="3"/>
      <c r="B54" s="2"/>
      <c r="C54" s="3"/>
      <c r="D54" s="3"/>
      <c r="E54" s="4"/>
      <c r="F54" s="3"/>
      <c r="G54" s="3"/>
      <c r="H54" s="4"/>
      <c r="I54" s="3"/>
      <c r="J54" s="4"/>
      <c r="K54" s="4"/>
      <c r="L54" s="10">
        <v>52</v>
      </c>
      <c r="M54" s="2" t="s">
        <v>87</v>
      </c>
      <c r="N54" s="10">
        <v>2</v>
      </c>
      <c r="O54" s="5" t="s">
        <v>16</v>
      </c>
      <c r="P54" s="11">
        <v>10.6753991</v>
      </c>
      <c r="Q54" s="10">
        <v>1</v>
      </c>
      <c r="R54" s="5" t="s">
        <v>16</v>
      </c>
      <c r="S54" s="11">
        <v>5.686744</v>
      </c>
      <c r="T54" s="10">
        <v>2</v>
      </c>
      <c r="U54" s="11">
        <v>0.3125</v>
      </c>
      <c r="V54" s="11">
        <v>16.6746431</v>
      </c>
      <c r="W54" s="3"/>
    </row>
    <row x14ac:dyDescent="0.25" r="55" customHeight="1" ht="17.25">
      <c r="A55" s="3"/>
      <c r="B55" s="2"/>
      <c r="C55" s="3"/>
      <c r="D55" s="3"/>
      <c r="E55" s="4"/>
      <c r="F55" s="3"/>
      <c r="G55" s="3"/>
      <c r="H55" s="4"/>
      <c r="I55" s="3"/>
      <c r="J55" s="4"/>
      <c r="K55" s="4"/>
      <c r="L55" s="10">
        <v>53</v>
      </c>
      <c r="M55" s="2" t="s">
        <v>88</v>
      </c>
      <c r="N55" s="5" t="s">
        <v>16</v>
      </c>
      <c r="O55" s="5" t="s">
        <v>16</v>
      </c>
      <c r="P55" s="8" t="s">
        <v>16</v>
      </c>
      <c r="Q55" s="5" t="s">
        <v>16</v>
      </c>
      <c r="R55" s="5" t="s">
        <v>16</v>
      </c>
      <c r="S55" s="8" t="s">
        <v>16</v>
      </c>
      <c r="T55" s="5" t="s">
        <v>16</v>
      </c>
      <c r="U55" s="8" t="s">
        <v>16</v>
      </c>
      <c r="V55" s="8" t="s">
        <v>16</v>
      </c>
      <c r="W55" s="3"/>
    </row>
    <row x14ac:dyDescent="0.25" r="56" customHeight="1" ht="17.25">
      <c r="A56" s="3"/>
      <c r="B56" s="2"/>
      <c r="C56" s="3"/>
      <c r="D56" s="3"/>
      <c r="E56" s="4"/>
      <c r="F56" s="3"/>
      <c r="G56" s="3"/>
      <c r="H56" s="4"/>
      <c r="I56" s="3"/>
      <c r="J56" s="4"/>
      <c r="K56" s="4"/>
      <c r="L56" s="10">
        <v>54</v>
      </c>
      <c r="M56" s="2" t="s">
        <v>89</v>
      </c>
      <c r="N56" s="5" t="s">
        <v>16</v>
      </c>
      <c r="O56" s="5" t="s">
        <v>16</v>
      </c>
      <c r="P56" s="8" t="s">
        <v>16</v>
      </c>
      <c r="Q56" s="5" t="s">
        <v>16</v>
      </c>
      <c r="R56" s="5" t="s">
        <v>16</v>
      </c>
      <c r="S56" s="8" t="s">
        <v>16</v>
      </c>
      <c r="T56" s="5" t="s">
        <v>16</v>
      </c>
      <c r="U56" s="8" t="s">
        <v>16</v>
      </c>
      <c r="V56" s="8" t="s">
        <v>16</v>
      </c>
      <c r="W56" s="3"/>
    </row>
    <row x14ac:dyDescent="0.25" r="57" customHeight="1" ht="17.25">
      <c r="A57" s="3"/>
      <c r="B57" s="2"/>
      <c r="C57" s="3"/>
      <c r="D57" s="3"/>
      <c r="E57" s="4"/>
      <c r="F57" s="3"/>
      <c r="G57" s="3"/>
      <c r="H57" s="4"/>
      <c r="I57" s="3"/>
      <c r="J57" s="4"/>
      <c r="K57" s="4"/>
      <c r="L57" s="10">
        <v>55</v>
      </c>
      <c r="M57" s="2" t="s">
        <v>90</v>
      </c>
      <c r="N57" s="5" t="s">
        <v>16</v>
      </c>
      <c r="O57" s="5" t="s">
        <v>16</v>
      </c>
      <c r="P57" s="8" t="s">
        <v>16</v>
      </c>
      <c r="Q57" s="5" t="s">
        <v>16</v>
      </c>
      <c r="R57" s="5" t="s">
        <v>16</v>
      </c>
      <c r="S57" s="8" t="s">
        <v>16</v>
      </c>
      <c r="T57" s="5" t="s">
        <v>16</v>
      </c>
      <c r="U57" s="8" t="s">
        <v>16</v>
      </c>
      <c r="V57" s="8" t="s">
        <v>16</v>
      </c>
      <c r="W57" s="3"/>
    </row>
    <row x14ac:dyDescent="0.25" r="58" customHeight="1" ht="17.25">
      <c r="A58" s="3"/>
      <c r="B58" s="2"/>
      <c r="C58" s="3"/>
      <c r="D58" s="3"/>
      <c r="E58" s="4"/>
      <c r="F58" s="3"/>
      <c r="G58" s="3"/>
      <c r="H58" s="4"/>
      <c r="I58" s="3"/>
      <c r="J58" s="4"/>
      <c r="K58" s="4"/>
      <c r="L58" s="10">
        <v>56</v>
      </c>
      <c r="M58" s="2" t="s">
        <v>91</v>
      </c>
      <c r="N58" s="5" t="s">
        <v>16</v>
      </c>
      <c r="O58" s="5" t="s">
        <v>16</v>
      </c>
      <c r="P58" s="8" t="s">
        <v>16</v>
      </c>
      <c r="Q58" s="5" t="s">
        <v>16</v>
      </c>
      <c r="R58" s="5" t="s">
        <v>16</v>
      </c>
      <c r="S58" s="8" t="s">
        <v>16</v>
      </c>
      <c r="T58" s="5" t="s">
        <v>16</v>
      </c>
      <c r="U58" s="8" t="s">
        <v>16</v>
      </c>
      <c r="V58" s="8" t="s">
        <v>16</v>
      </c>
      <c r="W58" s="3"/>
    </row>
    <row x14ac:dyDescent="0.25" r="59" customHeight="1" ht="17.25">
      <c r="A59" s="3"/>
      <c r="B59" s="2"/>
      <c r="C59" s="3"/>
      <c r="D59" s="3"/>
      <c r="E59" s="4"/>
      <c r="F59" s="3"/>
      <c r="G59" s="3"/>
      <c r="H59" s="4"/>
      <c r="I59" s="3"/>
      <c r="J59" s="4"/>
      <c r="K59" s="4"/>
      <c r="L59" s="10">
        <v>57</v>
      </c>
      <c r="M59" s="2" t="s">
        <v>92</v>
      </c>
      <c r="N59" s="5" t="s">
        <v>16</v>
      </c>
      <c r="O59" s="5" t="s">
        <v>16</v>
      </c>
      <c r="P59" s="8" t="s">
        <v>16</v>
      </c>
      <c r="Q59" s="5" t="s">
        <v>16</v>
      </c>
      <c r="R59" s="5" t="s">
        <v>16</v>
      </c>
      <c r="S59" s="8" t="s">
        <v>16</v>
      </c>
      <c r="T59" s="5" t="s">
        <v>16</v>
      </c>
      <c r="U59" s="8" t="s">
        <v>16</v>
      </c>
      <c r="V59" s="8" t="s">
        <v>16</v>
      </c>
      <c r="W59" s="3"/>
    </row>
    <row x14ac:dyDescent="0.25" r="60" customHeight="1" ht="17.25">
      <c r="A60" s="3"/>
      <c r="B60" s="2"/>
      <c r="C60" s="3"/>
      <c r="D60" s="3"/>
      <c r="E60" s="4"/>
      <c r="F60" s="3"/>
      <c r="G60" s="3"/>
      <c r="H60" s="4"/>
      <c r="I60" s="3"/>
      <c r="J60" s="4"/>
      <c r="K60" s="4"/>
      <c r="L60" s="10">
        <v>58</v>
      </c>
      <c r="M60" s="2" t="s">
        <v>93</v>
      </c>
      <c r="N60" s="5" t="s">
        <v>16</v>
      </c>
      <c r="O60" s="5" t="s">
        <v>16</v>
      </c>
      <c r="P60" s="8" t="s">
        <v>16</v>
      </c>
      <c r="Q60" s="5" t="s">
        <v>16</v>
      </c>
      <c r="R60" s="5" t="s">
        <v>16</v>
      </c>
      <c r="S60" s="8" t="s">
        <v>16</v>
      </c>
      <c r="T60" s="5" t="s">
        <v>16</v>
      </c>
      <c r="U60" s="8" t="s">
        <v>16</v>
      </c>
      <c r="V60" s="8" t="s">
        <v>16</v>
      </c>
      <c r="W60" s="3"/>
    </row>
    <row x14ac:dyDescent="0.25" r="61" customHeight="1" ht="17.25">
      <c r="A61" s="3"/>
      <c r="B61" s="2"/>
      <c r="C61" s="3"/>
      <c r="D61" s="3"/>
      <c r="E61" s="4"/>
      <c r="F61" s="3"/>
      <c r="G61" s="3"/>
      <c r="H61" s="4"/>
      <c r="I61" s="3"/>
      <c r="J61" s="4"/>
      <c r="K61" s="4"/>
      <c r="L61" s="10">
        <v>59</v>
      </c>
      <c r="M61" s="2" t="s">
        <v>94</v>
      </c>
      <c r="N61" s="10">
        <v>1</v>
      </c>
      <c r="O61" s="5" t="s">
        <v>16</v>
      </c>
      <c r="P61" s="11">
        <v>6.5</v>
      </c>
      <c r="Q61" s="10">
        <v>0</v>
      </c>
      <c r="R61" s="5" t="s">
        <v>16</v>
      </c>
      <c r="S61" s="10">
        <v>0</v>
      </c>
      <c r="T61" s="10">
        <v>0</v>
      </c>
      <c r="U61" s="10">
        <v>0</v>
      </c>
      <c r="V61" s="11">
        <v>6.5</v>
      </c>
      <c r="W61" s="3"/>
    </row>
    <row x14ac:dyDescent="0.25" r="62" customHeight="1" ht="17.25">
      <c r="A62" s="3"/>
      <c r="B62" s="2"/>
      <c r="C62" s="3"/>
      <c r="D62" s="3"/>
      <c r="E62" s="4"/>
      <c r="F62" s="3"/>
      <c r="G62" s="3"/>
      <c r="H62" s="4"/>
      <c r="I62" s="3"/>
      <c r="J62" s="4"/>
      <c r="K62" s="4"/>
      <c r="L62" s="10">
        <v>60</v>
      </c>
      <c r="M62" s="2" t="s">
        <v>95</v>
      </c>
      <c r="N62" s="5" t="s">
        <v>16</v>
      </c>
      <c r="O62" s="5" t="s">
        <v>16</v>
      </c>
      <c r="P62" s="8" t="s">
        <v>16</v>
      </c>
      <c r="Q62" s="5" t="s">
        <v>16</v>
      </c>
      <c r="R62" s="5" t="s">
        <v>16</v>
      </c>
      <c r="S62" s="8" t="s">
        <v>16</v>
      </c>
      <c r="T62" s="5" t="s">
        <v>16</v>
      </c>
      <c r="U62" s="8" t="s">
        <v>16</v>
      </c>
      <c r="V62" s="8" t="s">
        <v>16</v>
      </c>
      <c r="W62" s="10">
        <v>0</v>
      </c>
    </row>
    <row x14ac:dyDescent="0.25" r="63" customHeight="1" ht="17.25">
      <c r="A63" s="3"/>
      <c r="B63" s="2"/>
      <c r="C63" s="3"/>
      <c r="D63" s="3"/>
      <c r="E63" s="4"/>
      <c r="F63" s="3"/>
      <c r="G63" s="3"/>
      <c r="H63" s="4"/>
      <c r="I63" s="3"/>
      <c r="J63" s="4"/>
      <c r="K63" s="4"/>
      <c r="L63" s="10">
        <v>61</v>
      </c>
      <c r="M63" s="2" t="s">
        <v>96</v>
      </c>
      <c r="N63" s="5" t="s">
        <v>16</v>
      </c>
      <c r="O63" s="5" t="s">
        <v>16</v>
      </c>
      <c r="P63" s="8" t="s">
        <v>16</v>
      </c>
      <c r="Q63" s="5" t="s">
        <v>16</v>
      </c>
      <c r="R63" s="5" t="s">
        <v>16</v>
      </c>
      <c r="S63" s="8" t="s">
        <v>16</v>
      </c>
      <c r="T63" s="5" t="s">
        <v>16</v>
      </c>
      <c r="U63" s="8" t="s">
        <v>16</v>
      </c>
      <c r="V63" s="8" t="s">
        <v>16</v>
      </c>
      <c r="W63" s="3"/>
    </row>
    <row x14ac:dyDescent="0.25" r="64" customHeight="1" ht="17.25">
      <c r="A64" s="3"/>
      <c r="B64" s="2"/>
      <c r="C64" s="3"/>
      <c r="D64" s="3"/>
      <c r="E64" s="4"/>
      <c r="F64" s="3"/>
      <c r="G64" s="3"/>
      <c r="H64" s="4"/>
      <c r="I64" s="3"/>
      <c r="J64" s="4"/>
      <c r="K64" s="4"/>
      <c r="L64" s="10">
        <v>62</v>
      </c>
      <c r="M64" s="2" t="s">
        <v>97</v>
      </c>
      <c r="N64" s="10">
        <v>1</v>
      </c>
      <c r="O64" s="5" t="s">
        <v>16</v>
      </c>
      <c r="P64" s="11">
        <v>0.436681</v>
      </c>
      <c r="Q64" s="10">
        <v>0</v>
      </c>
      <c r="R64" s="5" t="s">
        <v>16</v>
      </c>
      <c r="S64" s="10">
        <v>0</v>
      </c>
      <c r="T64" s="10">
        <v>0</v>
      </c>
      <c r="U64" s="10">
        <v>0</v>
      </c>
      <c r="V64" s="11">
        <v>0.436681</v>
      </c>
      <c r="W64" s="10">
        <v>0</v>
      </c>
    </row>
    <row x14ac:dyDescent="0.25" r="65" customHeight="1" ht="17.25">
      <c r="A65" s="3"/>
      <c r="B65" s="2"/>
      <c r="C65" s="3"/>
      <c r="D65" s="3"/>
      <c r="E65" s="4"/>
      <c r="F65" s="3"/>
      <c r="G65" s="3"/>
      <c r="H65" s="4"/>
      <c r="I65" s="3"/>
      <c r="J65" s="4"/>
      <c r="K65" s="4"/>
      <c r="L65" s="10">
        <v>63</v>
      </c>
      <c r="M65" s="2" t="s">
        <v>98</v>
      </c>
      <c r="N65" s="5" t="s">
        <v>16</v>
      </c>
      <c r="O65" s="5" t="s">
        <v>16</v>
      </c>
      <c r="P65" s="8" t="s">
        <v>16</v>
      </c>
      <c r="Q65" s="5" t="s">
        <v>16</v>
      </c>
      <c r="R65" s="5" t="s">
        <v>16</v>
      </c>
      <c r="S65" s="8" t="s">
        <v>16</v>
      </c>
      <c r="T65" s="5" t="s">
        <v>16</v>
      </c>
      <c r="U65" s="8" t="s">
        <v>16</v>
      </c>
      <c r="V65" s="8" t="s">
        <v>16</v>
      </c>
      <c r="W65" s="3"/>
    </row>
    <row x14ac:dyDescent="0.25" r="66" customHeight="1" ht="17.25">
      <c r="A66" s="3"/>
      <c r="B66" s="2"/>
      <c r="C66" s="3"/>
      <c r="D66" s="3"/>
      <c r="E66" s="4"/>
      <c r="F66" s="3"/>
      <c r="G66" s="3"/>
      <c r="H66" s="4"/>
      <c r="I66" s="3"/>
      <c r="J66" s="4"/>
      <c r="K66" s="4"/>
      <c r="L66" s="1" t="s">
        <v>54</v>
      </c>
      <c r="M66" s="2"/>
      <c r="N66" s="10">
        <v>1538</v>
      </c>
      <c r="O66" s="10">
        <v>0</v>
      </c>
      <c r="P66" s="11">
        <v>9536.75410515</v>
      </c>
      <c r="Q66" s="10">
        <v>592</v>
      </c>
      <c r="R66" s="10">
        <v>0</v>
      </c>
      <c r="S66" s="11">
        <v>3950.3507291324418</v>
      </c>
      <c r="T66" s="10">
        <v>1420</v>
      </c>
      <c r="U66" s="11">
        <v>1698.1133495698696</v>
      </c>
      <c r="V66" s="11">
        <v>15185.218183852308</v>
      </c>
      <c r="W66" s="3"/>
    </row>
  </sheetData>
  <pageMargins left="0.7" right="0.7" top="0.75" bottom="0.75" header="0.3" footer="0.3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wijmo.xlsx</Application>
  <DocSecurity>0</DocSecurity>
  <ScaleCrop>false</ScaleCrop>
  <HeadingPairs>
    <vt:vector baseType="variant" size="2">
      <vt:variant>
        <vt:lpstr>Worksheets</vt:lpstr>
      </vt:variant>
      <vt:variant>
        <vt:i4>14</vt:i4>
      </vt:variant>
    </vt:vector>
  </HeadingPairs>
  <TitlesOfParts>
    <vt:vector baseType="lpstr" size="14">
      <vt:lpstr>sample</vt:lpstr>
      <vt:lpstr>Sheet1</vt:lpstr>
      <vt:lpstr>Sector</vt:lpstr>
      <vt:lpstr>City</vt:lpstr>
      <vt:lpstr>2015</vt:lpstr>
      <vt:lpstr>2016</vt:lpstr>
      <vt:lpstr>2017</vt:lpstr>
      <vt:lpstr>2018</vt:lpstr>
      <vt:lpstr>2019</vt:lpstr>
      <vt:lpstr>2020</vt:lpstr>
      <vt:lpstr>2021</vt:lpstr>
      <vt:lpstr>2022</vt:lpstr>
      <vt:lpstr>2023</vt:lpstr>
      <vt:lpstr>2024</vt:lpstr>
    </vt:vector>
  </TitlesOfParts>
  <Manager/>
  <Company>GrapeCity, Inc.</Company>
  <LinksUpToDate>false</LinksUpToDate>
  <SharedDoc>false</SharedDoc>
  <HyperlinksChanged>false</HyperlinksChanged>
  <AppVersion>1.0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2025-03-06T23:47:49.449Z</dcterms:created>
  <dcterms:modified xsi:type="dcterms:W3CDTF">2025-03-06T23:47:49.449Z</dcterms:modified>
</cp:coreProperties>
</file>