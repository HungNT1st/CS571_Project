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MASS AMHERST\My Courses\SR Sem 2\CS 571\CS571_Project\data\"/>
    </mc:Choice>
  </mc:AlternateContent>
  <xr:revisionPtr revIDLastSave="0" documentId="13_ncr:1_{ABCB7BED-9734-457D-8650-C130314BBC87}" xr6:coauthVersionLast="47" xr6:coauthVersionMax="47" xr10:uidLastSave="{00000000-0000-0000-0000-000000000000}"/>
  <bookViews>
    <workbookView xWindow="-108" yWindow="-108" windowWidth="23256" windowHeight="13896" firstSheet="1" activeTab="3" xr2:uid="{4D28CED3-9485-413E-8217-C83DCD0B42DD}"/>
  </bookViews>
  <sheets>
    <sheet name="Sheet1" sheetId="1" r:id="rId1"/>
    <sheet name="sample" sheetId="2" r:id="rId2"/>
    <sheet name="Sector" sheetId="13" r:id="rId3"/>
    <sheet name="City" sheetId="14" r:id="rId4"/>
    <sheet name="2015" sheetId="3" r:id="rId5"/>
    <sheet name="2016" sheetId="4" r:id="rId6"/>
    <sheet name="2017" sheetId="5" r:id="rId7"/>
    <sheet name="2018" sheetId="6" r:id="rId8"/>
    <sheet name="2019" sheetId="7" r:id="rId9"/>
    <sheet name="2020" sheetId="8" r:id="rId10"/>
    <sheet name="2021" sheetId="9" r:id="rId11"/>
    <sheet name="2022" sheetId="10" r:id="rId12"/>
    <sheet name="2023" sheetId="11" r:id="rId13"/>
    <sheet name="2024" sheetId="12" r:id="rId14"/>
  </sheets>
  <definedNames>
    <definedName name="_xleta.IFERR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2" i="14" l="1" a="1"/>
  <c r="L82" i="14"/>
  <c r="L3" i="14" a="1"/>
  <c r="L3" i="14"/>
  <c r="M304" i="14"/>
  <c r="N304" i="14"/>
  <c r="O304" i="14"/>
  <c r="M305" i="14"/>
  <c r="N305" i="14"/>
  <c r="O305" i="14"/>
  <c r="M306" i="14"/>
  <c r="N306" i="14"/>
  <c r="O306" i="14"/>
  <c r="M307" i="14"/>
  <c r="N307" i="14"/>
  <c r="O307" i="14"/>
  <c r="M308" i="14"/>
  <c r="N308" i="14"/>
  <c r="O308" i="14"/>
  <c r="M309" i="14"/>
  <c r="N309" i="14"/>
  <c r="O309" i="14"/>
  <c r="M310" i="14"/>
  <c r="N310" i="14"/>
  <c r="O310" i="14"/>
  <c r="M311" i="14"/>
  <c r="N311" i="14"/>
  <c r="O311" i="14"/>
  <c r="M312" i="14"/>
  <c r="N312" i="14"/>
  <c r="O312" i="14"/>
  <c r="M313" i="14"/>
  <c r="N313" i="14"/>
  <c r="O313" i="14"/>
  <c r="M314" i="14"/>
  <c r="N314" i="14"/>
  <c r="O314" i="14"/>
  <c r="M315" i="14"/>
  <c r="N315" i="14"/>
  <c r="O315" i="14"/>
  <c r="M316" i="14"/>
  <c r="N316" i="14"/>
  <c r="O316" i="14"/>
  <c r="M317" i="14"/>
  <c r="N317" i="14"/>
  <c r="O317" i="14"/>
  <c r="M318" i="14"/>
  <c r="N318" i="14"/>
  <c r="O318" i="14"/>
  <c r="M319" i="14"/>
  <c r="N319" i="14"/>
  <c r="O319" i="14"/>
  <c r="M320" i="14"/>
  <c r="N320" i="14"/>
  <c r="O320" i="14"/>
  <c r="M321" i="14"/>
  <c r="N321" i="14"/>
  <c r="O321" i="14"/>
  <c r="M322" i="14"/>
  <c r="N322" i="14"/>
  <c r="O322" i="14"/>
  <c r="M323" i="14"/>
  <c r="N323" i="14"/>
  <c r="O323" i="14"/>
  <c r="M324" i="14"/>
  <c r="N324" i="14"/>
  <c r="O324" i="14"/>
  <c r="M325" i="14"/>
  <c r="N325" i="14"/>
  <c r="O325" i="14"/>
  <c r="M326" i="14"/>
  <c r="N326" i="14"/>
  <c r="O326" i="14"/>
  <c r="M327" i="14"/>
  <c r="N327" i="14"/>
  <c r="O327" i="14"/>
  <c r="M328" i="14"/>
  <c r="N328" i="14"/>
  <c r="O328" i="14"/>
  <c r="M329" i="14"/>
  <c r="N329" i="14"/>
  <c r="O329" i="14"/>
  <c r="M330" i="14"/>
  <c r="N330" i="14"/>
  <c r="O330" i="14"/>
  <c r="M331" i="14"/>
  <c r="N331" i="14"/>
  <c r="O331" i="14"/>
  <c r="M332" i="14"/>
  <c r="N332" i="14"/>
  <c r="O332" i="14"/>
  <c r="M333" i="14"/>
  <c r="N333" i="14"/>
  <c r="O333" i="14"/>
  <c r="M334" i="14"/>
  <c r="N334" i="14"/>
  <c r="O334" i="14"/>
  <c r="M335" i="14"/>
  <c r="N335" i="14"/>
  <c r="O335" i="14"/>
  <c r="M336" i="14"/>
  <c r="N336" i="14"/>
  <c r="O336" i="14"/>
  <c r="M337" i="14"/>
  <c r="N337" i="14"/>
  <c r="O337" i="14"/>
  <c r="M338" i="14"/>
  <c r="N338" i="14"/>
  <c r="O338" i="14"/>
  <c r="M339" i="14"/>
  <c r="N339" i="14"/>
  <c r="O339" i="14"/>
  <c r="M340" i="14"/>
  <c r="N340" i="14"/>
  <c r="O340" i="14"/>
  <c r="M341" i="14"/>
  <c r="N341" i="14"/>
  <c r="O341" i="14"/>
  <c r="M342" i="14"/>
  <c r="N342" i="14"/>
  <c r="O342" i="14"/>
  <c r="M343" i="14"/>
  <c r="N343" i="14"/>
  <c r="O343" i="14"/>
  <c r="M344" i="14"/>
  <c r="N344" i="14"/>
  <c r="O344" i="14"/>
  <c r="M345" i="14"/>
  <c r="N345" i="14"/>
  <c r="O345" i="14"/>
  <c r="M346" i="14"/>
  <c r="N346" i="14"/>
  <c r="O346" i="14"/>
  <c r="M347" i="14"/>
  <c r="N347" i="14"/>
  <c r="O347" i="14"/>
  <c r="M348" i="14"/>
  <c r="N348" i="14"/>
  <c r="O348" i="14"/>
  <c r="M349" i="14"/>
  <c r="N349" i="14"/>
  <c r="O349" i="14"/>
  <c r="M350" i="14"/>
  <c r="N350" i="14"/>
  <c r="O350" i="14"/>
  <c r="M351" i="14"/>
  <c r="N351" i="14"/>
  <c r="O351" i="14"/>
  <c r="M352" i="14"/>
  <c r="N352" i="14"/>
  <c r="O352" i="14"/>
  <c r="M353" i="14"/>
  <c r="N353" i="14"/>
  <c r="O353" i="14"/>
  <c r="M354" i="14"/>
  <c r="N354" i="14"/>
  <c r="O354" i="14"/>
  <c r="M355" i="14"/>
  <c r="N355" i="14"/>
  <c r="O355" i="14"/>
  <c r="M356" i="14"/>
  <c r="N356" i="14"/>
  <c r="O356" i="14"/>
  <c r="M357" i="14"/>
  <c r="N357" i="14"/>
  <c r="O357" i="14"/>
  <c r="M358" i="14"/>
  <c r="N358" i="14"/>
  <c r="O358" i="14"/>
  <c r="M359" i="14"/>
  <c r="N359" i="14"/>
  <c r="O359" i="14"/>
  <c r="M360" i="14"/>
  <c r="N360" i="14"/>
  <c r="O360" i="14"/>
  <c r="M361" i="14"/>
  <c r="N361" i="14"/>
  <c r="O361" i="14"/>
  <c r="M362" i="14"/>
  <c r="N362" i="14"/>
  <c r="O362" i="14"/>
  <c r="M363" i="14"/>
  <c r="N363" i="14"/>
  <c r="O363" i="14"/>
  <c r="M364" i="14"/>
  <c r="N364" i="14"/>
  <c r="O364" i="14"/>
  <c r="M365" i="14"/>
  <c r="N365" i="14"/>
  <c r="O365" i="14"/>
  <c r="M366" i="14"/>
  <c r="N366" i="14"/>
  <c r="O366" i="14"/>
  <c r="M367" i="14"/>
  <c r="N367" i="14"/>
  <c r="O367" i="14"/>
  <c r="M368" i="14"/>
  <c r="N368" i="14"/>
  <c r="O368" i="14"/>
  <c r="M369" i="14"/>
  <c r="N369" i="14"/>
  <c r="O369" i="14"/>
  <c r="M370" i="14"/>
  <c r="N370" i="14"/>
  <c r="O370" i="14"/>
  <c r="M371" i="14"/>
  <c r="N371" i="14"/>
  <c r="O371" i="14"/>
  <c r="M372" i="14"/>
  <c r="N372" i="14"/>
  <c r="O372" i="14"/>
  <c r="M373" i="14"/>
  <c r="N373" i="14"/>
  <c r="O373" i="14"/>
  <c r="M374" i="14"/>
  <c r="N374" i="14"/>
  <c r="O374" i="14"/>
  <c r="M375" i="14"/>
  <c r="N375" i="14"/>
  <c r="O375" i="14"/>
  <c r="M376" i="14"/>
  <c r="N376" i="14"/>
  <c r="O376" i="14"/>
  <c r="M377" i="14"/>
  <c r="N377" i="14"/>
  <c r="O377" i="14"/>
  <c r="M378" i="14"/>
  <c r="N378" i="14"/>
  <c r="O378" i="14"/>
  <c r="M379" i="14"/>
  <c r="N379" i="14"/>
  <c r="O379" i="14"/>
  <c r="M380" i="14"/>
  <c r="N380" i="14"/>
  <c r="O380" i="14"/>
  <c r="M381" i="14"/>
  <c r="N381" i="14"/>
  <c r="O381" i="14"/>
  <c r="M382" i="14"/>
  <c r="N382" i="14"/>
  <c r="O382" i="14"/>
  <c r="M383" i="14"/>
  <c r="N383" i="14"/>
  <c r="O383" i="14"/>
  <c r="M384" i="14"/>
  <c r="N384" i="14"/>
  <c r="O384" i="14"/>
  <c r="M385" i="14"/>
  <c r="N385" i="14"/>
  <c r="O385" i="14"/>
  <c r="M386" i="14"/>
  <c r="N386" i="14"/>
  <c r="O386" i="14"/>
  <c r="M387" i="14"/>
  <c r="N387" i="14"/>
  <c r="O387" i="14"/>
  <c r="M388" i="14"/>
  <c r="N388" i="14"/>
  <c r="O388" i="14"/>
  <c r="M389" i="14"/>
  <c r="N389" i="14"/>
  <c r="O389" i="14"/>
  <c r="M390" i="14"/>
  <c r="N390" i="14"/>
  <c r="O390" i="14"/>
  <c r="M391" i="14"/>
  <c r="N391" i="14"/>
  <c r="O391" i="14"/>
  <c r="M392" i="14"/>
  <c r="N392" i="14"/>
  <c r="O392" i="14"/>
  <c r="M393" i="14"/>
  <c r="N393" i="14"/>
  <c r="O393" i="14"/>
  <c r="M394" i="14"/>
  <c r="N394" i="14"/>
  <c r="O394" i="14"/>
  <c r="M395" i="14"/>
  <c r="N395" i="14"/>
  <c r="O395" i="14"/>
  <c r="M396" i="14"/>
  <c r="N396" i="14"/>
  <c r="O396" i="14"/>
  <c r="M397" i="14"/>
  <c r="N397" i="14"/>
  <c r="O397" i="14"/>
  <c r="M398" i="14"/>
  <c r="N398" i="14"/>
  <c r="O398" i="14"/>
  <c r="M399" i="14"/>
  <c r="N399" i="14"/>
  <c r="O399" i="14"/>
  <c r="M400" i="14"/>
  <c r="N400" i="14"/>
  <c r="O400" i="14"/>
  <c r="M401" i="14"/>
  <c r="N401" i="14"/>
  <c r="O401" i="14"/>
  <c r="M402" i="14"/>
  <c r="N402" i="14"/>
  <c r="O402" i="14"/>
  <c r="M403" i="14"/>
  <c r="N403" i="14"/>
  <c r="O403" i="14"/>
  <c r="M404" i="14"/>
  <c r="N404" i="14"/>
  <c r="O404" i="14"/>
  <c r="M405" i="14"/>
  <c r="N405" i="14"/>
  <c r="O405" i="14"/>
  <c r="M406" i="14"/>
  <c r="N406" i="14"/>
  <c r="O406" i="14"/>
  <c r="M407" i="14"/>
  <c r="N407" i="14"/>
  <c r="O407" i="14"/>
  <c r="M408" i="14"/>
  <c r="N408" i="14"/>
  <c r="O408" i="14"/>
  <c r="M409" i="14"/>
  <c r="N409" i="14"/>
  <c r="O409" i="14"/>
  <c r="M410" i="14"/>
  <c r="N410" i="14"/>
  <c r="O410" i="14"/>
  <c r="M411" i="14"/>
  <c r="N411" i="14"/>
  <c r="O411" i="14"/>
  <c r="M412" i="14"/>
  <c r="N412" i="14"/>
  <c r="O412" i="14"/>
  <c r="M413" i="14"/>
  <c r="N413" i="14"/>
  <c r="O413" i="14"/>
  <c r="M414" i="14"/>
  <c r="N414" i="14"/>
  <c r="O414" i="14"/>
  <c r="M415" i="14"/>
  <c r="N415" i="14"/>
  <c r="O415" i="14"/>
  <c r="M416" i="14"/>
  <c r="N416" i="14"/>
  <c r="O416" i="14"/>
  <c r="M417" i="14"/>
  <c r="N417" i="14"/>
  <c r="O417" i="14"/>
  <c r="M418" i="14"/>
  <c r="N418" i="14"/>
  <c r="O418" i="14"/>
  <c r="M419" i="14"/>
  <c r="N419" i="14"/>
  <c r="O419" i="14"/>
  <c r="M420" i="14"/>
  <c r="N420" i="14"/>
  <c r="O420" i="14"/>
  <c r="M421" i="14"/>
  <c r="N421" i="14"/>
  <c r="O421" i="14"/>
  <c r="M422" i="14"/>
  <c r="N422" i="14"/>
  <c r="O422" i="14"/>
  <c r="M423" i="14"/>
  <c r="N423" i="14"/>
  <c r="O423" i="14"/>
  <c r="M424" i="14"/>
  <c r="N424" i="14"/>
  <c r="O424" i="14"/>
  <c r="M425" i="14"/>
  <c r="N425" i="14"/>
  <c r="O425" i="14"/>
  <c r="M426" i="14"/>
  <c r="N426" i="14"/>
  <c r="O426" i="14"/>
  <c r="M427" i="14"/>
  <c r="N427" i="14"/>
  <c r="O427" i="14"/>
  <c r="M428" i="14"/>
  <c r="N428" i="14"/>
  <c r="O428" i="14"/>
  <c r="M429" i="14"/>
  <c r="N429" i="14"/>
  <c r="O429" i="14"/>
  <c r="M430" i="14"/>
  <c r="N430" i="14"/>
  <c r="O430" i="14"/>
  <c r="M431" i="14"/>
  <c r="N431" i="14"/>
  <c r="O431" i="14"/>
  <c r="M432" i="14"/>
  <c r="N432" i="14"/>
  <c r="O432" i="14"/>
  <c r="M433" i="14"/>
  <c r="N433" i="14"/>
  <c r="O433" i="14"/>
  <c r="M434" i="14"/>
  <c r="N434" i="14"/>
  <c r="O434" i="14"/>
  <c r="M435" i="14"/>
  <c r="N435" i="14"/>
  <c r="O435" i="14"/>
  <c r="M436" i="14"/>
  <c r="N436" i="14"/>
  <c r="O436" i="14"/>
  <c r="M437" i="14"/>
  <c r="N437" i="14"/>
  <c r="O437" i="14"/>
  <c r="M438" i="14"/>
  <c r="N438" i="14"/>
  <c r="O438" i="14"/>
  <c r="M439" i="14"/>
  <c r="N439" i="14"/>
  <c r="O439" i="14"/>
  <c r="M440" i="14"/>
  <c r="N440" i="14"/>
  <c r="O440" i="14"/>
  <c r="M441" i="14"/>
  <c r="N441" i="14"/>
  <c r="O441" i="14"/>
  <c r="M442" i="14"/>
  <c r="N442" i="14"/>
  <c r="O442" i="14"/>
  <c r="M443" i="14"/>
  <c r="N443" i="14"/>
  <c r="O443" i="14"/>
  <c r="M444" i="14"/>
  <c r="N444" i="14"/>
  <c r="O444" i="14"/>
  <c r="M445" i="14"/>
  <c r="N445" i="14"/>
  <c r="O445" i="14"/>
  <c r="M446" i="14"/>
  <c r="N446" i="14"/>
  <c r="O446" i="14"/>
  <c r="M447" i="14"/>
  <c r="N447" i="14"/>
  <c r="O447" i="14"/>
  <c r="M448" i="14"/>
  <c r="N448" i="14"/>
  <c r="O448" i="14"/>
  <c r="M449" i="14"/>
  <c r="N449" i="14"/>
  <c r="O449" i="14"/>
  <c r="M450" i="14"/>
  <c r="N450" i="14"/>
  <c r="O450" i="14"/>
  <c r="M451" i="14"/>
  <c r="N451" i="14"/>
  <c r="O451" i="14"/>
  <c r="M452" i="14"/>
  <c r="N452" i="14"/>
  <c r="O452" i="14"/>
  <c r="M453" i="14"/>
  <c r="N453" i="14"/>
  <c r="O453" i="14"/>
  <c r="M454" i="14"/>
  <c r="N454" i="14"/>
  <c r="O454" i="14"/>
  <c r="M455" i="14"/>
  <c r="N455" i="14"/>
  <c r="O455" i="14"/>
  <c r="M456" i="14"/>
  <c r="N456" i="14"/>
  <c r="O456" i="14"/>
  <c r="M457" i="14"/>
  <c r="N457" i="14"/>
  <c r="O457" i="14"/>
  <c r="M458" i="14"/>
  <c r="N458" i="14"/>
  <c r="O458" i="14"/>
  <c r="M459" i="14"/>
  <c r="N459" i="14"/>
  <c r="O459" i="14"/>
  <c r="M460" i="14"/>
  <c r="N460" i="14"/>
  <c r="O460" i="14"/>
  <c r="M461" i="14"/>
  <c r="N461" i="14"/>
  <c r="O461" i="14"/>
  <c r="M462" i="14"/>
  <c r="N462" i="14"/>
  <c r="O462" i="14"/>
  <c r="M463" i="14"/>
  <c r="N463" i="14"/>
  <c r="O463" i="14"/>
  <c r="M464" i="14"/>
  <c r="N464" i="14"/>
  <c r="O464" i="14"/>
  <c r="M465" i="14"/>
  <c r="N465" i="14"/>
  <c r="O465" i="14"/>
  <c r="M466" i="14"/>
  <c r="N466" i="14"/>
  <c r="O466" i="14"/>
  <c r="M467" i="14"/>
  <c r="N467" i="14"/>
  <c r="O467" i="14"/>
  <c r="M468" i="14"/>
  <c r="N468" i="14"/>
  <c r="O468" i="14"/>
  <c r="M469" i="14"/>
  <c r="N469" i="14"/>
  <c r="O469" i="14"/>
  <c r="M470" i="14"/>
  <c r="N470" i="14"/>
  <c r="O470" i="14"/>
  <c r="M471" i="14"/>
  <c r="N471" i="14"/>
  <c r="O471" i="14"/>
  <c r="M472" i="14"/>
  <c r="N472" i="14"/>
  <c r="O472" i="14"/>
  <c r="M473" i="14"/>
  <c r="N473" i="14"/>
  <c r="O473" i="14"/>
  <c r="M474" i="14"/>
  <c r="N474" i="14"/>
  <c r="O474" i="14"/>
  <c r="M475" i="14"/>
  <c r="N475" i="14"/>
  <c r="O475" i="14"/>
  <c r="M476" i="14"/>
  <c r="N476" i="14"/>
  <c r="O476" i="14"/>
  <c r="M477" i="14"/>
  <c r="N477" i="14"/>
  <c r="O477" i="14"/>
  <c r="M478" i="14"/>
  <c r="N478" i="14"/>
  <c r="O478" i="14"/>
  <c r="M479" i="14"/>
  <c r="N479" i="14"/>
  <c r="O479" i="14"/>
  <c r="M480" i="14"/>
  <c r="N480" i="14"/>
  <c r="O480" i="14"/>
  <c r="M481" i="14"/>
  <c r="N481" i="14"/>
  <c r="O481" i="14"/>
  <c r="M482" i="14"/>
  <c r="N482" i="14"/>
  <c r="O482" i="14"/>
  <c r="M483" i="14"/>
  <c r="N483" i="14"/>
  <c r="O483" i="14"/>
  <c r="M484" i="14"/>
  <c r="N484" i="14"/>
  <c r="O484" i="14"/>
  <c r="M485" i="14"/>
  <c r="N485" i="14"/>
  <c r="O485" i="14"/>
  <c r="M486" i="14"/>
  <c r="N486" i="14"/>
  <c r="O486" i="14"/>
  <c r="M487" i="14"/>
  <c r="N487" i="14"/>
  <c r="O487" i="14"/>
  <c r="M488" i="14"/>
  <c r="N488" i="14"/>
  <c r="O488" i="14"/>
  <c r="M489" i="14"/>
  <c r="N489" i="14"/>
  <c r="O489" i="14"/>
  <c r="M490" i="14"/>
  <c r="N490" i="14"/>
  <c r="O490" i="14"/>
  <c r="M491" i="14"/>
  <c r="N491" i="14"/>
  <c r="O491" i="14"/>
  <c r="M492" i="14"/>
  <c r="N492" i="14"/>
  <c r="O492" i="14"/>
  <c r="M493" i="14"/>
  <c r="N493" i="14"/>
  <c r="O493" i="14"/>
  <c r="M494" i="14"/>
  <c r="N494" i="14"/>
  <c r="O494" i="14"/>
  <c r="M495" i="14"/>
  <c r="N495" i="14"/>
  <c r="O495" i="14"/>
  <c r="M496" i="14"/>
  <c r="N496" i="14"/>
  <c r="O496" i="14"/>
  <c r="M497" i="14"/>
  <c r="N497" i="14"/>
  <c r="O497" i="14"/>
  <c r="M498" i="14"/>
  <c r="N498" i="14"/>
  <c r="O498" i="14"/>
  <c r="M499" i="14"/>
  <c r="N499" i="14"/>
  <c r="O499" i="14"/>
  <c r="M500" i="14"/>
  <c r="N500" i="14"/>
  <c r="O500" i="14"/>
  <c r="M501" i="14"/>
  <c r="N501" i="14"/>
  <c r="O501" i="14"/>
  <c r="M502" i="14"/>
  <c r="N502" i="14"/>
  <c r="O502" i="14"/>
  <c r="M503" i="14"/>
  <c r="N503" i="14"/>
  <c r="O503" i="14"/>
  <c r="M504" i="14"/>
  <c r="N504" i="14"/>
  <c r="O504" i="14"/>
  <c r="M505" i="14"/>
  <c r="N505" i="14"/>
  <c r="O505" i="14"/>
  <c r="M506" i="14"/>
  <c r="N506" i="14"/>
  <c r="O506" i="14"/>
  <c r="M507" i="14"/>
  <c r="N507" i="14"/>
  <c r="O507" i="14"/>
  <c r="M508" i="14"/>
  <c r="N508" i="14"/>
  <c r="O508" i="14"/>
  <c r="M509" i="14"/>
  <c r="N509" i="14"/>
  <c r="O509" i="14"/>
  <c r="M510" i="14"/>
  <c r="N510" i="14"/>
  <c r="O510" i="14"/>
  <c r="M511" i="14"/>
  <c r="N511" i="14"/>
  <c r="O511" i="14"/>
  <c r="M512" i="14"/>
  <c r="N512" i="14"/>
  <c r="O512" i="14"/>
  <c r="M513" i="14"/>
  <c r="N513" i="14"/>
  <c r="O513" i="14"/>
  <c r="M514" i="14"/>
  <c r="N514" i="14"/>
  <c r="O514" i="14"/>
  <c r="M515" i="14"/>
  <c r="N515" i="14"/>
  <c r="O515" i="14"/>
  <c r="M516" i="14"/>
  <c r="N516" i="14"/>
  <c r="O516" i="14"/>
  <c r="M517" i="14"/>
  <c r="N517" i="14"/>
  <c r="O517" i="14"/>
  <c r="M518" i="14"/>
  <c r="N518" i="14"/>
  <c r="O518" i="14"/>
  <c r="M519" i="14"/>
  <c r="N519" i="14"/>
  <c r="O519" i="14"/>
  <c r="M520" i="14"/>
  <c r="N520" i="14"/>
  <c r="O520" i="14"/>
  <c r="M521" i="14"/>
  <c r="N521" i="14"/>
  <c r="O521" i="14"/>
  <c r="M522" i="14"/>
  <c r="N522" i="14"/>
  <c r="O522" i="14"/>
  <c r="M523" i="14"/>
  <c r="N523" i="14"/>
  <c r="O523" i="14"/>
  <c r="M524" i="14"/>
  <c r="N524" i="14"/>
  <c r="O524" i="14"/>
  <c r="M525" i="14"/>
  <c r="N525" i="14"/>
  <c r="O525" i="14"/>
  <c r="M526" i="14"/>
  <c r="N526" i="14"/>
  <c r="O526" i="14"/>
  <c r="M527" i="14"/>
  <c r="N527" i="14"/>
  <c r="O527" i="14"/>
  <c r="M528" i="14"/>
  <c r="N528" i="14"/>
  <c r="O528" i="14"/>
  <c r="M529" i="14"/>
  <c r="N529" i="14"/>
  <c r="O529" i="14"/>
  <c r="M530" i="14"/>
  <c r="N530" i="14"/>
  <c r="O530" i="14"/>
  <c r="M531" i="14"/>
  <c r="N531" i="14"/>
  <c r="O531" i="14"/>
  <c r="M532" i="14"/>
  <c r="N532" i="14"/>
  <c r="O532" i="14"/>
  <c r="M533" i="14"/>
  <c r="N533" i="14"/>
  <c r="O533" i="14"/>
  <c r="M534" i="14"/>
  <c r="N534" i="14"/>
  <c r="O534" i="14"/>
  <c r="M535" i="14"/>
  <c r="N535" i="14"/>
  <c r="O535" i="14"/>
  <c r="M536" i="14"/>
  <c r="N536" i="14"/>
  <c r="O536" i="14"/>
  <c r="M537" i="14"/>
  <c r="N537" i="14"/>
  <c r="O537" i="14"/>
  <c r="M538" i="14"/>
  <c r="N538" i="14"/>
  <c r="O538" i="14"/>
  <c r="M539" i="14"/>
  <c r="N539" i="14"/>
  <c r="O539" i="14"/>
  <c r="M540" i="14"/>
  <c r="N540" i="14"/>
  <c r="O540" i="14"/>
  <c r="M541" i="14"/>
  <c r="N541" i="14"/>
  <c r="O541" i="14"/>
  <c r="M542" i="14"/>
  <c r="N542" i="14"/>
  <c r="O542" i="14"/>
  <c r="M543" i="14"/>
  <c r="N543" i="14"/>
  <c r="O543" i="14"/>
  <c r="M544" i="14"/>
  <c r="N544" i="14"/>
  <c r="O544" i="14"/>
  <c r="M545" i="14"/>
  <c r="N545" i="14"/>
  <c r="O545" i="14"/>
  <c r="M546" i="14"/>
  <c r="N546" i="14"/>
  <c r="O546" i="14"/>
  <c r="M547" i="14"/>
  <c r="N547" i="14"/>
  <c r="O547" i="14"/>
  <c r="M548" i="14"/>
  <c r="N548" i="14"/>
  <c r="O548" i="14"/>
  <c r="M549" i="14"/>
  <c r="N549" i="14"/>
  <c r="O549" i="14"/>
  <c r="M550" i="14"/>
  <c r="N550" i="14"/>
  <c r="O550" i="14"/>
  <c r="M551" i="14"/>
  <c r="N551" i="14"/>
  <c r="O551" i="14"/>
  <c r="M552" i="14"/>
  <c r="N552" i="14"/>
  <c r="O552" i="14"/>
  <c r="M553" i="14"/>
  <c r="N553" i="14"/>
  <c r="O553" i="14"/>
  <c r="M554" i="14"/>
  <c r="N554" i="14"/>
  <c r="O554" i="14"/>
  <c r="M555" i="14"/>
  <c r="N555" i="14"/>
  <c r="O555" i="14"/>
  <c r="M556" i="14"/>
  <c r="N556" i="14"/>
  <c r="O556" i="14"/>
  <c r="M557" i="14"/>
  <c r="N557" i="14"/>
  <c r="O557" i="14"/>
  <c r="M558" i="14"/>
  <c r="N558" i="14"/>
  <c r="O558" i="14"/>
  <c r="M559" i="14"/>
  <c r="N559" i="14"/>
  <c r="O559" i="14"/>
  <c r="M560" i="14"/>
  <c r="N560" i="14"/>
  <c r="O560" i="14"/>
  <c r="M561" i="14"/>
  <c r="N561" i="14"/>
  <c r="O561" i="14"/>
  <c r="M562" i="14"/>
  <c r="N562" i="14"/>
  <c r="O562" i="14"/>
  <c r="M563" i="14"/>
  <c r="N563" i="14"/>
  <c r="O563" i="14"/>
  <c r="M564" i="14"/>
  <c r="N564" i="14"/>
  <c r="O564" i="14"/>
  <c r="M565" i="14"/>
  <c r="N565" i="14"/>
  <c r="O565" i="14"/>
  <c r="M566" i="14"/>
  <c r="N566" i="14"/>
  <c r="O566" i="14"/>
  <c r="M567" i="14"/>
  <c r="N567" i="14"/>
  <c r="O567" i="14"/>
  <c r="M568" i="14"/>
  <c r="N568" i="14"/>
  <c r="O568" i="14"/>
  <c r="M569" i="14"/>
  <c r="N569" i="14"/>
  <c r="O569" i="14"/>
  <c r="M570" i="14"/>
  <c r="N570" i="14"/>
  <c r="O570" i="14"/>
  <c r="M571" i="14"/>
  <c r="N571" i="14"/>
  <c r="O571" i="14"/>
  <c r="M572" i="14"/>
  <c r="N572" i="14"/>
  <c r="O572" i="14"/>
  <c r="M573" i="14"/>
  <c r="N573" i="14"/>
  <c r="O573" i="14"/>
  <c r="M574" i="14"/>
  <c r="N574" i="14"/>
  <c r="O574" i="14"/>
  <c r="M575" i="14"/>
  <c r="N575" i="14"/>
  <c r="O575" i="14"/>
  <c r="M576" i="14"/>
  <c r="N576" i="14"/>
  <c r="O576" i="14"/>
  <c r="M577" i="14"/>
  <c r="N577" i="14"/>
  <c r="O577" i="14"/>
  <c r="M578" i="14"/>
  <c r="N578" i="14"/>
  <c r="O578" i="14"/>
  <c r="M579" i="14"/>
  <c r="N579" i="14"/>
  <c r="O579" i="14"/>
  <c r="M580" i="14"/>
  <c r="N580" i="14"/>
  <c r="O580" i="14"/>
  <c r="M581" i="14"/>
  <c r="N581" i="14"/>
  <c r="O581" i="14"/>
  <c r="M582" i="14"/>
  <c r="N582" i="14"/>
  <c r="O582" i="14"/>
  <c r="M583" i="14"/>
  <c r="N583" i="14"/>
  <c r="O583" i="14"/>
  <c r="M584" i="14"/>
  <c r="N584" i="14"/>
  <c r="O584" i="14"/>
  <c r="M585" i="14"/>
  <c r="N585" i="14"/>
  <c r="O585" i="14"/>
  <c r="M586" i="14"/>
  <c r="N586" i="14"/>
  <c r="O586" i="14"/>
  <c r="M587" i="14"/>
  <c r="N587" i="14"/>
  <c r="O587" i="14"/>
  <c r="M588" i="14"/>
  <c r="N588" i="14"/>
  <c r="O588" i="14"/>
  <c r="M589" i="14"/>
  <c r="N589" i="14"/>
  <c r="O589" i="14"/>
  <c r="M590" i="14"/>
  <c r="N590" i="14"/>
  <c r="O590" i="14"/>
  <c r="M591" i="14"/>
  <c r="N591" i="14"/>
  <c r="O591" i="14"/>
  <c r="M592" i="14"/>
  <c r="N592" i="14"/>
  <c r="O592" i="14"/>
  <c r="M593" i="14"/>
  <c r="N593" i="14"/>
  <c r="O593" i="14"/>
  <c r="M594" i="14"/>
  <c r="N594" i="14"/>
  <c r="O594" i="14"/>
  <c r="M595" i="14"/>
  <c r="N595" i="14"/>
  <c r="O595" i="14"/>
  <c r="M596" i="14"/>
  <c r="N596" i="14"/>
  <c r="O596" i="14"/>
  <c r="M597" i="14"/>
  <c r="N597" i="14"/>
  <c r="O597" i="14"/>
  <c r="M598" i="14"/>
  <c r="N598" i="14"/>
  <c r="O598" i="14"/>
  <c r="M599" i="14"/>
  <c r="N599" i="14"/>
  <c r="O599" i="14"/>
  <c r="M600" i="14"/>
  <c r="N600" i="14"/>
  <c r="O600" i="14"/>
  <c r="M601" i="14"/>
  <c r="N601" i="14"/>
  <c r="O601" i="14"/>
  <c r="M602" i="14"/>
  <c r="N602" i="14"/>
  <c r="O602" i="14"/>
  <c r="M603" i="14"/>
  <c r="N603" i="14"/>
  <c r="O603" i="14"/>
  <c r="M604" i="14"/>
  <c r="N604" i="14"/>
  <c r="O604" i="14"/>
  <c r="M605" i="14"/>
  <c r="N605" i="14"/>
  <c r="O605" i="14"/>
  <c r="M606" i="14"/>
  <c r="N606" i="14"/>
  <c r="O606" i="14"/>
  <c r="M607" i="14"/>
  <c r="N607" i="14"/>
  <c r="O607" i="14"/>
  <c r="M608" i="14"/>
  <c r="N608" i="14"/>
  <c r="O608" i="14"/>
  <c r="M609" i="14"/>
  <c r="N609" i="14"/>
  <c r="O609" i="14"/>
  <c r="M610" i="14"/>
  <c r="N610" i="14"/>
  <c r="O610" i="14"/>
  <c r="M611" i="14"/>
  <c r="N611" i="14"/>
  <c r="O611" i="14"/>
  <c r="M612" i="14"/>
  <c r="N612" i="14"/>
  <c r="O612" i="14"/>
  <c r="M613" i="14"/>
  <c r="N613" i="14"/>
  <c r="O613" i="14"/>
  <c r="M614" i="14"/>
  <c r="N614" i="14"/>
  <c r="O614" i="14"/>
  <c r="M615" i="14"/>
  <c r="N615" i="14"/>
  <c r="O615" i="14"/>
  <c r="M616" i="14"/>
  <c r="N616" i="14"/>
  <c r="O616" i="14"/>
  <c r="M617" i="14"/>
  <c r="N617" i="14"/>
  <c r="O617" i="14"/>
  <c r="M618" i="14"/>
  <c r="N618" i="14"/>
  <c r="O618" i="14"/>
  <c r="M619" i="14"/>
  <c r="N619" i="14"/>
  <c r="O619" i="14"/>
  <c r="M620" i="14"/>
  <c r="N620" i="14"/>
  <c r="O620" i="14"/>
  <c r="M621" i="14"/>
  <c r="N621" i="14"/>
  <c r="O621" i="14"/>
  <c r="M622" i="14"/>
  <c r="N622" i="14"/>
  <c r="O622" i="14"/>
  <c r="M623" i="14"/>
  <c r="N623" i="14"/>
  <c r="O623" i="14"/>
  <c r="M624" i="14"/>
  <c r="N624" i="14"/>
  <c r="O624" i="14"/>
  <c r="M625" i="14"/>
  <c r="N625" i="14"/>
  <c r="O625" i="14"/>
  <c r="M626" i="14"/>
  <c r="N626" i="14"/>
  <c r="O626" i="14"/>
  <c r="M627" i="14"/>
  <c r="N627" i="14"/>
  <c r="O627" i="14"/>
  <c r="M628" i="14"/>
  <c r="N628" i="14"/>
  <c r="O628" i="14"/>
  <c r="M629" i="14"/>
  <c r="N629" i="14"/>
  <c r="O629" i="14"/>
  <c r="M630" i="14"/>
  <c r="N630" i="14"/>
  <c r="O630" i="14"/>
  <c r="M631" i="14"/>
  <c r="N631" i="14"/>
  <c r="O631" i="14"/>
  <c r="M632" i="14"/>
  <c r="N632" i="14"/>
  <c r="O632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180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" i="14"/>
  <c r="M4" i="14"/>
  <c r="O4" i="14"/>
  <c r="M5" i="14"/>
  <c r="O5" i="14"/>
  <c r="M6" i="14"/>
  <c r="O6" i="14"/>
  <c r="M7" i="14"/>
  <c r="O7" i="14"/>
  <c r="M8" i="14"/>
  <c r="O8" i="14"/>
  <c r="M9" i="14"/>
  <c r="O9" i="14"/>
  <c r="M10" i="14"/>
  <c r="O10" i="14"/>
  <c r="M11" i="14"/>
  <c r="O11" i="14"/>
  <c r="M12" i="14"/>
  <c r="O12" i="14"/>
  <c r="M13" i="14"/>
  <c r="O13" i="14"/>
  <c r="M14" i="14"/>
  <c r="O14" i="14"/>
  <c r="M15" i="14"/>
  <c r="O15" i="14"/>
  <c r="M16" i="14"/>
  <c r="O16" i="14"/>
  <c r="M17" i="14"/>
  <c r="O17" i="14"/>
  <c r="M18" i="14"/>
  <c r="O18" i="14"/>
  <c r="M19" i="14"/>
  <c r="O19" i="14"/>
  <c r="M20" i="14"/>
  <c r="O20" i="14"/>
  <c r="M21" i="14"/>
  <c r="O21" i="14"/>
  <c r="M22" i="14"/>
  <c r="O22" i="14"/>
  <c r="M23" i="14"/>
  <c r="O23" i="14"/>
  <c r="M24" i="14"/>
  <c r="O24" i="14"/>
  <c r="M25" i="14"/>
  <c r="O25" i="14"/>
  <c r="M26" i="14"/>
  <c r="O26" i="14"/>
  <c r="M27" i="14"/>
  <c r="O27" i="14"/>
  <c r="M28" i="14"/>
  <c r="O28" i="14"/>
  <c r="M29" i="14"/>
  <c r="O29" i="14"/>
  <c r="M30" i="14"/>
  <c r="O30" i="14"/>
  <c r="M31" i="14"/>
  <c r="O31" i="14"/>
  <c r="M32" i="14"/>
  <c r="O32" i="14"/>
  <c r="M33" i="14"/>
  <c r="O33" i="14"/>
  <c r="M34" i="14"/>
  <c r="O34" i="14"/>
  <c r="M35" i="14"/>
  <c r="O35" i="14"/>
  <c r="M36" i="14"/>
  <c r="O36" i="14"/>
  <c r="M37" i="14"/>
  <c r="O37" i="14"/>
  <c r="M38" i="14"/>
  <c r="O38" i="14"/>
  <c r="M39" i="14"/>
  <c r="O39" i="14"/>
  <c r="M40" i="14"/>
  <c r="O40" i="14"/>
  <c r="M41" i="14"/>
  <c r="O41" i="14"/>
  <c r="M42" i="14"/>
  <c r="O42" i="14"/>
  <c r="M43" i="14"/>
  <c r="O43" i="14"/>
  <c r="M44" i="14"/>
  <c r="O44" i="14"/>
  <c r="M45" i="14"/>
  <c r="O45" i="14"/>
  <c r="M46" i="14"/>
  <c r="O46" i="14"/>
  <c r="M47" i="14"/>
  <c r="O47" i="14"/>
  <c r="M48" i="14"/>
  <c r="O48" i="14"/>
  <c r="M49" i="14"/>
  <c r="O49" i="14"/>
  <c r="M50" i="14"/>
  <c r="O50" i="14"/>
  <c r="M51" i="14"/>
  <c r="O51" i="14"/>
  <c r="M52" i="14"/>
  <c r="O52" i="14"/>
  <c r="M53" i="14"/>
  <c r="O53" i="14"/>
  <c r="M54" i="14"/>
  <c r="O54" i="14"/>
  <c r="M55" i="14"/>
  <c r="O55" i="14"/>
  <c r="M56" i="14"/>
  <c r="O56" i="14"/>
  <c r="M57" i="14"/>
  <c r="O57" i="14"/>
  <c r="M58" i="14"/>
  <c r="O58" i="14"/>
  <c r="M59" i="14"/>
  <c r="O59" i="14"/>
  <c r="M60" i="14"/>
  <c r="O60" i="14"/>
  <c r="M61" i="14"/>
  <c r="O61" i="14"/>
  <c r="M62" i="14"/>
  <c r="O62" i="14"/>
  <c r="M63" i="14"/>
  <c r="O63" i="14"/>
  <c r="M64" i="14"/>
  <c r="O64" i="14"/>
  <c r="M65" i="14"/>
  <c r="O65" i="14"/>
  <c r="M66" i="14"/>
  <c r="O66" i="14"/>
  <c r="M67" i="14"/>
  <c r="O67" i="14"/>
  <c r="M68" i="14"/>
  <c r="O68" i="14"/>
  <c r="M69" i="14"/>
  <c r="O69" i="14"/>
  <c r="M70" i="14"/>
  <c r="O70" i="14"/>
  <c r="M71" i="14"/>
  <c r="O71" i="14"/>
  <c r="M72" i="14"/>
  <c r="O72" i="14"/>
  <c r="M73" i="14"/>
  <c r="O73" i="14"/>
  <c r="M74" i="14"/>
  <c r="O74" i="14"/>
  <c r="M75" i="14"/>
  <c r="O75" i="14"/>
  <c r="M76" i="14"/>
  <c r="O76" i="14"/>
  <c r="M77" i="14"/>
  <c r="O77" i="14"/>
  <c r="M78" i="14"/>
  <c r="O78" i="14"/>
  <c r="M79" i="14"/>
  <c r="O79" i="14"/>
  <c r="M80" i="14"/>
  <c r="O80" i="14"/>
  <c r="M81" i="14"/>
  <c r="O81" i="14"/>
  <c r="M82" i="14"/>
  <c r="O82" i="14"/>
  <c r="M83" i="14"/>
  <c r="O83" i="14"/>
  <c r="M84" i="14"/>
  <c r="O84" i="14"/>
  <c r="M85" i="14"/>
  <c r="O85" i="14"/>
  <c r="M86" i="14"/>
  <c r="O86" i="14"/>
  <c r="M87" i="14"/>
  <c r="O87" i="14"/>
  <c r="M88" i="14"/>
  <c r="O88" i="14"/>
  <c r="M89" i="14"/>
  <c r="O89" i="14"/>
  <c r="M90" i="14"/>
  <c r="O90" i="14"/>
  <c r="M91" i="14"/>
  <c r="O91" i="14"/>
  <c r="M92" i="14"/>
  <c r="O92" i="14"/>
  <c r="M93" i="14"/>
  <c r="O93" i="14"/>
  <c r="M94" i="14"/>
  <c r="O94" i="14"/>
  <c r="M95" i="14"/>
  <c r="O95" i="14"/>
  <c r="M96" i="14"/>
  <c r="O96" i="14"/>
  <c r="M97" i="14"/>
  <c r="O97" i="14"/>
  <c r="M98" i="14"/>
  <c r="O98" i="14"/>
  <c r="M99" i="14"/>
  <c r="O99" i="14"/>
  <c r="M100" i="14"/>
  <c r="O100" i="14"/>
  <c r="M101" i="14"/>
  <c r="O101" i="14"/>
  <c r="M102" i="14"/>
  <c r="O102" i="14"/>
  <c r="M103" i="14"/>
  <c r="O103" i="14"/>
  <c r="M104" i="14"/>
  <c r="O104" i="14"/>
  <c r="M105" i="14"/>
  <c r="O105" i="14"/>
  <c r="M106" i="14"/>
  <c r="O106" i="14"/>
  <c r="M107" i="14"/>
  <c r="O107" i="14"/>
  <c r="M108" i="14"/>
  <c r="O108" i="14"/>
  <c r="M109" i="14"/>
  <c r="O109" i="14"/>
  <c r="M110" i="14"/>
  <c r="O110" i="14"/>
  <c r="M111" i="14"/>
  <c r="O111" i="14"/>
  <c r="M112" i="14"/>
  <c r="O112" i="14"/>
  <c r="M113" i="14"/>
  <c r="O113" i="14"/>
  <c r="M114" i="14"/>
  <c r="O114" i="14"/>
  <c r="M115" i="14"/>
  <c r="O115" i="14"/>
  <c r="M116" i="14"/>
  <c r="O116" i="14"/>
  <c r="M117" i="14"/>
  <c r="O117" i="14"/>
  <c r="M118" i="14"/>
  <c r="O118" i="14"/>
  <c r="M119" i="14"/>
  <c r="O119" i="14"/>
  <c r="M120" i="14"/>
  <c r="O120" i="14"/>
  <c r="M121" i="14"/>
  <c r="O121" i="14"/>
  <c r="M122" i="14"/>
  <c r="O122" i="14"/>
  <c r="M123" i="14"/>
  <c r="O123" i="14"/>
  <c r="M124" i="14"/>
  <c r="O124" i="14"/>
  <c r="M125" i="14"/>
  <c r="O125" i="14"/>
  <c r="M126" i="14"/>
  <c r="O126" i="14"/>
  <c r="M127" i="14"/>
  <c r="O127" i="14"/>
  <c r="M128" i="14"/>
  <c r="O128" i="14"/>
  <c r="M129" i="14"/>
  <c r="O129" i="14"/>
  <c r="M130" i="14"/>
  <c r="O130" i="14"/>
  <c r="M131" i="14"/>
  <c r="O131" i="14"/>
  <c r="M132" i="14"/>
  <c r="O132" i="14"/>
  <c r="M133" i="14"/>
  <c r="O133" i="14"/>
  <c r="M134" i="14"/>
  <c r="O134" i="14"/>
  <c r="M135" i="14"/>
  <c r="O135" i="14"/>
  <c r="M136" i="14"/>
  <c r="O136" i="14"/>
  <c r="M137" i="14"/>
  <c r="O137" i="14"/>
  <c r="M138" i="14"/>
  <c r="O138" i="14"/>
  <c r="M139" i="14"/>
  <c r="O139" i="14"/>
  <c r="M140" i="14"/>
  <c r="O140" i="14"/>
  <c r="M141" i="14"/>
  <c r="O141" i="14"/>
  <c r="M142" i="14"/>
  <c r="O142" i="14"/>
  <c r="M143" i="14"/>
  <c r="O143" i="14"/>
  <c r="M144" i="14"/>
  <c r="O144" i="14"/>
  <c r="M145" i="14"/>
  <c r="O145" i="14"/>
  <c r="M146" i="14"/>
  <c r="O146" i="14"/>
  <c r="M147" i="14"/>
  <c r="O147" i="14"/>
  <c r="M148" i="14"/>
  <c r="O148" i="14"/>
  <c r="M149" i="14"/>
  <c r="O149" i="14"/>
  <c r="M150" i="14"/>
  <c r="O150" i="14"/>
  <c r="M151" i="14"/>
  <c r="O151" i="14"/>
  <c r="M152" i="14"/>
  <c r="O152" i="14"/>
  <c r="M153" i="14"/>
  <c r="O153" i="14"/>
  <c r="M154" i="14"/>
  <c r="O154" i="14"/>
  <c r="M155" i="14"/>
  <c r="O155" i="14"/>
  <c r="M156" i="14"/>
  <c r="O156" i="14"/>
  <c r="M157" i="14"/>
  <c r="O157" i="14"/>
  <c r="M158" i="14"/>
  <c r="O158" i="14"/>
  <c r="M159" i="14"/>
  <c r="O159" i="14"/>
  <c r="M160" i="14"/>
  <c r="O160" i="14"/>
  <c r="M161" i="14"/>
  <c r="O161" i="14"/>
  <c r="M162" i="14"/>
  <c r="O162" i="14"/>
  <c r="M163" i="14"/>
  <c r="O163" i="14"/>
  <c r="M164" i="14"/>
  <c r="O164" i="14"/>
  <c r="M165" i="14"/>
  <c r="O165" i="14"/>
  <c r="M166" i="14"/>
  <c r="O166" i="14"/>
  <c r="M167" i="14"/>
  <c r="O167" i="14"/>
  <c r="M168" i="14"/>
  <c r="O168" i="14"/>
  <c r="M169" i="14"/>
  <c r="O169" i="14"/>
  <c r="M170" i="14"/>
  <c r="O170" i="14"/>
  <c r="M171" i="14"/>
  <c r="O171" i="14"/>
  <c r="M172" i="14"/>
  <c r="O172" i="14"/>
  <c r="M173" i="14"/>
  <c r="O173" i="14"/>
  <c r="M174" i="14"/>
  <c r="O174" i="14"/>
  <c r="M175" i="14"/>
  <c r="O175" i="14"/>
  <c r="M176" i="14"/>
  <c r="O176" i="14"/>
  <c r="M177" i="14"/>
  <c r="O177" i="14"/>
  <c r="M178" i="14"/>
  <c r="O178" i="14"/>
  <c r="M179" i="14"/>
  <c r="O179" i="14"/>
  <c r="M180" i="14"/>
  <c r="O180" i="14"/>
  <c r="M181" i="14"/>
  <c r="O181" i="14"/>
  <c r="M182" i="14"/>
  <c r="O182" i="14"/>
  <c r="M183" i="14"/>
  <c r="O183" i="14"/>
  <c r="M184" i="14"/>
  <c r="O184" i="14"/>
  <c r="M185" i="14"/>
  <c r="O185" i="14"/>
  <c r="M186" i="14"/>
  <c r="O186" i="14"/>
  <c r="M187" i="14"/>
  <c r="O187" i="14"/>
  <c r="M188" i="14"/>
  <c r="O188" i="14"/>
  <c r="M189" i="14"/>
  <c r="O189" i="14"/>
  <c r="M190" i="14"/>
  <c r="O190" i="14"/>
  <c r="M191" i="14"/>
  <c r="O191" i="14"/>
  <c r="M192" i="14"/>
  <c r="O192" i="14"/>
  <c r="M193" i="14"/>
  <c r="O193" i="14"/>
  <c r="M194" i="14"/>
  <c r="O194" i="14"/>
  <c r="M195" i="14"/>
  <c r="O195" i="14"/>
  <c r="M196" i="14"/>
  <c r="O196" i="14"/>
  <c r="M197" i="14"/>
  <c r="O197" i="14"/>
  <c r="M198" i="14"/>
  <c r="O198" i="14"/>
  <c r="M199" i="14"/>
  <c r="O199" i="14"/>
  <c r="M200" i="14"/>
  <c r="O200" i="14"/>
  <c r="M201" i="14"/>
  <c r="O201" i="14"/>
  <c r="M202" i="14"/>
  <c r="O202" i="14"/>
  <c r="M203" i="14"/>
  <c r="O203" i="14"/>
  <c r="M204" i="14"/>
  <c r="O204" i="14"/>
  <c r="M205" i="14"/>
  <c r="O205" i="14"/>
  <c r="M206" i="14"/>
  <c r="O206" i="14"/>
  <c r="M207" i="14"/>
  <c r="O207" i="14"/>
  <c r="M208" i="14"/>
  <c r="O208" i="14"/>
  <c r="M209" i="14"/>
  <c r="O209" i="14"/>
  <c r="M210" i="14"/>
  <c r="O210" i="14"/>
  <c r="M211" i="14"/>
  <c r="O211" i="14"/>
  <c r="M212" i="14"/>
  <c r="O212" i="14"/>
  <c r="M213" i="14"/>
  <c r="O213" i="14"/>
  <c r="M214" i="14"/>
  <c r="O214" i="14"/>
  <c r="M215" i="14"/>
  <c r="O215" i="14"/>
  <c r="M216" i="14"/>
  <c r="O216" i="14"/>
  <c r="M217" i="14"/>
  <c r="O217" i="14"/>
  <c r="M218" i="14"/>
  <c r="O218" i="14"/>
  <c r="M219" i="14"/>
  <c r="O219" i="14"/>
  <c r="M220" i="14"/>
  <c r="O220" i="14"/>
  <c r="M221" i="14"/>
  <c r="O221" i="14"/>
  <c r="M222" i="14"/>
  <c r="O222" i="14"/>
  <c r="M223" i="14"/>
  <c r="O223" i="14"/>
  <c r="M224" i="14"/>
  <c r="O224" i="14"/>
  <c r="M225" i="14"/>
  <c r="O225" i="14"/>
  <c r="M226" i="14"/>
  <c r="O226" i="14"/>
  <c r="M227" i="14"/>
  <c r="O227" i="14"/>
  <c r="M228" i="14"/>
  <c r="O228" i="14"/>
  <c r="M229" i="14"/>
  <c r="O229" i="14"/>
  <c r="M230" i="14"/>
  <c r="O230" i="14"/>
  <c r="M231" i="14"/>
  <c r="O231" i="14"/>
  <c r="M232" i="14"/>
  <c r="O232" i="14"/>
  <c r="M233" i="14"/>
  <c r="O233" i="14"/>
  <c r="M234" i="14"/>
  <c r="O234" i="14"/>
  <c r="M235" i="14"/>
  <c r="O235" i="14"/>
  <c r="M236" i="14"/>
  <c r="O236" i="14"/>
  <c r="M237" i="14"/>
  <c r="O237" i="14"/>
  <c r="M238" i="14"/>
  <c r="O238" i="14"/>
  <c r="M239" i="14"/>
  <c r="O239" i="14"/>
  <c r="M240" i="14"/>
  <c r="O240" i="14"/>
  <c r="M241" i="14"/>
  <c r="O241" i="14"/>
  <c r="M242" i="14"/>
  <c r="O242" i="14"/>
  <c r="M243" i="14"/>
  <c r="O243" i="14"/>
  <c r="M244" i="14"/>
  <c r="O244" i="14"/>
  <c r="M245" i="14"/>
  <c r="O245" i="14"/>
  <c r="M246" i="14"/>
  <c r="O246" i="14"/>
  <c r="M247" i="14"/>
  <c r="O247" i="14"/>
  <c r="M248" i="14"/>
  <c r="O248" i="14"/>
  <c r="M249" i="14"/>
  <c r="O249" i="14"/>
  <c r="M250" i="14"/>
  <c r="O250" i="14"/>
  <c r="M251" i="14"/>
  <c r="O251" i="14"/>
  <c r="M252" i="14"/>
  <c r="O252" i="14"/>
  <c r="M253" i="14"/>
  <c r="O253" i="14"/>
  <c r="M254" i="14"/>
  <c r="O254" i="14"/>
  <c r="M255" i="14"/>
  <c r="O255" i="14"/>
  <c r="M256" i="14"/>
  <c r="O256" i="14"/>
  <c r="M257" i="14"/>
  <c r="O257" i="14"/>
  <c r="M258" i="14"/>
  <c r="O258" i="14"/>
  <c r="M259" i="14"/>
  <c r="O259" i="14"/>
  <c r="M260" i="14"/>
  <c r="O260" i="14"/>
  <c r="M261" i="14"/>
  <c r="O261" i="14"/>
  <c r="M262" i="14"/>
  <c r="O262" i="14"/>
  <c r="M263" i="14"/>
  <c r="O263" i="14"/>
  <c r="M264" i="14"/>
  <c r="O264" i="14"/>
  <c r="M265" i="14"/>
  <c r="O265" i="14"/>
  <c r="M266" i="14"/>
  <c r="O266" i="14"/>
  <c r="M267" i="14"/>
  <c r="O267" i="14"/>
  <c r="M268" i="14"/>
  <c r="O268" i="14"/>
  <c r="M269" i="14"/>
  <c r="O269" i="14"/>
  <c r="M270" i="14"/>
  <c r="O270" i="14"/>
  <c r="M271" i="14"/>
  <c r="O271" i="14"/>
  <c r="M272" i="14"/>
  <c r="O272" i="14"/>
  <c r="M273" i="14"/>
  <c r="O273" i="14"/>
  <c r="M274" i="14"/>
  <c r="O274" i="14"/>
  <c r="M275" i="14"/>
  <c r="O275" i="14"/>
  <c r="M276" i="14"/>
  <c r="O276" i="14"/>
  <c r="M277" i="14"/>
  <c r="O277" i="14"/>
  <c r="M278" i="14"/>
  <c r="O278" i="14"/>
  <c r="M279" i="14"/>
  <c r="O279" i="14"/>
  <c r="M280" i="14"/>
  <c r="O280" i="14"/>
  <c r="M281" i="14"/>
  <c r="O281" i="14"/>
  <c r="M282" i="14"/>
  <c r="O282" i="14"/>
  <c r="M283" i="14"/>
  <c r="O283" i="14"/>
  <c r="M284" i="14"/>
  <c r="O284" i="14"/>
  <c r="M285" i="14"/>
  <c r="O285" i="14"/>
  <c r="M286" i="14"/>
  <c r="O286" i="14"/>
  <c r="M287" i="14"/>
  <c r="O287" i="14"/>
  <c r="M288" i="14"/>
  <c r="O288" i="14"/>
  <c r="M289" i="14"/>
  <c r="O289" i="14"/>
  <c r="M290" i="14"/>
  <c r="O290" i="14"/>
  <c r="M291" i="14"/>
  <c r="O291" i="14"/>
  <c r="M292" i="14"/>
  <c r="O292" i="14"/>
  <c r="M293" i="14"/>
  <c r="O293" i="14"/>
  <c r="M294" i="14"/>
  <c r="O294" i="14"/>
  <c r="M295" i="14"/>
  <c r="O295" i="14"/>
  <c r="M296" i="14"/>
  <c r="O296" i="14"/>
  <c r="M297" i="14"/>
  <c r="O297" i="14"/>
  <c r="M298" i="14"/>
  <c r="O298" i="14"/>
  <c r="M299" i="14"/>
  <c r="O299" i="14"/>
  <c r="M300" i="14"/>
  <c r="O300" i="14"/>
  <c r="M301" i="14"/>
  <c r="O301" i="14"/>
  <c r="M302" i="14"/>
  <c r="O302" i="14"/>
  <c r="M303" i="14"/>
  <c r="O303" i="14"/>
  <c r="O3" i="14"/>
  <c r="M3" i="14"/>
  <c r="E3" i="14" a="1"/>
  <c r="E4" i="14" a="1"/>
  <c r="E5" i="14" a="1"/>
  <c r="E6" i="14" a="1"/>
  <c r="E7" i="14" a="1"/>
  <c r="E8" i="14" a="1"/>
  <c r="E9" i="14" a="1"/>
  <c r="E10" i="14" a="1"/>
  <c r="E11" i="14" a="1"/>
  <c r="E12" i="14" a="1"/>
  <c r="E13" i="14" a="1"/>
  <c r="E14" i="14" a="1"/>
  <c r="E15" i="14" a="1"/>
  <c r="E16" i="14" a="1"/>
  <c r="E17" i="14" a="1"/>
  <c r="E18" i="14" a="1"/>
  <c r="E19" i="14" a="1"/>
  <c r="L4" i="14" a="1"/>
  <c r="L5" i="14" a="1"/>
  <c r="L6" i="14" a="1"/>
  <c r="L7" i="14" a="1"/>
  <c r="L8" i="14" a="1"/>
  <c r="L9" i="14" a="1"/>
  <c r="L10" i="14" a="1"/>
  <c r="L11" i="14" a="1"/>
  <c r="L12" i="14" a="1"/>
  <c r="L13" i="14" a="1"/>
  <c r="L14" i="14" a="1"/>
  <c r="L15" i="14" a="1"/>
  <c r="L16" i="14" a="1"/>
  <c r="L17" i="14" a="1"/>
  <c r="L18" i="14" a="1"/>
  <c r="L19" i="14" a="1"/>
  <c r="L20" i="14" a="1"/>
  <c r="L21" i="14" a="1"/>
  <c r="L22" i="14" a="1"/>
  <c r="L23" i="14" a="1"/>
  <c r="L24" i="14" a="1"/>
  <c r="L25" i="14" a="1"/>
  <c r="L26" i="14" a="1"/>
  <c r="L27" i="14" a="1"/>
  <c r="L28" i="14" a="1"/>
  <c r="L29" i="14" a="1"/>
  <c r="L30" i="14" a="1"/>
  <c r="L31" i="14" a="1"/>
  <c r="L32" i="14" a="1"/>
  <c r="L33" i="14" a="1"/>
  <c r="L34" i="14" a="1"/>
  <c r="L35" i="14" a="1"/>
  <c r="L36" i="14" a="1"/>
  <c r="L37" i="14" a="1"/>
  <c r="L38" i="14" a="1"/>
  <c r="L39" i="14" a="1"/>
  <c r="L40" i="14" a="1"/>
  <c r="L41" i="14" a="1"/>
  <c r="L42" i="14" a="1"/>
  <c r="L43" i="14" a="1"/>
  <c r="L44" i="14" a="1"/>
  <c r="L45" i="14" a="1"/>
  <c r="L46" i="14" a="1"/>
  <c r="L47" i="14" a="1"/>
  <c r="L48" i="14" a="1"/>
  <c r="L49" i="14" a="1"/>
  <c r="L50" i="14" a="1"/>
  <c r="L51" i="14" a="1"/>
  <c r="L52" i="14" a="1"/>
  <c r="L53" i="14" a="1"/>
  <c r="L54" i="14" a="1"/>
  <c r="L55" i="14" a="1"/>
  <c r="L56" i="14" a="1"/>
  <c r="L57" i="14" a="1"/>
  <c r="L58" i="14" a="1"/>
  <c r="L59" i="14" a="1"/>
  <c r="L60" i="14" a="1"/>
  <c r="L61" i="14" a="1"/>
  <c r="L62" i="14" a="1"/>
  <c r="L63" i="14" a="1"/>
  <c r="L64" i="14" a="1"/>
  <c r="L65" i="14" a="1"/>
  <c r="L66" i="14" a="1"/>
  <c r="L67" i="14" a="1"/>
  <c r="L68" i="14" a="1"/>
  <c r="L69" i="14" a="1"/>
  <c r="L70" i="14" a="1"/>
  <c r="L71" i="14" a="1"/>
  <c r="L72" i="14" a="1"/>
  <c r="L73" i="14" a="1"/>
  <c r="L74" i="14" a="1"/>
  <c r="L75" i="14" a="1"/>
  <c r="L76" i="14" a="1"/>
  <c r="L77" i="14" a="1"/>
  <c r="L78" i="14" a="1"/>
  <c r="L79" i="14" a="1"/>
  <c r="L80" i="14" a="1"/>
  <c r="L81" i="14" a="1"/>
  <c r="L83" i="14" a="1"/>
  <c r="L84" i="14" a="1"/>
  <c r="L85" i="14" a="1"/>
  <c r="H6" i="14" a="1"/>
  <c r="K10" i="14" a="1"/>
  <c r="G12" i="14" a="1"/>
  <c r="J13" i="14" a="1"/>
  <c r="I16" i="14" a="1"/>
  <c r="F18" i="14" a="1"/>
  <c r="H59" i="14" a="1"/>
  <c r="J60" i="14" a="1"/>
  <c r="F63" i="14" a="1"/>
  <c r="I65" i="14" a="1"/>
  <c r="G69" i="14" a="1"/>
  <c r="K71" i="14" a="1"/>
  <c r="E73" i="14" a="1"/>
  <c r="H75" i="14" a="1"/>
  <c r="J76" i="14" a="1"/>
  <c r="F79" i="14" a="1"/>
  <c r="I81" i="14" a="1"/>
  <c r="G85" i="14" a="1"/>
  <c r="I87" i="14" a="1"/>
  <c r="J3" i="14" a="1"/>
  <c r="I6" i="14" a="1"/>
  <c r="F8" i="14" a="1"/>
  <c r="H12" i="14" a="1"/>
  <c r="K16" i="14" a="1"/>
  <c r="G18" i="14" a="1"/>
  <c r="J19" i="14" a="1"/>
  <c r="J23" i="14" a="1"/>
  <c r="J27" i="14" a="1"/>
  <c r="J31" i="14" a="1"/>
  <c r="J35" i="14" a="1"/>
  <c r="J39" i="14" a="1"/>
  <c r="J43" i="14" a="1"/>
  <c r="J47" i="14" a="1"/>
  <c r="J51" i="14" a="1"/>
  <c r="J55" i="14" a="1"/>
  <c r="I59" i="14" a="1"/>
  <c r="G63" i="14" a="1"/>
  <c r="K65" i="14" a="1"/>
  <c r="E67" i="14" a="1"/>
  <c r="H69" i="14" a="1"/>
  <c r="J70" i="14" a="1"/>
  <c r="F73" i="14" a="1"/>
  <c r="I75" i="14" a="1"/>
  <c r="G79" i="14" a="1"/>
  <c r="K81" i="14" a="1"/>
  <c r="E83" i="14" a="1"/>
  <c r="H85" i="14" a="1"/>
  <c r="J86" i="14" a="1"/>
  <c r="K6" i="14" a="1"/>
  <c r="G8" i="14" a="1"/>
  <c r="J9" i="14" a="1"/>
  <c r="I12" i="14" a="1"/>
  <c r="F14" i="14" a="1"/>
  <c r="H18" i="14" a="1"/>
  <c r="K59" i="14" a="1"/>
  <c r="E61" i="14" a="1"/>
  <c r="H63" i="14" a="1"/>
  <c r="J64" i="14" a="1"/>
  <c r="F67" i="14" a="1"/>
  <c r="I69" i="14" a="1"/>
  <c r="G73" i="14" a="1"/>
  <c r="K75" i="14" a="1"/>
  <c r="E77" i="14" a="1"/>
  <c r="H79" i="14" a="1"/>
  <c r="J80" i="14" a="1"/>
  <c r="F83" i="14" a="1"/>
  <c r="I85" i="14" a="1"/>
  <c r="K86" i="14" a="1"/>
  <c r="I5" i="14" a="1"/>
  <c r="F7" i="14" a="1"/>
  <c r="H11" i="14" a="1"/>
  <c r="K15" i="14" a="1"/>
  <c r="G17" i="14" a="1"/>
  <c r="J18" i="14" a="1"/>
  <c r="F20" i="14" a="1"/>
  <c r="H21" i="14" a="1"/>
  <c r="K22" i="14" a="1"/>
  <c r="F24" i="14" a="1"/>
  <c r="H25" i="14" a="1"/>
  <c r="K26" i="14" a="1"/>
  <c r="F28" i="14" a="1"/>
  <c r="H29" i="14" a="1"/>
  <c r="K30" i="14" a="1"/>
  <c r="F32" i="14" a="1"/>
  <c r="H33" i="14" a="1"/>
  <c r="K34" i="14" a="1"/>
  <c r="F36" i="14" a="1"/>
  <c r="H37" i="14" a="1"/>
  <c r="K38" i="14" a="1"/>
  <c r="F40" i="14" a="1"/>
  <c r="H41" i="14" a="1"/>
  <c r="K42" i="14" a="1"/>
  <c r="F44" i="14" a="1"/>
  <c r="H45" i="14" a="1"/>
  <c r="K46" i="14" a="1"/>
  <c r="F48" i="14" a="1"/>
  <c r="H49" i="14" a="1"/>
  <c r="K50" i="14" a="1"/>
  <c r="F52" i="14" a="1"/>
  <c r="H53" i="14" a="1"/>
  <c r="K54" i="14" a="1"/>
  <c r="F56" i="14" a="1"/>
  <c r="H57" i="14" a="1"/>
  <c r="K58" i="14" a="1"/>
  <c r="E60" i="14" a="1"/>
  <c r="H62" i="14" a="1"/>
  <c r="J63" i="14" a="1"/>
  <c r="F66" i="14" a="1"/>
  <c r="I68" i="14" a="1"/>
  <c r="G72" i="14" a="1"/>
  <c r="K74" i="14" a="1"/>
  <c r="E76" i="14" a="1"/>
  <c r="H78" i="14" a="1"/>
  <c r="J79" i="14" a="1"/>
  <c r="F82" i="14" a="1"/>
  <c r="I84" i="14" a="1"/>
  <c r="E88" i="14" a="1"/>
  <c r="E89" i="14" a="1"/>
  <c r="E90" i="14" a="1"/>
  <c r="E91" i="14" a="1"/>
  <c r="E92" i="14" a="1"/>
  <c r="E93" i="14" a="1"/>
  <c r="E94" i="14" a="1"/>
  <c r="E95" i="14" a="1"/>
  <c r="E96" i="14" a="1"/>
  <c r="E97" i="14" a="1"/>
  <c r="E98" i="14" a="1"/>
  <c r="E99" i="14" a="1"/>
  <c r="E100" i="14" a="1"/>
  <c r="E101" i="14" a="1"/>
  <c r="G4" i="14" a="1"/>
  <c r="J5" i="14" a="1"/>
  <c r="I8" i="14" a="1"/>
  <c r="F10" i="14" a="1"/>
  <c r="H14" i="14" a="1"/>
  <c r="K18" i="14" a="1"/>
  <c r="G61" i="14" a="1"/>
  <c r="K63" i="14" a="1"/>
  <c r="E65" i="14" a="1"/>
  <c r="H67" i="14" a="1"/>
  <c r="J68" i="14" a="1"/>
  <c r="F71" i="14" a="1"/>
  <c r="I73" i="14" a="1"/>
  <c r="G77" i="14" a="1"/>
  <c r="K79" i="14" a="1"/>
  <c r="E81" i="14" a="1"/>
  <c r="H83" i="14" a="1"/>
  <c r="J84" i="14" a="1"/>
  <c r="E87" i="14" a="1"/>
  <c r="F3" i="14" a="1"/>
  <c r="F5" i="14" a="1"/>
  <c r="G9" i="14" a="1"/>
  <c r="I11" i="14" a="1"/>
  <c r="J15" i="14" a="1"/>
  <c r="K17" i="14" a="1"/>
  <c r="E20" i="14" a="1"/>
  <c r="G5" i="14" a="1"/>
  <c r="H7" i="14" a="1"/>
  <c r="H9" i="14" a="1"/>
  <c r="J11" i="14" a="1"/>
  <c r="I13" i="14" a="1"/>
  <c r="I7" i="14" a="1"/>
  <c r="K9" i="14" a="1"/>
  <c r="F22" i="14" a="1"/>
  <c r="G24" i="14" a="1"/>
  <c r="E30" i="14" a="1"/>
  <c r="E32" i="14" a="1"/>
  <c r="I3" i="14" a="1"/>
  <c r="K7" i="14" a="1"/>
  <c r="F12" i="14" a="1"/>
  <c r="G14" i="14" a="1"/>
  <c r="H22" i="14" a="1"/>
  <c r="H24" i="14" a="1"/>
  <c r="G26" i="14" a="1"/>
  <c r="F30" i="14" a="1"/>
  <c r="G32" i="14" a="1"/>
  <c r="E38" i="14" a="1"/>
  <c r="E40" i="14" a="1"/>
  <c r="K43" i="14" a="1"/>
  <c r="K45" i="14" a="1"/>
  <c r="I47" i="14" a="1"/>
  <c r="J49" i="14" a="1"/>
  <c r="H51" i="14" a="1"/>
  <c r="I53" i="14" a="1"/>
  <c r="I64" i="14" a="1"/>
  <c r="H66" i="14" a="1"/>
  <c r="F68" i="14" a="1"/>
  <c r="J71" i="14" a="1"/>
  <c r="J73" i="14" a="1"/>
  <c r="G75" i="14" a="1"/>
  <c r="F77" i="14" a="1"/>
  <c r="K80" i="14" a="1"/>
  <c r="G84" i="14" a="1"/>
  <c r="F86" i="14" a="1"/>
  <c r="J87" i="14" a="1"/>
  <c r="I90" i="14" a="1"/>
  <c r="F92" i="14" a="1"/>
  <c r="H96" i="14" a="1"/>
  <c r="L97" i="14" a="1"/>
  <c r="K100" i="14" a="1"/>
  <c r="L104" i="14" a="1"/>
  <c r="L108" i="14" a="1"/>
  <c r="L112" i="14" a="1"/>
  <c r="G115" i="14" a="1"/>
  <c r="G116" i="14" a="1"/>
  <c r="G117" i="14" a="1"/>
  <c r="G118" i="14" a="1"/>
  <c r="G119" i="14" a="1"/>
  <c r="G120" i="14" a="1"/>
  <c r="G121" i="14" a="1"/>
  <c r="G122" i="14" a="1"/>
  <c r="G123" i="14" a="1"/>
  <c r="G124" i="14" a="1"/>
  <c r="G125" i="14" a="1"/>
  <c r="G126" i="14" a="1"/>
  <c r="G127" i="14" a="1"/>
  <c r="G128" i="14" a="1"/>
  <c r="G129" i="14" a="1"/>
  <c r="G130" i="14" a="1"/>
  <c r="G131" i="14" a="1"/>
  <c r="G132" i="14" a="1"/>
  <c r="G133" i="14" a="1"/>
  <c r="G134" i="14" a="1"/>
  <c r="G135" i="14" a="1"/>
  <c r="G136" i="14" a="1"/>
  <c r="K3" i="14" a="1"/>
  <c r="G10" i="14" a="1"/>
  <c r="H16" i="14" a="1"/>
  <c r="I18" i="14" a="1"/>
  <c r="I20" i="14" a="1"/>
  <c r="I22" i="14" a="1"/>
  <c r="H26" i="14" a="1"/>
  <c r="H28" i="14" a="1"/>
  <c r="G30" i="14" a="1"/>
  <c r="F6" i="14" a="1"/>
  <c r="I14" i="14" a="1"/>
  <c r="J20" i="14" a="1"/>
  <c r="J22" i="14" a="1"/>
  <c r="I24" i="14" a="1"/>
  <c r="I26" i="14" a="1"/>
  <c r="H30" i="14" a="1"/>
  <c r="H32" i="14" a="1"/>
  <c r="G34" i="14" a="1"/>
  <c r="F38" i="14" a="1"/>
  <c r="G40" i="14" a="1"/>
  <c r="E46" i="14" a="1"/>
  <c r="E48" i="14" a="1"/>
  <c r="K51" i="14" a="1"/>
  <c r="K53" i="14" a="1"/>
  <c r="I55" i="14" a="1"/>
  <c r="J57" i="14" a="1"/>
  <c r="E63" i="14" a="1"/>
  <c r="I66" i="14" a="1"/>
  <c r="H68" i="14" a="1"/>
  <c r="E72" i="14" a="1"/>
  <c r="H77" i="14" a="1"/>
  <c r="J82" i="14" a="1"/>
  <c r="G86" i="14" a="1"/>
  <c r="L87" i="14" a="1"/>
  <c r="K90" i="14" a="1"/>
  <c r="G92" i="14" a="1"/>
  <c r="J93" i="14" a="1"/>
  <c r="I96" i="14" a="1"/>
  <c r="F98" i="14" a="1"/>
  <c r="J103" i="14" a="1"/>
  <c r="E105" i="14" a="1"/>
  <c r="J107" i="14" a="1"/>
  <c r="E109" i="14" a="1"/>
  <c r="J111" i="14" a="1"/>
  <c r="E113" i="14" a="1"/>
  <c r="H115" i="14" a="1"/>
  <c r="H116" i="14" a="1"/>
  <c r="H117" i="14" a="1"/>
  <c r="H118" i="14" a="1"/>
  <c r="H119" i="14" a="1"/>
  <c r="H120" i="14" a="1"/>
  <c r="H121" i="14" a="1"/>
  <c r="H122" i="14" a="1"/>
  <c r="H123" i="14" a="1"/>
  <c r="H124" i="14" a="1"/>
  <c r="H125" i="14" a="1"/>
  <c r="H126" i="14" a="1"/>
  <c r="H127" i="14" a="1"/>
  <c r="H128" i="14" a="1"/>
  <c r="H129" i="14" a="1"/>
  <c r="H130" i="14" a="1"/>
  <c r="H131" i="14" a="1"/>
  <c r="H132" i="14" a="1"/>
  <c r="H133" i="14" a="1"/>
  <c r="H134" i="14" a="1"/>
  <c r="H135" i="14" a="1"/>
  <c r="H136" i="14" a="1"/>
  <c r="F4" i="14" a="1"/>
  <c r="H10" i="14" a="1"/>
  <c r="J14" i="14" a="1"/>
  <c r="J16" i="14" a="1"/>
  <c r="K20" i="14" a="1"/>
  <c r="E23" i="14" a="1"/>
  <c r="J24" i="14" a="1"/>
  <c r="J26" i="14" a="1"/>
  <c r="I28" i="14" a="1"/>
  <c r="I30" i="14" a="1"/>
  <c r="H34" i="14" a="1"/>
  <c r="H36" i="14" a="1"/>
  <c r="G38" i="14" a="1"/>
  <c r="F42" i="14" a="1"/>
  <c r="G44" i="14" a="1"/>
  <c r="E50" i="14" a="1"/>
  <c r="E52" i="14" a="1"/>
  <c r="K55" i="14" a="1"/>
  <c r="K57" i="14" a="1"/>
  <c r="H61" i="14" a="1"/>
  <c r="J66" i="14" a="1"/>
  <c r="G70" i="14" a="1"/>
  <c r="F72" i="14" a="1"/>
  <c r="J75" i="14" a="1"/>
  <c r="F81" i="14" a="1"/>
  <c r="K82" i="14" a="1"/>
  <c r="K84" i="14" a="1"/>
  <c r="H89" i="14" a="1"/>
  <c r="L90" i="14" a="1"/>
  <c r="K93" i="14" a="1"/>
  <c r="G95" i="14" a="1"/>
  <c r="J96" i="14" a="1"/>
  <c r="I99" i="14" a="1"/>
  <c r="F101" i="14" a="1"/>
  <c r="H102" i="14" a="1"/>
  <c r="K103" i="14" a="1"/>
  <c r="F105" i="14" a="1"/>
  <c r="H106" i="14" a="1"/>
  <c r="K107" i="14" a="1"/>
  <c r="F109" i="14" a="1"/>
  <c r="H110" i="14" a="1"/>
  <c r="K111" i="14" a="1"/>
  <c r="F113" i="14" a="1"/>
  <c r="H114" i="14" a="1"/>
  <c r="H4" i="14" a="1"/>
  <c r="J8" i="14" a="1"/>
  <c r="I10" i="14" a="1"/>
  <c r="K12" i="14" a="1"/>
  <c r="F17" i="14" a="1"/>
  <c r="F21" i="14" a="1"/>
  <c r="F23" i="14" a="1"/>
  <c r="E25" i="14" a="1"/>
  <c r="K8" i="14" a="1"/>
  <c r="J10" i="14" a="1"/>
  <c r="F13" i="14" a="1"/>
  <c r="G19" i="14" a="1"/>
  <c r="I4" i="14" a="1"/>
  <c r="J6" i="14" a="1"/>
  <c r="F15" i="14" a="1"/>
  <c r="H17" i="14" a="1"/>
  <c r="G23" i="14" a="1"/>
  <c r="G25" i="14" a="1"/>
  <c r="F29" i="14" a="1"/>
  <c r="F31" i="14" a="1"/>
  <c r="E33" i="14" a="1"/>
  <c r="K36" i="14" a="1"/>
  <c r="E39" i="14" a="1"/>
  <c r="J40" i="14" a="1"/>
  <c r="J42" i="14" a="1"/>
  <c r="I44" i="14" a="1"/>
  <c r="I46" i="14" a="1"/>
  <c r="H50" i="14" a="1"/>
  <c r="H52" i="14" a="1"/>
  <c r="G54" i="14" a="1"/>
  <c r="F58" i="14" a="1"/>
  <c r="F60" i="14" a="1"/>
  <c r="K61" i="14" a="1"/>
  <c r="I63" i="14" a="1"/>
  <c r="E69" i="14" a="1"/>
  <c r="K70" i="14" a="1"/>
  <c r="I72" i="14" a="1"/>
  <c r="G74" i="14" a="1"/>
  <c r="H81" i="14" a="1"/>
  <c r="G83" i="14" a="1"/>
  <c r="K89" i="14" a="1"/>
  <c r="G91" i="14" a="1"/>
  <c r="J92" i="14" a="1"/>
  <c r="I95" i="14" a="1"/>
  <c r="F97" i="14" a="1"/>
  <c r="H101" i="14" a="1"/>
  <c r="K102" i="14" a="1"/>
  <c r="F104" i="14" a="1"/>
  <c r="H105" i="14" a="1"/>
  <c r="K106" i="14" a="1"/>
  <c r="F108" i="14" a="1"/>
  <c r="H109" i="14" a="1"/>
  <c r="K110" i="14" a="1"/>
  <c r="F112" i="14" a="1"/>
  <c r="H113" i="14" a="1"/>
  <c r="J114" i="14" a="1"/>
  <c r="J4" i="14" a="1"/>
  <c r="F11" i="14" a="1"/>
  <c r="G13" i="14" a="1"/>
  <c r="G15" i="14" a="1"/>
  <c r="H19" i="14" a="1"/>
  <c r="I21" i="14" a="1"/>
  <c r="G27" i="14" a="1"/>
  <c r="G29" i="14" a="1"/>
  <c r="F33" i="14" a="1"/>
  <c r="F35" i="14" a="1"/>
  <c r="E37" i="14" a="1"/>
  <c r="K40" i="14" a="1"/>
  <c r="E43" i="14" a="1"/>
  <c r="J44" i="14" a="1"/>
  <c r="J46" i="14" a="1"/>
  <c r="I48" i="14" a="1"/>
  <c r="I50" i="14" a="1"/>
  <c r="H54" i="14" a="1"/>
  <c r="H56" i="14" a="1"/>
  <c r="G58" i="14" a="1"/>
  <c r="H65" i="14" a="1"/>
  <c r="G67" i="14" a="1"/>
  <c r="J72" i="14" a="1"/>
  <c r="H74" i="14" a="1"/>
  <c r="G76" i="14" a="1"/>
  <c r="E78" i="14" a="1"/>
  <c r="F85" i="14" a="1"/>
  <c r="L86" i="14" a="1"/>
  <c r="H88" i="14" a="1"/>
  <c r="L89" i="14" a="1"/>
  <c r="K92" i="14" a="1"/>
  <c r="G94" i="14" a="1"/>
  <c r="J95" i="14" a="1"/>
  <c r="I98" i="14" a="1"/>
  <c r="F100" i="14" a="1"/>
  <c r="L102" i="14" a="1"/>
  <c r="L106" i="14" a="1"/>
  <c r="L110" i="14" a="1"/>
  <c r="K115" i="14" a="1"/>
  <c r="K116" i="14" a="1"/>
  <c r="K117" i="14" a="1"/>
  <c r="K118" i="14" a="1"/>
  <c r="K119" i="14" a="1"/>
  <c r="K120" i="14" a="1"/>
  <c r="K121" i="14" a="1"/>
  <c r="K122" i="14" a="1"/>
  <c r="K123" i="14" a="1"/>
  <c r="K124" i="14" a="1"/>
  <c r="K125" i="14" a="1"/>
  <c r="K126" i="14" a="1"/>
  <c r="K127" i="14" a="1"/>
  <c r="K128" i="14" a="1"/>
  <c r="K129" i="14" a="1"/>
  <c r="K130" i="14" a="1"/>
  <c r="K131" i="14" a="1"/>
  <c r="K132" i="14" a="1"/>
  <c r="K133" i="14" a="1"/>
  <c r="K134" i="14" a="1"/>
  <c r="K135" i="14" a="1"/>
  <c r="K136" i="14" a="1"/>
  <c r="I9" i="14" a="1"/>
  <c r="G16" i="14" a="1"/>
  <c r="E22" i="14" a="1"/>
  <c r="I29" i="14" a="1"/>
  <c r="J32" i="14" a="1"/>
  <c r="H35" i="14" a="1"/>
  <c r="H38" i="14" a="1"/>
  <c r="G41" i="14" a="1"/>
  <c r="E44" i="14" a="1"/>
  <c r="I49" i="14" a="1"/>
  <c r="I52" i="14" a="1"/>
  <c r="I60" i="14" a="1"/>
  <c r="G3" i="14" a="1"/>
  <c r="E26" i="14" a="1"/>
  <c r="J29" i="14" a="1"/>
  <c r="K32" i="14" a="1"/>
  <c r="I35" i="14" a="1"/>
  <c r="I38" i="14" a="1"/>
  <c r="F47" i="14" a="1"/>
  <c r="K49" i="14" a="1"/>
  <c r="J52" i="14" a="1"/>
  <c r="G55" i="14" a="1"/>
  <c r="H58" i="14" a="1"/>
  <c r="K60" i="14" a="1"/>
  <c r="E74" i="14" a="1"/>
  <c r="E79" i="14" a="1"/>
  <c r="F84" i="14" a="1"/>
  <c r="G93" i="14" a="1"/>
  <c r="H95" i="14" a="1"/>
  <c r="J99" i="14" a="1"/>
  <c r="K101" i="14" a="1"/>
  <c r="I103" i="14" a="1"/>
  <c r="J105" i="14" a="1"/>
  <c r="H107" i="14" a="1"/>
  <c r="I109" i="14" a="1"/>
  <c r="E118" i="14" a="1"/>
  <c r="I119" i="14" a="1"/>
  <c r="L123" i="14" a="1"/>
  <c r="F128" i="14" a="1"/>
  <c r="J129" i="14" a="1"/>
  <c r="E134" i="14" a="1"/>
  <c r="I135" i="14" a="1"/>
  <c r="I141" i="14" a="1"/>
  <c r="J142" i="14" a="1"/>
  <c r="I149" i="14" a="1"/>
  <c r="J150" i="14" a="1"/>
  <c r="K151" i="14" a="1"/>
  <c r="K152" i="14" a="1"/>
  <c r="K153" i="14" a="1"/>
  <c r="K154" i="14" a="1"/>
  <c r="K155" i="14" a="1"/>
  <c r="K156" i="14" a="1"/>
  <c r="K157" i="14" a="1"/>
  <c r="K158" i="14" a="1"/>
  <c r="K159" i="14" a="1"/>
  <c r="K160" i="14" a="1"/>
  <c r="K161" i="14" a="1"/>
  <c r="K162" i="14" a="1"/>
  <c r="K163" i="14" a="1"/>
  <c r="K164" i="14" a="1"/>
  <c r="K165" i="14" a="1"/>
  <c r="K166" i="14" a="1"/>
  <c r="K167" i="14" a="1"/>
  <c r="K168" i="14" a="1"/>
  <c r="K169" i="14" a="1"/>
  <c r="K170" i="14" a="1"/>
  <c r="K171" i="14" a="1"/>
  <c r="K172" i="14" a="1"/>
  <c r="K173" i="14" a="1"/>
  <c r="K174" i="14" a="1"/>
  <c r="K175" i="14" a="1"/>
  <c r="K176" i="14" a="1"/>
  <c r="K177" i="14" a="1"/>
  <c r="K178" i="14" a="1"/>
  <c r="K179" i="14" a="1"/>
  <c r="H3" i="14" a="1"/>
  <c r="I17" i="14" a="1"/>
  <c r="G22" i="14" a="1"/>
  <c r="F26" i="14" a="1"/>
  <c r="K29" i="14" a="1"/>
  <c r="G33" i="14" a="1"/>
  <c r="K35" i="14" a="1"/>
  <c r="J38" i="14" a="1"/>
  <c r="I41" i="14" a="1"/>
  <c r="H44" i="14" a="1"/>
  <c r="K52" i="14" a="1"/>
  <c r="H55" i="14" a="1"/>
  <c r="I58" i="14" a="1"/>
  <c r="G66" i="14" a="1"/>
  <c r="H71" i="14" a="1"/>
  <c r="I76" i="14" a="1"/>
  <c r="E82" i="14" a="1"/>
  <c r="H84" i="14" a="1"/>
  <c r="F87" i="14" a="1"/>
  <c r="F89" i="14" a="1"/>
  <c r="H91" i="14" a="1"/>
  <c r="I97" i="14" a="1"/>
  <c r="K99" i="14" a="1"/>
  <c r="L101" i="14" a="1"/>
  <c r="L103" i="14" a="1"/>
  <c r="K105" i="14" a="1"/>
  <c r="I107" i="14" a="1"/>
  <c r="J109" i="14" a="1"/>
  <c r="H111" i="14" a="1"/>
  <c r="H5" i="14" a="1"/>
  <c r="F19" i="14" a="1"/>
  <c r="I23" i="14" a="1"/>
  <c r="E31" i="14" a="1"/>
  <c r="K33" i="14" a="1"/>
  <c r="I36" i="14" a="1"/>
  <c r="G42" i="14" a="1"/>
  <c r="F45" i="14" a="1"/>
  <c r="K47" i="14" a="1"/>
  <c r="E51" i="14" a="1"/>
  <c r="J61" i="14" a="1"/>
  <c r="H82" i="14" a="1"/>
  <c r="H87" i="14" a="1"/>
  <c r="J89" i="14" a="1"/>
  <c r="K91" i="14" a="1"/>
  <c r="F96" i="14" a="1"/>
  <c r="G98" i="14" a="1"/>
  <c r="G102" i="14" a="1"/>
  <c r="F106" i="14" a="1"/>
  <c r="G108" i="14" a="1"/>
  <c r="E110" i="14" a="1"/>
  <c r="E112" i="14" a="1"/>
  <c r="E117" i="14" a="1"/>
  <c r="I118" i="14" a="1"/>
  <c r="L122" i="14" a="1"/>
  <c r="F127" i="14" a="1"/>
  <c r="J128" i="14" a="1"/>
  <c r="E133" i="14" a="1"/>
  <c r="I134" i="14" a="1"/>
  <c r="G137" i="14" a="1"/>
  <c r="H138" i="14" a="1"/>
  <c r="K140" i="14" a="1"/>
  <c r="L141" i="14" a="1"/>
  <c r="E143" i="14" a="1"/>
  <c r="F144" i="14" a="1"/>
  <c r="G145" i="14" a="1"/>
  <c r="H146" i="14" a="1"/>
  <c r="K148" i="14" a="1"/>
  <c r="L149" i="14" a="1"/>
  <c r="E151" i="14" a="1"/>
  <c r="G6" i="14" a="1"/>
  <c r="K19" i="14" a="1"/>
  <c r="E24" i="14" a="1"/>
  <c r="I27" i="14" a="1"/>
  <c r="G31" i="14" a="1"/>
  <c r="E34" i="14" a="1"/>
  <c r="F37" i="14" a="1"/>
  <c r="I39" i="14" a="1"/>
  <c r="I42" i="14" a="1"/>
  <c r="F51" i="14" a="1"/>
  <c r="E54" i="14" a="1"/>
  <c r="J56" i="14" a="1"/>
  <c r="G59" i="14" a="1"/>
  <c r="F62" i="14" a="1"/>
  <c r="H13" i="14" a="1"/>
  <c r="G20" i="14" a="1"/>
  <c r="K27" i="14" a="1"/>
  <c r="F34" i="14" a="1"/>
  <c r="G37" i="14" a="1"/>
  <c r="K39" i="14" a="1"/>
  <c r="I45" i="14" a="1"/>
  <c r="H48" i="14" a="1"/>
  <c r="K56" i="14" a="1"/>
  <c r="J59" i="14" a="1"/>
  <c r="G62" i="14" a="1"/>
  <c r="K64" i="14" a="1"/>
  <c r="I67" i="14" a="1"/>
  <c r="E70" i="14" a="1"/>
  <c r="K72" i="14" a="1"/>
  <c r="F75" i="14" a="1"/>
  <c r="K77" i="14" a="1"/>
  <c r="G80" i="14" a="1"/>
  <c r="J85" i="14" a="1"/>
  <c r="F88" i="14" a="1"/>
  <c r="H94" i="14" a="1"/>
  <c r="J98" i="14" a="1"/>
  <c r="I100" i="14" a="1"/>
  <c r="J102" i="14" a="1"/>
  <c r="I104" i="14" a="1"/>
  <c r="I106" i="14" a="1"/>
  <c r="H112" i="14" a="1"/>
  <c r="G114" i="14" a="1"/>
  <c r="L115" i="14" a="1"/>
  <c r="F120" i="14" a="1"/>
  <c r="J121" i="14" a="1"/>
  <c r="E126" i="14" a="1"/>
  <c r="I127" i="14" a="1"/>
  <c r="L131" i="14" a="1"/>
  <c r="F136" i="14" a="1"/>
  <c r="I137" i="14" a="1"/>
  <c r="J138" i="14" a="1"/>
  <c r="I145" i="14" a="1"/>
  <c r="J146" i="14" a="1"/>
  <c r="G152" i="14" a="1"/>
  <c r="G153" i="14" a="1"/>
  <c r="G154" i="14" a="1"/>
  <c r="G155" i="14" a="1"/>
  <c r="G156" i="14" a="1"/>
  <c r="G157" i="14" a="1"/>
  <c r="G158" i="14" a="1"/>
  <c r="G159" i="14" a="1"/>
  <c r="G160" i="14" a="1"/>
  <c r="G161" i="14" a="1"/>
  <c r="G162" i="14" a="1"/>
  <c r="G163" i="14" a="1"/>
  <c r="G164" i="14" a="1"/>
  <c r="G165" i="14" a="1"/>
  <c r="G166" i="14" a="1"/>
  <c r="G167" i="14" a="1"/>
  <c r="G168" i="14" a="1"/>
  <c r="G169" i="14" a="1"/>
  <c r="G170" i="14" a="1"/>
  <c r="G171" i="14" a="1"/>
  <c r="G172" i="14" a="1"/>
  <c r="G173" i="14" a="1"/>
  <c r="G174" i="14" a="1"/>
  <c r="G175" i="14" a="1"/>
  <c r="G176" i="14" a="1"/>
  <c r="G177" i="14" a="1"/>
  <c r="G178" i="14" a="1"/>
  <c r="G179" i="14" a="1"/>
  <c r="G180" i="14" a="1"/>
  <c r="G181" i="14" a="1"/>
  <c r="G182" i="14" a="1"/>
  <c r="G183" i="14" a="1"/>
  <c r="G184" i="14" a="1"/>
  <c r="G185" i="14" a="1"/>
  <c r="G186" i="14" a="1"/>
  <c r="G187" i="14" a="1"/>
  <c r="G188" i="14" a="1"/>
  <c r="G189" i="14" a="1"/>
  <c r="G190" i="14" a="1"/>
  <c r="G191" i="14" a="1"/>
  <c r="G192" i="14" a="1"/>
  <c r="G193" i="14" a="1"/>
  <c r="G194" i="14" a="1"/>
  <c r="G195" i="14" a="1"/>
  <c r="G196" i="14" a="1"/>
  <c r="G197" i="14" a="1"/>
  <c r="G198" i="14" a="1"/>
  <c r="G199" i="14" a="1"/>
  <c r="G200" i="14" a="1"/>
  <c r="G201" i="14" a="1"/>
  <c r="G202" i="14" a="1"/>
  <c r="G203" i="14" a="1"/>
  <c r="G204" i="14" a="1"/>
  <c r="G205" i="14" a="1"/>
  <c r="G206" i="14" a="1"/>
  <c r="G207" i="14" a="1"/>
  <c r="G208" i="14" a="1"/>
  <c r="G209" i="14" a="1"/>
  <c r="G210" i="14" a="1"/>
  <c r="G211" i="14" a="1"/>
  <c r="G212" i="14" a="1"/>
  <c r="G213" i="14" a="1"/>
  <c r="G214" i="14" a="1"/>
  <c r="G215" i="14" a="1"/>
  <c r="G216" i="14" a="1"/>
  <c r="G217" i="14" a="1"/>
  <c r="G218" i="14" a="1"/>
  <c r="G219" i="14" a="1"/>
  <c r="G220" i="14" a="1"/>
  <c r="G221" i="14" a="1"/>
  <c r="G222" i="14" a="1"/>
  <c r="G223" i="14" a="1"/>
  <c r="G224" i="14" a="1"/>
  <c r="G225" i="14" a="1"/>
  <c r="G226" i="14" a="1"/>
  <c r="G227" i="14" a="1"/>
  <c r="G228" i="14" a="1"/>
  <c r="G229" i="14" a="1"/>
  <c r="G230" i="14" a="1"/>
  <c r="G7" i="14" a="1"/>
  <c r="K13" i="14" a="1"/>
  <c r="H20" i="14" a="1"/>
  <c r="E28" i="14" a="1"/>
  <c r="H31" i="14" a="1"/>
  <c r="I34" i="14" a="1"/>
  <c r="F43" i="14" a="1"/>
  <c r="J45" i="14" a="1"/>
  <c r="J48" i="14" a="1"/>
  <c r="G51" i="14" a="1"/>
  <c r="F54" i="14" a="1"/>
  <c r="E57" i="14" a="1"/>
  <c r="F65" i="14" a="1"/>
  <c r="J67" i="14" a="1"/>
  <c r="F70" i="14" a="1"/>
  <c r="F78" i="14" a="1"/>
  <c r="H80" i="14" a="1"/>
  <c r="K85" i="14" a="1"/>
  <c r="G90" i="14" a="1"/>
  <c r="H92" i="14" a="1"/>
  <c r="K98" i="14" a="1"/>
  <c r="J100" i="14" a="1"/>
  <c r="J104" i="14" a="1"/>
  <c r="J106" i="14" a="1"/>
  <c r="I108" i="14" a="1"/>
  <c r="I110" i="14" a="1"/>
  <c r="L118" i="14" a="1"/>
  <c r="F123" i="14" a="1"/>
  <c r="J124" i="14" a="1"/>
  <c r="E129" i="14" a="1"/>
  <c r="I130" i="14" a="1"/>
  <c r="L134" i="14" a="1"/>
  <c r="K138" i="14" a="1"/>
  <c r="L139" i="14" a="1"/>
  <c r="E141" i="14" a="1"/>
  <c r="F142" i="14" a="1"/>
  <c r="G143" i="14" a="1"/>
  <c r="H144" i="14" a="1"/>
  <c r="K146" i="14" a="1"/>
  <c r="L147" i="14" a="1"/>
  <c r="E149" i="14" a="1"/>
  <c r="F150" i="14" a="1"/>
  <c r="G151" i="14" a="1"/>
  <c r="E21" i="14" a="1"/>
  <c r="K24" i="14" a="1"/>
  <c r="G28" i="14" a="1"/>
  <c r="I31" i="14" a="1"/>
  <c r="J34" i="14" a="1"/>
  <c r="I37" i="14" a="1"/>
  <c r="H40" i="14" a="1"/>
  <c r="K48" i="14" a="1"/>
  <c r="I54" i="14" a="1"/>
  <c r="F57" i="14" a="1"/>
  <c r="I62" i="14" a="1"/>
  <c r="K67" i="14" a="1"/>
  <c r="G78" i="14" a="1"/>
  <c r="I80" i="14" a="1"/>
  <c r="I83" i="14" a="1"/>
  <c r="E86" i="14" a="1"/>
  <c r="G88" i="14" a="1"/>
  <c r="I94" i="14" a="1"/>
  <c r="K96" i="14" a="1"/>
  <c r="L98" i="14" a="1"/>
  <c r="L100" i="14" a="1"/>
  <c r="E103" i="14" a="1"/>
  <c r="K104" i="14" a="1"/>
  <c r="J108" i="14" a="1"/>
  <c r="J110" i="14" a="1"/>
  <c r="I112" i="14" a="1"/>
  <c r="F9" i="14" a="1"/>
  <c r="I15" i="14" a="1"/>
  <c r="K21" i="14" a="1"/>
  <c r="J25" i="14" a="1"/>
  <c r="E29" i="14" a="1"/>
  <c r="G35" i="14" a="1"/>
  <c r="E41" i="14" a="1"/>
  <c r="H43" i="14" a="1"/>
  <c r="H46" i="14" a="1"/>
  <c r="G49" i="14" a="1"/>
  <c r="G52" i="14" a="1"/>
  <c r="H60" i="14" a="1"/>
  <c r="J65" i="14" a="1"/>
  <c r="E68" i="14" a="1"/>
  <c r="E71" i="14" a="1"/>
  <c r="F76" i="14" a="1"/>
  <c r="J78" i="14" a="1"/>
  <c r="G81" i="14" a="1"/>
  <c r="H86" i="14" a="1"/>
  <c r="J88" i="14" a="1"/>
  <c r="J90" i="14" a="1"/>
  <c r="L94" i="14" a="1"/>
  <c r="G97" i="14" a="1"/>
  <c r="G103" i="14" a="1"/>
  <c r="G105" i="14" a="1"/>
  <c r="F111" i="14" a="1"/>
  <c r="L114" i="14" a="1"/>
  <c r="F119" i="14" a="1"/>
  <c r="J120" i="14" a="1"/>
  <c r="E125" i="14" a="1"/>
  <c r="I126" i="14" a="1"/>
  <c r="L130" i="14" a="1"/>
  <c r="F135" i="14" a="1"/>
  <c r="J136" i="14" a="1"/>
  <c r="L137" i="14" a="1"/>
  <c r="E139" i="14" a="1"/>
  <c r="F140" i="14" a="1"/>
  <c r="G141" i="14" a="1"/>
  <c r="H142" i="14" a="1"/>
  <c r="K144" i="14" a="1"/>
  <c r="L145" i="14" a="1"/>
  <c r="E147" i="14" a="1"/>
  <c r="F148" i="14" a="1"/>
  <c r="G149" i="14" a="1"/>
  <c r="H150" i="14" a="1"/>
  <c r="J28" i="14" a="1"/>
  <c r="K41" i="14" a="1"/>
  <c r="G48" i="14" a="1"/>
  <c r="E55" i="14" a="1"/>
  <c r="F61" i="14" a="1"/>
  <c r="E66" i="14" a="1"/>
  <c r="I70" i="14" a="1"/>
  <c r="E80" i="14" a="1"/>
  <c r="K88" i="14" a="1"/>
  <c r="I92" i="14" a="1"/>
  <c r="H103" i="14" a="1"/>
  <c r="F107" i="14" a="1"/>
  <c r="G110" i="14" a="1"/>
  <c r="K113" i="14" a="1"/>
  <c r="F118" i="14" a="1"/>
  <c r="I122" i="14" a="1"/>
  <c r="I124" i="14" a="1"/>
  <c r="J126" i="14" a="1"/>
  <c r="F137" i="14" a="1"/>
  <c r="L138" i="14" a="1"/>
  <c r="I140" i="14" a="1"/>
  <c r="L143" i="14" a="1"/>
  <c r="H145" i="14" a="1"/>
  <c r="F147" i="14" a="1"/>
  <c r="I150" i="14" a="1"/>
  <c r="E152" i="14" a="1"/>
  <c r="I153" i="14" a="1"/>
  <c r="L157" i="14" a="1"/>
  <c r="H159" i="14" a="1"/>
  <c r="F165" i="14" a="1"/>
  <c r="K4" i="14" a="1"/>
  <c r="G21" i="14" a="1"/>
  <c r="G36" i="14" a="1"/>
  <c r="H42" i="14" a="1"/>
  <c r="F49" i="14" a="1"/>
  <c r="E56" i="14" a="1"/>
  <c r="I61" i="14" a="1"/>
  <c r="G71" i="14" a="1"/>
  <c r="E85" i="14" a="1"/>
  <c r="G89" i="14" a="1"/>
  <c r="F93" i="14" a="1"/>
  <c r="L96" i="14" a="1"/>
  <c r="H100" i="14" a="1"/>
  <c r="E104" i="14" a="1"/>
  <c r="E111" i="14" a="1"/>
  <c r="E114" i="14" a="1"/>
  <c r="J122" i="14" a="1"/>
  <c r="L124" i="14" a="1"/>
  <c r="F131" i="14" a="1"/>
  <c r="F133" i="14" a="1"/>
  <c r="J140" i="14" a="1"/>
  <c r="K5" i="14" a="1"/>
  <c r="J7" i="14" a="1"/>
  <c r="J36" i="14" a="1"/>
  <c r="F50" i="14" a="1"/>
  <c r="G56" i="14" a="1"/>
  <c r="J62" i="14" a="1"/>
  <c r="I71" i="14" a="1"/>
  <c r="H76" i="14" a="1"/>
  <c r="I89" i="14" a="1"/>
  <c r="H93" i="14" a="1"/>
  <c r="H104" i="14" a="1"/>
  <c r="G111" i="14" a="1"/>
  <c r="I114" i="14" a="1"/>
  <c r="J116" i="14" a="1"/>
  <c r="J118" i="14" a="1"/>
  <c r="L120" i="14" a="1"/>
  <c r="J135" i="14" a="1"/>
  <c r="J137" i="14" a="1"/>
  <c r="G139" i="14" a="1"/>
  <c r="L140" i="14" a="1"/>
  <c r="I147" i="14" a="1"/>
  <c r="L150" i="14" a="1"/>
  <c r="H8" i="14" a="1"/>
  <c r="K37" i="14" a="1"/>
  <c r="J50" i="14" a="1"/>
  <c r="G57" i="14" a="1"/>
  <c r="H72" i="14" a="1"/>
  <c r="J81" i="14" a="1"/>
  <c r="F90" i="14" a="1"/>
  <c r="L93" i="14" a="1"/>
  <c r="J97" i="14" a="1"/>
  <c r="I101" i="14" a="1"/>
  <c r="L111" i="14" a="1"/>
  <c r="K114" i="14" a="1"/>
  <c r="L116" i="14" a="1"/>
  <c r="E119" i="14" a="1"/>
  <c r="J131" i="14" a="1"/>
  <c r="L133" i="14" a="1"/>
  <c r="L135" i="14" a="1"/>
  <c r="H139" i="14" a="1"/>
  <c r="F141" i="14" a="1"/>
  <c r="I144" i="14" a="1"/>
  <c r="F146" i="14" a="1"/>
  <c r="K147" i="14" a="1"/>
  <c r="H149" i="14" a="1"/>
  <c r="J152" i="14" a="1"/>
  <c r="E154" i="14" a="1"/>
  <c r="I155" i="14" a="1"/>
  <c r="L159" i="14" a="1"/>
  <c r="H161" i="14" a="1"/>
  <c r="F167" i="14" a="1"/>
  <c r="J168" i="14" a="1"/>
  <c r="E170" i="14" a="1"/>
  <c r="I171" i="14" a="1"/>
  <c r="L175" i="14" a="1"/>
  <c r="H177" i="14" a="1"/>
  <c r="J181" i="14" a="1"/>
  <c r="L182" i="14" a="1"/>
  <c r="J185" i="14" a="1"/>
  <c r="L186" i="14" a="1"/>
  <c r="J189" i="14" a="1"/>
  <c r="L190" i="14" a="1"/>
  <c r="J193" i="14" a="1"/>
  <c r="L194" i="14" a="1"/>
  <c r="J197" i="14" a="1"/>
  <c r="L198" i="14" a="1"/>
  <c r="J201" i="14" a="1"/>
  <c r="L202" i="14" a="1"/>
  <c r="J205" i="14" a="1"/>
  <c r="L206" i="14" a="1"/>
  <c r="I209" i="14" a="1"/>
  <c r="K210" i="14" a="1"/>
  <c r="L216" i="14" a="1"/>
  <c r="F218" i="14" a="1"/>
  <c r="H219" i="14" a="1"/>
  <c r="J220" i="14" a="1"/>
  <c r="E223" i="14" a="1"/>
  <c r="I225" i="14" a="1"/>
  <c r="K226" i="14" a="1"/>
  <c r="J231" i="14" a="1"/>
  <c r="K232" i="14" a="1"/>
  <c r="L233" i="14" a="1"/>
  <c r="E235" i="14" a="1"/>
  <c r="J239" i="14" a="1"/>
  <c r="K240" i="14" a="1"/>
  <c r="L241" i="14" a="1"/>
  <c r="E243" i="14" a="1"/>
  <c r="J247" i="14" a="1"/>
  <c r="K248" i="14" a="1"/>
  <c r="L249" i="14" a="1"/>
  <c r="E251" i="14" a="1"/>
  <c r="J255" i="14" a="1"/>
  <c r="K256" i="14" a="1"/>
  <c r="L257" i="14" a="1"/>
  <c r="E259" i="14" a="1"/>
  <c r="J263" i="14" a="1"/>
  <c r="K264" i="14" a="1"/>
  <c r="L265" i="14" a="1"/>
  <c r="E267" i="14" a="1"/>
  <c r="F268" i="14" a="1"/>
  <c r="G11" i="14" a="1"/>
  <c r="H23" i="14" a="1"/>
  <c r="K31" i="14" a="1"/>
  <c r="K44" i="14" a="1"/>
  <c r="I57" i="14" a="1"/>
  <c r="I86" i="14" a="1"/>
  <c r="H90" i="14" a="1"/>
  <c r="F94" i="14" a="1"/>
  <c r="K97" i="14" a="1"/>
  <c r="J101" i="14" a="1"/>
  <c r="H108" i="14" a="1"/>
  <c r="F121" i="14" a="1"/>
  <c r="I125" i="14" a="1"/>
  <c r="J127" i="14" a="1"/>
  <c r="E136" i="14" a="1"/>
  <c r="I139" i="14" a="1"/>
  <c r="L142" i="14" a="1"/>
  <c r="F151" i="14" a="1"/>
  <c r="K23" i="14" a="1"/>
  <c r="F39" i="14" a="1"/>
  <c r="E45" i="14" a="1"/>
  <c r="I51" i="14" a="1"/>
  <c r="E58" i="14" a="1"/>
  <c r="E64" i="14" a="1"/>
  <c r="G68" i="14" a="1"/>
  <c r="I77" i="14" a="1"/>
  <c r="G82" i="14" a="1"/>
  <c r="K108" i="14" a="1"/>
  <c r="G112" i="14" a="1"/>
  <c r="E115" i="14" a="1"/>
  <c r="I123" i="14" a="1"/>
  <c r="L129" i="14" a="1"/>
  <c r="E132" i="14" a="1"/>
  <c r="E138" i="14" a="1"/>
  <c r="J139" i="14" a="1"/>
  <c r="J144" i="14" a="1"/>
  <c r="G146" i="14" a="1"/>
  <c r="E148" i="14" a="1"/>
  <c r="J149" i="14" a="1"/>
  <c r="F157" i="14" a="1"/>
  <c r="J158" i="14" a="1"/>
  <c r="E160" i="14" a="1"/>
  <c r="I161" i="14" a="1"/>
  <c r="L165" i="14" a="1"/>
  <c r="H167" i="14" a="1"/>
  <c r="F173" i="14" a="1"/>
  <c r="J174" i="14" a="1"/>
  <c r="E176" i="14" a="1"/>
  <c r="I177" i="14" a="1"/>
  <c r="K181" i="14" a="1"/>
  <c r="E183" i="14" a="1"/>
  <c r="K185" i="14" a="1"/>
  <c r="E187" i="14" a="1"/>
  <c r="K189" i="14" a="1"/>
  <c r="E191" i="14" a="1"/>
  <c r="K193" i="14" a="1"/>
  <c r="E195" i="14" a="1"/>
  <c r="K197" i="14" a="1"/>
  <c r="E199" i="14" a="1"/>
  <c r="K201" i="14" a="1"/>
  <c r="E203" i="14" a="1"/>
  <c r="K205" i="14" a="1"/>
  <c r="E207" i="14" a="1"/>
  <c r="L210" i="14" a="1"/>
  <c r="F212" i="14" a="1"/>
  <c r="H213" i="14" a="1"/>
  <c r="J214" i="14" a="1"/>
  <c r="E217" i="14" a="1"/>
  <c r="I219" i="14" a="1"/>
  <c r="K220" i="14" a="1"/>
  <c r="L226" i="14" a="1"/>
  <c r="F228" i="14" a="1"/>
  <c r="K11" i="14" a="1"/>
  <c r="F25" i="14" a="1"/>
  <c r="I32" i="14" a="1"/>
  <c r="G45" i="14" a="1"/>
  <c r="J58" i="14" a="1"/>
  <c r="K68" i="14" a="1"/>
  <c r="J77" i="14" a="1"/>
  <c r="J94" i="14" a="1"/>
  <c r="E102" i="14" a="1"/>
  <c r="I105" i="14" a="1"/>
  <c r="F115" i="14" a="1"/>
  <c r="F117" i="14" a="1"/>
  <c r="I121" i="14" a="1"/>
  <c r="J123" i="14" a="1"/>
  <c r="J125" i="14" a="1"/>
  <c r="L127" i="14" a="1"/>
  <c r="F134" i="14" a="1"/>
  <c r="F138" i="14" a="1"/>
  <c r="K139" i="14" a="1"/>
  <c r="H141" i="14" a="1"/>
  <c r="K149" i="14" a="1"/>
  <c r="H151" i="14" a="1"/>
  <c r="L152" i="14" a="1"/>
  <c r="H154" i="14" a="1"/>
  <c r="F160" i="14" a="1"/>
  <c r="J161" i="14" a="1"/>
  <c r="E163" i="14" a="1"/>
  <c r="J12" i="14" a="1"/>
  <c r="I25" i="14" a="1"/>
  <c r="G39" i="14" a="1"/>
  <c r="F46" i="14" a="1"/>
  <c r="F64" i="14" a="1"/>
  <c r="F69" i="14" a="1"/>
  <c r="H73" i="14" a="1"/>
  <c r="I82" i="14" a="1"/>
  <c r="G87" i="14" a="1"/>
  <c r="F91" i="14" a="1"/>
  <c r="K94" i="14" a="1"/>
  <c r="H98" i="14" a="1"/>
  <c r="F102" i="14" a="1"/>
  <c r="L105" i="14" a="1"/>
  <c r="G109" i="14" a="1"/>
  <c r="J112" i="14" a="1"/>
  <c r="I117" i="14" a="1"/>
  <c r="L125" i="14" a="1"/>
  <c r="E128" i="14" a="1"/>
  <c r="E130" i="14" a="1"/>
  <c r="F132" i="14" a="1"/>
  <c r="I136" i="14" a="1"/>
  <c r="F143" i="14" a="1"/>
  <c r="L144" i="14" a="1"/>
  <c r="I146" i="14" a="1"/>
  <c r="I151" i="14" a="1"/>
  <c r="L155" i="14" a="1"/>
  <c r="H157" i="14" a="1"/>
  <c r="F163" i="14" a="1"/>
  <c r="J164" i="14" a="1"/>
  <c r="E166" i="14" a="1"/>
  <c r="I167" i="14" a="1"/>
  <c r="L171" i="14" a="1"/>
  <c r="H173" i="14" a="1"/>
  <c r="F179" i="14" a="1"/>
  <c r="J180" i="14" a="1"/>
  <c r="L181" i="14" a="1"/>
  <c r="J184" i="14" a="1"/>
  <c r="L185" i="14" a="1"/>
  <c r="J188" i="14" a="1"/>
  <c r="L189" i="14" a="1"/>
  <c r="J192" i="14" a="1"/>
  <c r="L193" i="14" a="1"/>
  <c r="J196" i="14" a="1"/>
  <c r="L197" i="14" a="1"/>
  <c r="J200" i="14" a="1"/>
  <c r="L201" i="14" a="1"/>
  <c r="J204" i="14" a="1"/>
  <c r="L205" i="14" a="1"/>
  <c r="J208" i="14" a="1"/>
  <c r="E211" i="14" a="1"/>
  <c r="I213" i="14" a="1"/>
  <c r="K214" i="14" a="1"/>
  <c r="L220" i="14" a="1"/>
  <c r="F222" i="14" a="1"/>
  <c r="H223" i="14" a="1"/>
  <c r="J224" i="14" a="1"/>
  <c r="E227" i="14" a="1"/>
  <c r="I229" i="14" a="1"/>
  <c r="K230" i="14" a="1"/>
  <c r="L231" i="14" a="1"/>
  <c r="E233" i="14" a="1"/>
  <c r="J237" i="14" a="1"/>
  <c r="K238" i="14" a="1"/>
  <c r="L239" i="14" a="1"/>
  <c r="E241" i="14" a="1"/>
  <c r="J245" i="14" a="1"/>
  <c r="K246" i="14" a="1"/>
  <c r="L247" i="14" a="1"/>
  <c r="E249" i="14" a="1"/>
  <c r="J253" i="14" a="1"/>
  <c r="K254" i="14" a="1"/>
  <c r="L255" i="14" a="1"/>
  <c r="E257" i="14" a="1"/>
  <c r="J261" i="14" a="1"/>
  <c r="K262" i="14" a="1"/>
  <c r="L263" i="14" a="1"/>
  <c r="E265" i="14" a="1"/>
  <c r="H268" i="14" a="1"/>
  <c r="K14" i="14" a="1"/>
  <c r="H15" i="14" a="1"/>
  <c r="E27" i="14" a="1"/>
  <c r="J33" i="14" a="1"/>
  <c r="E47" i="14" a="1"/>
  <c r="F53" i="14" a="1"/>
  <c r="F59" i="14" a="1"/>
  <c r="H64" i="14" a="1"/>
  <c r="F74" i="14" a="1"/>
  <c r="K78" i="14" a="1"/>
  <c r="J83" i="14" a="1"/>
  <c r="I91" i="14" a="1"/>
  <c r="F99" i="14" a="1"/>
  <c r="I102" i="14" a="1"/>
  <c r="E106" i="14" a="1"/>
  <c r="K109" i="14" a="1"/>
  <c r="I115" i="14" a="1"/>
  <c r="J117" i="14" a="1"/>
  <c r="E124" i="14" a="1"/>
  <c r="F126" i="14" a="1"/>
  <c r="I132" i="14" a="1"/>
  <c r="K141" i="14" a="1"/>
  <c r="F16" i="14" a="1"/>
  <c r="I40" i="14" a="1"/>
  <c r="G47" i="14" a="1"/>
  <c r="G53" i="14" a="1"/>
  <c r="G60" i="14" a="1"/>
  <c r="G65" i="14" a="1"/>
  <c r="J69" i="14" a="1"/>
  <c r="I74" i="14" a="1"/>
  <c r="K83" i="14" a="1"/>
  <c r="K87" i="14" a="1"/>
  <c r="J91" i="14" a="1"/>
  <c r="K95" i="14" a="1"/>
  <c r="G99" i="14" a="1"/>
  <c r="F103" i="14" a="1"/>
  <c r="G106" i="14" a="1"/>
  <c r="L109" i="14" a="1"/>
  <c r="G113" i="14" a="1"/>
  <c r="J115" i="14" a="1"/>
  <c r="L117" i="14" a="1"/>
  <c r="L119" i="14" a="1"/>
  <c r="E122" i="14" a="1"/>
  <c r="J132" i="14" a="1"/>
  <c r="J134" i="14" a="1"/>
  <c r="L136" i="14" a="1"/>
  <c r="I138" i="14" a="1"/>
  <c r="I143" i="14" a="1"/>
  <c r="F145" i="14" a="1"/>
  <c r="L146" i="14" a="1"/>
  <c r="I148" i="14" a="1"/>
  <c r="F156" i="14" a="1"/>
  <c r="J157" i="14" a="1"/>
  <c r="E159" i="14" a="1"/>
  <c r="I160" i="14" a="1"/>
  <c r="L164" i="14" a="1"/>
  <c r="H166" i="14" a="1"/>
  <c r="F172" i="14" a="1"/>
  <c r="J173" i="14" a="1"/>
  <c r="E175" i="14" a="1"/>
  <c r="I176" i="14" a="1"/>
  <c r="F182" i="14" a="1"/>
  <c r="I183" i="14" a="1"/>
  <c r="F186" i="14" a="1"/>
  <c r="I187" i="14" a="1"/>
  <c r="F190" i="14" a="1"/>
  <c r="I191" i="14" a="1"/>
  <c r="F194" i="14" a="1"/>
  <c r="I195" i="14" a="1"/>
  <c r="F198" i="14" a="1"/>
  <c r="I199" i="14" a="1"/>
  <c r="F202" i="14" a="1"/>
  <c r="I203" i="14" a="1"/>
  <c r="F206" i="14" a="1"/>
  <c r="I207" i="14" a="1"/>
  <c r="E210" i="14" a="1"/>
  <c r="I212" i="14" a="1"/>
  <c r="K213" i="14" a="1"/>
  <c r="L219" i="14" a="1"/>
  <c r="F221" i="14" a="1"/>
  <c r="H222" i="14" a="1"/>
  <c r="J223" i="14" a="1"/>
  <c r="E226" i="14" a="1"/>
  <c r="I228" i="14" a="1"/>
  <c r="K229" i="14" a="1"/>
  <c r="F232" i="14" a="1"/>
  <c r="G233" i="14" a="1"/>
  <c r="H234" i="14" a="1"/>
  <c r="I235" i="14" a="1"/>
  <c r="F240" i="14" a="1"/>
  <c r="G241" i="14" a="1"/>
  <c r="H242" i="14" a="1"/>
  <c r="I243" i="14" a="1"/>
  <c r="F248" i="14" a="1"/>
  <c r="G249" i="14" a="1"/>
  <c r="H250" i="14" a="1"/>
  <c r="I251" i="14" a="1"/>
  <c r="F256" i="14" a="1"/>
  <c r="G257" i="14" a="1"/>
  <c r="H258" i="14" a="1"/>
  <c r="I259" i="14" a="1"/>
  <c r="F264" i="14" a="1"/>
  <c r="G265" i="14" a="1"/>
  <c r="H266" i="14" a="1"/>
  <c r="I267" i="14" a="1"/>
  <c r="J268" i="14" a="1"/>
  <c r="J269" i="14" a="1"/>
  <c r="J270" i="14" a="1"/>
  <c r="J271" i="14" a="1"/>
  <c r="J272" i="14" a="1"/>
  <c r="J273" i="14" a="1"/>
  <c r="J274" i="14" a="1"/>
  <c r="J275" i="14" a="1"/>
  <c r="J276" i="14" a="1"/>
  <c r="J277" i="14" a="1"/>
  <c r="J278" i="14" a="1"/>
  <c r="J279" i="14" a="1"/>
  <c r="J280" i="14" a="1"/>
  <c r="J281" i="14" a="1"/>
  <c r="J282" i="14" a="1"/>
  <c r="J283" i="14" a="1"/>
  <c r="J284" i="14" a="1"/>
  <c r="J285" i="14" a="1"/>
  <c r="J286" i="14" a="1"/>
  <c r="J287" i="14" a="1"/>
  <c r="J288" i="14" a="1"/>
  <c r="J289" i="14" a="1"/>
  <c r="J290" i="14" a="1"/>
  <c r="J291" i="14" a="1"/>
  <c r="J292" i="14" a="1"/>
  <c r="J293" i="14" a="1"/>
  <c r="J294" i="14" a="1"/>
  <c r="J295" i="14" a="1"/>
  <c r="J296" i="14" a="1"/>
  <c r="J297" i="14" a="1"/>
  <c r="J298" i="14" a="1"/>
  <c r="J299" i="14" a="1"/>
  <c r="J300" i="14" a="1"/>
  <c r="J17" i="14" a="1"/>
  <c r="J37" i="14" a="1"/>
  <c r="F55" i="14" a="1"/>
  <c r="K69" i="14" a="1"/>
  <c r="L92" i="14" a="1"/>
  <c r="I111" i="14" a="1"/>
  <c r="F124" i="14" a="1"/>
  <c r="I129" i="14" a="1"/>
  <c r="G140" i="14" a="1"/>
  <c r="G147" i="14" a="1"/>
  <c r="J153" i="14" a="1"/>
  <c r="F158" i="14" a="1"/>
  <c r="J160" i="14" a="1"/>
  <c r="H39" i="14" a="1"/>
  <c r="H70" i="14" a="1"/>
  <c r="K112" i="14" a="1"/>
  <c r="F130" i="14" a="1"/>
  <c r="I19" i="14" a="1"/>
  <c r="F41" i="14" a="1"/>
  <c r="I56" i="14" a="1"/>
  <c r="I93" i="14" a="1"/>
  <c r="I113" i="14" a="1"/>
  <c r="E42" i="14" a="1"/>
  <c r="L95" i="14" a="1"/>
  <c r="L113" i="14" a="1"/>
  <c r="E120" i="14" a="1"/>
  <c r="F125" i="14" a="1"/>
  <c r="E131" i="14" a="1"/>
  <c r="E137" i="14" a="1"/>
  <c r="E145" i="14" a="1"/>
  <c r="G148" i="14" a="1"/>
  <c r="F27" i="14" a="1"/>
  <c r="I43" i="14" a="1"/>
  <c r="J74" i="14" a="1"/>
  <c r="G96" i="14" a="1"/>
  <c r="I120" i="14" a="1"/>
  <c r="I131" i="14" a="1"/>
  <c r="L151" i="14" a="1"/>
  <c r="I154" i="14" a="1"/>
  <c r="F159" i="14" a="1"/>
  <c r="L167" i="14" a="1"/>
  <c r="J171" i="14" a="1"/>
  <c r="I175" i="14" a="1"/>
  <c r="I179" i="14" a="1"/>
  <c r="L184" i="14" a="1"/>
  <c r="J186" i="14" a="1"/>
  <c r="H188" i="14" a="1"/>
  <c r="L191" i="14" a="1"/>
  <c r="J195" i="14" a="1"/>
  <c r="L200" i="14" a="1"/>
  <c r="J202" i="14" a="1"/>
  <c r="H204" i="14" a="1"/>
  <c r="L207" i="14" a="1"/>
  <c r="J209" i="14" a="1"/>
  <c r="H211" i="14" a="1"/>
  <c r="L212" i="14" a="1"/>
  <c r="I214" i="14" a="1"/>
  <c r="K222" i="14" a="1"/>
  <c r="H224" i="14" a="1"/>
  <c r="F226" i="14" a="1"/>
  <c r="G232" i="14" a="1"/>
  <c r="J233" i="14" a="1"/>
  <c r="H236" i="14" a="1"/>
  <c r="L237" i="14" a="1"/>
  <c r="G239" i="14" a="1"/>
  <c r="J240" i="14" a="1"/>
  <c r="E242" i="14" a="1"/>
  <c r="L244" i="14" a="1"/>
  <c r="G246" i="14" a="1"/>
  <c r="F249" i="14" a="1"/>
  <c r="I250" i="14" a="1"/>
  <c r="L251" i="14" a="1"/>
  <c r="G253" i="14" a="1"/>
  <c r="I257" i="14" a="1"/>
  <c r="L258" i="14" a="1"/>
  <c r="K261" i="14" a="1"/>
  <c r="I264" i="14" a="1"/>
  <c r="H267" i="14" a="1"/>
  <c r="K268" i="14" a="1"/>
  <c r="F271" i="14" a="1"/>
  <c r="H272" i="14" a="1"/>
  <c r="L274" i="14" a="1"/>
  <c r="E281" i="14" a="1"/>
  <c r="G282" i="14" a="1"/>
  <c r="I283" i="14" a="1"/>
  <c r="K284" i="14" a="1"/>
  <c r="F287" i="14" a="1"/>
  <c r="H27" i="14" a="1"/>
  <c r="G46" i="14" a="1"/>
  <c r="E62" i="14" a="1"/>
  <c r="E75" i="14" a="1"/>
  <c r="E107" i="14" a="1"/>
  <c r="H137" i="14" a="1"/>
  <c r="E142" i="14" a="1"/>
  <c r="J148" i="14" a="1"/>
  <c r="K28" i="14" a="1"/>
  <c r="K62" i="14" a="1"/>
  <c r="H97" i="14" a="1"/>
  <c r="G107" i="14" a="1"/>
  <c r="E121" i="14" a="1"/>
  <c r="L126" i="14" a="1"/>
  <c r="K137" i="14" a="1"/>
  <c r="G142" i="14" a="1"/>
  <c r="J145" i="14" a="1"/>
  <c r="L148" i="14" a="1"/>
  <c r="F152" i="14" a="1"/>
  <c r="L156" i="14" a="1"/>
  <c r="F166" i="14" a="1"/>
  <c r="E168" i="14" a="1"/>
  <c r="L169" i="14" a="1"/>
  <c r="L173" i="14" a="1"/>
  <c r="H183" i="14" a="1"/>
  <c r="E185" i="14" a="1"/>
  <c r="K186" i="14" a="1"/>
  <c r="E192" i="14" a="1"/>
  <c r="K195" i="14" a="1"/>
  <c r="H199" i="14" a="1"/>
  <c r="E201" i="14" a="1"/>
  <c r="K202" i="14" a="1"/>
  <c r="E208" i="14" a="1"/>
  <c r="L209" i="14" a="1"/>
  <c r="I211" i="14" a="1"/>
  <c r="E213" i="14" a="1"/>
  <c r="K219" i="14" a="1"/>
  <c r="H221" i="14" a="1"/>
  <c r="L222" i="14" a="1"/>
  <c r="E231" i="14" a="1"/>
  <c r="H232" i="14" a="1"/>
  <c r="K233" i="14" a="1"/>
  <c r="J236" i="14" a="1"/>
  <c r="E238" i="14" a="1"/>
  <c r="H239" i="14" a="1"/>
  <c r="G242" i="14" a="1"/>
  <c r="E245" i="14" a="1"/>
  <c r="H246" i="14" a="1"/>
  <c r="E252" i="14" a="1"/>
  <c r="L254" i="14" a="1"/>
  <c r="F259" i="14" a="1"/>
  <c r="I260" i="14" a="1"/>
  <c r="F266" i="14" a="1"/>
  <c r="J267" i="14" a="1"/>
  <c r="L268" i="14" a="1"/>
  <c r="E275" i="14" a="1"/>
  <c r="G276" i="14" a="1"/>
  <c r="I277" i="14" a="1"/>
  <c r="K278" i="14" a="1"/>
  <c r="F281" i="14" a="1"/>
  <c r="H282" i="14" a="1"/>
  <c r="L284" i="14" a="1"/>
  <c r="H47" i="14" a="1"/>
  <c r="G64" i="14" a="1"/>
  <c r="I88" i="14" a="1"/>
  <c r="L107" i="14" a="1"/>
  <c r="E116" i="14" a="1"/>
  <c r="L121" i="14" a="1"/>
  <c r="E127" i="14" a="1"/>
  <c r="L132" i="14" a="1"/>
  <c r="G138" i="14" a="1"/>
  <c r="K145" i="14" a="1"/>
  <c r="L154" i="14" a="1"/>
  <c r="E157" i="14" a="1"/>
  <c r="I159" i="14" a="1"/>
  <c r="L161" i="14" a="1"/>
  <c r="E164" i="14" a="1"/>
  <c r="F168" i="14" a="1"/>
  <c r="E172" i="14" a="1"/>
  <c r="L177" i="14" a="1"/>
  <c r="I181" i="14" a="1"/>
  <c r="F185" i="14" a="1"/>
  <c r="K188" i="14" a="1"/>
  <c r="I190" i="14" a="1"/>
  <c r="F192" i="14" a="1"/>
  <c r="E194" i="14" a="1"/>
  <c r="I197" i="14" a="1"/>
  <c r="F201" i="14" a="1"/>
  <c r="K204" i="14" a="1"/>
  <c r="I206" i="14" a="1"/>
  <c r="F208" i="14" a="1"/>
  <c r="J211" i="14" a="1"/>
  <c r="F213" i="14" a="1"/>
  <c r="L214" i="14" a="1"/>
  <c r="I216" i="14" a="1"/>
  <c r="E218" i="14" a="1"/>
  <c r="K224" i="14" a="1"/>
  <c r="H226" i="14" a="1"/>
  <c r="L227" i="14" a="1"/>
  <c r="J229" i="14" a="1"/>
  <c r="F231" i="14" a="1"/>
  <c r="G235" i="14" a="1"/>
  <c r="K236" i="14" a="1"/>
  <c r="F238" i="14" a="1"/>
  <c r="L240" i="14" a="1"/>
  <c r="K243" i="14" a="1"/>
  <c r="F245" i="14" a="1"/>
  <c r="I246" i="14" a="1"/>
  <c r="H249" i="14" a="1"/>
  <c r="K250" i="14" a="1"/>
  <c r="F252" i="14" a="1"/>
  <c r="I253" i="14" a="1"/>
  <c r="E255" i="14" a="1"/>
  <c r="H256" i="14" a="1"/>
  <c r="K257" i="14" a="1"/>
  <c r="J260" i="14" a="1"/>
  <c r="E262" i="14" a="1"/>
  <c r="H263" i="14" a="1"/>
  <c r="G266" i="14" a="1"/>
  <c r="F270" i="14" a="1"/>
  <c r="H271" i="14" a="1"/>
  <c r="L273" i="14" a="1"/>
  <c r="E280" i="14" a="1"/>
  <c r="G281" i="14" a="1"/>
  <c r="I282" i="14" a="1"/>
  <c r="K283" i="14" a="1"/>
  <c r="F286" i="14" a="1"/>
  <c r="H287" i="14" a="1"/>
  <c r="L289" i="14" a="1"/>
  <c r="E296" i="14" a="1"/>
  <c r="G297" i="14" a="1"/>
  <c r="I298" i="14" a="1"/>
  <c r="J30" i="14" a="1"/>
  <c r="E49" i="14" a="1"/>
  <c r="K76" i="14" a="1"/>
  <c r="L88" i="14" a="1"/>
  <c r="H99" i="14" a="1"/>
  <c r="E108" i="14" a="1"/>
  <c r="F116" i="14" a="1"/>
  <c r="F122" i="14" a="1"/>
  <c r="I142" i="14" a="1"/>
  <c r="F149" i="14" a="1"/>
  <c r="H152" i="14" a="1"/>
  <c r="E155" i="14" a="1"/>
  <c r="J159" i="14" a="1"/>
  <c r="E162" i="14" a="1"/>
  <c r="I33" i="14" a="1"/>
  <c r="I78" i="14" a="1"/>
  <c r="L99" i="14" a="1"/>
  <c r="I116" i="14" a="1"/>
  <c r="E35" i="14" a="1"/>
  <c r="G50" i="14" a="1"/>
  <c r="G100" i="14" a="1"/>
  <c r="E53" i="14" a="1"/>
  <c r="K66" i="14" a="1"/>
  <c r="I79" i="14" a="1"/>
  <c r="F110" i="14" a="1"/>
  <c r="F139" i="14" a="1"/>
  <c r="H143" i="14" a="1"/>
  <c r="E150" i="14" a="1"/>
  <c r="F153" i="14" a="1"/>
  <c r="H155" i="14" a="1"/>
  <c r="I168" i="14" a="1"/>
  <c r="J170" i="14" a="1"/>
  <c r="I172" i="14" a="1"/>
  <c r="H174" i="14" a="1"/>
  <c r="H178" i="14" a="1"/>
  <c r="F180" i="14" a="1"/>
  <c r="E182" i="14" a="1"/>
  <c r="I185" i="14" a="1"/>
  <c r="F189" i="14" a="1"/>
  <c r="K192" i="14" a="1"/>
  <c r="I194" i="14" a="1"/>
  <c r="F196" i="14" a="1"/>
  <c r="E198" i="14" a="1"/>
  <c r="I201" i="14" a="1"/>
  <c r="F205" i="14" a="1"/>
  <c r="K208" i="14" a="1"/>
  <c r="H210" i="14" a="1"/>
  <c r="L211" i="14" a="1"/>
  <c r="J218" i="14" a="1"/>
  <c r="K221" i="14" a="1"/>
  <c r="I223" i="14" a="1"/>
  <c r="F225" i="14" a="1"/>
  <c r="H231" i="14" a="1"/>
  <c r="G234" i="14" a="1"/>
  <c r="E237" i="14" a="1"/>
  <c r="H238" i="14" a="1"/>
  <c r="E244" i="14" a="1"/>
  <c r="L246" i="14" a="1"/>
  <c r="F251" i="14" a="1"/>
  <c r="I252" i="14" a="1"/>
  <c r="F258" i="14" a="1"/>
  <c r="J259" i="14" a="1"/>
  <c r="K263" i="14" a="1"/>
  <c r="J266" i="14" a="1"/>
  <c r="G269" i="14" a="1"/>
  <c r="I270" i="14" a="1"/>
  <c r="K271" i="14" a="1"/>
  <c r="F274" i="14" a="1"/>
  <c r="H275" i="14" a="1"/>
  <c r="L277" i="14" a="1"/>
  <c r="E284" i="14" a="1"/>
  <c r="G285" i="14" a="1"/>
  <c r="I286" i="14" a="1"/>
  <c r="K287" i="14" a="1"/>
  <c r="F290" i="14" a="1"/>
  <c r="H291" i="14" a="1"/>
  <c r="L293" i="14" a="1"/>
  <c r="E300" i="14" a="1"/>
  <c r="G301" i="14" a="1"/>
  <c r="E36" i="14" a="1"/>
  <c r="J53" i="14" a="1"/>
  <c r="F80" i="14" a="1"/>
  <c r="L91" i="14" a="1"/>
  <c r="G101" i="14" a="1"/>
  <c r="E123" i="14" a="1"/>
  <c r="L128" i="14" a="1"/>
  <c r="J143" i="14" a="1"/>
  <c r="G150" i="14" a="1"/>
  <c r="H153" i="14" a="1"/>
  <c r="H160" i="14" a="1"/>
  <c r="I162" i="14" a="1"/>
  <c r="J172" i="14" a="1"/>
  <c r="I174" i="14" a="1"/>
  <c r="J176" i="14" a="1"/>
  <c r="H180" i="14" a="1"/>
  <c r="L183" i="14" a="1"/>
  <c r="J187" i="14" a="1"/>
  <c r="L192" i="14" a="1"/>
  <c r="J194" i="14" a="1"/>
  <c r="H196" i="14" a="1"/>
  <c r="L199" i="14" a="1"/>
  <c r="J203" i="14" a="1"/>
  <c r="L208" i="14" a="1"/>
  <c r="E212" i="14" a="1"/>
  <c r="H215" i="14" a="1"/>
  <c r="K218" i="14" a="1"/>
  <c r="L221" i="14" a="1"/>
  <c r="J228" i="14" a="1"/>
  <c r="E230" i="14" a="1"/>
  <c r="L232" i="14" a="1"/>
  <c r="K235" i="14" a="1"/>
  <c r="F237" i="14" a="1"/>
  <c r="I238" i="14" a="1"/>
  <c r="J21" i="14" a="1"/>
  <c r="K142" i="14" a="1"/>
  <c r="F155" i="14" a="1"/>
  <c r="F169" i="14" a="1"/>
  <c r="L174" i="14" a="1"/>
  <c r="I180" i="14" a="1"/>
  <c r="K182" i="14" a="1"/>
  <c r="L195" i="14" a="1"/>
  <c r="I198" i="14" a="1"/>
  <c r="K203" i="14" a="1"/>
  <c r="E206" i="14" a="1"/>
  <c r="F211" i="14" a="1"/>
  <c r="J213" i="14" a="1"/>
  <c r="L215" i="14" a="1"/>
  <c r="H218" i="14" a="1"/>
  <c r="F223" i="14" a="1"/>
  <c r="K227" i="14" a="1"/>
  <c r="G236" i="14" a="1"/>
  <c r="G104" i="14" a="1"/>
  <c r="I133" i="14" a="1"/>
  <c r="K143" i="14" a="1"/>
  <c r="J155" i="14" a="1"/>
  <c r="I163" i="14" a="1"/>
  <c r="G43" i="14" a="1"/>
  <c r="E135" i="14" a="1"/>
  <c r="J151" i="14" a="1"/>
  <c r="L163" i="14" a="1"/>
  <c r="J169" i="14" a="1"/>
  <c r="H175" i="14" a="1"/>
  <c r="E59" i="14" a="1"/>
  <c r="F114" i="14" a="1"/>
  <c r="I156" i="14" a="1"/>
  <c r="L160" i="14" a="1"/>
  <c r="H164" i="14" a="1"/>
  <c r="F170" i="14" a="1"/>
  <c r="L172" i="14" a="1"/>
  <c r="J175" i="14" a="1"/>
  <c r="J178" i="14" a="1"/>
  <c r="F181" i="14" a="1"/>
  <c r="E189" i="14" a="1"/>
  <c r="H194" i="14" a="1"/>
  <c r="L196" i="14" a="1"/>
  <c r="J199" i="14" a="1"/>
  <c r="E202" i="14" a="1"/>
  <c r="I204" i="14" a="1"/>
  <c r="H207" i="14" a="1"/>
  <c r="K216" i="14" a="1"/>
  <c r="F219" i="14" a="1"/>
  <c r="J221" i="14" a="1"/>
  <c r="L230" i="14" a="1"/>
  <c r="F233" i="14" a="1"/>
  <c r="L234" i="14" a="1"/>
  <c r="F239" i="14" a="1"/>
  <c r="J248" i="14" a="1"/>
  <c r="H252" i="14" a="1"/>
  <c r="G254" i="14" a="1"/>
  <c r="E256" i="14" a="1"/>
  <c r="E258" i="14" a="1"/>
  <c r="L259" i="14" a="1"/>
  <c r="I265" i="14" a="1"/>
  <c r="G267" i="14" a="1"/>
  <c r="F269" i="14" a="1"/>
  <c r="K275" i="14" a="1"/>
  <c r="G277" i="14" a="1"/>
  <c r="E279" i="14" a="1"/>
  <c r="F282" i="14" a="1"/>
  <c r="K291" i="14" a="1"/>
  <c r="I294" i="14" a="1"/>
  <c r="L295" i="14" a="1"/>
  <c r="K298" i="14" a="1"/>
  <c r="H301" i="14" a="1"/>
  <c r="G308" i="14" a="1"/>
  <c r="H309" i="14" a="1"/>
  <c r="G316" i="14" a="1"/>
  <c r="H317" i="14" a="1"/>
  <c r="G324" i="14" a="1"/>
  <c r="H325" i="14" a="1"/>
  <c r="G332" i="14" a="1"/>
  <c r="H333" i="14" a="1"/>
  <c r="I334" i="14" a="1"/>
  <c r="I335" i="14" a="1"/>
  <c r="I336" i="14" a="1"/>
  <c r="I337" i="14" a="1"/>
  <c r="I338" i="14" a="1"/>
  <c r="I339" i="14" a="1"/>
  <c r="I340" i="14" a="1"/>
  <c r="I341" i="14" a="1"/>
  <c r="I342" i="14" a="1"/>
  <c r="I343" i="14" a="1"/>
  <c r="I344" i="14" a="1"/>
  <c r="I345" i="14" a="1"/>
  <c r="I346" i="14" a="1"/>
  <c r="I347" i="14" a="1"/>
  <c r="I348" i="14" a="1"/>
  <c r="I349" i="14" a="1"/>
  <c r="I350" i="14" a="1"/>
  <c r="I351" i="14" a="1"/>
  <c r="I352" i="14" a="1"/>
  <c r="I353" i="14" a="1"/>
  <c r="I354" i="14" a="1"/>
  <c r="I355" i="14" a="1"/>
  <c r="I356" i="14" a="1"/>
  <c r="I357" i="14" a="1"/>
  <c r="I358" i="14" a="1"/>
  <c r="I359" i="14" a="1"/>
  <c r="I360" i="14" a="1"/>
  <c r="I361" i="14" a="1"/>
  <c r="I362" i="14" a="1"/>
  <c r="I363" i="14" a="1"/>
  <c r="I364" i="14" a="1"/>
  <c r="I365" i="14" a="1"/>
  <c r="I366" i="14" a="1"/>
  <c r="I367" i="14" a="1"/>
  <c r="I368" i="14" a="1"/>
  <c r="I369" i="14" a="1"/>
  <c r="I370" i="14" a="1"/>
  <c r="I371" i="14" a="1"/>
  <c r="I372" i="14" a="1"/>
  <c r="I373" i="14" a="1"/>
  <c r="I374" i="14" a="1"/>
  <c r="I375" i="14" a="1"/>
  <c r="I376" i="14" a="1"/>
  <c r="I377" i="14" a="1"/>
  <c r="I378" i="14" a="1"/>
  <c r="I379" i="14" a="1"/>
  <c r="I380" i="14" a="1"/>
  <c r="I381" i="14" a="1"/>
  <c r="I382" i="14" a="1"/>
  <c r="I383" i="14" a="1"/>
  <c r="I384" i="14" a="1"/>
  <c r="I385" i="14" a="1"/>
  <c r="I386" i="14" a="1"/>
  <c r="I387" i="14" a="1"/>
  <c r="I388" i="14" a="1"/>
  <c r="I389" i="14" a="1"/>
  <c r="I390" i="14" a="1"/>
  <c r="I391" i="14" a="1"/>
  <c r="I392" i="14" a="1"/>
  <c r="I393" i="14" a="1"/>
  <c r="I394" i="14" a="1"/>
  <c r="I395" i="14" a="1"/>
  <c r="I396" i="14" a="1"/>
  <c r="I397" i="14" a="1"/>
  <c r="I398" i="14" a="1"/>
  <c r="I399" i="14" a="1"/>
  <c r="E146" i="14" a="1"/>
  <c r="I152" i="14" a="1"/>
  <c r="J156" i="14" a="1"/>
  <c r="I164" i="14" a="1"/>
  <c r="H170" i="14" a="1"/>
  <c r="E173" i="14" a="1"/>
  <c r="J119" i="14" a="1"/>
  <c r="E153" i="14" a="1"/>
  <c r="I157" i="14" a="1"/>
  <c r="F161" i="14" a="1"/>
  <c r="E165" i="14" a="1"/>
  <c r="L170" i="14" a="1"/>
  <c r="H176" i="14" a="1"/>
  <c r="E179" i="14" a="1"/>
  <c r="H184" i="14" a="1"/>
  <c r="I189" i="14" a="1"/>
  <c r="K194" i="14" a="1"/>
  <c r="F197" i="14" a="1"/>
  <c r="E205" i="14" a="1"/>
  <c r="J212" i="14" a="1"/>
  <c r="E215" i="14" a="1"/>
  <c r="H217" i="14" a="1"/>
  <c r="J219" i="14" a="1"/>
  <c r="E229" i="14" a="1"/>
  <c r="H233" i="14" a="1"/>
  <c r="K73" i="14" a="1"/>
  <c r="I173" i="14" a="1"/>
  <c r="I184" i="14" a="1"/>
  <c r="F187" i="14" a="1"/>
  <c r="H192" i="14" a="1"/>
  <c r="H197" i="14" a="1"/>
  <c r="E200" i="14" a="1"/>
  <c r="I202" i="14" a="1"/>
  <c r="H205" i="14" a="1"/>
  <c r="K207" i="14" a="1"/>
  <c r="F215" i="14" a="1"/>
  <c r="I217" i="14" a="1"/>
  <c r="I224" i="14" a="1"/>
  <c r="F227" i="14" a="1"/>
  <c r="F229" i="14" a="1"/>
  <c r="I231" i="14" a="1"/>
  <c r="J235" i="14" a="1"/>
  <c r="I237" i="14" a="1"/>
  <c r="J241" i="14" a="1"/>
  <c r="H243" i="14" a="1"/>
  <c r="H245" i="14" a="1"/>
  <c r="G247" i="14" a="1"/>
  <c r="L252" i="14" a="1"/>
  <c r="J254" i="14" a="1"/>
  <c r="J256" i="14" a="1"/>
  <c r="I258" i="14" a="1"/>
  <c r="G260" i="14" a="1"/>
  <c r="G262" i="14" a="1"/>
  <c r="L267" i="14" a="1"/>
  <c r="L272" i="14" a="1"/>
  <c r="I274" i="14" a="1"/>
  <c r="E276" i="14" a="1"/>
  <c r="H279" i="14" a="1"/>
  <c r="K282" i="14" a="1"/>
  <c r="L285" i="14" a="1"/>
  <c r="F289" i="14" a="1"/>
  <c r="E292" i="14" a="1"/>
  <c r="H293" i="14" a="1"/>
  <c r="L294" i="14" a="1"/>
  <c r="G296" i="14" a="1"/>
  <c r="K297" i="14" a="1"/>
  <c r="H300" i="14" a="1"/>
  <c r="G306" i="14" a="1"/>
  <c r="H307" i="14" a="1"/>
  <c r="G314" i="14" a="1"/>
  <c r="H315" i="14" a="1"/>
  <c r="G322" i="14" a="1"/>
  <c r="H323" i="14" a="1"/>
  <c r="G330" i="14" a="1"/>
  <c r="H331" i="14" a="1"/>
  <c r="K334" i="14" a="1"/>
  <c r="K335" i="14" a="1"/>
  <c r="K336" i="14" a="1"/>
  <c r="K337" i="14" a="1"/>
  <c r="K338" i="14" a="1"/>
  <c r="K339" i="14" a="1"/>
  <c r="K340" i="14" a="1"/>
  <c r="K341" i="14" a="1"/>
  <c r="K342" i="14" a="1"/>
  <c r="K343" i="14" a="1"/>
  <c r="K344" i="14" a="1"/>
  <c r="K345" i="14" a="1"/>
  <c r="K346" i="14" a="1"/>
  <c r="K347" i="14" a="1"/>
  <c r="K348" i="14" a="1"/>
  <c r="K349" i="14" a="1"/>
  <c r="K350" i="14" a="1"/>
  <c r="K351" i="14" a="1"/>
  <c r="K352" i="14" a="1"/>
  <c r="K353" i="14" a="1"/>
  <c r="K354" i="14" a="1"/>
  <c r="K355" i="14" a="1"/>
  <c r="K356" i="14" a="1"/>
  <c r="K357" i="14" a="1"/>
  <c r="K358" i="14" a="1"/>
  <c r="K359" i="14" a="1"/>
  <c r="K360" i="14" a="1"/>
  <c r="K361" i="14" a="1"/>
  <c r="K362" i="14" a="1"/>
  <c r="K363" i="14" a="1"/>
  <c r="K364" i="14" a="1"/>
  <c r="K365" i="14" a="1"/>
  <c r="K366" i="14" a="1"/>
  <c r="K367" i="14" a="1"/>
  <c r="K368" i="14" a="1"/>
  <c r="K369" i="14" a="1"/>
  <c r="K370" i="14" a="1"/>
  <c r="K371" i="14" a="1"/>
  <c r="K372" i="14" a="1"/>
  <c r="K373" i="14" a="1"/>
  <c r="K374" i="14" a="1"/>
  <c r="K375" i="14" a="1"/>
  <c r="K376" i="14" a="1"/>
  <c r="K377" i="14" a="1"/>
  <c r="K378" i="14" a="1"/>
  <c r="K379" i="14" a="1"/>
  <c r="K380" i="14" a="1"/>
  <c r="K381" i="14" a="1"/>
  <c r="K382" i="14" a="1"/>
  <c r="K383" i="14" a="1"/>
  <c r="K384" i="14" a="1"/>
  <c r="K385" i="14" a="1"/>
  <c r="K386" i="14" a="1"/>
  <c r="K387" i="14" a="1"/>
  <c r="K388" i="14" a="1"/>
  <c r="K389" i="14" a="1"/>
  <c r="K390" i="14" a="1"/>
  <c r="K391" i="14" a="1"/>
  <c r="K392" i="14" a="1"/>
  <c r="K393" i="14" a="1"/>
  <c r="K394" i="14" a="1"/>
  <c r="K395" i="14" a="1"/>
  <c r="K396" i="14" a="1"/>
  <c r="K397" i="14" a="1"/>
  <c r="K398" i="14" a="1"/>
  <c r="K399" i="14" a="1"/>
  <c r="K400" i="14" a="1"/>
  <c r="E84" i="14" a="1"/>
  <c r="H140" i="14" a="1"/>
  <c r="J147" i="14" a="1"/>
  <c r="L153" i="14" a="1"/>
  <c r="H162" i="14" a="1"/>
  <c r="I128" i="14" a="1"/>
  <c r="H148" i="14" a="1"/>
  <c r="H158" i="14" a="1"/>
  <c r="J162" i="14" a="1"/>
  <c r="I165" i="14" a="1"/>
  <c r="F174" i="14" a="1"/>
  <c r="L179" i="14" a="1"/>
  <c r="I182" i="14" a="1"/>
  <c r="K187" i="14" a="1"/>
  <c r="E190" i="14" a="1"/>
  <c r="H195" i="14" a="1"/>
  <c r="I200" i="14" a="1"/>
  <c r="F203" i="14" a="1"/>
  <c r="H208" i="14" a="1"/>
  <c r="I215" i="14" a="1"/>
  <c r="K217" i="14" a="1"/>
  <c r="H220" i="14" a="1"/>
  <c r="J222" i="14" a="1"/>
  <c r="E225" i="14" a="1"/>
  <c r="L243" i="14" a="1"/>
  <c r="K245" i="14" a="1"/>
  <c r="I249" i="14" a="1"/>
  <c r="H251" i="14" a="1"/>
  <c r="F253" i="14" a="1"/>
  <c r="K258" i="14" a="1"/>
  <c r="J262" i="14" a="1"/>
  <c r="H264" i="14" a="1"/>
  <c r="F273" i="14" a="1"/>
  <c r="K274" i="14" a="1"/>
  <c r="I276" i="14" a="1"/>
  <c r="H281" i="14" a="1"/>
  <c r="E283" i="14" a="1"/>
  <c r="H289" i="14" a="1"/>
  <c r="L290" i="14" a="1"/>
  <c r="G292" i="14" a="1"/>
  <c r="K293" i="14" a="1"/>
  <c r="F295" i="14" a="1"/>
  <c r="L301" i="14" a="1"/>
  <c r="E303" i="14" a="1"/>
  <c r="F304" i="14" a="1"/>
  <c r="I306" i="14" a="1"/>
  <c r="J307" i="14" a="1"/>
  <c r="K308" i="14" a="1"/>
  <c r="L309" i="14" a="1"/>
  <c r="E311" i="14" a="1"/>
  <c r="F312" i="14" a="1"/>
  <c r="I314" i="14" a="1"/>
  <c r="J315" i="14" a="1"/>
  <c r="K316" i="14" a="1"/>
  <c r="L317" i="14" a="1"/>
  <c r="E319" i="14" a="1"/>
  <c r="F320" i="14" a="1"/>
  <c r="I322" i="14" a="1"/>
  <c r="J323" i="14" a="1"/>
  <c r="K324" i="14" a="1"/>
  <c r="L325" i="14" a="1"/>
  <c r="E327" i="14" a="1"/>
  <c r="F328" i="14" a="1"/>
  <c r="I330" i="14" a="1"/>
  <c r="J331" i="14" a="1"/>
  <c r="K332" i="14" a="1"/>
  <c r="L333" i="14" a="1"/>
  <c r="J41" i="14" a="1"/>
  <c r="J141" i="14" a="1"/>
  <c r="J54" i="14" a="1"/>
  <c r="E158" i="14" a="1"/>
  <c r="J165" i="14" a="1"/>
  <c r="E144" i="14" a="1"/>
  <c r="I158" i="14" a="1"/>
  <c r="G144" i="14" a="1"/>
  <c r="L158" i="14" a="1"/>
  <c r="I166" i="14" a="1"/>
  <c r="H171" i="14" a="1"/>
  <c r="K184" i="14" a="1"/>
  <c r="F95" i="14" a="1"/>
  <c r="H147" i="14" a="1"/>
  <c r="J166" i="14" a="1"/>
  <c r="L166" i="14" a="1"/>
  <c r="E177" i="14" a="1"/>
  <c r="H181" i="14" a="1"/>
  <c r="H185" i="14" a="1"/>
  <c r="E193" i="14" a="1"/>
  <c r="H200" i="14" a="1"/>
  <c r="I218" i="14" a="1"/>
  <c r="H225" i="14" a="1"/>
  <c r="K228" i="14" a="1"/>
  <c r="K234" i="14" a="1"/>
  <c r="G240" i="14" a="1"/>
  <c r="I242" i="14" a="1"/>
  <c r="J244" i="14" a="1"/>
  <c r="F247" i="14" a="1"/>
  <c r="E254" i="14" a="1"/>
  <c r="G256" i="14" a="1"/>
  <c r="J258" i="14" a="1"/>
  <c r="E261" i="14" a="1"/>
  <c r="F263" i="14" a="1"/>
  <c r="L269" i="14" a="1"/>
  <c r="L275" i="14" a="1"/>
  <c r="E278" i="14" a="1"/>
  <c r="E286" i="14" a="1"/>
  <c r="G295" i="14" a="1"/>
  <c r="L296" i="14" a="1"/>
  <c r="G300" i="14" a="1"/>
  <c r="G303" i="14" a="1"/>
  <c r="J304" i="14" a="1"/>
  <c r="E306" i="14" a="1"/>
  <c r="I307" i="14" a="1"/>
  <c r="L308" i="14" a="1"/>
  <c r="G310" i="14" a="1"/>
  <c r="J311" i="14" a="1"/>
  <c r="E313" i="14" a="1"/>
  <c r="L315" i="14" a="1"/>
  <c r="G317" i="14" a="1"/>
  <c r="L322" i="14" a="1"/>
  <c r="K325" i="14" a="1"/>
  <c r="F327" i="14" a="1"/>
  <c r="L329" i="14" a="1"/>
  <c r="F334" i="14" a="1"/>
  <c r="H335" i="14" a="1"/>
  <c r="J336" i="14" a="1"/>
  <c r="L337" i="14" a="1"/>
  <c r="F339" i="14" a="1"/>
  <c r="G345" i="14" a="1"/>
  <c r="E349" i="14" a="1"/>
  <c r="H351" i="14" a="1"/>
  <c r="J352" i="14" a="1"/>
  <c r="L353" i="14" a="1"/>
  <c r="F355" i="14" a="1"/>
  <c r="G361" i="14" a="1"/>
  <c r="E365" i="14" a="1"/>
  <c r="H367" i="14" a="1"/>
  <c r="J368" i="14" a="1"/>
  <c r="L369" i="14" a="1"/>
  <c r="F371" i="14" a="1"/>
  <c r="G377" i="14" a="1"/>
  <c r="E381" i="14" a="1"/>
  <c r="H383" i="14" a="1"/>
  <c r="J384" i="14" a="1"/>
  <c r="L385" i="14" a="1"/>
  <c r="F387" i="14" a="1"/>
  <c r="G393" i="14" a="1"/>
  <c r="E397" i="14" a="1"/>
  <c r="H399" i="14" a="1"/>
  <c r="K402" i="14" a="1"/>
  <c r="L404" i="14" a="1"/>
  <c r="E406" i="14" a="1"/>
  <c r="F408" i="14" a="1"/>
  <c r="G410" i="14" a="1"/>
  <c r="H412" i="14" a="1"/>
  <c r="I414" i="14" a="1"/>
  <c r="J416" i="14" a="1"/>
  <c r="K418" i="14" a="1"/>
  <c r="L420" i="14" a="1"/>
  <c r="E422" i="14" a="1"/>
  <c r="E423" i="14" a="1"/>
  <c r="E424" i="14" a="1"/>
  <c r="E425" i="14" a="1"/>
  <c r="E426" i="14" a="1"/>
  <c r="E427" i="14" a="1"/>
  <c r="E428" i="14" a="1"/>
  <c r="E429" i="14" a="1"/>
  <c r="E430" i="14" a="1"/>
  <c r="E431" i="14" a="1"/>
  <c r="E432" i="14" a="1"/>
  <c r="E433" i="14" a="1"/>
  <c r="E434" i="14" a="1"/>
  <c r="E435" i="14" a="1"/>
  <c r="E436" i="14" a="1"/>
  <c r="E437" i="14" a="1"/>
  <c r="E438" i="14" a="1"/>
  <c r="E439" i="14" a="1"/>
  <c r="E440" i="14" a="1"/>
  <c r="E441" i="14" a="1"/>
  <c r="E442" i="14" a="1"/>
  <c r="E443" i="14" a="1"/>
  <c r="E444" i="14" a="1"/>
  <c r="E445" i="14" a="1"/>
  <c r="E446" i="14" a="1"/>
  <c r="E447" i="14" a="1"/>
  <c r="E448" i="14" a="1"/>
  <c r="E449" i="14" a="1"/>
  <c r="E450" i="14" a="1"/>
  <c r="E451" i="14" a="1"/>
  <c r="E452" i="14" a="1"/>
  <c r="E453" i="14" a="1"/>
  <c r="E454" i="14" a="1"/>
  <c r="E167" i="14" a="1"/>
  <c r="H172" i="14" a="1"/>
  <c r="F177" i="14" a="1"/>
  <c r="J113" i="14" a="1"/>
  <c r="K150" i="14" a="1"/>
  <c r="E161" i="14" a="1"/>
  <c r="J167" i="14" a="1"/>
  <c r="J177" i="14" a="1"/>
  <c r="F162" i="14" a="1"/>
  <c r="E178" i="14" a="1"/>
  <c r="E186" i="14" a="1"/>
  <c r="E197" i="14" a="1"/>
  <c r="L204" i="14" a="1"/>
  <c r="J215" i="14" a="1"/>
  <c r="I222" i="14" a="1"/>
  <c r="L225" i="14" a="1"/>
  <c r="H229" i="14" a="1"/>
  <c r="I232" i="14" a="1"/>
  <c r="H235" i="14" a="1"/>
  <c r="H247" i="14" a="1"/>
  <c r="G261" i="14" a="1"/>
  <c r="I263" i="14" a="1"/>
  <c r="K265" i="14" a="1"/>
  <c r="G268" i="14" a="1"/>
  <c r="F272" i="14" a="1"/>
  <c r="H276" i="14" a="1"/>
  <c r="H280" i="14" a="1"/>
  <c r="H284" i="14" a="1"/>
  <c r="G290" i="14" a="1"/>
  <c r="I295" i="14" a="1"/>
  <c r="I303" i="14" a="1"/>
  <c r="L304" i="14" a="1"/>
  <c r="K307" i="14" a="1"/>
  <c r="I310" i="14" a="1"/>
  <c r="L311" i="14" a="1"/>
  <c r="H313" i="14" a="1"/>
  <c r="K314" i="14" a="1"/>
  <c r="H320" i="14" a="1"/>
  <c r="K321" i="14" a="1"/>
  <c r="F323" i="14" a="1"/>
  <c r="J324" i="14" a="1"/>
  <c r="E326" i="14" a="1"/>
  <c r="H327" i="14" a="1"/>
  <c r="K328" i="14" a="1"/>
  <c r="F330" i="14" a="1"/>
  <c r="E333" i="14" a="1"/>
  <c r="H334" i="14" a="1"/>
  <c r="J335" i="14" a="1"/>
  <c r="L336" i="14" a="1"/>
  <c r="F338" i="14" a="1"/>
  <c r="G344" i="14" a="1"/>
  <c r="E348" i="14" a="1"/>
  <c r="H350" i="14" a="1"/>
  <c r="J351" i="14" a="1"/>
  <c r="L352" i="14" a="1"/>
  <c r="F354" i="14" a="1"/>
  <c r="G360" i="14" a="1"/>
  <c r="E364" i="14" a="1"/>
  <c r="H366" i="14" a="1"/>
  <c r="J367" i="14" a="1"/>
  <c r="L368" i="14" a="1"/>
  <c r="F370" i="14" a="1"/>
  <c r="G376" i="14" a="1"/>
  <c r="E380" i="14" a="1"/>
  <c r="H382" i="14" a="1"/>
  <c r="J383" i="14" a="1"/>
  <c r="L384" i="14" a="1"/>
  <c r="F386" i="14" a="1"/>
  <c r="G392" i="14" a="1"/>
  <c r="E396" i="14" a="1"/>
  <c r="H398" i="14" a="1"/>
  <c r="J399" i="14" a="1"/>
  <c r="L401" i="14" a="1"/>
  <c r="E403" i="14" a="1"/>
  <c r="F405" i="14" a="1"/>
  <c r="G407" i="14" a="1"/>
  <c r="H409" i="14" a="1"/>
  <c r="I411" i="14" a="1"/>
  <c r="J413" i="14" a="1"/>
  <c r="K415" i="14" a="1"/>
  <c r="L417" i="14" a="1"/>
  <c r="E419" i="14" a="1"/>
  <c r="F421" i="14" a="1"/>
  <c r="J130" i="14" a="1"/>
  <c r="F154" i="14" a="1"/>
  <c r="H163" i="14" a="1"/>
  <c r="E169" i="14" a="1"/>
  <c r="J133" i="14" a="1"/>
  <c r="J154" i="14" a="1"/>
  <c r="J163" i="14" a="1"/>
  <c r="H169" i="14" a="1"/>
  <c r="H179" i="14" a="1"/>
  <c r="F183" i="14" a="1"/>
  <c r="K190" i="14" a="1"/>
  <c r="H216" i="14" a="1"/>
  <c r="E220" i="14" a="1"/>
  <c r="J226" i="14" a="1"/>
  <c r="E236" i="14" a="1"/>
  <c r="F241" i="14" a="1"/>
  <c r="G243" i="14" a="1"/>
  <c r="L245" i="14" a="1"/>
  <c r="G250" i="14" a="1"/>
  <c r="K252" i="14" a="1"/>
  <c r="F255" i="14" a="1"/>
  <c r="L261" i="14" a="1"/>
  <c r="G264" i="14" a="1"/>
  <c r="K270" i="14" a="1"/>
  <c r="L276" i="14" a="1"/>
  <c r="L278" i="14" a="1"/>
  <c r="E285" i="14" a="1"/>
  <c r="L286" i="14" a="1"/>
  <c r="L288" i="14" a="1"/>
  <c r="K290" i="14" a="1"/>
  <c r="I292" i="14" a="1"/>
  <c r="F294" i="14" a="1"/>
  <c r="H299" i="14" a="1"/>
  <c r="H302" i="14" a="1"/>
  <c r="G305" i="14" a="1"/>
  <c r="E308" i="14" a="1"/>
  <c r="I309" i="14" a="1"/>
  <c r="L310" i="14" a="1"/>
  <c r="E315" i="14" a="1"/>
  <c r="I316" i="14" a="1"/>
  <c r="K327" i="14" a="1"/>
  <c r="F329" i="14" a="1"/>
  <c r="J330" i="14" a="1"/>
  <c r="E336" i="14" a="1"/>
  <c r="H338" i="14" a="1"/>
  <c r="J339" i="14" a="1"/>
  <c r="L340" i="14" a="1"/>
  <c r="F342" i="14" a="1"/>
  <c r="G348" i="14" a="1"/>
  <c r="E352" i="14" a="1"/>
  <c r="H354" i="14" a="1"/>
  <c r="J355" i="14" a="1"/>
  <c r="L356" i="14" a="1"/>
  <c r="F358" i="14" a="1"/>
  <c r="G364" i="14" a="1"/>
  <c r="E368" i="14" a="1"/>
  <c r="H370" i="14" a="1"/>
  <c r="J371" i="14" a="1"/>
  <c r="L372" i="14" a="1"/>
  <c r="F374" i="14" a="1"/>
  <c r="G380" i="14" a="1"/>
  <c r="E384" i="14" a="1"/>
  <c r="H386" i="14" a="1"/>
  <c r="J387" i="14" a="1"/>
  <c r="L388" i="14" a="1"/>
  <c r="F390" i="14" a="1"/>
  <c r="G396" i="14" a="1"/>
  <c r="E400" i="14" a="1"/>
  <c r="F401" i="14" a="1"/>
  <c r="G403" i="14" a="1"/>
  <c r="H405" i="14" a="1"/>
  <c r="I407" i="14" a="1"/>
  <c r="J409" i="14" a="1"/>
  <c r="K411" i="14" a="1"/>
  <c r="L413" i="14" a="1"/>
  <c r="E415" i="14" a="1"/>
  <c r="F417" i="14" a="1"/>
  <c r="G419" i="14" a="1"/>
  <c r="H421" i="14" a="1"/>
  <c r="K25" i="14" a="1"/>
  <c r="L168" i="14" a="1"/>
  <c r="F176" i="14" a="1"/>
  <c r="J183" i="14" a="1"/>
  <c r="E188" i="14" a="1"/>
  <c r="L223" i="14" a="1"/>
  <c r="E232" i="14" a="1"/>
  <c r="L238" i="14" a="1"/>
  <c r="K241" i="14" a="1"/>
  <c r="I244" i="14" a="1"/>
  <c r="I247" i="14" a="1"/>
  <c r="I261" i="14" a="1"/>
  <c r="J264" i="14" a="1"/>
  <c r="E270" i="14" a="1"/>
  <c r="I272" i="14" a="1"/>
  <c r="F275" i="14" a="1"/>
  <c r="H277" i="14" a="1"/>
  <c r="L279" i="14" a="1"/>
  <c r="I287" i="14" a="1"/>
  <c r="L291" i="14" a="1"/>
  <c r="F296" i="14" a="1"/>
  <c r="G298" i="14" a="1"/>
  <c r="G302" i="14" a="1"/>
  <c r="E304" i="14" a="1"/>
  <c r="F309" i="14" a="1"/>
  <c r="J312" i="14" a="1"/>
  <c r="E316" i="14" a="1"/>
  <c r="G321" i="14" a="1"/>
  <c r="I326" i="14" a="1"/>
  <c r="G328" i="14" a="1"/>
  <c r="K331" i="14" a="1"/>
  <c r="I333" i="14" a="1"/>
  <c r="F341" i="14" a="1"/>
  <c r="F344" i="14" a="1"/>
  <c r="J345" i="14" a="1"/>
  <c r="J348" i="14" a="1"/>
  <c r="F350" i="14" a="1"/>
  <c r="G353" i="14" a="1"/>
  <c r="G359" i="14" a="1"/>
  <c r="G362" i="14" a="1"/>
  <c r="L366" i="14" a="1"/>
  <c r="H371" i="14" a="1"/>
  <c r="E373" i="14" a="1"/>
  <c r="H374" i="14" a="1"/>
  <c r="L375" i="14" a="1"/>
  <c r="H377" i="14" a="1"/>
  <c r="E379" i="14" a="1"/>
  <c r="E382" i="14" a="1"/>
  <c r="F391" i="14" a="1"/>
  <c r="J392" i="14" a="1"/>
  <c r="F394" i="14" a="1"/>
  <c r="F397" i="14" a="1"/>
  <c r="F129" i="14" a="1"/>
  <c r="L176" i="14" a="1"/>
  <c r="F188" i="14" a="1"/>
  <c r="F193" i="14" a="1"/>
  <c r="H202" i="14" a="1"/>
  <c r="K206" i="14" a="1"/>
  <c r="K215" i="14" a="1"/>
  <c r="F220" i="14" a="1"/>
  <c r="E224" i="14" a="1"/>
  <c r="H228" i="14" a="1"/>
  <c r="L235" i="14" a="1"/>
  <c r="E239" i="14" a="1"/>
  <c r="K244" i="14" a="1"/>
  <c r="K247" i="14" a="1"/>
  <c r="J250" i="14" a="1"/>
  <c r="H253" i="14" a="1"/>
  <c r="G259" i="14" a="1"/>
  <c r="F262" i="14" a="1"/>
  <c r="L264" i="14" a="1"/>
  <c r="G270" i="14" a="1"/>
  <c r="K272" i="14" a="1"/>
  <c r="G275" i="14" a="1"/>
  <c r="I169" i="14" a="1"/>
  <c r="F178" i="14" a="1"/>
  <c r="K183" i="14" a="1"/>
  <c r="I188" i="14" a="1"/>
  <c r="H193" i="14" a="1"/>
  <c r="H198" i="14" a="1"/>
  <c r="F207" i="14" a="1"/>
  <c r="E216" i="14" a="1"/>
  <c r="F224" i="14" a="1"/>
  <c r="J232" i="14" a="1"/>
  <c r="F236" i="14" a="1"/>
  <c r="F242" i="14" a="1"/>
  <c r="E248" i="14" a="1"/>
  <c r="H259" i="14" a="1"/>
  <c r="K267" i="14" a="1"/>
  <c r="H270" i="14" a="1"/>
  <c r="E273" i="14" a="1"/>
  <c r="K277" i="14" a="1"/>
  <c r="E140" i="14" a="1"/>
  <c r="I178" i="14" a="1"/>
  <c r="E184" i="14" a="1"/>
  <c r="L188" i="14" a="1"/>
  <c r="I193" i="14" a="1"/>
  <c r="J198" i="14" a="1"/>
  <c r="K211" i="14" a="1"/>
  <c r="F216" i="14" a="1"/>
  <c r="I220" i="14" a="1"/>
  <c r="L224" i="14" a="1"/>
  <c r="L228" i="14" a="1"/>
  <c r="G245" i="14" a="1"/>
  <c r="G248" i="14" a="1"/>
  <c r="L250" i="14" a="1"/>
  <c r="K253" i="14" a="1"/>
  <c r="I256" i="14" a="1"/>
  <c r="H262" i="14" a="1"/>
  <c r="F265" i="14" a="1"/>
  <c r="E268" i="14" a="1"/>
  <c r="I275" i="14" a="1"/>
  <c r="I280" i="14" a="1"/>
  <c r="H285" i="14" a="1"/>
  <c r="L287" i="14" a="1"/>
  <c r="I170" i="14" a="1"/>
  <c r="L178" i="14" a="1"/>
  <c r="F184" i="14" a="1"/>
  <c r="H189" i="14" a="1"/>
  <c r="H203" i="14" a="1"/>
  <c r="J207" i="14" a="1"/>
  <c r="H212" i="14" a="1"/>
  <c r="J216" i="14" a="1"/>
  <c r="I236" i="14" a="1"/>
  <c r="I239" i="14" a="1"/>
  <c r="J242" i="14" a="1"/>
  <c r="I245" i="14" a="1"/>
  <c r="H248" i="14" a="1"/>
  <c r="L253" i="14" a="1"/>
  <c r="L256" i="14" a="1"/>
  <c r="K259" i="14" a="1"/>
  <c r="I262" i="14" a="1"/>
  <c r="G273" i="14" a="1"/>
  <c r="F278" i="14" a="1"/>
  <c r="F283" i="14" a="1"/>
  <c r="I285" i="14" a="1"/>
  <c r="E288" i="14" a="1"/>
  <c r="H290" i="14" a="1"/>
  <c r="E171" i="14" a="1"/>
  <c r="J179" i="14" a="1"/>
  <c r="K198" i="14" a="1"/>
  <c r="K239" i="14" a="1"/>
  <c r="K242" i="14" a="1"/>
  <c r="G251" i="14" a="1"/>
  <c r="F254" i="14" a="1"/>
  <c r="F257" i="14" a="1"/>
  <c r="H265" i="14" a="1"/>
  <c r="L270" i="14" a="1"/>
  <c r="G278" i="14" a="1"/>
  <c r="K280" i="14" a="1"/>
  <c r="G283" i="14" a="1"/>
  <c r="F171" i="14" a="1"/>
  <c r="I208" i="14" a="1"/>
  <c r="K212" i="14" a="1"/>
  <c r="F217" i="14" a="1"/>
  <c r="E221" i="14" a="1"/>
  <c r="J225" i="14" a="1"/>
  <c r="L229" i="14" a="1"/>
  <c r="I233" i="14" a="1"/>
  <c r="L236" i="14" a="1"/>
  <c r="E240" i="14" a="1"/>
  <c r="L242" i="14" a="1"/>
  <c r="I248" i="14" a="1"/>
  <c r="J265" i="14" a="1"/>
  <c r="H273" i="14" a="1"/>
  <c r="H278" i="14" a="1"/>
  <c r="L280" i="14" a="1"/>
  <c r="K285" i="14" a="1"/>
  <c r="G288" i="14" a="1"/>
  <c r="K294" i="14" a="1"/>
  <c r="F299" i="14" a="1"/>
  <c r="L302" i="14" a="1"/>
  <c r="H306" i="14" a="1"/>
  <c r="I311" i="14" a="1"/>
  <c r="G313" i="14" a="1"/>
  <c r="H318" i="14" a="1"/>
  <c r="G320" i="14" a="1"/>
  <c r="L321" i="14" a="1"/>
  <c r="K323" i="14" a="1"/>
  <c r="L328" i="14" a="1"/>
  <c r="E334" i="14" a="1"/>
  <c r="F337" i="14" a="1"/>
  <c r="J338" i="14" a="1"/>
  <c r="F340" i="14" a="1"/>
  <c r="J341" i="14" a="1"/>
  <c r="J347" i="14" a="1"/>
  <c r="G349" i="14" a="1"/>
  <c r="G352" i="14" a="1"/>
  <c r="G355" i="14" a="1"/>
  <c r="L362" i="14" a="1"/>
  <c r="H364" i="14" a="1"/>
  <c r="L365" i="14" a="1"/>
  <c r="E369" i="14" a="1"/>
  <c r="E372" i="14" a="1"/>
  <c r="H373" i="14" a="1"/>
  <c r="E375" i="14" a="1"/>
  <c r="F384" i="14" a="1"/>
  <c r="J388" i="14" a="1"/>
  <c r="J391" i="14" a="1"/>
  <c r="F393" i="14" a="1"/>
  <c r="J394" i="14" a="1"/>
  <c r="J400" i="14" a="1"/>
  <c r="H403" i="14" a="1"/>
  <c r="J404" i="14" a="1"/>
  <c r="L405" i="14" a="1"/>
  <c r="J408" i="14" a="1"/>
  <c r="L409" i="14" a="1"/>
  <c r="I412" i="14" a="1"/>
  <c r="K417" i="14" a="1"/>
  <c r="F419" i="14" a="1"/>
  <c r="G424" i="14" a="1"/>
  <c r="I425" i="14" a="1"/>
  <c r="L427" i="14" a="1"/>
  <c r="F429" i="14" a="1"/>
  <c r="H430" i="14" a="1"/>
  <c r="J431" i="14" a="1"/>
  <c r="K437" i="14" a="1"/>
  <c r="G440" i="14" a="1"/>
  <c r="I441" i="14" a="1"/>
  <c r="L443" i="14" a="1"/>
  <c r="F445" i="14" a="1"/>
  <c r="H446" i="14" a="1"/>
  <c r="J447" i="14" a="1"/>
  <c r="K453" i="14" a="1"/>
  <c r="G457" i="14" a="1"/>
  <c r="H458" i="14" a="1"/>
  <c r="G465" i="14" a="1"/>
  <c r="H466" i="14" a="1"/>
  <c r="I467" i="14" a="1"/>
  <c r="I468" i="14" a="1"/>
  <c r="I469" i="14" a="1"/>
  <c r="I470" i="14" a="1"/>
  <c r="I471" i="14" a="1"/>
  <c r="I472" i="14" a="1"/>
  <c r="I473" i="14" a="1"/>
  <c r="I474" i="14" a="1"/>
  <c r="I475" i="14" a="1"/>
  <c r="I476" i="14" a="1"/>
  <c r="I477" i="14" a="1"/>
  <c r="I478" i="14" a="1"/>
  <c r="I479" i="14" a="1"/>
  <c r="I480" i="14" a="1"/>
  <c r="I481" i="14" a="1"/>
  <c r="I482" i="14" a="1"/>
  <c r="I483" i="14" a="1"/>
  <c r="I484" i="14" a="1"/>
  <c r="I485" i="14" a="1"/>
  <c r="I486" i="14" a="1"/>
  <c r="I487" i="14" a="1"/>
  <c r="I488" i="14" a="1"/>
  <c r="I489" i="14" a="1"/>
  <c r="I490" i="14" a="1"/>
  <c r="I491" i="14" a="1"/>
  <c r="I492" i="14" a="1"/>
  <c r="I493" i="14" a="1"/>
  <c r="I494" i="14" a="1"/>
  <c r="I495" i="14" a="1"/>
  <c r="I496" i="14" a="1"/>
  <c r="I497" i="14" a="1"/>
  <c r="I498" i="14" a="1"/>
  <c r="I499" i="14" a="1"/>
  <c r="I500" i="14" a="1"/>
  <c r="I501" i="14" a="1"/>
  <c r="I502" i="14" a="1"/>
  <c r="I503" i="14" a="1"/>
  <c r="I504" i="14" a="1"/>
  <c r="I505" i="14" a="1"/>
  <c r="I506" i="14" a="1"/>
  <c r="I507" i="14" a="1"/>
  <c r="I508" i="14" a="1"/>
  <c r="I509" i="14" a="1"/>
  <c r="I510" i="14" a="1"/>
  <c r="I511" i="14" a="1"/>
  <c r="I512" i="14" a="1"/>
  <c r="I513" i="14" a="1"/>
  <c r="I514" i="14" a="1"/>
  <c r="I515" i="14" a="1"/>
  <c r="I516" i="14" a="1"/>
  <c r="I517" i="14" a="1"/>
  <c r="I518" i="14" a="1"/>
  <c r="I519" i="14" a="1"/>
  <c r="I520" i="14" a="1"/>
  <c r="I521" i="14" a="1"/>
  <c r="I522" i="14" a="1"/>
  <c r="E156" i="14" a="1"/>
  <c r="E180" i="14" a="1"/>
  <c r="H190" i="14" a="1"/>
  <c r="F199" i="14" a="1"/>
  <c r="L203" i="14" a="1"/>
  <c r="E209" i="14" a="1"/>
  <c r="K225" i="14" a="1"/>
  <c r="F230" i="14" a="1"/>
  <c r="F243" i="14" a="1"/>
  <c r="E246" i="14" a="1"/>
  <c r="J251" i="14" a="1"/>
  <c r="H254" i="14" a="1"/>
  <c r="H257" i="14" a="1"/>
  <c r="E260" i="14" a="1"/>
  <c r="L262" i="14" a="1"/>
  <c r="I268" i="14" a="1"/>
  <c r="E271" i="14" a="1"/>
  <c r="I273" i="14" a="1"/>
  <c r="I278" i="14" a="1"/>
  <c r="H283" i="14" a="1"/>
  <c r="H288" i="14" a="1"/>
  <c r="L292" i="14" a="1"/>
  <c r="H156" i="14" a="1"/>
  <c r="J190" i="14" a="1"/>
  <c r="F195" i="14" a="1"/>
  <c r="E204" i="14" a="1"/>
  <c r="F209" i="14" a="1"/>
  <c r="J217" i="14" a="1"/>
  <c r="I221" i="14" a="1"/>
  <c r="H230" i="14" a="1"/>
  <c r="E234" i="14" a="1"/>
  <c r="G237" i="14" a="1"/>
  <c r="H240" i="14" a="1"/>
  <c r="F246" i="14" a="1"/>
  <c r="K251" i="14" a="1"/>
  <c r="I254" i="14" a="1"/>
  <c r="F260" i="14" a="1"/>
  <c r="E263" i="14" a="1"/>
  <c r="E266" i="14" a="1"/>
  <c r="G271" i="14" a="1"/>
  <c r="F276" i="14" a="1"/>
  <c r="G286" i="14" a="1"/>
  <c r="I288" i="14" a="1"/>
  <c r="E295" i="14" a="1"/>
  <c r="F297" i="14" a="1"/>
  <c r="I299" i="14" a="1"/>
  <c r="K304" i="14" a="1"/>
  <c r="J306" i="14" a="1"/>
  <c r="E310" i="14" a="1"/>
  <c r="K311" i="14" a="1"/>
  <c r="G315" i="14" a="1"/>
  <c r="J318" i="14" a="1"/>
  <c r="I320" i="14" a="1"/>
  <c r="F322" i="14" a="1"/>
  <c r="L323" i="14" a="1"/>
  <c r="E329" i="14" a="1"/>
  <c r="I332" i="14" a="1"/>
  <c r="G334" i="14" a="1"/>
  <c r="G340" i="14" a="1"/>
  <c r="L341" i="14" a="1"/>
  <c r="H343" i="14" a="1"/>
  <c r="L344" i="14" a="1"/>
  <c r="L347" i="14" a="1"/>
  <c r="H349" i="14" a="1"/>
  <c r="E351" i="14" a="1"/>
  <c r="H352" i="14" a="1"/>
  <c r="E354" i="14" a="1"/>
  <c r="E360" i="14" a="1"/>
  <c r="F363" i="14" a="1"/>
  <c r="F369" i="14" a="1"/>
  <c r="J370" i="14" a="1"/>
  <c r="F372" i="14" a="1"/>
  <c r="J373" i="14" a="1"/>
  <c r="J379" i="14" a="1"/>
  <c r="G381" i="14" a="1"/>
  <c r="G384" i="14" a="1"/>
  <c r="G387" i="14" a="1"/>
  <c r="L394" i="14" a="1"/>
  <c r="H396" i="14" a="1"/>
  <c r="L397" i="14" a="1"/>
  <c r="L400" i="14" a="1"/>
  <c r="G402" i="14" a="1"/>
  <c r="I403" i="14" a="1"/>
  <c r="K404" i="14" a="1"/>
  <c r="F406" i="14" a="1"/>
  <c r="K408" i="14" a="1"/>
  <c r="H411" i="14" a="1"/>
  <c r="E418" i="14" a="1"/>
  <c r="F423" i="14" a="1"/>
  <c r="H424" i="14" a="1"/>
  <c r="J425" i="14" a="1"/>
  <c r="K431" i="14" a="1"/>
  <c r="G434" i="14" a="1"/>
  <c r="I435" i="14" a="1"/>
  <c r="L437" i="14" a="1"/>
  <c r="F439" i="14" a="1"/>
  <c r="H440" i="14" a="1"/>
  <c r="J441" i="14" a="1"/>
  <c r="K180" i="14" a="1"/>
  <c r="F191" i="14" a="1"/>
  <c r="K199" i="14" a="1"/>
  <c r="F204" i="14" a="1"/>
  <c r="L213" i="14" a="1"/>
  <c r="E222" i="14" a="1"/>
  <c r="I230" i="14" a="1"/>
  <c r="F234" i="14" a="1"/>
  <c r="H237" i="14" a="1"/>
  <c r="I240" i="14" a="1"/>
  <c r="J243" i="14" a="1"/>
  <c r="L248" i="14" a="1"/>
  <c r="J257" i="14" a="1"/>
  <c r="H260" i="14" a="1"/>
  <c r="G263" i="14" a="1"/>
  <c r="E269" i="14" a="1"/>
  <c r="I271" i="14" a="1"/>
  <c r="K273" i="14" a="1"/>
  <c r="I281" i="14" a="1"/>
  <c r="H286" i="14" a="1"/>
  <c r="K288" i="14" a="1"/>
  <c r="E291" i="14" a="1"/>
  <c r="E293" i="14" a="1"/>
  <c r="H297" i="14" a="1"/>
  <c r="I301" i="14" a="1"/>
  <c r="F303" i="14" a="1"/>
  <c r="K306" i="14" a="1"/>
  <c r="H308" i="14" a="1"/>
  <c r="J313" i="14" a="1"/>
  <c r="E317" i="14" a="1"/>
  <c r="K318" i="14" a="1"/>
  <c r="J325" i="14" a="1"/>
  <c r="I327" i="14" a="1"/>
  <c r="G329" i="14" a="1"/>
  <c r="L330" i="14" a="1"/>
  <c r="J332" i="14" a="1"/>
  <c r="L335" i="14" a="1"/>
  <c r="H337" i="14" a="1"/>
  <c r="L338" i="14" a="1"/>
  <c r="H340" i="14" a="1"/>
  <c r="E342" i="14" a="1"/>
  <c r="E345" i="14" a="1"/>
  <c r="H346" i="14" a="1"/>
  <c r="F357" i="14" a="1"/>
  <c r="F360" i="14" a="1"/>
  <c r="J361" i="14" a="1"/>
  <c r="J364" i="14" a="1"/>
  <c r="F366" i="14" a="1"/>
  <c r="G369" i="14" a="1"/>
  <c r="G375" i="14" a="1"/>
  <c r="G378" i="14" a="1"/>
  <c r="L382" i="14" a="1"/>
  <c r="H387" i="14" a="1"/>
  <c r="E389" i="14" a="1"/>
  <c r="H390" i="14" a="1"/>
  <c r="L391" i="14" a="1"/>
  <c r="H393" i="14" a="1"/>
  <c r="E395" i="14" a="1"/>
  <c r="E398" i="14" a="1"/>
  <c r="E401" i="14" a="1"/>
  <c r="G406" i="14" a="1"/>
  <c r="F410" i="14" a="1"/>
  <c r="K412" i="14" a="1"/>
  <c r="F414" i="14" a="1"/>
  <c r="H415" i="14" a="1"/>
  <c r="H419" i="14" a="1"/>
  <c r="J420" i="14" a="1"/>
  <c r="L421" i="14" a="1"/>
  <c r="G423" i="14" a="1"/>
  <c r="I424" i="14" a="1"/>
  <c r="L426" i="14" a="1"/>
  <c r="F428" i="14" a="1"/>
  <c r="H429" i="14" a="1"/>
  <c r="J430" i="14" a="1"/>
  <c r="K436" i="14" a="1"/>
  <c r="G439" i="14" a="1"/>
  <c r="I440" i="14" a="1"/>
  <c r="L442" i="14" a="1"/>
  <c r="F444" i="14" a="1"/>
  <c r="H445" i="14" a="1"/>
  <c r="J446" i="14" a="1"/>
  <c r="K452" i="14" a="1"/>
  <c r="F455" i="14" a="1"/>
  <c r="I457" i="14" a="1"/>
  <c r="J458" i="14" a="1"/>
  <c r="K459" i="14" a="1"/>
  <c r="L460" i="14" a="1"/>
  <c r="E462" i="14" a="1"/>
  <c r="F463" i="14" a="1"/>
  <c r="I465" i="14" a="1"/>
  <c r="J466" i="14" a="1"/>
  <c r="L162" i="14" a="1"/>
  <c r="E174" i="14" a="1"/>
  <c r="L180" i="14" a="1"/>
  <c r="H186" i="14" a="1"/>
  <c r="H191" i="14" a="1"/>
  <c r="F200" i="14" a="1"/>
  <c r="H209" i="14" a="1"/>
  <c r="L217" i="14" a="1"/>
  <c r="I226" i="14" a="1"/>
  <c r="J230" i="14" a="1"/>
  <c r="I234" i="14" a="1"/>
  <c r="G252" i="14" a="1"/>
  <c r="G255" i="14" a="1"/>
  <c r="K260" i="14" a="1"/>
  <c r="I266" i="14" a="1"/>
  <c r="E274" i="14" a="1"/>
  <c r="K276" i="14" a="1"/>
  <c r="F279" i="14" a="1"/>
  <c r="L283" i="14" a="1"/>
  <c r="E289" i="14" a="1"/>
  <c r="F291" i="14" a="1"/>
  <c r="F293" i="14" a="1"/>
  <c r="H295" i="14" a="1"/>
  <c r="I297" i="14" a="1"/>
  <c r="E305" i="14" a="1"/>
  <c r="I308" i="14" a="1"/>
  <c r="F310" i="14" a="1"/>
  <c r="E312" i="14" a="1"/>
  <c r="K313" i="14" a="1"/>
  <c r="I315" i="14" a="1"/>
  <c r="L318" i="14" a="1"/>
  <c r="J320" i="14" a="1"/>
  <c r="H322" i="14" a="1"/>
  <c r="E324" i="14" a="1"/>
  <c r="H329" i="14" a="1"/>
  <c r="E339" i="14" a="1"/>
  <c r="F348" i="14" a="1"/>
  <c r="J349" i="14" a="1"/>
  <c r="F351" i="14" a="1"/>
  <c r="J358" i="14" a="1"/>
  <c r="G363" i="14" a="1"/>
  <c r="G366" i="14" a="1"/>
  <c r="G372" i="14" a="1"/>
  <c r="L373" i="14" a="1"/>
  <c r="H375" i="14" a="1"/>
  <c r="L376" i="14" a="1"/>
  <c r="L379" i="14" a="1"/>
  <c r="H381" i="14" a="1"/>
  <c r="E383" i="14" a="1"/>
  <c r="H384" i="14" a="1"/>
  <c r="E386" i="14" a="1"/>
  <c r="E392" i="14" a="1"/>
  <c r="F395" i="14" a="1"/>
  <c r="F164" i="14" a="1"/>
  <c r="E181" i="14" a="1"/>
  <c r="I186" i="14" a="1"/>
  <c r="K209" i="14" a="1"/>
  <c r="E214" i="14" a="1"/>
  <c r="J234" i="14" a="1"/>
  <c r="K237" i="14" a="1"/>
  <c r="J246" i="14" a="1"/>
  <c r="J249" i="14" a="1"/>
  <c r="H255" i="14" a="1"/>
  <c r="L260" i="14" a="1"/>
  <c r="K266" i="14" a="1"/>
  <c r="G274" i="14" a="1"/>
  <c r="H182" i="14" a="1"/>
  <c r="H187" i="14" a="1"/>
  <c r="J191" i="14" a="1"/>
  <c r="E196" i="14" a="1"/>
  <c r="K200" i="14" a="1"/>
  <c r="I205" i="14" a="1"/>
  <c r="F210" i="14" a="1"/>
  <c r="F214" i="14" a="1"/>
  <c r="H227" i="14" a="1"/>
  <c r="G238" i="14" a="1"/>
  <c r="H241" i="14" a="1"/>
  <c r="F244" i="14" a="1"/>
  <c r="K249" i="14" a="1"/>
  <c r="J252" i="14" a="1"/>
  <c r="G258" i="14" a="1"/>
  <c r="F261" i="14" a="1"/>
  <c r="H269" i="14" a="1"/>
  <c r="L271" i="14" a="1"/>
  <c r="H274" i="14" a="1"/>
  <c r="H165" i="14" a="1"/>
  <c r="F175" i="14" a="1"/>
  <c r="J182" i="14" a="1"/>
  <c r="K191" i="14" a="1"/>
  <c r="I196" i="14" a="1"/>
  <c r="H201" i="14" a="1"/>
  <c r="I210" i="14" a="1"/>
  <c r="L218" i="14" a="1"/>
  <c r="I227" i="14" a="1"/>
  <c r="G231" i="14" a="1"/>
  <c r="G244" i="14" a="1"/>
  <c r="E247" i="14" a="1"/>
  <c r="I255" i="14" a="1"/>
  <c r="E264" i="14" a="1"/>
  <c r="L266" i="14" a="1"/>
  <c r="I269" i="14" a="1"/>
  <c r="E272" i="14" a="1"/>
  <c r="E277" i="14" a="1"/>
  <c r="I279" i="14" a="1"/>
  <c r="L281" i="14" a="1"/>
  <c r="I284" i="14" a="1"/>
  <c r="I291" i="14" a="1"/>
  <c r="K295" i="14" a="1"/>
  <c r="E298" i="14" a="1"/>
  <c r="L299" i="14" a="1"/>
  <c r="J303" i="14" a="1"/>
  <c r="I305" i="14" a="1"/>
  <c r="E307" i="14" a="1"/>
  <c r="J310" i="14" a="1"/>
  <c r="H312" i="14" a="1"/>
  <c r="E314" i="14" a="1"/>
  <c r="K315" i="14" a="1"/>
  <c r="I317" i="14" a="1"/>
  <c r="G319" i="14" a="1"/>
  <c r="H324" i="14" a="1"/>
  <c r="F326" i="14" a="1"/>
  <c r="L327" i="14" a="1"/>
  <c r="J329" i="14" a="1"/>
  <c r="G331" i="14" a="1"/>
  <c r="G336" i="14" a="1"/>
  <c r="G339" i="14" a="1"/>
  <c r="L346" i="14" a="1"/>
  <c r="H348" i="14" a="1"/>
  <c r="L349" i="14" a="1"/>
  <c r="E353" i="14" a="1"/>
  <c r="E356" i="14" a="1"/>
  <c r="H357" i="14" a="1"/>
  <c r="E359" i="14" a="1"/>
  <c r="F368" i="14" a="1"/>
  <c r="J372" i="14" a="1"/>
  <c r="J375" i="14" a="1"/>
  <c r="F377" i="14" a="1"/>
  <c r="J378" i="14" a="1"/>
  <c r="G386" i="14" a="1"/>
  <c r="G389" i="14" a="1"/>
  <c r="L393" i="14" a="1"/>
  <c r="L399" i="14" a="1"/>
  <c r="L403" i="14" a="1"/>
  <c r="G405" i="14" a="1"/>
  <c r="F409" i="14" a="1"/>
  <c r="I410" i="14" a="1"/>
  <c r="F413" i="14" a="1"/>
  <c r="H414" i="14" a="1"/>
  <c r="H418" i="14" a="1"/>
  <c r="J419" i="14" a="1"/>
  <c r="E421" i="14" a="1"/>
  <c r="K424" i="14" a="1"/>
  <c r="G427" i="14" a="1"/>
  <c r="I428" i="14" a="1"/>
  <c r="L430" i="14" a="1"/>
  <c r="F432" i="14" a="1"/>
  <c r="H433" i="14" a="1"/>
  <c r="J434" i="14" a="1"/>
  <c r="K440" i="14" a="1"/>
  <c r="G443" i="14" a="1"/>
  <c r="I444" i="14" a="1"/>
  <c r="L446" i="14" a="1"/>
  <c r="F448" i="14" a="1"/>
  <c r="H449" i="14" a="1"/>
  <c r="J450" i="14" a="1"/>
  <c r="I455" i="14" a="1"/>
  <c r="J456" i="14" a="1"/>
  <c r="K457" i="14" a="1"/>
  <c r="L458" i="14" a="1"/>
  <c r="E460" i="14" a="1"/>
  <c r="F461" i="14" a="1"/>
  <c r="I463" i="14" a="1"/>
  <c r="J464" i="14" a="1"/>
  <c r="K465" i="14" a="1"/>
  <c r="L466" i="14" a="1"/>
  <c r="K196" i="14" a="1"/>
  <c r="H206" i="14" a="1"/>
  <c r="J210" i="14" a="1"/>
  <c r="H214" i="14" a="1"/>
  <c r="E219" i="14" a="1"/>
  <c r="K223" i="14" a="1"/>
  <c r="J227" i="14" a="1"/>
  <c r="F235" i="14" a="1"/>
  <c r="J238" i="14" a="1"/>
  <c r="I241" i="14" a="1"/>
  <c r="E250" i="14" a="1"/>
  <c r="H261" i="14" a="1"/>
  <c r="E282" i="14" a="1"/>
  <c r="H244" i="14" a="1"/>
  <c r="K279" i="14" a="1"/>
  <c r="E299" i="14" a="1"/>
  <c r="F305" i="14" a="1"/>
  <c r="F313" i="14" a="1"/>
  <c r="F316" i="14" a="1"/>
  <c r="J321" i="14" a="1"/>
  <c r="I324" i="14" a="1"/>
  <c r="E330" i="14" a="1"/>
  <c r="L332" i="14" a="1"/>
  <c r="G335" i="14" a="1"/>
  <c r="J342" i="14" a="1"/>
  <c r="F345" i="14" a="1"/>
  <c r="H347" i="14" a="1"/>
  <c r="E350" i="14" a="1"/>
  <c r="G357" i="14" a="1"/>
  <c r="F362" i="14" a="1"/>
  <c r="E367" i="14" a="1"/>
  <c r="H369" i="14" a="1"/>
  <c r="G374" i="14" a="1"/>
  <c r="H376" i="14" a="1"/>
  <c r="F379" i="14" a="1"/>
  <c r="J393" i="14" a="1"/>
  <c r="L395" i="14" a="1"/>
  <c r="H400" i="14" a="1"/>
  <c r="H402" i="14" a="1"/>
  <c r="F404" i="14" a="1"/>
  <c r="J407" i="14" a="1"/>
  <c r="E411" i="14" a="1"/>
  <c r="L412" i="14" a="1"/>
  <c r="G416" i="14" a="1"/>
  <c r="F418" i="14" a="1"/>
  <c r="K419" i="14" a="1"/>
  <c r="I421" i="14" a="1"/>
  <c r="L424" i="14" a="1"/>
  <c r="I426" i="14" a="1"/>
  <c r="G428" i="14" a="1"/>
  <c r="H431" i="14" a="1"/>
  <c r="F433" i="14" a="1"/>
  <c r="K434" i="14" a="1"/>
  <c r="G441" i="14" a="1"/>
  <c r="J444" i="14" a="1"/>
  <c r="F446" i="14" a="1"/>
  <c r="K447" i="14" a="1"/>
  <c r="K456" i="14" a="1"/>
  <c r="I459" i="14" a="1"/>
  <c r="H462" i="14" a="1"/>
  <c r="K463" i="14" a="1"/>
  <c r="L467" i="14" a="1"/>
  <c r="F469" i="14" a="1"/>
  <c r="G475" i="14" a="1"/>
  <c r="K477" i="14" a="1"/>
  <c r="E479" i="14" a="1"/>
  <c r="H481" i="14" a="1"/>
  <c r="J482" i="14" a="1"/>
  <c r="L483" i="14" a="1"/>
  <c r="F485" i="14" a="1"/>
  <c r="F288" i="14" a="1"/>
  <c r="K292" i="14" a="1"/>
  <c r="K296" i="14" a="1"/>
  <c r="F300" i="14" a="1"/>
  <c r="F314" i="14" a="1"/>
  <c r="L316" i="14" a="1"/>
  <c r="K319" i="14" a="1"/>
  <c r="J322" i="14" a="1"/>
  <c r="F325" i="14" a="1"/>
  <c r="K330" i="14" a="1"/>
  <c r="J333" i="14" a="1"/>
  <c r="G343" i="14" a="1"/>
  <c r="L345" i="14" a="1"/>
  <c r="F353" i="14" a="1"/>
  <c r="H355" i="14" a="1"/>
  <c r="E358" i="14" a="1"/>
  <c r="H360" i="14" a="1"/>
  <c r="J362" i="14" a="1"/>
  <c r="G365" i="14" a="1"/>
  <c r="F382" i="14" a="1"/>
  <c r="L386" i="14" a="1"/>
  <c r="H389" i="14" a="1"/>
  <c r="G394" i="14" a="1"/>
  <c r="E399" i="14" a="1"/>
  <c r="I404" i="14" a="1"/>
  <c r="H406" i="14" a="1"/>
  <c r="K409" i="14" a="1"/>
  <c r="J411" i="14" a="1"/>
  <c r="L416" i="14" a="1"/>
  <c r="G420" i="14" a="1"/>
  <c r="F422" i="14" a="1"/>
  <c r="K423" i="14" a="1"/>
  <c r="G430" i="14" a="1"/>
  <c r="J433" i="14" a="1"/>
  <c r="F435" i="14" a="1"/>
  <c r="L436" i="14" a="1"/>
  <c r="I443" i="14" a="1"/>
  <c r="K446" i="14" a="1"/>
  <c r="K449" i="14" a="1"/>
  <c r="G451" i="14" a="1"/>
  <c r="H454" i="14" a="1"/>
  <c r="K455" i="14" a="1"/>
  <c r="H461" i="14" a="1"/>
  <c r="K462" i="14" a="1"/>
  <c r="F464" i="14" a="1"/>
  <c r="J465" i="14" a="1"/>
  <c r="E467" i="14" a="1"/>
  <c r="J206" i="14" a="1"/>
  <c r="G293" i="14" a="1"/>
  <c r="I300" i="14" a="1"/>
  <c r="H303" i="14" a="1"/>
  <c r="L305" i="14" a="1"/>
  <c r="H311" i="14" a="1"/>
  <c r="H314" i="14" a="1"/>
  <c r="F317" i="14" a="1"/>
  <c r="K322" i="14" a="1"/>
  <c r="G325" i="14" a="1"/>
  <c r="E331" i="14" a="1"/>
  <c r="K333" i="14" a="1"/>
  <c r="J343" i="14" a="1"/>
  <c r="E346" i="14" a="1"/>
  <c r="J350" i="14" a="1"/>
  <c r="J360" i="14" a="1"/>
  <c r="H365" i="14" a="1"/>
  <c r="L367" i="14" a="1"/>
  <c r="L374" i="14" a="1"/>
  <c r="G382" i="14" a="1"/>
  <c r="E387" i="14" a="1"/>
  <c r="J389" i="14" a="1"/>
  <c r="F392" i="14" a="1"/>
  <c r="L396" i="14" a="1"/>
  <c r="G401" i="14" a="1"/>
  <c r="L402" i="14" a="1"/>
  <c r="I406" i="14" a="1"/>
  <c r="H413" i="14" a="1"/>
  <c r="F415" i="14" a="1"/>
  <c r="E417" i="14" a="1"/>
  <c r="J418" i="14" a="1"/>
  <c r="H420" i="14" a="1"/>
  <c r="G422" i="14" a="1"/>
  <c r="H425" i="14" a="1"/>
  <c r="F427" i="14" a="1"/>
  <c r="K428" i="14" a="1"/>
  <c r="G435" i="14" a="1"/>
  <c r="J438" i="14" a="1"/>
  <c r="F440" i="14" a="1"/>
  <c r="L441" i="14" a="1"/>
  <c r="H448" i="14" a="1"/>
  <c r="H451" i="14" a="1"/>
  <c r="L452" i="14" a="1"/>
  <c r="I454" i="14" a="1"/>
  <c r="F457" i="14" a="1"/>
  <c r="I461" i="14" a="1"/>
  <c r="G464" i="14" a="1"/>
  <c r="G473" i="14" a="1"/>
  <c r="F267" i="14" a="1"/>
  <c r="F284" i="14" a="1"/>
  <c r="I289" i="14" a="1"/>
  <c r="K303" i="14" a="1"/>
  <c r="F306" i="14" a="1"/>
  <c r="G309" i="14" a="1"/>
  <c r="J317" i="14" a="1"/>
  <c r="E320" i="14" a="1"/>
  <c r="E323" i="14" a="1"/>
  <c r="I328" i="14" a="1"/>
  <c r="I331" i="14" a="1"/>
  <c r="L343" i="14" a="1"/>
  <c r="F346" i="14" a="1"/>
  <c r="G358" i="14" a="1"/>
  <c r="L360" i="14" a="1"/>
  <c r="J365" i="14" a="1"/>
  <c r="F385" i="14" a="1"/>
  <c r="L389" i="14" a="1"/>
  <c r="H392" i="14" a="1"/>
  <c r="G397" i="14" a="1"/>
  <c r="G399" i="14" a="1"/>
  <c r="F403" i="14" a="1"/>
  <c r="E405" i="14" a="1"/>
  <c r="H408" i="14" a="1"/>
  <c r="E412" i="14" a="1"/>
  <c r="G417" i="14" a="1"/>
  <c r="I422" i="14" a="1"/>
  <c r="K425" i="14" a="1"/>
  <c r="H427" i="14" a="1"/>
  <c r="L428" i="14" a="1"/>
  <c r="J435" i="14" a="1"/>
  <c r="G437" i="14" a="1"/>
  <c r="K438" i="14" a="1"/>
  <c r="F442" i="14" a="1"/>
  <c r="I445" i="14" a="1"/>
  <c r="J451" i="14" a="1"/>
  <c r="F453" i="14" a="1"/>
  <c r="J454" i="14" a="1"/>
  <c r="H457" i="14" a="1"/>
  <c r="G460" i="14" a="1"/>
  <c r="J461" i="14" a="1"/>
  <c r="E463" i="14" a="1"/>
  <c r="I464" i="14" a="1"/>
  <c r="L465" i="14" a="1"/>
  <c r="K469" i="14" a="1"/>
  <c r="E471" i="14" a="1"/>
  <c r="H473" i="14" a="1"/>
  <c r="J474" i="14" a="1"/>
  <c r="L475" i="14" a="1"/>
  <c r="F477" i="14" a="1"/>
  <c r="G483" i="14" a="1"/>
  <c r="K485" i="14" a="1"/>
  <c r="E487" i="14" a="1"/>
  <c r="I290" i="14" a="1"/>
  <c r="H298" i="14" a="1"/>
  <c r="K301" i="14" a="1"/>
  <c r="H304" i="14" a="1"/>
  <c r="G307" i="14" a="1"/>
  <c r="K312" i="14" a="1"/>
  <c r="G318" i="14" a="1"/>
  <c r="F321" i="14" a="1"/>
  <c r="E335" i="14" a="1"/>
  <c r="G337" i="14" a="1"/>
  <c r="G342" i="14" a="1"/>
  <c r="F347" i="14" a="1"/>
  <c r="L351" i="14" a="1"/>
  <c r="J356" i="14" a="1"/>
  <c r="H361" i="14" a="1"/>
  <c r="G371" i="14" a="1"/>
  <c r="F376" i="14" a="1"/>
  <c r="J385" i="14" a="1"/>
  <c r="J390" i="14" a="1"/>
  <c r="E393" i="14" a="1"/>
  <c r="I405" i="14" a="1"/>
  <c r="F407" i="14" a="1"/>
  <c r="E409" i="14" a="1"/>
  <c r="K410" i="14" a="1"/>
  <c r="G414" i="14" a="1"/>
  <c r="E416" i="14" a="1"/>
  <c r="I419" i="14" a="1"/>
  <c r="G421" i="14" a="1"/>
  <c r="J424" i="14" a="1"/>
  <c r="G426" i="14" a="1"/>
  <c r="K427" i="14" a="1"/>
  <c r="F431" i="14" a="1"/>
  <c r="I434" i="14" a="1"/>
  <c r="J437" i="14" a="1"/>
  <c r="H439" i="14" a="1"/>
  <c r="L445" i="14" a="1"/>
  <c r="I447" i="14" a="1"/>
  <c r="E455" i="14" a="1"/>
  <c r="I456" i="14" a="1"/>
  <c r="L457" i="14" a="1"/>
  <c r="G459" i="14" a="1"/>
  <c r="J460" i="14" a="1"/>
  <c r="L464" i="14" a="1"/>
  <c r="G466" i="14" a="1"/>
  <c r="J467" i="14" a="1"/>
  <c r="L468" i="14" a="1"/>
  <c r="H168" i="14" a="1"/>
  <c r="G287" i="14" a="1"/>
  <c r="G294" i="14" a="1"/>
  <c r="G299" i="14" a="1"/>
  <c r="L303" i="14" a="1"/>
  <c r="J319" i="14" a="1"/>
  <c r="L331" i="14" a="1"/>
  <c r="H339" i="14" a="1"/>
  <c r="G346" i="14" a="1"/>
  <c r="L187" i="14" a="1"/>
  <c r="F277" i="14" a="1"/>
  <c r="K299" i="14" a="1"/>
  <c r="L307" i="14" a="1"/>
  <c r="G312" i="14" a="1"/>
  <c r="L319" i="14" a="1"/>
  <c r="E328" i="14" a="1"/>
  <c r="E332" i="14" a="1"/>
  <c r="L342" i="14" a="1"/>
  <c r="J346" i="14" a="1"/>
  <c r="E357" i="14" a="1"/>
  <c r="F364" i="14" a="1"/>
  <c r="G367" i="14" a="1"/>
  <c r="F378" i="14" a="1"/>
  <c r="F399" i="14" a="1"/>
  <c r="E402" i="14" a="1"/>
  <c r="E407" i="14" a="1"/>
  <c r="K414" i="14" a="1"/>
  <c r="H417" i="14" a="1"/>
  <c r="L419" i="14" a="1"/>
  <c r="J429" i="14" a="1"/>
  <c r="L431" i="14" a="1"/>
  <c r="H434" i="14" a="1"/>
  <c r="J436" i="14" a="1"/>
  <c r="H441" i="14" a="1"/>
  <c r="G446" i="14" a="1"/>
  <c r="J448" i="14" a="1"/>
  <c r="K450" i="14" a="1"/>
  <c r="E457" i="14" a="1"/>
  <c r="F459" i="14" a="1"/>
  <c r="G461" i="14" a="1"/>
  <c r="F472" i="14" a="1"/>
  <c r="J473" i="14" a="1"/>
  <c r="H476" i="14" a="1"/>
  <c r="L477" i="14" a="1"/>
  <c r="G479" i="14" a="1"/>
  <c r="J480" i="14" a="1"/>
  <c r="F482" i="14" a="1"/>
  <c r="L484" i="14" a="1"/>
  <c r="G486" i="14" a="1"/>
  <c r="J487" i="14" a="1"/>
  <c r="L488" i="14" a="1"/>
  <c r="F490" i="14" a="1"/>
  <c r="G496" i="14" a="1"/>
  <c r="K498" i="14" a="1"/>
  <c r="E500" i="14" a="1"/>
  <c r="H502" i="14" a="1"/>
  <c r="J503" i="14" a="1"/>
  <c r="L504" i="14" a="1"/>
  <c r="F506" i="14" a="1"/>
  <c r="G512" i="14" a="1"/>
  <c r="K514" i="14" a="1"/>
  <c r="E516" i="14" a="1"/>
  <c r="H518" i="14" a="1"/>
  <c r="J519" i="14" a="1"/>
  <c r="L520" i="14" a="1"/>
  <c r="F522" i="14" a="1"/>
  <c r="I192" i="14" a="1"/>
  <c r="G279" i="14" a="1"/>
  <c r="H294" i="14" a="1"/>
  <c r="G304" i="14" a="1"/>
  <c r="I312" i="14" a="1"/>
  <c r="F324" i="14" a="1"/>
  <c r="H328" i="14" a="1"/>
  <c r="F332" i="14" a="1"/>
  <c r="F336" i="14" a="1"/>
  <c r="E343" i="14" a="1"/>
  <c r="G350" i="14" a="1"/>
  <c r="J353" i="14" a="1"/>
  <c r="E361" i="14" a="1"/>
  <c r="J374" i="14" a="1"/>
  <c r="H378" i="14" a="1"/>
  <c r="L381" i="14" a="1"/>
  <c r="H385" i="14" a="1"/>
  <c r="F389" i="14" a="1"/>
  <c r="F402" i="14" a="1"/>
  <c r="G289" i="14" a="1"/>
  <c r="F308" i="14" a="1"/>
  <c r="H316" i="14" a="1"/>
  <c r="K320" i="14" a="1"/>
  <c r="J328" i="14" a="1"/>
  <c r="H332" i="14" a="1"/>
  <c r="H336" i="14" a="1"/>
  <c r="L339" i="14" a="1"/>
  <c r="F343" i="14" a="1"/>
  <c r="E347" i="14" a="1"/>
  <c r="G368" i="14" a="1"/>
  <c r="F375" i="14" a="1"/>
  <c r="F396" i="14" a="1"/>
  <c r="H407" i="14" a="1"/>
  <c r="E410" i="14" a="1"/>
  <c r="L414" i="14" a="1"/>
  <c r="I417" i="14" a="1"/>
  <c r="F420" i="14" a="1"/>
  <c r="L429" i="14" a="1"/>
  <c r="H432" i="14" a="1"/>
  <c r="F437" i="14" a="1"/>
  <c r="I439" i="14" a="1"/>
  <c r="K441" i="14" a="1"/>
  <c r="G444" i="14" a="1"/>
  <c r="I446" i="14" a="1"/>
  <c r="K448" i="14" a="1"/>
  <c r="H455" i="14" a="1"/>
  <c r="H459" i="14" a="1"/>
  <c r="J463" i="14" a="1"/>
  <c r="G469" i="14" a="1"/>
  <c r="K470" i="14" a="1"/>
  <c r="J476" i="14" a="1"/>
  <c r="H479" i="14" a="1"/>
  <c r="L480" i="14" a="1"/>
  <c r="G482" i="14" a="1"/>
  <c r="J483" i="14" a="1"/>
  <c r="G490" i="14" a="1"/>
  <c r="K492" i="14" a="1"/>
  <c r="E494" i="14" a="1"/>
  <c r="H496" i="14" a="1"/>
  <c r="J497" i="14" a="1"/>
  <c r="L498" i="14" a="1"/>
  <c r="F500" i="14" a="1"/>
  <c r="G506" i="14" a="1"/>
  <c r="K508" i="14" a="1"/>
  <c r="E510" i="14" a="1"/>
  <c r="H512" i="14" a="1"/>
  <c r="J513" i="14" a="1"/>
  <c r="L514" i="14" a="1"/>
  <c r="F516" i="14" a="1"/>
  <c r="F280" i="14" a="1"/>
  <c r="K300" i="14" a="1"/>
  <c r="I304" i="14" a="1"/>
  <c r="J308" i="14" a="1"/>
  <c r="J316" i="14" a="1"/>
  <c r="L320" i="14" a="1"/>
  <c r="L324" i="14" a="1"/>
  <c r="E340" i="14" a="1"/>
  <c r="G347" i="14" a="1"/>
  <c r="G280" i="14" a="1"/>
  <c r="K289" i="14" a="1"/>
  <c r="L300" i="14" a="1"/>
  <c r="E309" i="14" a="1"/>
  <c r="L312" i="14" a="1"/>
  <c r="E321" i="14" a="1"/>
  <c r="E325" i="14" a="1"/>
  <c r="F333" i="14" a="1"/>
  <c r="E344" i="14" a="1"/>
  <c r="L350" i="14" a="1"/>
  <c r="L357" i="14" a="1"/>
  <c r="L364" i="14" a="1"/>
  <c r="L371" i="14" a="1"/>
  <c r="J382" i="14" a="1"/>
  <c r="J396" i="14" a="1"/>
  <c r="F400" i="14" a="1"/>
  <c r="J402" i="14" a="1"/>
  <c r="K407" i="14" a="1"/>
  <c r="H410" i="14" a="1"/>
  <c r="E413" i="14" a="1"/>
  <c r="I415" i="14" a="1"/>
  <c r="I420" i="14" a="1"/>
  <c r="L422" i="14" a="1"/>
  <c r="G425" i="14" a="1"/>
  <c r="L434" i="14" a="1"/>
  <c r="H437" i="14" a="1"/>
  <c r="K439" i="14" a="1"/>
  <c r="G442" i="14" a="1"/>
  <c r="F449" i="14" a="1"/>
  <c r="F451" i="14" a="1"/>
  <c r="I453" i="14" a="1"/>
  <c r="J455" i="14" a="1"/>
  <c r="K461" i="14" a="1"/>
  <c r="H469" i="14" a="1"/>
  <c r="E474" i="14" a="1"/>
  <c r="H475" i="14" a="1"/>
  <c r="J479" i="14" a="1"/>
  <c r="H482" i="14" a="1"/>
  <c r="G485" i="14" a="1"/>
  <c r="J486" i="14" a="1"/>
  <c r="E488" i="14" a="1"/>
  <c r="H490" i="14" a="1"/>
  <c r="J491" i="14" a="1"/>
  <c r="L492" i="14" a="1"/>
  <c r="F494" i="14" a="1"/>
  <c r="G500" i="14" a="1"/>
  <c r="K502" i="14" a="1"/>
  <c r="E504" i="14" a="1"/>
  <c r="H506" i="14" a="1"/>
  <c r="J507" i="14" a="1"/>
  <c r="L508" i="14" a="1"/>
  <c r="F510" i="14" a="1"/>
  <c r="G516" i="14" a="1"/>
  <c r="K518" i="14" a="1"/>
  <c r="E520" i="14" a="1"/>
  <c r="H522" i="14" a="1"/>
  <c r="E228" i="14" a="1"/>
  <c r="K281" i="14" a="1"/>
  <c r="E290" i="14" a="1"/>
  <c r="H296" i="14" a="1"/>
  <c r="E301" i="14" a="1"/>
  <c r="H305" i="14" a="1"/>
  <c r="H321" i="14" a="1"/>
  <c r="I329" i="14" a="1"/>
  <c r="G333" i="14" a="1"/>
  <c r="E337" i="14" a="1"/>
  <c r="J340" i="14" a="1"/>
  <c r="G351" i="14" a="1"/>
  <c r="J354" i="14" a="1"/>
  <c r="L361" i="14" a="1"/>
  <c r="F365" i="14" a="1"/>
  <c r="G379" i="14" a="1"/>
  <c r="E390" i="14" a="1"/>
  <c r="G400" i="14" a="1"/>
  <c r="L407" i="14" a="1"/>
  <c r="J415" i="14" a="1"/>
  <c r="G418" i="14" a="1"/>
  <c r="K420" i="14" a="1"/>
  <c r="F430" i="14" a="1"/>
  <c r="J432" i="14" a="1"/>
  <c r="I437" i="14" a="1"/>
  <c r="F447" i="14" a="1"/>
  <c r="G449" i="14" a="1"/>
  <c r="I451" i="14" a="1"/>
  <c r="J453" i="14" a="1"/>
  <c r="L461" i="14" a="1"/>
  <c r="L463" i="14" a="1"/>
  <c r="E466" i="14" a="1"/>
  <c r="E468" i="14" a="1"/>
  <c r="F471" i="14" a="1"/>
  <c r="F474" i="14" a="1"/>
  <c r="L476" i="14" a="1"/>
  <c r="G478" i="14" a="1"/>
  <c r="K479" i="14" a="1"/>
  <c r="F481" i="14" a="1"/>
  <c r="E484" i="14" a="1"/>
  <c r="K486" i="14" a="1"/>
  <c r="G489" i="14" a="1"/>
  <c r="K491" i="14" a="1"/>
  <c r="E493" i="14" a="1"/>
  <c r="H495" i="14" a="1"/>
  <c r="J496" i="14" a="1"/>
  <c r="L497" i="14" a="1"/>
  <c r="F499" i="14" a="1"/>
  <c r="G505" i="14" a="1"/>
  <c r="K507" i="14" a="1"/>
  <c r="E509" i="14" a="1"/>
  <c r="H511" i="14" a="1"/>
  <c r="J512" i="14" a="1"/>
  <c r="L513" i="14" a="1"/>
  <c r="F515" i="14" a="1"/>
  <c r="G521" i="14" a="1"/>
  <c r="J523" i="14" a="1"/>
  <c r="E526" i="14" a="1"/>
  <c r="F527" i="14" a="1"/>
  <c r="G528" i="14" a="1"/>
  <c r="H529" i="14" a="1"/>
  <c r="I530" i="14" a="1"/>
  <c r="J531" i="14" a="1"/>
  <c r="E534" i="14" a="1"/>
  <c r="F535" i="14" a="1"/>
  <c r="G536" i="14" a="1"/>
  <c r="H537" i="14" a="1"/>
  <c r="I538" i="14" a="1"/>
  <c r="J539" i="14" a="1"/>
  <c r="E542" i="14" a="1"/>
  <c r="F543" i="14" a="1"/>
  <c r="G544" i="14" a="1"/>
  <c r="H545" i="14" a="1"/>
  <c r="I546" i="14" a="1"/>
  <c r="J547" i="14" a="1"/>
  <c r="E550" i="14" a="1"/>
  <c r="F551" i="14" a="1"/>
  <c r="G552" i="14" a="1"/>
  <c r="H553" i="14" a="1"/>
  <c r="I554" i="14" a="1"/>
  <c r="J555" i="14" a="1"/>
  <c r="E558" i="14" a="1"/>
  <c r="F559" i="14" a="1"/>
  <c r="G560" i="14" a="1"/>
  <c r="G561" i="14" a="1"/>
  <c r="G562" i="14" a="1"/>
  <c r="G563" i="14" a="1"/>
  <c r="G564" i="14" a="1"/>
  <c r="G565" i="14" a="1"/>
  <c r="G566" i="14" a="1"/>
  <c r="G567" i="14" a="1"/>
  <c r="G568" i="14" a="1"/>
  <c r="G569" i="14" a="1"/>
  <c r="G570" i="14" a="1"/>
  <c r="G571" i="14" a="1"/>
  <c r="G572" i="14" a="1"/>
  <c r="G573" i="14" a="1"/>
  <c r="G574" i="14" a="1"/>
  <c r="G575" i="14" a="1"/>
  <c r="G576" i="14" a="1"/>
  <c r="G577" i="14" a="1"/>
  <c r="G578" i="14" a="1"/>
  <c r="G579" i="14" a="1"/>
  <c r="G580" i="14" a="1"/>
  <c r="G581" i="14" a="1"/>
  <c r="G582" i="14" a="1"/>
  <c r="G583" i="14" a="1"/>
  <c r="G584" i="14" a="1"/>
  <c r="G585" i="14" a="1"/>
  <c r="G586" i="14" a="1"/>
  <c r="G587" i="14" a="1"/>
  <c r="G588" i="14" a="1"/>
  <c r="G589" i="14" a="1"/>
  <c r="G590" i="14" a="1"/>
  <c r="G591" i="14" a="1"/>
  <c r="G592" i="14" a="1"/>
  <c r="G593" i="14" a="1"/>
  <c r="G594" i="14" a="1"/>
  <c r="G595" i="14" a="1"/>
  <c r="G596" i="14" a="1"/>
  <c r="G597" i="14" a="1"/>
  <c r="G598" i="14" a="1"/>
  <c r="G599" i="14" a="1"/>
  <c r="G600" i="14" a="1"/>
  <c r="G601" i="14" a="1"/>
  <c r="G602" i="14" a="1"/>
  <c r="G603" i="14" a="1"/>
  <c r="G604" i="14" a="1"/>
  <c r="G605" i="14" a="1"/>
  <c r="G606" i="14" a="1"/>
  <c r="G607" i="14" a="1"/>
  <c r="G608" i="14" a="1"/>
  <c r="G609" i="14" a="1"/>
  <c r="G610" i="14" a="1"/>
  <c r="G611" i="14" a="1"/>
  <c r="G612" i="14" a="1"/>
  <c r="G613" i="14" a="1"/>
  <c r="G614" i="14" a="1"/>
  <c r="G615" i="14" a="1"/>
  <c r="G616" i="14" a="1"/>
  <c r="G617" i="14" a="1"/>
  <c r="G618" i="14" a="1"/>
  <c r="G619" i="14" a="1"/>
  <c r="G620" i="14" a="1"/>
  <c r="G621" i="14" a="1"/>
  <c r="G622" i="14" a="1"/>
  <c r="G623" i="14" a="1"/>
  <c r="G624" i="14" a="1"/>
  <c r="G625" i="14" a="1"/>
  <c r="G626" i="14" a="1"/>
  <c r="G627" i="14" a="1"/>
  <c r="G628" i="14" a="1"/>
  <c r="G629" i="14" a="1"/>
  <c r="G630" i="14" a="1"/>
  <c r="G631" i="14" a="1"/>
  <c r="G632" i="14" a="1"/>
  <c r="K231" i="14" a="1"/>
  <c r="I296" i="14" a="1"/>
  <c r="F301" i="14" a="1"/>
  <c r="I313" i="14" a="1"/>
  <c r="K317" i="14" a="1"/>
  <c r="I321" i="14" a="1"/>
  <c r="L282" i="14" a="1"/>
  <c r="G291" i="14" a="1"/>
  <c r="J301" i="14" a="1"/>
  <c r="J305" i="14" a="1"/>
  <c r="J309" i="14" a="1"/>
  <c r="E318" i="14" a="1"/>
  <c r="K329" i="14" a="1"/>
  <c r="E341" i="14" a="1"/>
  <c r="H344" i="14" a="1"/>
  <c r="E355" i="14" a="1"/>
  <c r="H379" i="14" a="1"/>
  <c r="G383" i="14" a="1"/>
  <c r="G390" i="14" a="1"/>
  <c r="E394" i="14" a="1"/>
  <c r="H397" i="14" a="1"/>
  <c r="J405" i="14" a="1"/>
  <c r="G408" i="14" a="1"/>
  <c r="G413" i="14" a="1"/>
  <c r="L415" i="14" a="1"/>
  <c r="I423" i="14" a="1"/>
  <c r="L425" i="14" a="1"/>
  <c r="K430" i="14" a="1"/>
  <c r="L432" i="14" a="1"/>
  <c r="H435" i="14" a="1"/>
  <c r="I442" i="14" a="1"/>
  <c r="K451" i="14" a="1"/>
  <c r="L453" i="14" a="1"/>
  <c r="E456" i="14" a="1"/>
  <c r="E458" i="14" a="1"/>
  <c r="F460" i="14" a="1"/>
  <c r="F462" i="14" a="1"/>
  <c r="E464" i="14" a="1"/>
  <c r="F466" i="14" a="1"/>
  <c r="F468" i="14" a="1"/>
  <c r="G471" i="14" a="1"/>
  <c r="K472" i="14" a="1"/>
  <c r="G474" i="14" a="1"/>
  <c r="J475" i="14" a="1"/>
  <c r="L479" i="14" a="1"/>
  <c r="G481" i="14" a="1"/>
  <c r="K482" i="14" a="1"/>
  <c r="F484" i="14" a="1"/>
  <c r="L486" i="14" a="1"/>
  <c r="H489" i="14" a="1"/>
  <c r="J490" i="14" a="1"/>
  <c r="L491" i="14" a="1"/>
  <c r="F493" i="14" a="1"/>
  <c r="G499" i="14" a="1"/>
  <c r="K501" i="14" a="1"/>
  <c r="G284" i="14" a="1"/>
  <c r="E297" i="14" a="1"/>
  <c r="E302" i="14" a="1"/>
  <c r="K305" i="14" a="1"/>
  <c r="K309" i="14" a="1"/>
  <c r="L313" i="14" a="1"/>
  <c r="G326" i="14" a="1"/>
  <c r="J337" i="14" a="1"/>
  <c r="G341" i="14" a="1"/>
  <c r="J344" i="14" a="1"/>
  <c r="L358" i="14" a="1"/>
  <c r="F373" i="14" a="1"/>
  <c r="F380" i="14" a="1"/>
  <c r="I400" i="14" a="1"/>
  <c r="K405" i="14" a="1"/>
  <c r="L410" i="14" a="1"/>
  <c r="I413" i="14" a="1"/>
  <c r="F416" i="14" a="1"/>
  <c r="I418" i="14" a="1"/>
  <c r="J423" i="14" a="1"/>
  <c r="H428" i="14" a="1"/>
  <c r="G433" i="14" a="1"/>
  <c r="J442" i="14" a="1"/>
  <c r="L444" i="14" a="1"/>
  <c r="H447" i="14" a="1"/>
  <c r="J449" i="14" a="1"/>
  <c r="L451" i="14" a="1"/>
  <c r="F456" i="14" a="1"/>
  <c r="F458" i="14" a="1"/>
  <c r="G462" i="14" a="1"/>
  <c r="H464" i="14" a="1"/>
  <c r="L469" i="14" a="1"/>
  <c r="L472" i="14" a="1"/>
  <c r="K475" i="14" a="1"/>
  <c r="E480" i="14" a="1"/>
  <c r="G488" i="14" a="1"/>
  <c r="K490" i="14" a="1"/>
  <c r="E492" i="14" a="1"/>
  <c r="H494" i="14" a="1"/>
  <c r="J495" i="14" a="1"/>
  <c r="L496" i="14" a="1"/>
  <c r="F498" i="14" a="1"/>
  <c r="G504" i="14" a="1"/>
  <c r="K506" i="14" a="1"/>
  <c r="E508" i="14" a="1"/>
  <c r="H510" i="14" a="1"/>
  <c r="J511" i="14" a="1"/>
  <c r="L512" i="14" a="1"/>
  <c r="F514" i="14" a="1"/>
  <c r="G520" i="14" a="1"/>
  <c r="K522" i="14" a="1"/>
  <c r="L523" i="14" a="1"/>
  <c r="K530" i="14" a="1"/>
  <c r="L531" i="14" a="1"/>
  <c r="K538" i="14" a="1"/>
  <c r="L539" i="14" a="1"/>
  <c r="K546" i="14" a="1"/>
  <c r="L547" i="14" a="1"/>
  <c r="K554" i="14" a="1"/>
  <c r="L555" i="14" a="1"/>
  <c r="F250" i="14" a="1"/>
  <c r="L297" i="14" a="1"/>
  <c r="F302" i="14" a="1"/>
  <c r="F318" i="14" a="1"/>
  <c r="E322" i="14" a="1"/>
  <c r="H326" i="14" a="1"/>
  <c r="E338" i="14" a="1"/>
  <c r="H341" i="14" a="1"/>
  <c r="E253" i="14" a="1"/>
  <c r="I302" i="14" a="1"/>
  <c r="H310" i="14" a="1"/>
  <c r="J314" i="14" a="1"/>
  <c r="J326" i="14" a="1"/>
  <c r="H330" i="14" a="1"/>
  <c r="J334" i="14" a="1"/>
  <c r="F352" i="14" a="1"/>
  <c r="L355" i="14" a="1"/>
  <c r="H359" i="14" a="1"/>
  <c r="G373" i="14" a="1"/>
  <c r="E377" i="14" a="1"/>
  <c r="L383" i="14" a="1"/>
  <c r="E391" i="14" a="1"/>
  <c r="H394" i="14" a="1"/>
  <c r="F398" i="14" a="1"/>
  <c r="J403" i="14" a="1"/>
  <c r="F411" i="14" a="1"/>
  <c r="K413" i="14" a="1"/>
  <c r="L418" i="14" a="1"/>
  <c r="L423" i="14" a="1"/>
  <c r="J428" i="14" a="1"/>
  <c r="I433" i="14" a="1"/>
  <c r="L435" i="14" a="1"/>
  <c r="G438" i="14" a="1"/>
  <c r="L449" i="14" a="1"/>
  <c r="F452" i="14" a="1"/>
  <c r="G454" i="14" a="1"/>
  <c r="H456" i="14" a="1"/>
  <c r="I460" i="14" a="1"/>
  <c r="H468" i="14" a="1"/>
  <c r="E476" i="14" a="1"/>
  <c r="K478" i="14" a="1"/>
  <c r="F480" i="14" a="1"/>
  <c r="E483" i="14" a="1"/>
  <c r="H488" i="14" a="1"/>
  <c r="J489" i="14" a="1"/>
  <c r="L490" i="14" a="1"/>
  <c r="F492" i="14" a="1"/>
  <c r="G498" i="14" a="1"/>
  <c r="K500" i="14" a="1"/>
  <c r="E502" i="14" a="1"/>
  <c r="H504" i="14" a="1"/>
  <c r="J505" i="14" a="1"/>
  <c r="L506" i="14" a="1"/>
  <c r="F508" i="14" a="1"/>
  <c r="G514" i="14" a="1"/>
  <c r="K516" i="14" a="1"/>
  <c r="E518" i="14" a="1"/>
  <c r="H520" i="14" a="1"/>
  <c r="J521" i="14" a="1"/>
  <c r="K255" i="14" a="1"/>
  <c r="F285" i="14" a="1"/>
  <c r="F292" i="14" a="1"/>
  <c r="F298" i="14" a="1"/>
  <c r="J302" i="14" a="1"/>
  <c r="L306" i="14" a="1"/>
  <c r="K310" i="14" a="1"/>
  <c r="I318" i="14" a="1"/>
  <c r="K326" i="14" a="1"/>
  <c r="L334" i="14" a="1"/>
  <c r="G338" i="14" a="1"/>
  <c r="H345" i="14" a="1"/>
  <c r="L348" i="14" a="1"/>
  <c r="F356" i="14" a="1"/>
  <c r="E363" i="14" a="1"/>
  <c r="J366" i="14" a="1"/>
  <c r="E370" i="14" a="1"/>
  <c r="J380" i="14" a="1"/>
  <c r="L387" i="14" a="1"/>
  <c r="G391" i="14" a="1"/>
  <c r="G398" i="14" a="1"/>
  <c r="H401" i="14" a="1"/>
  <c r="K403" i="14" a="1"/>
  <c r="L408" i="14" a="1"/>
  <c r="H292" i="14" a="1"/>
  <c r="L314" i="14" a="1"/>
  <c r="F319" i="14" a="1"/>
  <c r="G323" i="14" a="1"/>
  <c r="L326" i="14" a="1"/>
  <c r="F331" i="14" a="1"/>
  <c r="F335" i="14" a="1"/>
  <c r="G356" i="14" a="1"/>
  <c r="J359" i="14" a="1"/>
  <c r="H363" i="14" a="1"/>
  <c r="G370" i="14" a="1"/>
  <c r="E374" i="14" a="1"/>
  <c r="E388" i="14" a="1"/>
  <c r="H391" i="14" a="1"/>
  <c r="I401" i="14" a="1"/>
  <c r="E404" i="14" a="1"/>
  <c r="J406" i="14" a="1"/>
  <c r="I416" i="14" a="1"/>
  <c r="J421" i="14" a="1"/>
  <c r="F424" i="14" a="1"/>
  <c r="K433" i="14" a="1"/>
  <c r="F436" i="14" a="1"/>
  <c r="I438" i="14" a="1"/>
  <c r="L440" i="14" a="1"/>
  <c r="K445" i="14" a="1"/>
  <c r="G450" i="14" a="1"/>
  <c r="H452" i="14" a="1"/>
  <c r="K458" i="14" a="1"/>
  <c r="K460" i="14" a="1"/>
  <c r="J468" i="14" a="1"/>
  <c r="K471" i="14" a="1"/>
  <c r="K474" i="14" a="1"/>
  <c r="F476" i="14" a="1"/>
  <c r="L478" i="14" a="1"/>
  <c r="K481" i="14" a="1"/>
  <c r="F483" i="14" a="1"/>
  <c r="E486" i="14" a="1"/>
  <c r="G492" i="14" a="1"/>
  <c r="K494" i="14" a="1"/>
  <c r="E496" i="14" a="1"/>
  <c r="H498" i="14" a="1"/>
  <c r="J499" i="14" a="1"/>
  <c r="L500" i="14" a="1"/>
  <c r="F502" i="14" a="1"/>
  <c r="G508" i="14" a="1"/>
  <c r="K510" i="14" a="1"/>
  <c r="E512" i="14" a="1"/>
  <c r="H514" i="14" a="1"/>
  <c r="J515" i="14" a="1"/>
  <c r="L516" i="14" a="1"/>
  <c r="F518" i="14" a="1"/>
  <c r="K528" i="14" a="1"/>
  <c r="L529" i="14" a="1"/>
  <c r="K536" i="14" a="1"/>
  <c r="L537" i="14" a="1"/>
  <c r="K544" i="14" a="1"/>
  <c r="L545" i="14" a="1"/>
  <c r="K552" i="14" a="1"/>
  <c r="L553" i="14" a="1"/>
  <c r="K269" i="14" a="1"/>
  <c r="E376" i="14" a="1"/>
  <c r="G385" i="14" a="1"/>
  <c r="G395" i="14" a="1"/>
  <c r="I409" i="14" a="1"/>
  <c r="E420" i="14" a="1"/>
  <c r="K429" i="14" a="1"/>
  <c r="G453" i="14" a="1"/>
  <c r="H465" i="14" a="1"/>
  <c r="G472" i="14" a="1"/>
  <c r="F475" i="14" a="1"/>
  <c r="E478" i="14" a="1"/>
  <c r="K480" i="14" a="1"/>
  <c r="H486" i="14" a="1"/>
  <c r="E489" i="14" a="1"/>
  <c r="H491" i="14" a="1"/>
  <c r="L493" i="14" a="1"/>
  <c r="G501" i="14" a="1"/>
  <c r="L505" i="14" a="1"/>
  <c r="G510" i="14" a="1"/>
  <c r="E519" i="14" a="1"/>
  <c r="F521" i="14" a="1"/>
  <c r="F523" i="14" a="1"/>
  <c r="G527" i="14" a="1"/>
  <c r="J528" i="14" a="1"/>
  <c r="F530" i="14" a="1"/>
  <c r="L532" i="14" a="1"/>
  <c r="K535" i="14" a="1"/>
  <c r="F537" i="14" a="1"/>
  <c r="E540" i="14" a="1"/>
  <c r="H541" i="14" a="1"/>
  <c r="K542" i="14" a="1"/>
  <c r="F544" i="14" a="1"/>
  <c r="I545" i="14" a="1"/>
  <c r="E547" i="14" a="1"/>
  <c r="H548" i="14" a="1"/>
  <c r="K549" i="14" a="1"/>
  <c r="H555" i="14" a="1"/>
  <c r="K556" i="14" a="1"/>
  <c r="G558" i="14" a="1"/>
  <c r="J559" i="14" a="1"/>
  <c r="F562" i="14" a="1"/>
  <c r="H563" i="14" a="1"/>
  <c r="J564" i="14" a="1"/>
  <c r="L565" i="14" a="1"/>
  <c r="E572" i="14" a="1"/>
  <c r="I574" i="14" a="1"/>
  <c r="K575" i="14" a="1"/>
  <c r="F578" i="14" a="1"/>
  <c r="H579" i="14" a="1"/>
  <c r="J580" i="14" a="1"/>
  <c r="L581" i="14" a="1"/>
  <c r="E588" i="14" a="1"/>
  <c r="I590" i="14" a="1"/>
  <c r="K591" i="14" a="1"/>
  <c r="F594" i="14" a="1"/>
  <c r="H595" i="14" a="1"/>
  <c r="J596" i="14" a="1"/>
  <c r="L597" i="14" a="1"/>
  <c r="E604" i="14" a="1"/>
  <c r="I606" i="14" a="1"/>
  <c r="K607" i="14" a="1"/>
  <c r="F610" i="14" a="1"/>
  <c r="H611" i="14" a="1"/>
  <c r="J612" i="14" a="1"/>
  <c r="L613" i="14" a="1"/>
  <c r="E620" i="14" a="1"/>
  <c r="I622" i="14" a="1"/>
  <c r="K623" i="14" a="1"/>
  <c r="F626" i="14" a="1"/>
  <c r="H627" i="14" a="1"/>
  <c r="J628" i="14" a="1"/>
  <c r="L629" i="14" a="1"/>
  <c r="G272" i="14" a="1"/>
  <c r="H319" i="14" a="1"/>
  <c r="J357" i="14" a="1"/>
  <c r="F367" i="14" a="1"/>
  <c r="J376" i="14" a="1"/>
  <c r="H395" i="14" a="1"/>
  <c r="G415" i="14" a="1"/>
  <c r="F425" i="14" a="1"/>
  <c r="J439" i="14" a="1"/>
  <c r="H444" i="14" a="1"/>
  <c r="L448" i="14" a="1"/>
  <c r="H453" i="14" a="1"/>
  <c r="J457" i="14" a="1"/>
  <c r="H472" i="14" a="1"/>
  <c r="F478" i="14" a="1"/>
  <c r="E481" i="14" a="1"/>
  <c r="K483" i="14" a="1"/>
  <c r="F489" i="14" a="1"/>
  <c r="E499" i="14" a="1"/>
  <c r="H501" i="14" a="1"/>
  <c r="K503" i="14" a="1"/>
  <c r="E506" i="14" a="1"/>
  <c r="J514" i="14" a="1"/>
  <c r="E517" i="14" a="1"/>
  <c r="F519" i="14" a="1"/>
  <c r="I524" i="14" a="1"/>
  <c r="L525" i="14" a="1"/>
  <c r="H527" i="14" a="1"/>
  <c r="I531" i="14" a="1"/>
  <c r="E533" i="14" a="1"/>
  <c r="H534" i="14" a="1"/>
  <c r="J545" i="14" a="1"/>
  <c r="F547" i="14" a="1"/>
  <c r="G551" i="14" a="1"/>
  <c r="J552" i="14" a="1"/>
  <c r="F554" i="14" a="1"/>
  <c r="L556" i="14" a="1"/>
  <c r="K559" i="14" a="1"/>
  <c r="E561" i="14" a="1"/>
  <c r="I563" i="14" a="1"/>
  <c r="K564" i="14" a="1"/>
  <c r="F567" i="14" a="1"/>
  <c r="H568" i="14" a="1"/>
  <c r="J569" i="14" a="1"/>
  <c r="L570" i="14" a="1"/>
  <c r="E577" i="14" a="1"/>
  <c r="I579" i="14" a="1"/>
  <c r="K580" i="14" a="1"/>
  <c r="F583" i="14" a="1"/>
  <c r="H584" i="14" a="1"/>
  <c r="J585" i="14" a="1"/>
  <c r="L586" i="14" a="1"/>
  <c r="I319" i="14" a="1"/>
  <c r="H358" i="14" a="1"/>
  <c r="J377" i="14" a="1"/>
  <c r="J386" i="14" a="1"/>
  <c r="J395" i="14" a="1"/>
  <c r="J410" i="14" a="1"/>
  <c r="I430" i="14" a="1"/>
  <c r="L439" i="14" a="1"/>
  <c r="K444" i="14" a="1"/>
  <c r="I449" i="14" a="1"/>
  <c r="J469" i="14" a="1"/>
  <c r="J472" i="14" a="1"/>
  <c r="H478" i="14" a="1"/>
  <c r="G494" i="14" a="1"/>
  <c r="K496" i="14" a="1"/>
  <c r="J501" i="14" a="1"/>
  <c r="L503" i="14" a="1"/>
  <c r="K512" i="14" a="1"/>
  <c r="G519" i="14" a="1"/>
  <c r="H521" i="14" a="1"/>
  <c r="G523" i="14" a="1"/>
  <c r="L528" i="14" a="1"/>
  <c r="G530" i="14" a="1"/>
  <c r="F533" i="14" a="1"/>
  <c r="I534" i="14" a="1"/>
  <c r="L535" i="14" a="1"/>
  <c r="G537" i="14" a="1"/>
  <c r="J538" i="14" a="1"/>
  <c r="F540" i="14" a="1"/>
  <c r="I541" i="14" a="1"/>
  <c r="L542" i="14" a="1"/>
  <c r="K545" i="14" a="1"/>
  <c r="I548" i="14" a="1"/>
  <c r="L549" i="14" a="1"/>
  <c r="H551" i="14" a="1"/>
  <c r="I555" i="14" a="1"/>
  <c r="E557" i="14" a="1"/>
  <c r="H558" i="14" a="1"/>
  <c r="E566" i="14" a="1"/>
  <c r="I568" i="14" a="1"/>
  <c r="K569" i="14" a="1"/>
  <c r="F572" i="14" a="1"/>
  <c r="H573" i="14" a="1"/>
  <c r="J574" i="14" a="1"/>
  <c r="L575" i="14" a="1"/>
  <c r="E582" i="14" a="1"/>
  <c r="I584" i="14" a="1"/>
  <c r="K585" i="14" a="1"/>
  <c r="K286" i="14" a="1"/>
  <c r="F349" i="14" a="1"/>
  <c r="F359" i="14" a="1"/>
  <c r="H368" i="14" a="1"/>
  <c r="L377" i="14" a="1"/>
  <c r="G404" i="14" a="1"/>
  <c r="F426" i="14" a="1"/>
  <c r="K435" i="14" a="1"/>
  <c r="J440" i="14" a="1"/>
  <c r="G445" i="14" a="1"/>
  <c r="E287" i="14" a="1"/>
  <c r="I323" i="14" a="1"/>
  <c r="E378" i="14" a="1"/>
  <c r="F388" i="14" a="1"/>
  <c r="H404" i="14" a="1"/>
  <c r="G411" i="14" a="1"/>
  <c r="H416" i="14" a="1"/>
  <c r="H426" i="14" a="1"/>
  <c r="G431" i="14" a="1"/>
  <c r="J445" i="14" a="1"/>
  <c r="F450" i="14" a="1"/>
  <c r="I458" i="14" a="1"/>
  <c r="J462" i="14" a="1"/>
  <c r="K466" i="14" a="1"/>
  <c r="I293" i="14" a="1"/>
  <c r="I325" i="14" a="1"/>
  <c r="L359" i="14" a="1"/>
  <c r="J369" i="14" a="1"/>
  <c r="L378" i="14" a="1"/>
  <c r="G388" i="14" a="1"/>
  <c r="J397" i="14" a="1"/>
  <c r="L411" i="14" a="1"/>
  <c r="K416" i="14" a="1"/>
  <c r="K421" i="14" a="1"/>
  <c r="J426" i="14" a="1"/>
  <c r="I431" i="14" a="1"/>
  <c r="G436" i="14" a="1"/>
  <c r="H450" i="14" a="1"/>
  <c r="E294" i="14" a="1"/>
  <c r="G327" i="14" a="1"/>
  <c r="H388" i="14" a="1"/>
  <c r="J398" i="14" a="1"/>
  <c r="K426" i="14" a="1"/>
  <c r="H436" i="14" a="1"/>
  <c r="F441" i="14" a="1"/>
  <c r="I450" i="14" a="1"/>
  <c r="E459" i="14" a="1"/>
  <c r="F467" i="14" a="1"/>
  <c r="H470" i="14" a="1"/>
  <c r="G476" i="14" a="1"/>
  <c r="F479" i="14" a="1"/>
  <c r="L481" i="14" a="1"/>
  <c r="K484" i="14" a="1"/>
  <c r="E490" i="14" a="1"/>
  <c r="H492" i="14" a="1"/>
  <c r="L494" i="14" a="1"/>
  <c r="G502" i="14" a="1"/>
  <c r="J506" i="14" a="1"/>
  <c r="E511" i="14" a="1"/>
  <c r="G513" i="14" a="1"/>
  <c r="H515" i="14" a="1"/>
  <c r="J517" i="14" a="1"/>
  <c r="K519" i="14" a="1"/>
  <c r="E522" i="14" a="1"/>
  <c r="I523" i="14" a="1"/>
  <c r="E525" i="14" a="1"/>
  <c r="H526" i="14" a="1"/>
  <c r="J537" i="14" a="1"/>
  <c r="F539" i="14" a="1"/>
  <c r="G543" i="14" a="1"/>
  <c r="J544" i="14" a="1"/>
  <c r="F546" i="14" a="1"/>
  <c r="L548" i="14" a="1"/>
  <c r="K551" i="14" a="1"/>
  <c r="F553" i="14" a="1"/>
  <c r="E556" i="14" a="1"/>
  <c r="H557" i="14" a="1"/>
  <c r="K558" i="14" a="1"/>
  <c r="F560" i="14" a="1"/>
  <c r="H561" i="14" a="1"/>
  <c r="J562" i="14" a="1"/>
  <c r="L563" i="14" a="1"/>
  <c r="E570" i="14" a="1"/>
  <c r="I572" i="14" a="1"/>
  <c r="K573" i="14" a="1"/>
  <c r="F576" i="14" a="1"/>
  <c r="H577" i="14" a="1"/>
  <c r="J578" i="14" a="1"/>
  <c r="L579" i="14" a="1"/>
  <c r="E586" i="14" a="1"/>
  <c r="I588" i="14" a="1"/>
  <c r="K589" i="14" a="1"/>
  <c r="F592" i="14" a="1"/>
  <c r="H593" i="14" a="1"/>
  <c r="J594" i="14" a="1"/>
  <c r="L595" i="14" a="1"/>
  <c r="E602" i="14" a="1"/>
  <c r="I604" i="14" a="1"/>
  <c r="K605" i="14" a="1"/>
  <c r="F608" i="14" a="1"/>
  <c r="H609" i="14" a="1"/>
  <c r="J610" i="14" a="1"/>
  <c r="L611" i="14" a="1"/>
  <c r="E618" i="14" a="1"/>
  <c r="I620" i="14" a="1"/>
  <c r="K621" i="14" a="1"/>
  <c r="F624" i="14" a="1"/>
  <c r="H625" i="14" a="1"/>
  <c r="J626" i="14" a="1"/>
  <c r="L627" i="14" a="1"/>
  <c r="J327" i="14" a="1"/>
  <c r="F361" i="14" a="1"/>
  <c r="L370" i="14" a="1"/>
  <c r="H380" i="14" a="1"/>
  <c r="F412" i="14" a="1"/>
  <c r="H422" i="14" a="1"/>
  <c r="I436" i="14" a="1"/>
  <c r="G463" i="14" a="1"/>
  <c r="G467" i="14" a="1"/>
  <c r="E482" i="14" a="1"/>
  <c r="E495" i="14" a="1"/>
  <c r="H497" i="14" a="1"/>
  <c r="L499" i="14" a="1"/>
  <c r="J504" i="14" a="1"/>
  <c r="F511" i="14" a="1"/>
  <c r="K517" i="14" a="1"/>
  <c r="L519" i="14" a="1"/>
  <c r="F525" i="14" a="1"/>
  <c r="L527" i="14" a="1"/>
  <c r="G529" i="14" a="1"/>
  <c r="J530" i="14" a="1"/>
  <c r="F532" i="14" a="1"/>
  <c r="I533" i="14" a="1"/>
  <c r="L534" i="14" a="1"/>
  <c r="K537" i="14" a="1"/>
  <c r="I540" i="14" a="1"/>
  <c r="L541" i="14" a="1"/>
  <c r="H543" i="14" a="1"/>
  <c r="I547" i="14" a="1"/>
  <c r="L454" i="14" a="1"/>
  <c r="I526" i="14" a="1"/>
  <c r="L298" i="14" a="1"/>
  <c r="E362" i="14" a="1"/>
  <c r="E371" i="14" a="1"/>
  <c r="L380" i="14" a="1"/>
  <c r="L398" i="14" a="1"/>
  <c r="K406" i="14" a="1"/>
  <c r="G412" i="14" a="1"/>
  <c r="J422" i="14" a="1"/>
  <c r="I427" i="14" a="1"/>
  <c r="G432" i="14" a="1"/>
  <c r="L450" i="14" a="1"/>
  <c r="G455" i="14" a="1"/>
  <c r="H463" i="14" a="1"/>
  <c r="H467" i="14" a="1"/>
  <c r="J470" i="14" a="1"/>
  <c r="K473" i="14" a="1"/>
  <c r="E485" i="14" a="1"/>
  <c r="K487" i="14" a="1"/>
  <c r="J492" i="14" a="1"/>
  <c r="F495" i="14" a="1"/>
  <c r="K504" i="14" a="1"/>
  <c r="E507" i="14" a="1"/>
  <c r="F509" i="14" a="1"/>
  <c r="G511" i="14" a="1"/>
  <c r="H513" i="14" a="1"/>
  <c r="K515" i="14" a="1"/>
  <c r="L517" i="14" a="1"/>
  <c r="F520" i="14" a="1"/>
  <c r="K523" i="14" a="1"/>
  <c r="E528" i="14" a="1"/>
  <c r="G532" i="14" a="1"/>
  <c r="E535" i="14" a="1"/>
  <c r="H536" i="14" a="1"/>
  <c r="G539" i="14" a="1"/>
  <c r="L544" i="14" a="1"/>
  <c r="G546" i="14" a="1"/>
  <c r="F549" i="14" a="1"/>
  <c r="I550" i="14" a="1"/>
  <c r="L551" i="14" a="1"/>
  <c r="G553" i="14" a="1"/>
  <c r="J554" i="14" a="1"/>
  <c r="F556" i="14" a="1"/>
  <c r="I557" i="14" a="1"/>
  <c r="L558" i="14" a="1"/>
  <c r="E564" i="14" a="1"/>
  <c r="I566" i="14" a="1"/>
  <c r="K567" i="14" a="1"/>
  <c r="F570" i="14" a="1"/>
  <c r="H571" i="14" a="1"/>
  <c r="J572" i="14" a="1"/>
  <c r="L573" i="14" a="1"/>
  <c r="E580" i="14" a="1"/>
  <c r="I582" i="14" a="1"/>
  <c r="K583" i="14" a="1"/>
  <c r="F586" i="14" a="1"/>
  <c r="H587" i="14" a="1"/>
  <c r="J588" i="14" a="1"/>
  <c r="L589" i="14" a="1"/>
  <c r="E596" i="14" a="1"/>
  <c r="I598" i="14" a="1"/>
  <c r="K599" i="14" a="1"/>
  <c r="F602" i="14" a="1"/>
  <c r="H603" i="14" a="1"/>
  <c r="J604" i="14" a="1"/>
  <c r="L605" i="14" a="1"/>
  <c r="E612" i="14" a="1"/>
  <c r="I614" i="14" a="1"/>
  <c r="K615" i="14" a="1"/>
  <c r="F618" i="14" a="1"/>
  <c r="H619" i="14" a="1"/>
  <c r="J620" i="14" a="1"/>
  <c r="L621" i="14" a="1"/>
  <c r="E628" i="14" a="1"/>
  <c r="I630" i="14" a="1"/>
  <c r="K631" i="14" a="1"/>
  <c r="K561" i="14" a="1"/>
  <c r="J582" i="14" a="1"/>
  <c r="I592" i="14" a="1"/>
  <c r="J598" i="14" a="1"/>
  <c r="E606" i="14" a="1"/>
  <c r="J614" i="14" a="1"/>
  <c r="I624" i="14" a="1"/>
  <c r="F628" i="14" a="1"/>
  <c r="L631" i="14" a="1"/>
  <c r="K302" i="14" a="1"/>
  <c r="H362" i="14" a="1"/>
  <c r="F381" i="14" a="1"/>
  <c r="L390" i="14" a="1"/>
  <c r="J412" i="14" a="1"/>
  <c r="J417" i="14" a="1"/>
  <c r="K422" i="14" a="1"/>
  <c r="J427" i="14" a="1"/>
  <c r="I432" i="14" a="1"/>
  <c r="J459" i="14" a="1"/>
  <c r="K467" i="14" a="1"/>
  <c r="L470" i="14" a="1"/>
  <c r="L473" i="14" a="1"/>
  <c r="K476" i="14" a="1"/>
  <c r="L487" i="14" a="1"/>
  <c r="G495" i="14" a="1"/>
  <c r="K497" i="14" a="1"/>
  <c r="J502" i="14" a="1"/>
  <c r="F507" i="14" a="1"/>
  <c r="G509" i="14" a="1"/>
  <c r="G522" i="14" a="1"/>
  <c r="G525" i="14" a="1"/>
  <c r="J526" i="14" a="1"/>
  <c r="L530" i="14" a="1"/>
  <c r="J533" i="14" a="1"/>
  <c r="I536" i="14" a="1"/>
  <c r="E538" i="14" a="1"/>
  <c r="J540" i="14" a="1"/>
  <c r="F542" i="14" a="1"/>
  <c r="I543" i="14" a="1"/>
  <c r="E545" i="14" a="1"/>
  <c r="K547" i="14" a="1"/>
  <c r="E552" i="14" a="1"/>
  <c r="G556" i="14" a="1"/>
  <c r="E559" i="14" a="1"/>
  <c r="H560" i="14" a="1"/>
  <c r="J561" i="14" a="1"/>
  <c r="L562" i="14" a="1"/>
  <c r="E569" i="14" a="1"/>
  <c r="I571" i="14" a="1"/>
  <c r="K572" i="14" a="1"/>
  <c r="F575" i="14" a="1"/>
  <c r="H576" i="14" a="1"/>
  <c r="J577" i="14" a="1"/>
  <c r="L578" i="14" a="1"/>
  <c r="E585" i="14" a="1"/>
  <c r="I587" i="14" a="1"/>
  <c r="K588" i="14" a="1"/>
  <c r="F591" i="14" a="1"/>
  <c r="H592" i="14" a="1"/>
  <c r="J593" i="14" a="1"/>
  <c r="L594" i="14" a="1"/>
  <c r="E601" i="14" a="1"/>
  <c r="I603" i="14" a="1"/>
  <c r="K604" i="14" a="1"/>
  <c r="F607" i="14" a="1"/>
  <c r="H608" i="14" a="1"/>
  <c r="J609" i="14" a="1"/>
  <c r="L610" i="14" a="1"/>
  <c r="E617" i="14" a="1"/>
  <c r="I619" i="14" a="1"/>
  <c r="K620" i="14" a="1"/>
  <c r="F623" i="14" a="1"/>
  <c r="H624" i="14" a="1"/>
  <c r="J625" i="14" a="1"/>
  <c r="L626" i="14" a="1"/>
  <c r="H372" i="14" a="1"/>
  <c r="L554" i="14" a="1"/>
  <c r="K577" i="14" a="1"/>
  <c r="E590" i="14" a="1"/>
  <c r="F596" i="14" a="1"/>
  <c r="K609" i="14" a="1"/>
  <c r="H613" i="14" a="1"/>
  <c r="K625" i="14" a="1"/>
  <c r="J630" i="14" a="1"/>
  <c r="H353" i="14" a="1"/>
  <c r="J381" i="14" a="1"/>
  <c r="L406" i="14" a="1"/>
  <c r="H423" i="14" a="1"/>
  <c r="K432" i="14" a="1"/>
  <c r="H442" i="14" a="1"/>
  <c r="G447" i="14" a="1"/>
  <c r="L455" i="14" a="1"/>
  <c r="L459" i="14" a="1"/>
  <c r="E477" i="14" a="1"/>
  <c r="H485" i="14" a="1"/>
  <c r="F488" i="14" a="1"/>
  <c r="E498" i="14" a="1"/>
  <c r="H500" i="14" a="1"/>
  <c r="L502" i="14" a="1"/>
  <c r="E505" i="14" a="1"/>
  <c r="H509" i="14" a="1"/>
  <c r="K513" i="14" a="1"/>
  <c r="L515" i="14" a="1"/>
  <c r="E524" i="14" a="1"/>
  <c r="H525" i="14" a="1"/>
  <c r="K526" i="14" a="1"/>
  <c r="F528" i="14" a="1"/>
  <c r="I529" i="14" a="1"/>
  <c r="E531" i="14" a="1"/>
  <c r="H532" i="14" a="1"/>
  <c r="K533" i="14" a="1"/>
  <c r="H539" i="14" a="1"/>
  <c r="K540" i="14" a="1"/>
  <c r="G542" i="14" a="1"/>
  <c r="J543" i="14" a="1"/>
  <c r="H546" i="14" a="1"/>
  <c r="G549" i="14" a="1"/>
  <c r="J550" i="14" a="1"/>
  <c r="J557" i="14" a="1"/>
  <c r="I560" i="14" a="1"/>
  <c r="F564" i="14" a="1"/>
  <c r="H565" i="14" a="1"/>
  <c r="J566" i="14" a="1"/>
  <c r="L567" i="14" a="1"/>
  <c r="E574" i="14" a="1"/>
  <c r="I576" i="14" a="1"/>
  <c r="F580" i="14" a="1"/>
  <c r="H581" i="14" a="1"/>
  <c r="L583" i="14" a="1"/>
  <c r="K593" i="14" a="1"/>
  <c r="H597" i="14" a="1"/>
  <c r="L599" i="14" a="1"/>
  <c r="I608" i="14" a="1"/>
  <c r="F612" i="14" a="1"/>
  <c r="L615" i="14" a="1"/>
  <c r="E622" i="14" a="1"/>
  <c r="H629" i="14" a="1"/>
  <c r="F307" i="14" a="1"/>
  <c r="G354" i="14" a="1"/>
  <c r="J363" i="14" a="1"/>
  <c r="F438" i="14" a="1"/>
  <c r="K442" i="14" a="1"/>
  <c r="G456" i="14" a="1"/>
  <c r="H460" i="14" a="1"/>
  <c r="G468" i="14" a="1"/>
  <c r="H471" i="14" a="1"/>
  <c r="H474" i="14" a="1"/>
  <c r="G477" i="14" a="1"/>
  <c r="L482" i="14" a="1"/>
  <c r="J485" i="14" a="1"/>
  <c r="G493" i="14" a="1"/>
  <c r="K495" i="14" a="1"/>
  <c r="J500" i="14" a="1"/>
  <c r="E503" i="14" a="1"/>
  <c r="F505" i="14" a="1"/>
  <c r="G507" i="14" a="1"/>
  <c r="K511" i="14" a="1"/>
  <c r="E514" i="14" a="1"/>
  <c r="G518" i="14" a="1"/>
  <c r="J529" i="14" a="1"/>
  <c r="F531" i="14" a="1"/>
  <c r="G535" i="14" a="1"/>
  <c r="J536" i="14" a="1"/>
  <c r="F538" i="14" a="1"/>
  <c r="L540" i="14" a="1"/>
  <c r="K543" i="14" a="1"/>
  <c r="F545" i="14" a="1"/>
  <c r="E548" i="14" a="1"/>
  <c r="H549" i="14" a="1"/>
  <c r="K550" i="14" a="1"/>
  <c r="F552" i="14" a="1"/>
  <c r="I553" i="14" a="1"/>
  <c r="E555" i="14" a="1"/>
  <c r="H556" i="14" a="1"/>
  <c r="K557" i="14" a="1"/>
  <c r="E563" i="14" a="1"/>
  <c r="I565" i="14" a="1"/>
  <c r="K566" i="14" a="1"/>
  <c r="F569" i="14" a="1"/>
  <c r="H570" i="14" a="1"/>
  <c r="J571" i="14" a="1"/>
  <c r="L572" i="14" a="1"/>
  <c r="E579" i="14" a="1"/>
  <c r="I581" i="14" a="1"/>
  <c r="K582" i="14" a="1"/>
  <c r="F585" i="14" a="1"/>
  <c r="H586" i="14" a="1"/>
  <c r="J587" i="14" a="1"/>
  <c r="L588" i="14" a="1"/>
  <c r="L354" i="14" a="1"/>
  <c r="L363" i="14" a="1"/>
  <c r="F383" i="14" a="1"/>
  <c r="E408" i="14" a="1"/>
  <c r="E414" i="14" a="1"/>
  <c r="H438" i="14" a="1"/>
  <c r="F443" i="14" a="1"/>
  <c r="L447" i="14" a="1"/>
  <c r="G452" i="14" a="1"/>
  <c r="K464" i="14" a="1"/>
  <c r="J471" i="14" a="1"/>
  <c r="H477" i="14" a="1"/>
  <c r="G480" i="14" a="1"/>
  <c r="L485" i="14" a="1"/>
  <c r="E491" i="14" a="1"/>
  <c r="H493" i="14" a="1"/>
  <c r="L495" i="14" a="1"/>
  <c r="F503" i="14" a="1"/>
  <c r="H507" i="14" a="1"/>
  <c r="J509" i="14" a="1"/>
  <c r="L511" i="14" a="1"/>
  <c r="J520" i="14" a="1"/>
  <c r="J522" i="14" a="1"/>
  <c r="F524" i="14" a="1"/>
  <c r="I525" i="14" a="1"/>
  <c r="L526" i="14" a="1"/>
  <c r="K529" i="14" a="1"/>
  <c r="I532" i="14" a="1"/>
  <c r="L533" i="14" a="1"/>
  <c r="H535" i="14" a="1"/>
  <c r="I539" i="14" a="1"/>
  <c r="E541" i="14" a="1"/>
  <c r="H542" i="14" a="1"/>
  <c r="J553" i="14" a="1"/>
  <c r="F555" i="14" a="1"/>
  <c r="G559" i="14" a="1"/>
  <c r="J560" i="14" a="1"/>
  <c r="L561" i="14" a="1"/>
  <c r="E568" i="14" a="1"/>
  <c r="I570" i="14" a="1"/>
  <c r="K571" i="14" a="1"/>
  <c r="F574" i="14" a="1"/>
  <c r="H575" i="14" a="1"/>
  <c r="J576" i="14" a="1"/>
  <c r="L577" i="14" a="1"/>
  <c r="E584" i="14" a="1"/>
  <c r="I586" i="14" a="1"/>
  <c r="K587" i="14" a="1"/>
  <c r="F590" i="14" a="1"/>
  <c r="H591" i="14" a="1"/>
  <c r="J592" i="14" a="1"/>
  <c r="L593" i="14" a="1"/>
  <c r="F311" i="14" a="1"/>
  <c r="L392" i="14" a="1"/>
  <c r="J401" i="14" a="1"/>
  <c r="I408" i="14" a="1"/>
  <c r="L433" i="14" a="1"/>
  <c r="H443" i="14" a="1"/>
  <c r="I452" i="14" a="1"/>
  <c r="K468" i="14" a="1"/>
  <c r="H480" i="14" a="1"/>
  <c r="J488" i="14" a="1"/>
  <c r="F491" i="14" a="1"/>
  <c r="E501" i="14" a="1"/>
  <c r="G503" i="14" a="1"/>
  <c r="H505" i="14" a="1"/>
  <c r="K509" i="14" a="1"/>
  <c r="H516" i="14" a="1"/>
  <c r="K520" i="14" a="1"/>
  <c r="G524" i="14" a="1"/>
  <c r="E527" i="14" a="1"/>
  <c r="H528" i="14" a="1"/>
  <c r="G531" i="14" a="1"/>
  <c r="L536" i="14" a="1"/>
  <c r="G538" i="14" a="1"/>
  <c r="F541" i="14" a="1"/>
  <c r="I542" i="14" a="1"/>
  <c r="L543" i="14" a="1"/>
  <c r="G545" i="14" a="1"/>
  <c r="J546" i="14" a="1"/>
  <c r="F548" i="14" a="1"/>
  <c r="I549" i="14" a="1"/>
  <c r="L550" i="14" a="1"/>
  <c r="K553" i="14" a="1"/>
  <c r="I556" i="14" a="1"/>
  <c r="L557" i="14" a="1"/>
  <c r="H559" i="14" a="1"/>
  <c r="K560" i="14" a="1"/>
  <c r="F563" i="14" a="1"/>
  <c r="H564" i="14" a="1"/>
  <c r="J565" i="14" a="1"/>
  <c r="L566" i="14" a="1"/>
  <c r="E573" i="14" a="1"/>
  <c r="I575" i="14" a="1"/>
  <c r="K576" i="14" a="1"/>
  <c r="F579" i="14" a="1"/>
  <c r="H580" i="14" a="1"/>
  <c r="J581" i="14" a="1"/>
  <c r="L582" i="14" a="1"/>
  <c r="E589" i="14" a="1"/>
  <c r="I591" i="14" a="1"/>
  <c r="K592" i="14" a="1"/>
  <c r="F595" i="14" a="1"/>
  <c r="H596" i="14" a="1"/>
  <c r="J597" i="14" a="1"/>
  <c r="L598" i="14" a="1"/>
  <c r="E605" i="14" a="1"/>
  <c r="I607" i="14" a="1"/>
  <c r="K608" i="14" a="1"/>
  <c r="F611" i="14" a="1"/>
  <c r="H612" i="14" a="1"/>
  <c r="J613" i="14" a="1"/>
  <c r="L614" i="14" a="1"/>
  <c r="E621" i="14" a="1"/>
  <c r="I623" i="14" a="1"/>
  <c r="K624" i="14" a="1"/>
  <c r="F627" i="14" a="1"/>
  <c r="H628" i="14" a="1"/>
  <c r="J629" i="14" a="1"/>
  <c r="L630" i="14" a="1"/>
  <c r="I402" i="14" a="1"/>
  <c r="J414" i="14" a="1"/>
  <c r="F434" i="14" a="1"/>
  <c r="K443" i="14" a="1"/>
  <c r="E469" i="14" a="1"/>
  <c r="E472" i="14" a="1"/>
  <c r="G491" i="14" a="1"/>
  <c r="J498" i="14" a="1"/>
  <c r="L507" i="14" a="1"/>
  <c r="L518" i="14" a="1"/>
  <c r="E523" i="14" a="1"/>
  <c r="K525" i="14" a="1"/>
  <c r="H531" i="14" a="1"/>
  <c r="G534" i="14" a="1"/>
  <c r="H538" i="14" a="1"/>
  <c r="J542" i="14" a="1"/>
  <c r="E554" i="14" a="1"/>
  <c r="J556" i="14" a="1"/>
  <c r="L560" i="14" a="1"/>
  <c r="E567" i="14" a="1"/>
  <c r="K570" i="14" a="1"/>
  <c r="G311" i="14" a="1"/>
  <c r="H342" i="14" a="1"/>
  <c r="H356" i="14" a="1"/>
  <c r="K401" i="14" a="1"/>
  <c r="G409" i="14" a="1"/>
  <c r="G429" i="14" a="1"/>
  <c r="J443" i="14" a="1"/>
  <c r="G448" i="14" a="1"/>
  <c r="J452" i="14" a="1"/>
  <c r="L456" i="14" a="1"/>
  <c r="E461" i="14" a="1"/>
  <c r="E465" i="14" a="1"/>
  <c r="L471" i="14" a="1"/>
  <c r="L474" i="14" a="1"/>
  <c r="J477" i="14" a="1"/>
  <c r="F486" i="14" a="1"/>
  <c r="K488" i="14" a="1"/>
  <c r="J493" i="14" a="1"/>
  <c r="F496" i="14" a="1"/>
  <c r="H503" i="14" a="1"/>
  <c r="L509" i="14" a="1"/>
  <c r="F512" i="14" a="1"/>
  <c r="J518" i="14" a="1"/>
  <c r="L522" i="14" a="1"/>
  <c r="J525" i="14" a="1"/>
  <c r="I528" i="14" a="1"/>
  <c r="E530" i="14" a="1"/>
  <c r="J532" i="14" a="1"/>
  <c r="F534" i="14" a="1"/>
  <c r="I535" i="14" a="1"/>
  <c r="E537" i="14" a="1"/>
  <c r="K539" i="14" a="1"/>
  <c r="E544" i="14" a="1"/>
  <c r="G548" i="14" a="1"/>
  <c r="E551" i="14" a="1"/>
  <c r="H552" i="14" a="1"/>
  <c r="G555" i="14" a="1"/>
  <c r="E562" i="14" a="1"/>
  <c r="I564" i="14" a="1"/>
  <c r="K565" i="14" a="1"/>
  <c r="F568" i="14" a="1"/>
  <c r="H569" i="14" a="1"/>
  <c r="J570" i="14" a="1"/>
  <c r="L571" i="14" a="1"/>
  <c r="E578" i="14" a="1"/>
  <c r="I580" i="14" a="1"/>
  <c r="K581" i="14" a="1"/>
  <c r="F584" i="14" a="1"/>
  <c r="H585" i="14" a="1"/>
  <c r="J586" i="14" a="1"/>
  <c r="L587" i="14" a="1"/>
  <c r="E594" i="14" a="1"/>
  <c r="I596" i="14" a="1"/>
  <c r="K597" i="14" a="1"/>
  <c r="F600" i="14" a="1"/>
  <c r="H601" i="14" a="1"/>
  <c r="J602" i="14" a="1"/>
  <c r="L603" i="14" a="1"/>
  <c r="E610" i="14" a="1"/>
  <c r="I612" i="14" a="1"/>
  <c r="K613" i="14" a="1"/>
  <c r="F616" i="14" a="1"/>
  <c r="H617" i="14" a="1"/>
  <c r="J618" i="14" a="1"/>
  <c r="L619" i="14" a="1"/>
  <c r="E626" i="14" a="1"/>
  <c r="I628" i="14" a="1"/>
  <c r="K629" i="14" a="1"/>
  <c r="F632" i="14" a="1"/>
  <c r="F315" i="14" a="1"/>
  <c r="E366" i="14" a="1"/>
  <c r="E385" i="14" a="1"/>
  <c r="I429" i="14" a="1"/>
  <c r="L438" i="14" a="1"/>
  <c r="I448" i="14" a="1"/>
  <c r="F465" i="14" a="1"/>
  <c r="E475" i="14" a="1"/>
  <c r="H483" i="14" a="1"/>
  <c r="K493" i="14" a="1"/>
  <c r="F501" i="14" a="1"/>
  <c r="K505" i="14" a="1"/>
  <c r="J516" i="14" a="1"/>
  <c r="E521" i="14" a="1"/>
  <c r="H524" i="14" a="1"/>
  <c r="K532" i="14" a="1"/>
  <c r="J535" i="14" a="1"/>
  <c r="G541" i="14" a="1"/>
  <c r="L546" i="14" a="1"/>
  <c r="J549" i="14" a="1"/>
  <c r="I552" i="14" a="1"/>
  <c r="F558" i="14" a="1"/>
  <c r="I559" i="14" a="1"/>
  <c r="I569" i="14" a="1"/>
  <c r="F454" i="14" a="1"/>
  <c r="F526" i="14" a="1"/>
  <c r="G533" i="14" a="1"/>
  <c r="H540" i="14" a="1"/>
  <c r="H547" i="14" a="1"/>
  <c r="L568" i="14" a="1"/>
  <c r="F581" i="14" a="1"/>
  <c r="I585" i="14" a="1"/>
  <c r="F589" i="14" a="1"/>
  <c r="H594" i="14" a="1"/>
  <c r="L596" i="14" a="1"/>
  <c r="J601" i="14" a="1"/>
  <c r="K603" i="14" a="1"/>
  <c r="E608" i="14" a="1"/>
  <c r="K614" i="14" a="1"/>
  <c r="K616" i="14" a="1"/>
  <c r="E619" i="14" a="1"/>
  <c r="H623" i="14" a="1"/>
  <c r="K627" i="14" a="1"/>
  <c r="E630" i="14" a="1"/>
  <c r="K454" i="14" a="1"/>
  <c r="J478" i="14" a="1"/>
  <c r="F517" i="14" a="1"/>
  <c r="G526" i="14" a="1"/>
  <c r="H533" i="14" a="1"/>
  <c r="G554" i="14" a="1"/>
  <c r="L559" i="14" a="1"/>
  <c r="L564" i="14" a="1"/>
  <c r="J573" i="14" a="1"/>
  <c r="I577" i="14" a="1"/>
  <c r="H589" i="14" a="1"/>
  <c r="E592" i="14" a="1"/>
  <c r="I594" i="14" a="1"/>
  <c r="H599" i="14" a="1"/>
  <c r="K601" i="14" a="1"/>
  <c r="H610" i="14" a="1"/>
  <c r="K612" i="14" a="1"/>
  <c r="L616" i="14" a="1"/>
  <c r="H621" i="14" a="1"/>
  <c r="J623" i="14" a="1"/>
  <c r="H632" i="14" a="1"/>
  <c r="G458" i="14" a="1"/>
  <c r="G517" i="14" a="1"/>
  <c r="J541" i="14" a="1"/>
  <c r="J548" i="14" a="1"/>
  <c r="E560" i="14" a="1"/>
  <c r="L569" i="14" a="1"/>
  <c r="L585" i="14" a="1"/>
  <c r="I589" i="14" a="1"/>
  <c r="E597" i="14" a="1"/>
  <c r="I599" i="14" a="1"/>
  <c r="F606" i="14" a="1"/>
  <c r="I610" i="14" a="1"/>
  <c r="E615" i="14" a="1"/>
  <c r="F617" i="14" a="1"/>
  <c r="F619" i="14" a="1"/>
  <c r="I621" i="14" a="1"/>
  <c r="L625" i="14" a="1"/>
  <c r="F630" i="14" a="1"/>
  <c r="I632" i="14" a="1"/>
  <c r="I527" i="14" a="1"/>
  <c r="F604" i="14" a="1"/>
  <c r="F615" i="14" a="1"/>
  <c r="H517" i="14" a="1"/>
  <c r="J534" i="14" a="1"/>
  <c r="K541" i="14" a="1"/>
  <c r="K548" i="14" a="1"/>
  <c r="H554" i="14" a="1"/>
  <c r="E565" i="14" a="1"/>
  <c r="H574" i="14" a="1"/>
  <c r="H578" i="14" a="1"/>
  <c r="F582" i="14" a="1"/>
  <c r="K594" i="14" a="1"/>
  <c r="F597" i="14" a="1"/>
  <c r="J599" i="14" a="1"/>
  <c r="L601" i="14" a="1"/>
  <c r="H606" i="14" a="1"/>
  <c r="L612" i="14" a="1"/>
  <c r="L623" i="14" a="1"/>
  <c r="I462" i="14" a="1"/>
  <c r="J494" i="14" a="1"/>
  <c r="H519" i="14" a="1"/>
  <c r="J527" i="14" a="1"/>
  <c r="K534" i="14" a="1"/>
  <c r="E543" i="14" a="1"/>
  <c r="E549" i="14" a="1"/>
  <c r="F565" i="14" a="1"/>
  <c r="K574" i="14" a="1"/>
  <c r="I578" i="14" a="1"/>
  <c r="J589" i="14" a="1"/>
  <c r="E595" i="14" a="1"/>
  <c r="I597" i="14" a="1"/>
  <c r="J608" i="14" a="1"/>
  <c r="K610" i="14" a="1"/>
  <c r="I617" i="14" a="1"/>
  <c r="J619" i="14" a="1"/>
  <c r="J621" i="14" a="1"/>
  <c r="H630" i="14" a="1"/>
  <c r="J632" i="14" a="1"/>
  <c r="L462" i="14" a="1"/>
  <c r="J481" i="14" a="1"/>
  <c r="H508" i="14" a="1"/>
  <c r="K527" i="14" a="1"/>
  <c r="E536" i="14" a="1"/>
  <c r="F561" i="14" a="1"/>
  <c r="E571" i="14" a="1"/>
  <c r="H582" i="14" a="1"/>
  <c r="K586" i="14" a="1"/>
  <c r="L592" i="14" a="1"/>
  <c r="E600" i="14" a="1"/>
  <c r="J606" i="14" a="1"/>
  <c r="L608" i="14" a="1"/>
  <c r="E611" i="14" a="1"/>
  <c r="E613" i="14" a="1"/>
  <c r="J617" i="14" a="1"/>
  <c r="K619" i="14" a="1"/>
  <c r="E624" i="14" a="1"/>
  <c r="K630" i="14" a="1"/>
  <c r="K632" i="14" a="1"/>
  <c r="I466" i="14" a="1"/>
  <c r="E497" i="14" a="1"/>
  <c r="E529" i="14" a="1"/>
  <c r="F550" i="14" a="1"/>
  <c r="K555" i="14" a="1"/>
  <c r="F566" i="14" a="1"/>
  <c r="L574" i="14" a="1"/>
  <c r="K578" i="14" a="1"/>
  <c r="E583" i="14" a="1"/>
  <c r="E587" i="14" a="1"/>
  <c r="E593" i="14" a="1"/>
  <c r="I595" i="14" a="1"/>
  <c r="H602" i="14" a="1"/>
  <c r="H604" i="14" a="1"/>
  <c r="K606" i="14" a="1"/>
  <c r="E609" i="14" a="1"/>
  <c r="F613" i="14" a="1"/>
  <c r="H615" i="14" a="1"/>
  <c r="K617" i="14" a="1"/>
  <c r="H626" i="14" a="1"/>
  <c r="K628" i="14" a="1"/>
  <c r="L632" i="14" a="1"/>
  <c r="G484" i="14" a="1"/>
  <c r="F497" i="14" a="1"/>
  <c r="J508" i="14" a="1"/>
  <c r="F536" i="14" a="1"/>
  <c r="H544" i="14" a="1"/>
  <c r="G550" i="14" a="1"/>
  <c r="F571" i="14" a="1"/>
  <c r="E575" i="14" a="1"/>
  <c r="H590" i="14" a="1"/>
  <c r="E598" i="14" a="1"/>
  <c r="H600" i="14" a="1"/>
  <c r="I602" i="14" a="1"/>
  <c r="I613" i="14" a="1"/>
  <c r="I615" i="14" a="1"/>
  <c r="F622" i="14" a="1"/>
  <c r="I626" i="14" a="1"/>
  <c r="E631" i="14" a="1"/>
  <c r="H550" i="14" a="1"/>
  <c r="H622" i="14" a="1"/>
  <c r="E470" i="14" a="1"/>
  <c r="H484" i="14" a="1"/>
  <c r="G497" i="14" a="1"/>
  <c r="J510" i="14" a="1"/>
  <c r="K521" i="14" a="1"/>
  <c r="F529" i="14" a="1"/>
  <c r="I544" i="14" a="1"/>
  <c r="I561" i="14" a="1"/>
  <c r="H566" i="14" a="1"/>
  <c r="J575" i="14" a="1"/>
  <c r="J579" i="14" a="1"/>
  <c r="H583" i="14" a="1"/>
  <c r="F587" i="14" a="1"/>
  <c r="J590" i="14" a="1"/>
  <c r="F593" i="14" a="1"/>
  <c r="J595" i="14" a="1"/>
  <c r="I600" i="14" a="1"/>
  <c r="K602" i="14" a="1"/>
  <c r="L604" i="14" a="1"/>
  <c r="L606" i="14" a="1"/>
  <c r="F609" i="14" a="1"/>
  <c r="I611" i="14" a="1"/>
  <c r="J615" i="14" a="1"/>
  <c r="L617" i="14" a="1"/>
  <c r="F620" i="14" a="1"/>
  <c r="L628" i="14" a="1"/>
  <c r="F631" i="14" a="1"/>
  <c r="F470" i="14" a="1"/>
  <c r="J484" i="14" a="1"/>
  <c r="H499" i="14" a="1"/>
  <c r="L521" i="14" a="1"/>
  <c r="F557" i="14" a="1"/>
  <c r="H562" i="14" a="1"/>
  <c r="K579" i="14" a="1"/>
  <c r="I583" i="14" a="1"/>
  <c r="K590" i="14" a="1"/>
  <c r="K595" i="14" a="1"/>
  <c r="F598" i="14" a="1"/>
  <c r="L602" i="14" a="1"/>
  <c r="E607" i="14" a="1"/>
  <c r="J624" i="14" a="1"/>
  <c r="K626" i="14" a="1"/>
  <c r="E473" i="14" a="1"/>
  <c r="G557" i="14" a="1"/>
  <c r="F588" i="14" a="1"/>
  <c r="I593" i="14" a="1"/>
  <c r="K600" i="14" a="1"/>
  <c r="H607" i="14" a="1"/>
  <c r="K611" i="14" a="1"/>
  <c r="H618" i="14" a="1"/>
  <c r="E625" i="14" a="1"/>
  <c r="F629" i="14" a="1"/>
  <c r="L501" i="14" a="1"/>
  <c r="H616" i="14" a="1"/>
  <c r="G470" i="14" a="1"/>
  <c r="F487" i="14" a="1"/>
  <c r="L510" i="14" a="1"/>
  <c r="H530" i="14" a="1"/>
  <c r="I537" i="14" a="1"/>
  <c r="I551" i="14" a="1"/>
  <c r="I562" i="14" a="1"/>
  <c r="H567" i="14" a="1"/>
  <c r="E576" i="14" a="1"/>
  <c r="J583" i="14" a="1"/>
  <c r="J600" i="14" a="1"/>
  <c r="F605" i="14" a="1"/>
  <c r="J611" i="14" a="1"/>
  <c r="E616" i="14" a="1"/>
  <c r="J622" i="14" a="1"/>
  <c r="L624" i="14" a="1"/>
  <c r="E627" i="14" a="1"/>
  <c r="E629" i="14" a="1"/>
  <c r="G487" i="14" a="1"/>
  <c r="K499" i="14" a="1"/>
  <c r="H523" i="14" a="1"/>
  <c r="J551" i="14" a="1"/>
  <c r="I567" i="14" a="1"/>
  <c r="L590" i="14" a="1"/>
  <c r="H598" i="14" a="1"/>
  <c r="E603" i="14" a="1"/>
  <c r="I609" i="14" a="1"/>
  <c r="E614" i="14" a="1"/>
  <c r="H620" i="14" a="1"/>
  <c r="K622" i="14" a="1"/>
  <c r="H631" i="14" a="1"/>
  <c r="F473" i="14" a="1"/>
  <c r="K598" i="14" a="1"/>
  <c r="J607" i="14" a="1"/>
  <c r="I618" i="14" a="1"/>
  <c r="I629" i="14" a="1"/>
  <c r="H487" i="14" a="1"/>
  <c r="E513" i="14" a="1"/>
  <c r="K531" i="14" a="1"/>
  <c r="L538" i="14" a="1"/>
  <c r="E546" i="14" a="1"/>
  <c r="K562" i="14" a="1"/>
  <c r="J567" i="14" a="1"/>
  <c r="H572" i="14" a="1"/>
  <c r="E591" i="14" a="1"/>
  <c r="L600" i="14" a="1"/>
  <c r="H605" i="14" a="1"/>
  <c r="I631" i="14" a="1"/>
  <c r="F513" i="14" a="1"/>
  <c r="J524" i="14" a="1"/>
  <c r="E539" i="14" a="1"/>
  <c r="L552" i="14" a="1"/>
  <c r="I558" i="14" a="1"/>
  <c r="J563" i="14" a="1"/>
  <c r="L576" i="14" a="1"/>
  <c r="L580" i="14" a="1"/>
  <c r="J584" i="14" a="1"/>
  <c r="E599" i="14" a="1"/>
  <c r="F601" i="14" a="1"/>
  <c r="F603" i="14" a="1"/>
  <c r="I605" i="14" a="1"/>
  <c r="L609" i="14" a="1"/>
  <c r="F614" i="14" a="1"/>
  <c r="I616" i="14" a="1"/>
  <c r="K618" i="14" a="1"/>
  <c r="L620" i="14" a="1"/>
  <c r="L622" i="14" a="1"/>
  <c r="F625" i="14" a="1"/>
  <c r="I627" i="14" a="1"/>
  <c r="J631" i="14" a="1"/>
  <c r="K489" i="14" a="1"/>
  <c r="E515" i="14" a="1"/>
  <c r="K524" i="14" a="1"/>
  <c r="E532" i="14" a="1"/>
  <c r="G540" i="14" a="1"/>
  <c r="G547" i="14" a="1"/>
  <c r="E553" i="14" a="1"/>
  <c r="K563" i="14" a="1"/>
  <c r="J568" i="14" a="1"/>
  <c r="F573" i="14" a="1"/>
  <c r="F577" i="14" a="1"/>
  <c r="K584" i="14" a="1"/>
  <c r="H588" i="14" a="1"/>
  <c r="J591" i="14" a="1"/>
  <c r="K596" i="14" a="1"/>
  <c r="F599" i="14" a="1"/>
  <c r="L607" i="14" a="1"/>
  <c r="L618" i="14" a="1"/>
  <c r="E623" i="14" a="1"/>
  <c r="L489" i="14" a="1"/>
  <c r="F504" i="14" a="1"/>
  <c r="L524" i="14" a="1"/>
  <c r="J558" i="14" a="1"/>
  <c r="K568" i="14" a="1"/>
  <c r="I573" i="14" a="1"/>
  <c r="E581" i="14" a="1"/>
  <c r="L584" i="14" a="1"/>
  <c r="L591" i="14" a="1"/>
  <c r="I601" i="14" a="1"/>
  <c r="J603" i="14" a="1"/>
  <c r="J605" i="14" a="1"/>
  <c r="H614" i="14" a="1"/>
  <c r="J616" i="14" a="1"/>
  <c r="F621" i="14" a="1"/>
  <c r="J627" i="14" a="1"/>
  <c r="E632" i="14" a="1"/>
  <c r="G515" i="14" a="1"/>
  <c r="I625" i="14" a="1"/>
  <c r="D4" i="14" a="1"/>
  <c r="D8" i="14" a="1"/>
  <c r="D12" i="14" a="1"/>
  <c r="D10" i="14" a="1"/>
  <c r="D53" i="14" a="1"/>
  <c r="D59" i="14" a="1"/>
  <c r="D75" i="14" a="1"/>
  <c r="D79" i="14" a="1"/>
  <c r="D22" i="14" a="1"/>
  <c r="D23" i="14" a="1"/>
  <c r="D36" i="14" a="1"/>
  <c r="D42" i="14" a="1"/>
  <c r="D65" i="14" a="1"/>
  <c r="D71" i="14" a="1"/>
  <c r="D9" i="14" a="1"/>
  <c r="D20" i="14" a="1"/>
  <c r="D21" i="14" a="1"/>
  <c r="D18" i="14" a="1"/>
  <c r="D19" i="14" a="1"/>
  <c r="D49" i="14" a="1"/>
  <c r="D55" i="14" a="1"/>
  <c r="D38" i="14" a="1"/>
  <c r="D61" i="14" a="1"/>
  <c r="D67" i="14" a="1"/>
  <c r="D16" i="14" a="1"/>
  <c r="D17" i="14" a="1"/>
  <c r="D44" i="14" a="1"/>
  <c r="D50" i="14" a="1"/>
  <c r="D7" i="14" a="1"/>
  <c r="D32" i="14" a="1"/>
  <c r="D56" i="14" a="1"/>
  <c r="D62" i="14" a="1"/>
  <c r="D73" i="14" a="1"/>
  <c r="D77" i="14" a="1"/>
  <c r="D81" i="14" a="1"/>
  <c r="D6" i="14" a="1"/>
  <c r="D14" i="14" a="1"/>
  <c r="D15" i="14" a="1"/>
  <c r="D30" i="14" a="1"/>
  <c r="D31" i="14" a="1"/>
  <c r="D33" i="14" a="1"/>
  <c r="D39" i="14" a="1"/>
  <c r="D68" i="14" a="1"/>
  <c r="D46" i="14" a="1"/>
  <c r="D52" i="14" a="1"/>
  <c r="D84" i="14" a="1"/>
  <c r="D29" i="14" a="1"/>
  <c r="D76" i="14" a="1"/>
  <c r="D83" i="14" a="1"/>
  <c r="D94" i="14" a="1"/>
  <c r="D98" i="14" a="1"/>
  <c r="D102" i="14" a="1"/>
  <c r="D106" i="14" a="1"/>
  <c r="D110" i="14" a="1"/>
  <c r="D114" i="14" a="1"/>
  <c r="D118" i="14" a="1"/>
  <c r="D122" i="14" a="1"/>
  <c r="D126" i="14" a="1"/>
  <c r="D25" i="14" a="1"/>
  <c r="D45" i="14" a="1"/>
  <c r="D54" i="14" a="1"/>
  <c r="D60" i="14" a="1"/>
  <c r="D95" i="14" a="1"/>
  <c r="D99" i="14" a="1"/>
  <c r="D103" i="14" a="1"/>
  <c r="D107" i="14" a="1"/>
  <c r="D111" i="14" a="1"/>
  <c r="D115" i="14" a="1"/>
  <c r="D119" i="14" a="1"/>
  <c r="D123" i="14" a="1"/>
  <c r="D127" i="14" a="1"/>
  <c r="D131" i="14" a="1"/>
  <c r="D48" i="14" a="1"/>
  <c r="D78" i="14" a="1"/>
  <c r="D37" i="14" a="1"/>
  <c r="D13" i="14" a="1"/>
  <c r="D28" i="14" a="1"/>
  <c r="D34" i="14" a="1"/>
  <c r="D74" i="14" a="1"/>
  <c r="D96" i="14" a="1"/>
  <c r="D100" i="14" a="1"/>
  <c r="D104" i="14" a="1"/>
  <c r="D108" i="14" a="1"/>
  <c r="D112" i="14" a="1"/>
  <c r="D116" i="14" a="1"/>
  <c r="D120" i="14" a="1"/>
  <c r="D124" i="14" a="1"/>
  <c r="D129" i="14" a="1"/>
  <c r="D136" i="14" a="1"/>
  <c r="D142" i="14" a="1"/>
  <c r="D165" i="14" a="1"/>
  <c r="D105" i="14" a="1"/>
  <c r="D125" i="14" a="1"/>
  <c r="D130" i="14" a="1"/>
  <c r="D148" i="14" a="1"/>
  <c r="D11" i="14" a="1"/>
  <c r="D70" i="14" a="1"/>
  <c r="D41" i="14" a="1"/>
  <c r="D58" i="14" a="1"/>
  <c r="D63" i="14" a="1"/>
  <c r="D87" i="14" a="1"/>
  <c r="D144" i="14" a="1"/>
  <c r="D150" i="14" a="1"/>
  <c r="D51" i="14" a="1"/>
  <c r="D89" i="14" a="1"/>
  <c r="D92" i="14" a="1"/>
  <c r="D117" i="14" a="1"/>
  <c r="D145" i="14" a="1"/>
  <c r="D35" i="14" a="1"/>
  <c r="D82" i="14" a="1"/>
  <c r="D166" i="14" a="1"/>
  <c r="D172" i="14" a="1"/>
  <c r="D178" i="14" a="1"/>
  <c r="D27" i="14" a="1"/>
  <c r="D64" i="14" a="1"/>
  <c r="D93" i="14" a="1"/>
  <c r="D134" i="14" a="1"/>
  <c r="D146" i="14" a="1"/>
  <c r="D153" i="14" a="1"/>
  <c r="D155" i="14" a="1"/>
  <c r="D156" i="14" a="1"/>
  <c r="D168" i="14" a="1"/>
  <c r="D174" i="14" a="1"/>
  <c r="D86" i="14" a="1"/>
  <c r="D91" i="14" a="1"/>
  <c r="D159" i="14" a="1"/>
  <c r="D160" i="14" a="1"/>
  <c r="D57" i="14" a="1"/>
  <c r="D80" i="14" a="1"/>
  <c r="D169" i="14" a="1"/>
  <c r="D175" i="14" a="1"/>
  <c r="D90" i="14" a="1"/>
  <c r="D121" i="14" a="1"/>
  <c r="D147" i="14" a="1"/>
  <c r="D190" i="14" a="1"/>
  <c r="D194" i="14" a="1"/>
  <c r="D198" i="14" a="1"/>
  <c r="D202" i="14" a="1"/>
  <c r="D206" i="14" a="1"/>
  <c r="D210" i="14" a="1"/>
  <c r="D5" i="14" a="1"/>
  <c r="D24" i="14" a="1"/>
  <c r="D26" i="14" a="1"/>
  <c r="D88" i="14" a="1"/>
  <c r="D176" i="14" a="1"/>
  <c r="D187" i="14" a="1"/>
  <c r="D192" i="14" a="1"/>
  <c r="D66" i="14" a="1"/>
  <c r="D157" i="14" a="1"/>
  <c r="D184" i="14" a="1"/>
  <c r="D185" i="14" a="1"/>
  <c r="D40" i="14" a="1"/>
  <c r="D85" i="14" a="1"/>
  <c r="D132" i="14" a="1"/>
  <c r="D137" i="14" a="1"/>
  <c r="D161" i="14" a="1"/>
  <c r="D167" i="14" a="1"/>
  <c r="D183" i="14" a="1"/>
  <c r="D188" i="14" a="1"/>
  <c r="D152" i="14" a="1"/>
  <c r="D182" i="14" a="1"/>
  <c r="D193" i="14" a="1"/>
  <c r="D143" i="14" a="1"/>
  <c r="D154" i="14" a="1"/>
  <c r="D195" i="14" a="1"/>
  <c r="D196" i="14" a="1"/>
  <c r="D199" i="14" a="1"/>
  <c r="D201" i="14" a="1"/>
  <c r="D219" i="14" a="1"/>
  <c r="D43" i="14" a="1"/>
  <c r="D135" i="14" a="1"/>
  <c r="D138" i="14" a="1"/>
  <c r="D170" i="14" a="1"/>
  <c r="D177" i="14" a="1"/>
  <c r="D179" i="14" a="1"/>
  <c r="D181" i="14" a="1"/>
  <c r="D186" i="14" a="1"/>
  <c r="D189" i="14" a="1"/>
  <c r="D200" i="14" a="1"/>
  <c r="D203" i="14" a="1"/>
  <c r="D205" i="14" a="1"/>
  <c r="D141" i="14" a="1"/>
  <c r="D208" i="14" a="1"/>
  <c r="D220" i="14" a="1"/>
  <c r="D139" i="14" a="1"/>
  <c r="D212" i="14" a="1"/>
  <c r="D213" i="14" a="1"/>
  <c r="D128" i="14" a="1"/>
  <c r="D163" i="14" a="1"/>
  <c r="D221" i="14" a="1"/>
  <c r="D47" i="14" a="1"/>
  <c r="D72" i="14" a="1"/>
  <c r="D151" i="14" a="1"/>
  <c r="D214" i="14" a="1"/>
  <c r="D180" i="14" a="1"/>
  <c r="D101" i="14" a="1"/>
  <c r="D171" i="14" a="1"/>
  <c r="D191" i="14" a="1"/>
  <c r="D228" i="14" a="1"/>
  <c r="D234" i="14" a="1"/>
  <c r="D149" i="14" a="1"/>
  <c r="D109" i="14" a="1"/>
  <c r="D235" i="14" a="1"/>
  <c r="D69" i="14" a="1"/>
  <c r="D207" i="14" a="1"/>
  <c r="D209" i="14" a="1"/>
  <c r="D224" i="14" a="1"/>
  <c r="D236" i="14" a="1"/>
  <c r="D240" i="14" a="1"/>
  <c r="D244" i="14" a="1"/>
  <c r="D248" i="14" a="1"/>
  <c r="D225" i="14" a="1"/>
  <c r="D211" i="14" a="1"/>
  <c r="D231" i="14" a="1"/>
  <c r="D215" i="14" a="1"/>
  <c r="D222" i="14" a="1"/>
  <c r="D245" i="14" a="1"/>
  <c r="D251" i="14" a="1"/>
  <c r="D254" i="14" a="1"/>
  <c r="D257" i="14" a="1"/>
  <c r="D259" i="14" a="1"/>
  <c r="D260" i="14" a="1"/>
  <c r="D227" i="14" a="1"/>
  <c r="D229" i="14" a="1"/>
  <c r="D270" i="14" a="1"/>
  <c r="D274" i="14" a="1"/>
  <c r="D278" i="14" a="1"/>
  <c r="D282" i="14" a="1"/>
  <c r="D286" i="14" a="1"/>
  <c r="D158" i="14" a="1"/>
  <c r="D217" i="14" a="1"/>
  <c r="D249" i="14" a="1"/>
  <c r="D204" i="14" a="1"/>
  <c r="D246" i="14" a="1"/>
  <c r="D266" i="14" a="1"/>
  <c r="D298" i="14" a="1"/>
  <c r="D164" i="14" a="1"/>
  <c r="D230" i="14" a="1"/>
  <c r="D264" i="14" a="1"/>
  <c r="D275" i="14" a="1"/>
  <c r="D276" i="14" a="1"/>
  <c r="D291" i="14" a="1"/>
  <c r="D97" i="14" a="1"/>
  <c r="D233" i="14" a="1"/>
  <c r="D292" i="14" a="1"/>
  <c r="D140" i="14" a="1"/>
  <c r="D238" i="14" a="1"/>
  <c r="D243" i="14" a="1"/>
  <c r="D255" i="14" a="1"/>
  <c r="D273" i="14" a="1"/>
  <c r="D293" i="14" a="1"/>
  <c r="D302" i="14" a="1"/>
  <c r="D218" i="14" a="1"/>
  <c r="D263" i="14" a="1"/>
  <c r="D271" i="14" a="1"/>
  <c r="D272" i="14" a="1"/>
  <c r="D197" i="14" a="1"/>
  <c r="D226" i="14" a="1"/>
  <c r="D269" i="14" a="1"/>
  <c r="D239" i="14" a="1"/>
  <c r="D256" i="14" a="1"/>
  <c r="D294" i="14" a="1"/>
  <c r="D301" i="14" a="1"/>
  <c r="D313" i="14" a="1"/>
  <c r="D133" i="14" a="1"/>
  <c r="D252" i="14" a="1"/>
  <c r="D285" i="14" a="1"/>
  <c r="D300" i="14" a="1"/>
  <c r="D304" i="14" a="1"/>
  <c r="D216" i="14" a="1"/>
  <c r="D223" i="14" a="1"/>
  <c r="D250" i="14" a="1"/>
  <c r="D299" i="14" a="1"/>
  <c r="D315" i="14" a="1"/>
  <c r="D162" i="14" a="1"/>
  <c r="D265" i="14" a="1"/>
  <c r="D267" i="14" a="1"/>
  <c r="D277" i="14" a="1"/>
  <c r="D305" i="14" a="1"/>
  <c r="D316" i="14" a="1"/>
  <c r="D287" i="14" a="1"/>
  <c r="D317" i="14" a="1"/>
  <c r="D307" i="14" a="1"/>
  <c r="D318" i="14" a="1"/>
  <c r="D241" i="14" a="1"/>
  <c r="D320" i="14" a="1"/>
  <c r="D348" i="14" a="1"/>
  <c r="D352" i="14" a="1"/>
  <c r="D356" i="14" a="1"/>
  <c r="D258" i="14" a="1"/>
  <c r="D284" i="14" a="1"/>
  <c r="D328" i="14" a="1"/>
  <c r="D331" i="14" a="1"/>
  <c r="D332" i="14" a="1"/>
  <c r="D333" i="14" a="1"/>
  <c r="D334" i="14" a="1"/>
  <c r="D247" i="14" a="1"/>
  <c r="D279" i="14" a="1"/>
  <c r="D289" i="14" a="1"/>
  <c r="D319" i="14" a="1"/>
  <c r="D326" i="14" a="1"/>
  <c r="D327" i="14" a="1"/>
  <c r="D335" i="14" a="1"/>
  <c r="D113" i="14" a="1"/>
  <c r="D268" i="14" a="1"/>
  <c r="D325" i="14" a="1"/>
  <c r="D345" i="14" a="1"/>
  <c r="D349" i="14" a="1"/>
  <c r="D353" i="14" a="1"/>
  <c r="D357" i="14" a="1"/>
  <c r="D237" i="14" a="1"/>
  <c r="D242" i="14" a="1"/>
  <c r="D303" i="14" a="1"/>
  <c r="D309" i="14" a="1"/>
  <c r="D324" i="14" a="1"/>
  <c r="D337" i="14" a="1"/>
  <c r="D338" i="14" a="1"/>
  <c r="D321" i="14" a="1"/>
  <c r="D350" i="14" a="1"/>
  <c r="D355" i="14" a="1"/>
  <c r="D308" i="14" a="1"/>
  <c r="D310" i="14" a="1"/>
  <c r="D330" i="14" a="1"/>
  <c r="D354" i="14" a="1"/>
  <c r="D283" i="14" a="1"/>
  <c r="D359" i="14" a="1"/>
  <c r="D360" i="14" a="1"/>
  <c r="D370" i="14" a="1"/>
  <c r="D374" i="14" a="1"/>
  <c r="D378" i="14" a="1"/>
  <c r="D382" i="14" a="1"/>
  <c r="D173" i="14" a="1"/>
  <c r="D358" i="14" a="1"/>
  <c r="D341" i="14" a="1"/>
  <c r="D262" i="14" a="1"/>
  <c r="D280" i="14" a="1"/>
  <c r="D288" i="14" a="1"/>
  <c r="D329" i="14" a="1"/>
  <c r="D344" i="14" a="1"/>
  <c r="D346" i="14" a="1"/>
  <c r="D381" i="14" a="1"/>
  <c r="D391" i="14" a="1"/>
  <c r="D392" i="14" a="1"/>
  <c r="D393" i="14" a="1"/>
  <c r="D380" i="14" a="1"/>
  <c r="D314" i="14" a="1"/>
  <c r="D367" i="14" a="1"/>
  <c r="D373" i="14" a="1"/>
  <c r="D379" i="14" a="1"/>
  <c r="D311" i="14" a="1"/>
  <c r="D362" i="14" a="1"/>
  <c r="D372" i="14" a="1"/>
  <c r="D281" i="14" a="1"/>
  <c r="D322" i="14" a="1"/>
  <c r="D342" i="14" a="1"/>
  <c r="D371" i="14" a="1"/>
  <c r="D387" i="14" a="1"/>
  <c r="D388" i="14" a="1"/>
  <c r="D389" i="14" a="1"/>
  <c r="D295" i="14" a="1"/>
  <c r="D340" i="14" a="1"/>
  <c r="D386" i="14" a="1"/>
  <c r="D402" i="14" a="1"/>
  <c r="D296" i="14" a="1"/>
  <c r="D364" i="14" a="1"/>
  <c r="D366" i="14" a="1"/>
  <c r="D290" i="14" a="1"/>
  <c r="D312" i="14" a="1"/>
  <c r="D347" i="14" a="1"/>
  <c r="D351" i="14" a="1"/>
  <c r="D384" i="14" a="1"/>
  <c r="D385" i="14" a="1"/>
  <c r="D232" i="14" a="1"/>
  <c r="D377" i="14" a="1"/>
  <c r="D383" i="14" a="1"/>
  <c r="D361" i="14" a="1"/>
  <c r="D376" i="14" a="1"/>
  <c r="D398" i="14" a="1"/>
  <c r="D323" i="14" a="1"/>
  <c r="D336" i="14" a="1"/>
  <c r="D343" i="14" a="1"/>
  <c r="D369" i="14" a="1"/>
  <c r="D375" i="14" a="1"/>
  <c r="D297" i="14" a="1"/>
  <c r="D253" i="14" a="1"/>
  <c r="D261" i="14" a="1"/>
  <c r="D306" i="14" a="1"/>
  <c r="D363" i="14" a="1"/>
  <c r="D394" i="14" a="1"/>
  <c r="D400" i="14" a="1"/>
  <c r="D404" i="14" a="1"/>
  <c r="D408" i="14" a="1"/>
  <c r="D416" i="14" a="1"/>
  <c r="D432" i="14" a="1"/>
  <c r="D448" i="14" a="1"/>
  <c r="D464" i="14" a="1"/>
  <c r="D476" i="14" a="1"/>
  <c r="D486" i="14" a="1"/>
  <c r="D407" i="14" a="1"/>
  <c r="D412" i="14" a="1"/>
  <c r="D480" i="14" a="1"/>
  <c r="D490" i="14" a="1"/>
  <c r="D395" i="14" a="1"/>
  <c r="D401" i="14" a="1"/>
  <c r="D411" i="14" a="1"/>
  <c r="D424" i="14" a="1"/>
  <c r="D440" i="14" a="1"/>
  <c r="D456" i="14" a="1"/>
  <c r="D481" i="14" a="1"/>
  <c r="D492" i="14" a="1"/>
  <c r="D399" i="14" a="1"/>
  <c r="D421" i="14" a="1"/>
  <c r="D422" i="14" a="1"/>
  <c r="D437" i="14" a="1"/>
  <c r="D438" i="14" a="1"/>
  <c r="D453" i="14" a="1"/>
  <c r="D454" i="14" a="1"/>
  <c r="D469" i="14" a="1"/>
  <c r="D470" i="14" a="1"/>
  <c r="D483" i="14" a="1"/>
  <c r="D493" i="14" a="1"/>
  <c r="D497" i="14" a="1"/>
  <c r="D501" i="14" a="1"/>
  <c r="D505" i="14" a="1"/>
  <c r="D409" i="14" a="1"/>
  <c r="D474" i="14" a="1"/>
  <c r="D485" i="14" a="1"/>
  <c r="D417" i="14" a="1"/>
  <c r="D418" i="14" a="1"/>
  <c r="D433" i="14" a="1"/>
  <c r="D434" i="14" a="1"/>
  <c r="D449" i="14" a="1"/>
  <c r="D450" i="14" a="1"/>
  <c r="D465" i="14" a="1"/>
  <c r="D466" i="14" a="1"/>
  <c r="D475" i="14" a="1"/>
  <c r="D494" i="14" a="1"/>
  <c r="D498" i="14" a="1"/>
  <c r="D502" i="14" a="1"/>
  <c r="D506" i="14" a="1"/>
  <c r="D423" i="14" a="1"/>
  <c r="D447" i="14" a="1"/>
  <c r="D452" i="14" a="1"/>
  <c r="D484" i="14" a="1"/>
  <c r="D487" i="14" a="1"/>
  <c r="D517" i="14" a="1"/>
  <c r="D538" i="14" a="1"/>
  <c r="D549" i="14" a="1"/>
  <c r="D435" i="14" a="1"/>
  <c r="D405" i="14" a="1"/>
  <c r="D413" i="14" a="1"/>
  <c r="D430" i="14" a="1"/>
  <c r="D403" i="14" a="1"/>
  <c r="D415" i="14" a="1"/>
  <c r="D420" i="14" a="1"/>
  <c r="D365" i="14" a="1"/>
  <c r="D368" i="14" a="1"/>
  <c r="D451" i="14" a="1"/>
  <c r="D390" i="14" a="1"/>
  <c r="D429" i="14" a="1"/>
  <c r="D446" i="14" a="1"/>
  <c r="D473" i="14" a="1"/>
  <c r="D441" i="14" a="1"/>
  <c r="D458" i="14" a="1"/>
  <c r="D499" i="14" a="1"/>
  <c r="D500" i="14" a="1"/>
  <c r="D512" i="14" a="1"/>
  <c r="D523" i="14" a="1"/>
  <c r="D544" i="14" a="1"/>
  <c r="D410" i="14" a="1"/>
  <c r="D431" i="14" a="1"/>
  <c r="D436" i="14" a="1"/>
  <c r="D479" i="14" a="1"/>
  <c r="D513" i="14" a="1"/>
  <c r="D534" i="14" a="1"/>
  <c r="D545" i="14" a="1"/>
  <c r="D396" i="14" a="1"/>
  <c r="D406" i="14" a="1"/>
  <c r="D419" i="14" a="1"/>
  <c r="D460" i="14" a="1"/>
  <c r="D482" i="14" a="1"/>
  <c r="D488" i="14" a="1"/>
  <c r="D524" i="14" a="1"/>
  <c r="D535" i="14" a="1"/>
  <c r="D552" i="14" a="1"/>
  <c r="D556" i="14" a="1"/>
  <c r="D414" i="14" a="1"/>
  <c r="D397" i="14" a="1"/>
  <c r="D426" i="14" a="1"/>
  <c r="D467" i="14" a="1"/>
  <c r="D472" i="14" a="1"/>
  <c r="D491" i="14" a="1"/>
  <c r="D496" i="14" a="1"/>
  <c r="D515" i="14" a="1"/>
  <c r="D536" i="14" a="1"/>
  <c r="D547" i="14" a="1"/>
  <c r="D533" i="14" a="1"/>
  <c r="D560" i="14" a="1"/>
  <c r="D561" i="14" a="1"/>
  <c r="D562" i="14" a="1"/>
  <c r="D577" i="14" a="1"/>
  <c r="D587" i="14" a="1"/>
  <c r="D598" i="14" a="1"/>
  <c r="D442" i="14" a="1"/>
  <c r="D455" i="14" a="1"/>
  <c r="D463" i="14" a="1"/>
  <c r="D558" i="14" a="1"/>
  <c r="D559" i="14" a="1"/>
  <c r="D563" i="14" a="1"/>
  <c r="D564" i="14" a="1"/>
  <c r="D565" i="14" a="1"/>
  <c r="D566" i="14" a="1"/>
  <c r="D339" i="14" a="1"/>
  <c r="D503" i="14" a="1"/>
  <c r="D439" i="14" a="1"/>
  <c r="D520" i="14" a="1"/>
  <c r="D425" i="14" a="1"/>
  <c r="D443" i="14" a="1"/>
  <c r="D532" i="14" a="1"/>
  <c r="D569" i="14" a="1"/>
  <c r="D579" i="14" a="1"/>
  <c r="D461" i="14" a="1"/>
  <c r="D495" i="14" a="1"/>
  <c r="D507" i="14" a="1"/>
  <c r="D519" i="14" a="1"/>
  <c r="D527" i="14" a="1"/>
  <c r="D539" i="14" a="1"/>
  <c r="D553" i="14" a="1"/>
  <c r="D570" i="14" a="1"/>
  <c r="D581" i="14" a="1"/>
  <c r="D591" i="14" a="1"/>
  <c r="D511" i="14" a="1"/>
  <c r="D477" i="14" a="1"/>
  <c r="D543" i="14" a="1"/>
  <c r="D571" i="14" a="1"/>
  <c r="D582" i="14" a="1"/>
  <c r="D593" i="14" a="1"/>
  <c r="D427" i="14" a="1"/>
  <c r="D459" i="14" a="1"/>
  <c r="D572" i="14" a="1"/>
  <c r="D444" i="14" a="1"/>
  <c r="D462" i="14" a="1"/>
  <c r="D514" i="14" a="1"/>
  <c r="D518" i="14" a="1"/>
  <c r="D526" i="14" a="1"/>
  <c r="D573" i="14" a="1"/>
  <c r="D583" i="14" a="1"/>
  <c r="D594" i="14" a="1"/>
  <c r="D603" i="14" a="1"/>
  <c r="D428" i="14" a="1"/>
  <c r="D510" i="14" a="1"/>
  <c r="D530" i="14" a="1"/>
  <c r="D546" i="14" a="1"/>
  <c r="D551" i="14" a="1"/>
  <c r="D584" i="14" a="1"/>
  <c r="D489" i="14" a="1"/>
  <c r="D504" i="14" a="1"/>
  <c r="D522" i="14" a="1"/>
  <c r="D542" i="14" a="1"/>
  <c r="D550" i="14" a="1"/>
  <c r="D574" i="14" a="1"/>
  <c r="D585" i="14" a="1"/>
  <c r="D595" i="14" a="1"/>
  <c r="D604" i="14" a="1"/>
  <c r="D445" i="14" a="1"/>
  <c r="D457" i="14" a="1"/>
  <c r="D509" i="14" a="1"/>
  <c r="D525" i="14" a="1"/>
  <c r="D529" i="14" a="1"/>
  <c r="D537" i="14" a="1"/>
  <c r="D575" i="14" a="1"/>
  <c r="D586" i="14" a="1"/>
  <c r="D597" i="14" a="1"/>
  <c r="D516" i="14" a="1"/>
  <c r="D555" i="14" a="1"/>
  <c r="D599" i="14" a="1"/>
  <c r="D611" i="14" a="1"/>
  <c r="D629" i="14" a="1"/>
  <c r="D576" i="14" a="1"/>
  <c r="D620" i="14" a="1"/>
  <c r="D606" i="14" a="1"/>
  <c r="D607" i="14" a="1"/>
  <c r="D468" i="14" a="1"/>
  <c r="D590" i="14" a="1"/>
  <c r="D601" i="14" a="1"/>
  <c r="D610" i="14" a="1"/>
  <c r="D615" i="14" a="1"/>
  <c r="D471" i="14" a="1"/>
  <c r="D624" i="14" a="1"/>
  <c r="D528" i="14" a="1"/>
  <c r="D592" i="14" a="1"/>
  <c r="D614" i="14" a="1"/>
  <c r="D619" i="14" a="1"/>
  <c r="D627" i="14" a="1"/>
  <c r="D478" i="14" a="1"/>
  <c r="D567" i="14" a="1"/>
  <c r="D609" i="14" a="1"/>
  <c r="D618" i="14" a="1"/>
  <c r="D623" i="14" a="1"/>
  <c r="D632" i="14" a="1"/>
  <c r="D540" i="14" a="1"/>
  <c r="D508" i="14" a="1"/>
  <c r="D589" i="14" a="1"/>
  <c r="D600" i="14" a="1"/>
  <c r="D605" i="14" a="1"/>
  <c r="D617" i="14" a="1"/>
  <c r="D626" i="14" a="1"/>
  <c r="D631" i="14" a="1"/>
  <c r="D541" i="14" a="1"/>
  <c r="D628" i="14" a="1"/>
  <c r="D613" i="14" a="1"/>
  <c r="D554" i="14" a="1"/>
  <c r="D557" i="14" a="1"/>
  <c r="D548" i="14" a="1"/>
  <c r="D630" i="14" a="1"/>
  <c r="D602" i="14" a="1"/>
  <c r="D608" i="14" a="1"/>
  <c r="D621" i="14" a="1"/>
  <c r="D596" i="14" a="1"/>
  <c r="D568" i="14" a="1"/>
  <c r="D580" i="14" a="1"/>
  <c r="D612" i="14" a="1"/>
  <c r="D578" i="14" a="1"/>
  <c r="D625" i="14" a="1"/>
  <c r="D521" i="14" a="1"/>
  <c r="D531" i="14" a="1"/>
  <c r="D588" i="14" a="1"/>
  <c r="D616" i="14" a="1"/>
  <c r="D622" i="14" a="1"/>
  <c r="D3" i="14" a="1"/>
  <c r="I625" i="14" l="1"/>
  <c r="G515" i="14"/>
  <c r="E632" i="14"/>
  <c r="J627" i="14"/>
  <c r="F621" i="14"/>
  <c r="J616" i="14"/>
  <c r="H614" i="14"/>
  <c r="J605" i="14"/>
  <c r="J603" i="14"/>
  <c r="I601" i="14"/>
  <c r="L591" i="14"/>
  <c r="L584" i="14"/>
  <c r="E581" i="14"/>
  <c r="I573" i="14"/>
  <c r="K568" i="14"/>
  <c r="J558" i="14"/>
  <c r="L524" i="14"/>
  <c r="F504" i="14"/>
  <c r="L489" i="14"/>
  <c r="E623" i="14"/>
  <c r="L618" i="14"/>
  <c r="L607" i="14"/>
  <c r="F599" i="14"/>
  <c r="K596" i="14"/>
  <c r="J591" i="14"/>
  <c r="H588" i="14"/>
  <c r="K584" i="14"/>
  <c r="F577" i="14"/>
  <c r="F573" i="14"/>
  <c r="J568" i="14"/>
  <c r="K563" i="14"/>
  <c r="E553" i="14"/>
  <c r="G547" i="14"/>
  <c r="G540" i="14"/>
  <c r="E532" i="14"/>
  <c r="K524" i="14"/>
  <c r="E515" i="14"/>
  <c r="K489" i="14"/>
  <c r="J631" i="14"/>
  <c r="I627" i="14"/>
  <c r="F625" i="14"/>
  <c r="L622" i="14"/>
  <c r="L620" i="14"/>
  <c r="K618" i="14"/>
  <c r="I616" i="14"/>
  <c r="F614" i="14"/>
  <c r="L609" i="14"/>
  <c r="I605" i="14"/>
  <c r="F603" i="14"/>
  <c r="F601" i="14"/>
  <c r="E599" i="14"/>
  <c r="J584" i="14"/>
  <c r="L580" i="14"/>
  <c r="L576" i="14"/>
  <c r="J563" i="14"/>
  <c r="I558" i="14"/>
  <c r="L552" i="14"/>
  <c r="E539" i="14"/>
  <c r="J524" i="14"/>
  <c r="F513" i="14"/>
  <c r="I631" i="14"/>
  <c r="H605" i="14"/>
  <c r="L600" i="14"/>
  <c r="E591" i="14"/>
  <c r="H572" i="14"/>
  <c r="J567" i="14"/>
  <c r="K562" i="14"/>
  <c r="E546" i="14"/>
  <c r="L538" i="14"/>
  <c r="K531" i="14"/>
  <c r="E513" i="14"/>
  <c r="H487" i="14"/>
  <c r="I629" i="14"/>
  <c r="I618" i="14"/>
  <c r="J607" i="14"/>
  <c r="K598" i="14"/>
  <c r="F473" i="14"/>
  <c r="H631" i="14"/>
  <c r="K622" i="14"/>
  <c r="H620" i="14"/>
  <c r="E614" i="14"/>
  <c r="I609" i="14"/>
  <c r="E603" i="14"/>
  <c r="H598" i="14"/>
  <c r="L590" i="14"/>
  <c r="I567" i="14"/>
  <c r="J551" i="14"/>
  <c r="H523" i="14"/>
  <c r="K499" i="14"/>
  <c r="G487" i="14"/>
  <c r="E629" i="14"/>
  <c r="E627" i="14"/>
  <c r="L624" i="14"/>
  <c r="J622" i="14"/>
  <c r="E616" i="14"/>
  <c r="J611" i="14"/>
  <c r="F605" i="14"/>
  <c r="J600" i="14"/>
  <c r="J583" i="14"/>
  <c r="E576" i="14"/>
  <c r="H567" i="14"/>
  <c r="I562" i="14"/>
  <c r="I551" i="14"/>
  <c r="I537" i="14"/>
  <c r="H530" i="14"/>
  <c r="L510" i="14"/>
  <c r="F487" i="14"/>
  <c r="G470" i="14"/>
  <c r="H616" i="14"/>
  <c r="L501" i="14"/>
  <c r="F629" i="14"/>
  <c r="E625" i="14"/>
  <c r="H618" i="14"/>
  <c r="K611" i="14"/>
  <c r="H607" i="14"/>
  <c r="K600" i="14"/>
  <c r="I593" i="14"/>
  <c r="F588" i="14"/>
  <c r="G557" i="14"/>
  <c r="E473" i="14"/>
  <c r="K626" i="14"/>
  <c r="J624" i="14"/>
  <c r="E607" i="14"/>
  <c r="L602" i="14"/>
  <c r="F598" i="14"/>
  <c r="K595" i="14"/>
  <c r="K590" i="14"/>
  <c r="I583" i="14"/>
  <c r="K579" i="14"/>
  <c r="H562" i="14"/>
  <c r="F557" i="14"/>
  <c r="L521" i="14"/>
  <c r="H499" i="14"/>
  <c r="J484" i="14"/>
  <c r="F470" i="14"/>
  <c r="F631" i="14"/>
  <c r="L628" i="14"/>
  <c r="F620" i="14"/>
  <c r="L617" i="14"/>
  <c r="J615" i="14"/>
  <c r="I611" i="14"/>
  <c r="F609" i="14"/>
  <c r="L606" i="14"/>
  <c r="L604" i="14"/>
  <c r="K602" i="14"/>
  <c r="I600" i="14"/>
  <c r="J595" i="14"/>
  <c r="F593" i="14"/>
  <c r="J590" i="14"/>
  <c r="F587" i="14"/>
  <c r="H583" i="14"/>
  <c r="J579" i="14"/>
  <c r="J575" i="14"/>
  <c r="H566" i="14"/>
  <c r="I561" i="14"/>
  <c r="I544" i="14"/>
  <c r="F529" i="14"/>
  <c r="K521" i="14"/>
  <c r="J510" i="14"/>
  <c r="G497" i="14"/>
  <c r="H484" i="14"/>
  <c r="E470" i="14"/>
  <c r="H622" i="14"/>
  <c r="H550" i="14"/>
  <c r="E631" i="14"/>
  <c r="I626" i="14"/>
  <c r="F622" i="14"/>
  <c r="I615" i="14"/>
  <c r="I613" i="14"/>
  <c r="I602" i="14"/>
  <c r="H600" i="14"/>
  <c r="E598" i="14"/>
  <c r="H590" i="14"/>
  <c r="E575" i="14"/>
  <c r="F571" i="14"/>
  <c r="G550" i="14"/>
  <c r="H544" i="14"/>
  <c r="F536" i="14"/>
  <c r="J508" i="14"/>
  <c r="F497" i="14"/>
  <c r="G484" i="14"/>
  <c r="L632" i="14"/>
  <c r="K628" i="14"/>
  <c r="H626" i="14"/>
  <c r="K617" i="14"/>
  <c r="H615" i="14"/>
  <c r="F613" i="14"/>
  <c r="E609" i="14"/>
  <c r="K606" i="14"/>
  <c r="H604" i="14"/>
  <c r="H602" i="14"/>
  <c r="I595" i="14"/>
  <c r="E593" i="14"/>
  <c r="E587" i="14"/>
  <c r="E583" i="14"/>
  <c r="K578" i="14"/>
  <c r="L574" i="14"/>
  <c r="F566" i="14"/>
  <c r="K555" i="14"/>
  <c r="F550" i="14"/>
  <c r="E529" i="14"/>
  <c r="E497" i="14"/>
  <c r="I466" i="14"/>
  <c r="K632" i="14"/>
  <c r="K630" i="14"/>
  <c r="E624" i="14"/>
  <c r="K619" i="14"/>
  <c r="J617" i="14"/>
  <c r="E613" i="14"/>
  <c r="E611" i="14"/>
  <c r="L608" i="14"/>
  <c r="J606" i="14"/>
  <c r="E600" i="14"/>
  <c r="L592" i="14"/>
  <c r="K586" i="14"/>
  <c r="H582" i="14"/>
  <c r="E571" i="14"/>
  <c r="F561" i="14"/>
  <c r="E536" i="14"/>
  <c r="K527" i="14"/>
  <c r="H508" i="14"/>
  <c r="J481" i="14"/>
  <c r="L462" i="14"/>
  <c r="J632" i="14"/>
  <c r="H630" i="14"/>
  <c r="J621" i="14"/>
  <c r="J619" i="14"/>
  <c r="I617" i="14"/>
  <c r="K610" i="14"/>
  <c r="J608" i="14"/>
  <c r="I597" i="14"/>
  <c r="E595" i="14"/>
  <c r="J589" i="14"/>
  <c r="I578" i="14"/>
  <c r="K574" i="14"/>
  <c r="F565" i="14"/>
  <c r="E549" i="14"/>
  <c r="E543" i="14"/>
  <c r="K534" i="14"/>
  <c r="J527" i="14"/>
  <c r="H519" i="14"/>
  <c r="J494" i="14"/>
  <c r="I462" i="14"/>
  <c r="L623" i="14"/>
  <c r="L612" i="14"/>
  <c r="H606" i="14"/>
  <c r="L601" i="14"/>
  <c r="J599" i="14"/>
  <c r="F597" i="14"/>
  <c r="K594" i="14"/>
  <c r="F582" i="14"/>
  <c r="H578" i="14"/>
  <c r="H574" i="14"/>
  <c r="E565" i="14"/>
  <c r="H554" i="14"/>
  <c r="K548" i="14"/>
  <c r="K541" i="14"/>
  <c r="J534" i="14"/>
  <c r="H517" i="14"/>
  <c r="F615" i="14"/>
  <c r="F604" i="14"/>
  <c r="I527" i="14"/>
  <c r="I632" i="14"/>
  <c r="F630" i="14"/>
  <c r="L625" i="14"/>
  <c r="I621" i="14"/>
  <c r="F619" i="14"/>
  <c r="F617" i="14"/>
  <c r="E615" i="14"/>
  <c r="I610" i="14"/>
  <c r="F606" i="14"/>
  <c r="I599" i="14"/>
  <c r="E597" i="14"/>
  <c r="I589" i="14"/>
  <c r="L585" i="14"/>
  <c r="L569" i="14"/>
  <c r="E560" i="14"/>
  <c r="J548" i="14"/>
  <c r="J541" i="14"/>
  <c r="G517" i="14"/>
  <c r="G458" i="14"/>
  <c r="H632" i="14"/>
  <c r="J623" i="14"/>
  <c r="H621" i="14"/>
  <c r="L616" i="14"/>
  <c r="K612" i="14"/>
  <c r="H610" i="14"/>
  <c r="K601" i="14"/>
  <c r="H599" i="14"/>
  <c r="I594" i="14"/>
  <c r="E592" i="14"/>
  <c r="H589" i="14"/>
  <c r="I577" i="14"/>
  <c r="J573" i="14"/>
  <c r="L564" i="14"/>
  <c r="L559" i="14"/>
  <c r="G554" i="14"/>
  <c r="H533" i="14"/>
  <c r="G526" i="14"/>
  <c r="F517" i="14"/>
  <c r="J478" i="14"/>
  <c r="K454" i="14"/>
  <c r="E630" i="14"/>
  <c r="K627" i="14"/>
  <c r="H623" i="14"/>
  <c r="E619" i="14"/>
  <c r="K616" i="14"/>
  <c r="K614" i="14"/>
  <c r="E608" i="14"/>
  <c r="K603" i="14"/>
  <c r="J601" i="14"/>
  <c r="L596" i="14"/>
  <c r="H594" i="14"/>
  <c r="F589" i="14"/>
  <c r="I585" i="14"/>
  <c r="F581" i="14"/>
  <c r="L568" i="14"/>
  <c r="H547" i="14"/>
  <c r="H540" i="14"/>
  <c r="G533" i="14"/>
  <c r="F526" i="14"/>
  <c r="F454" i="14"/>
  <c r="I569" i="14"/>
  <c r="I559" i="14"/>
  <c r="F558" i="14"/>
  <c r="I552" i="14"/>
  <c r="J549" i="14"/>
  <c r="L546" i="14"/>
  <c r="G541" i="14"/>
  <c r="J535" i="14"/>
  <c r="K532" i="14"/>
  <c r="H524" i="14"/>
  <c r="E521" i="14"/>
  <c r="J516" i="14"/>
  <c r="K505" i="14"/>
  <c r="F501" i="14"/>
  <c r="K493" i="14"/>
  <c r="H483" i="14"/>
  <c r="E475" i="14"/>
  <c r="F465" i="14"/>
  <c r="I448" i="14"/>
  <c r="L438" i="14"/>
  <c r="I429" i="14"/>
  <c r="E385" i="14"/>
  <c r="E366" i="14"/>
  <c r="F315" i="14"/>
  <c r="F632" i="14"/>
  <c r="K629" i="14"/>
  <c r="I628" i="14"/>
  <c r="E626" i="14"/>
  <c r="L619" i="14"/>
  <c r="J618" i="14"/>
  <c r="H617" i="14"/>
  <c r="F616" i="14"/>
  <c r="K613" i="14"/>
  <c r="I612" i="14"/>
  <c r="E610" i="14"/>
  <c r="L603" i="14"/>
  <c r="J602" i="14"/>
  <c r="H601" i="14"/>
  <c r="F600" i="14"/>
  <c r="K597" i="14"/>
  <c r="I596" i="14"/>
  <c r="E594" i="14"/>
  <c r="L587" i="14"/>
  <c r="J586" i="14"/>
  <c r="H585" i="14"/>
  <c r="F584" i="14"/>
  <c r="K581" i="14"/>
  <c r="I580" i="14"/>
  <c r="E578" i="14"/>
  <c r="L571" i="14"/>
  <c r="J570" i="14"/>
  <c r="H569" i="14"/>
  <c r="F568" i="14"/>
  <c r="K565" i="14"/>
  <c r="I564" i="14"/>
  <c r="E562" i="14"/>
  <c r="G555" i="14"/>
  <c r="H552" i="14"/>
  <c r="E551" i="14"/>
  <c r="G548" i="14"/>
  <c r="E544" i="14"/>
  <c r="K539" i="14"/>
  <c r="E537" i="14"/>
  <c r="I535" i="14"/>
  <c r="F534" i="14"/>
  <c r="J532" i="14"/>
  <c r="E530" i="14"/>
  <c r="I528" i="14"/>
  <c r="J525" i="14"/>
  <c r="L522" i="14"/>
  <c r="J518" i="14"/>
  <c r="F512" i="14"/>
  <c r="L509" i="14"/>
  <c r="H503" i="14"/>
  <c r="F496" i="14"/>
  <c r="J493" i="14"/>
  <c r="K488" i="14"/>
  <c r="F486" i="14"/>
  <c r="J477" i="14"/>
  <c r="L474" i="14"/>
  <c r="L471" i="14"/>
  <c r="E465" i="14"/>
  <c r="E461" i="14"/>
  <c r="L456" i="14"/>
  <c r="J452" i="14"/>
  <c r="G448" i="14"/>
  <c r="J443" i="14"/>
  <c r="G429" i="14"/>
  <c r="G409" i="14"/>
  <c r="K401" i="14"/>
  <c r="H356" i="14"/>
  <c r="H342" i="14"/>
  <c r="G311" i="14"/>
  <c r="K570" i="14"/>
  <c r="E567" i="14"/>
  <c r="L560" i="14"/>
  <c r="J556" i="14"/>
  <c r="E554" i="14"/>
  <c r="J542" i="14"/>
  <c r="H538" i="14"/>
  <c r="G534" i="14"/>
  <c r="H531" i="14"/>
  <c r="K525" i="14"/>
  <c r="E523" i="14"/>
  <c r="L518" i="14"/>
  <c r="L507" i="14"/>
  <c r="J498" i="14"/>
  <c r="G491" i="14"/>
  <c r="E472" i="14"/>
  <c r="E469" i="14"/>
  <c r="K443" i="14"/>
  <c r="F434" i="14"/>
  <c r="J414" i="14"/>
  <c r="I402" i="14"/>
  <c r="L630" i="14"/>
  <c r="J629" i="14"/>
  <c r="H628" i="14"/>
  <c r="F627" i="14"/>
  <c r="K624" i="14"/>
  <c r="I623" i="14"/>
  <c r="E621" i="14"/>
  <c r="L614" i="14"/>
  <c r="J613" i="14"/>
  <c r="H612" i="14"/>
  <c r="F611" i="14"/>
  <c r="K608" i="14"/>
  <c r="I607" i="14"/>
  <c r="E605" i="14"/>
  <c r="L598" i="14"/>
  <c r="J597" i="14"/>
  <c r="H596" i="14"/>
  <c r="F595" i="14"/>
  <c r="K592" i="14"/>
  <c r="I591" i="14"/>
  <c r="E589" i="14"/>
  <c r="L582" i="14"/>
  <c r="J581" i="14"/>
  <c r="H580" i="14"/>
  <c r="F579" i="14"/>
  <c r="K576" i="14"/>
  <c r="I575" i="14"/>
  <c r="E573" i="14"/>
  <c r="L566" i="14"/>
  <c r="J565" i="14"/>
  <c r="H564" i="14"/>
  <c r="F563" i="14"/>
  <c r="K560" i="14"/>
  <c r="H559" i="14"/>
  <c r="L557" i="14"/>
  <c r="I556" i="14"/>
  <c r="K553" i="14"/>
  <c r="L550" i="14"/>
  <c r="I549" i="14"/>
  <c r="F548" i="14"/>
  <c r="J546" i="14"/>
  <c r="G545" i="14"/>
  <c r="L543" i="14"/>
  <c r="I542" i="14"/>
  <c r="F541" i="14"/>
  <c r="G538" i="14"/>
  <c r="L536" i="14"/>
  <c r="G531" i="14"/>
  <c r="H528" i="14"/>
  <c r="E527" i="14"/>
  <c r="G524" i="14"/>
  <c r="K520" i="14"/>
  <c r="H516" i="14"/>
  <c r="K509" i="14"/>
  <c r="H505" i="14"/>
  <c r="G503" i="14"/>
  <c r="E501" i="14"/>
  <c r="F491" i="14"/>
  <c r="J488" i="14"/>
  <c r="H480" i="14"/>
  <c r="K468" i="14"/>
  <c r="I452" i="14"/>
  <c r="H443" i="14"/>
  <c r="L433" i="14"/>
  <c r="I408" i="14"/>
  <c r="J401" i="14"/>
  <c r="L392" i="14"/>
  <c r="F311" i="14"/>
  <c r="L593" i="14"/>
  <c r="J592" i="14"/>
  <c r="H591" i="14"/>
  <c r="F590" i="14"/>
  <c r="K587" i="14"/>
  <c r="I586" i="14"/>
  <c r="E584" i="14"/>
  <c r="L577" i="14"/>
  <c r="J576" i="14"/>
  <c r="H575" i="14"/>
  <c r="F574" i="14"/>
  <c r="K571" i="14"/>
  <c r="I570" i="14"/>
  <c r="E568" i="14"/>
  <c r="L561" i="14"/>
  <c r="J560" i="14"/>
  <c r="G559" i="14"/>
  <c r="F555" i="14"/>
  <c r="J553" i="14"/>
  <c r="H542" i="14"/>
  <c r="E541" i="14"/>
  <c r="I539" i="14"/>
  <c r="H535" i="14"/>
  <c r="L533" i="14"/>
  <c r="I532" i="14"/>
  <c r="K529" i="14"/>
  <c r="L526" i="14"/>
  <c r="I525" i="14"/>
  <c r="F524" i="14"/>
  <c r="J522" i="14"/>
  <c r="J520" i="14"/>
  <c r="L511" i="14"/>
  <c r="J509" i="14"/>
  <c r="H507" i="14"/>
  <c r="F503" i="14"/>
  <c r="L495" i="14"/>
  <c r="H493" i="14"/>
  <c r="E491" i="14"/>
  <c r="L485" i="14"/>
  <c r="G480" i="14"/>
  <c r="H477" i="14"/>
  <c r="J471" i="14"/>
  <c r="K464" i="14"/>
  <c r="G452" i="14"/>
  <c r="L447" i="14"/>
  <c r="F443" i="14"/>
  <c r="H438" i="14"/>
  <c r="E414" i="14"/>
  <c r="E408" i="14"/>
  <c r="F383" i="14"/>
  <c r="L363" i="14"/>
  <c r="L354" i="14"/>
  <c r="L588" i="14"/>
  <c r="J587" i="14"/>
  <c r="H586" i="14"/>
  <c r="F585" i="14"/>
  <c r="K582" i="14"/>
  <c r="I581" i="14"/>
  <c r="E579" i="14"/>
  <c r="L572" i="14"/>
  <c r="J571" i="14"/>
  <c r="H570" i="14"/>
  <c r="F569" i="14"/>
  <c r="K566" i="14"/>
  <c r="I565" i="14"/>
  <c r="E563" i="14"/>
  <c r="K557" i="14"/>
  <c r="H556" i="14"/>
  <c r="E555" i="14"/>
  <c r="I553" i="14"/>
  <c r="F552" i="14"/>
  <c r="K550" i="14"/>
  <c r="H549" i="14"/>
  <c r="E548" i="14"/>
  <c r="F545" i="14"/>
  <c r="K543" i="14"/>
  <c r="L540" i="14"/>
  <c r="F538" i="14"/>
  <c r="J536" i="14"/>
  <c r="G535" i="14"/>
  <c r="F531" i="14"/>
  <c r="J529" i="14"/>
  <c r="G518" i="14"/>
  <c r="E514" i="14"/>
  <c r="K511" i="14"/>
  <c r="G507" i="14"/>
  <c r="F505" i="14"/>
  <c r="E503" i="14"/>
  <c r="J500" i="14"/>
  <c r="K495" i="14"/>
  <c r="G493" i="14"/>
  <c r="J485" i="14"/>
  <c r="L482" i="14"/>
  <c r="G477" i="14"/>
  <c r="H474" i="14"/>
  <c r="H471" i="14"/>
  <c r="G468" i="14"/>
  <c r="H460" i="14"/>
  <c r="G456" i="14"/>
  <c r="K442" i="14"/>
  <c r="F438" i="14"/>
  <c r="J363" i="14"/>
  <c r="G354" i="14"/>
  <c r="F307" i="14"/>
  <c r="H629" i="14"/>
  <c r="E622" i="14"/>
  <c r="L615" i="14"/>
  <c r="F612" i="14"/>
  <c r="I608" i="14"/>
  <c r="L599" i="14"/>
  <c r="H597" i="14"/>
  <c r="K593" i="14"/>
  <c r="L583" i="14"/>
  <c r="H581" i="14"/>
  <c r="F580" i="14"/>
  <c r="I576" i="14"/>
  <c r="E574" i="14"/>
  <c r="L567" i="14"/>
  <c r="J566" i="14"/>
  <c r="H565" i="14"/>
  <c r="F564" i="14"/>
  <c r="I560" i="14"/>
  <c r="J557" i="14"/>
  <c r="J550" i="14"/>
  <c r="G549" i="14"/>
  <c r="H546" i="14"/>
  <c r="J543" i="14"/>
  <c r="G542" i="14"/>
  <c r="K540" i="14"/>
  <c r="H539" i="14"/>
  <c r="K533" i="14"/>
  <c r="H532" i="14"/>
  <c r="E531" i="14"/>
  <c r="I529" i="14"/>
  <c r="F528" i="14"/>
  <c r="K526" i="14"/>
  <c r="H525" i="14"/>
  <c r="E524" i="14"/>
  <c r="L515" i="14"/>
  <c r="K513" i="14"/>
  <c r="H509" i="14"/>
  <c r="E505" i="14"/>
  <c r="L502" i="14"/>
  <c r="H500" i="14"/>
  <c r="E498" i="14"/>
  <c r="F488" i="14"/>
  <c r="H485" i="14"/>
  <c r="E477" i="14"/>
  <c r="L459" i="14"/>
  <c r="L455" i="14"/>
  <c r="G447" i="14"/>
  <c r="H442" i="14"/>
  <c r="K432" i="14"/>
  <c r="H423" i="14"/>
  <c r="L406" i="14"/>
  <c r="J381" i="14"/>
  <c r="H353" i="14"/>
  <c r="J630" i="14"/>
  <c r="K625" i="14"/>
  <c r="H613" i="14"/>
  <c r="K609" i="14"/>
  <c r="F596" i="14"/>
  <c r="E590" i="14"/>
  <c r="K577" i="14"/>
  <c r="L554" i="14"/>
  <c r="H372" i="14"/>
  <c r="L626" i="14"/>
  <c r="J625" i="14"/>
  <c r="H624" i="14"/>
  <c r="F623" i="14"/>
  <c r="K620" i="14"/>
  <c r="I619" i="14"/>
  <c r="E617" i="14"/>
  <c r="L610" i="14"/>
  <c r="J609" i="14"/>
  <c r="H608" i="14"/>
  <c r="F607" i="14"/>
  <c r="K604" i="14"/>
  <c r="I603" i="14"/>
  <c r="E601" i="14"/>
  <c r="L594" i="14"/>
  <c r="J593" i="14"/>
  <c r="H592" i="14"/>
  <c r="F591" i="14"/>
  <c r="K588" i="14"/>
  <c r="I587" i="14"/>
  <c r="E585" i="14"/>
  <c r="L578" i="14"/>
  <c r="J577" i="14"/>
  <c r="H576" i="14"/>
  <c r="F575" i="14"/>
  <c r="K572" i="14"/>
  <c r="I571" i="14"/>
  <c r="E569" i="14"/>
  <c r="L562" i="14"/>
  <c r="J561" i="14"/>
  <c r="H560" i="14"/>
  <c r="E559" i="14"/>
  <c r="G556" i="14"/>
  <c r="E552" i="14"/>
  <c r="K547" i="14"/>
  <c r="E545" i="14"/>
  <c r="I543" i="14"/>
  <c r="F542" i="14"/>
  <c r="J540" i="14"/>
  <c r="E538" i="14"/>
  <c r="I536" i="14"/>
  <c r="J533" i="14"/>
  <c r="L530" i="14"/>
  <c r="J526" i="14"/>
  <c r="G525" i="14"/>
  <c r="G522" i="14"/>
  <c r="G509" i="14"/>
  <c r="F507" i="14"/>
  <c r="J502" i="14"/>
  <c r="K497" i="14"/>
  <c r="G495" i="14"/>
  <c r="L487" i="14"/>
  <c r="K476" i="14"/>
  <c r="L473" i="14"/>
  <c r="L470" i="14"/>
  <c r="K467" i="14"/>
  <c r="J459" i="14"/>
  <c r="I432" i="14"/>
  <c r="J427" i="14"/>
  <c r="K422" i="14"/>
  <c r="J417" i="14"/>
  <c r="J412" i="14"/>
  <c r="L390" i="14"/>
  <c r="F381" i="14"/>
  <c r="H362" i="14"/>
  <c r="K302" i="14"/>
  <c r="L631" i="14"/>
  <c r="F628" i="14"/>
  <c r="I624" i="14"/>
  <c r="J614" i="14"/>
  <c r="E606" i="14"/>
  <c r="J598" i="14"/>
  <c r="I592" i="14"/>
  <c r="J582" i="14"/>
  <c r="K561" i="14"/>
  <c r="K631" i="14"/>
  <c r="I630" i="14"/>
  <c r="E628" i="14"/>
  <c r="L621" i="14"/>
  <c r="J620" i="14"/>
  <c r="H619" i="14"/>
  <c r="F618" i="14"/>
  <c r="K615" i="14"/>
  <c r="I614" i="14"/>
  <c r="E612" i="14"/>
  <c r="L605" i="14"/>
  <c r="J604" i="14"/>
  <c r="H603" i="14"/>
  <c r="F602" i="14"/>
  <c r="K599" i="14"/>
  <c r="I598" i="14"/>
  <c r="E596" i="14"/>
  <c r="L589" i="14"/>
  <c r="J588" i="14"/>
  <c r="H587" i="14"/>
  <c r="F586" i="14"/>
  <c r="K583" i="14"/>
  <c r="I582" i="14"/>
  <c r="E580" i="14"/>
  <c r="L573" i="14"/>
  <c r="J572" i="14"/>
  <c r="H571" i="14"/>
  <c r="F570" i="14"/>
  <c r="K567" i="14"/>
  <c r="I566" i="14"/>
  <c r="E564" i="14"/>
  <c r="L558" i="14"/>
  <c r="I557" i="14"/>
  <c r="F556" i="14"/>
  <c r="J554" i="14"/>
  <c r="G553" i="14"/>
  <c r="L551" i="14"/>
  <c r="I550" i="14"/>
  <c r="F549" i="14"/>
  <c r="G546" i="14"/>
  <c r="L544" i="14"/>
  <c r="G539" i="14"/>
  <c r="H536" i="14"/>
  <c r="E535" i="14"/>
  <c r="G532" i="14"/>
  <c r="E528" i="14"/>
  <c r="K523" i="14"/>
  <c r="F520" i="14"/>
  <c r="L517" i="14"/>
  <c r="K515" i="14"/>
  <c r="H513" i="14"/>
  <c r="G511" i="14"/>
  <c r="F509" i="14"/>
  <c r="E507" i="14"/>
  <c r="K504" i="14"/>
  <c r="F495" i="14"/>
  <c r="J492" i="14"/>
  <c r="K487" i="14"/>
  <c r="E485" i="14"/>
  <c r="K473" i="14"/>
  <c r="J470" i="14"/>
  <c r="H467" i="14"/>
  <c r="H463" i="14"/>
  <c r="G455" i="14"/>
  <c r="L450" i="14"/>
  <c r="G432" i="14"/>
  <c r="I427" i="14"/>
  <c r="J422" i="14"/>
  <c r="G412" i="14"/>
  <c r="K406" i="14"/>
  <c r="L398" i="14"/>
  <c r="L380" i="14"/>
  <c r="E371" i="14"/>
  <c r="E362" i="14"/>
  <c r="L298" i="14"/>
  <c r="I526" i="14"/>
  <c r="L454" i="14"/>
  <c r="I547" i="14"/>
  <c r="H543" i="14"/>
  <c r="L541" i="14"/>
  <c r="I540" i="14"/>
  <c r="K537" i="14"/>
  <c r="L534" i="14"/>
  <c r="I533" i="14"/>
  <c r="F532" i="14"/>
  <c r="J530" i="14"/>
  <c r="G529" i="14"/>
  <c r="L527" i="14"/>
  <c r="F525" i="14"/>
  <c r="L519" i="14"/>
  <c r="K517" i="14"/>
  <c r="F511" i="14"/>
  <c r="J504" i="14"/>
  <c r="L499" i="14"/>
  <c r="H497" i="14"/>
  <c r="E495" i="14"/>
  <c r="E482" i="14"/>
  <c r="G467" i="14"/>
  <c r="G463" i="14"/>
  <c r="I436" i="14"/>
  <c r="H422" i="14"/>
  <c r="F412" i="14"/>
  <c r="H380" i="14"/>
  <c r="L370" i="14"/>
  <c r="F361" i="14"/>
  <c r="J327" i="14"/>
  <c r="L627" i="14"/>
  <c r="J626" i="14"/>
  <c r="H625" i="14"/>
  <c r="F624" i="14"/>
  <c r="K621" i="14"/>
  <c r="I620" i="14"/>
  <c r="E618" i="14"/>
  <c r="L611" i="14"/>
  <c r="J610" i="14"/>
  <c r="H609" i="14"/>
  <c r="F608" i="14"/>
  <c r="K605" i="14"/>
  <c r="I604" i="14"/>
  <c r="E602" i="14"/>
  <c r="L595" i="14"/>
  <c r="J594" i="14"/>
  <c r="H593" i="14"/>
  <c r="F592" i="14"/>
  <c r="K589" i="14"/>
  <c r="I588" i="14"/>
  <c r="E586" i="14"/>
  <c r="L579" i="14"/>
  <c r="J578" i="14"/>
  <c r="H577" i="14"/>
  <c r="F576" i="14"/>
  <c r="K573" i="14"/>
  <c r="I572" i="14"/>
  <c r="E570" i="14"/>
  <c r="L563" i="14"/>
  <c r="J562" i="14"/>
  <c r="H561" i="14"/>
  <c r="F560" i="14"/>
  <c r="K558" i="14"/>
  <c r="H557" i="14"/>
  <c r="E556" i="14"/>
  <c r="F553" i="14"/>
  <c r="K551" i="14"/>
  <c r="L548" i="14"/>
  <c r="F546" i="14"/>
  <c r="J544" i="14"/>
  <c r="G543" i="14"/>
  <c r="F539" i="14"/>
  <c r="J537" i="14"/>
  <c r="H526" i="14"/>
  <c r="E525" i="14"/>
  <c r="I523" i="14"/>
  <c r="E522" i="14"/>
  <c r="K519" i="14"/>
  <c r="J517" i="14"/>
  <c r="H515" i="14"/>
  <c r="G513" i="14"/>
  <c r="E511" i="14"/>
  <c r="J506" i="14"/>
  <c r="G502" i="14"/>
  <c r="L494" i="14"/>
  <c r="H492" i="14"/>
  <c r="E490" i="14"/>
  <c r="K484" i="14"/>
  <c r="L481" i="14"/>
  <c r="F479" i="14"/>
  <c r="G476" i="14"/>
  <c r="H470" i="14"/>
  <c r="F467" i="14"/>
  <c r="E459" i="14"/>
  <c r="I450" i="14"/>
  <c r="F441" i="14"/>
  <c r="H436" i="14"/>
  <c r="K426" i="14"/>
  <c r="J398" i="14"/>
  <c r="H388" i="14"/>
  <c r="G327" i="14"/>
  <c r="E294" i="14"/>
  <c r="H450" i="14"/>
  <c r="G436" i="14"/>
  <c r="I431" i="14"/>
  <c r="J426" i="14"/>
  <c r="K421" i="14"/>
  <c r="K416" i="14"/>
  <c r="L411" i="14"/>
  <c r="J397" i="14"/>
  <c r="G388" i="14"/>
  <c r="L378" i="14"/>
  <c r="J369" i="14"/>
  <c r="L359" i="14"/>
  <c r="I325" i="14"/>
  <c r="I293" i="14"/>
  <c r="K466" i="14"/>
  <c r="J462" i="14"/>
  <c r="I458" i="14"/>
  <c r="F450" i="14"/>
  <c r="J445" i="14"/>
  <c r="G431" i="14"/>
  <c r="H426" i="14"/>
  <c r="H416" i="14"/>
  <c r="G411" i="14"/>
  <c r="H404" i="14"/>
  <c r="F388" i="14"/>
  <c r="E378" i="14"/>
  <c r="I323" i="14"/>
  <c r="E287" i="14"/>
  <c r="G445" i="14"/>
  <c r="J440" i="14"/>
  <c r="K435" i="14"/>
  <c r="F426" i="14"/>
  <c r="G404" i="14"/>
  <c r="L377" i="14"/>
  <c r="H368" i="14"/>
  <c r="F359" i="14"/>
  <c r="F349" i="14"/>
  <c r="K286" i="14"/>
  <c r="K585" i="14"/>
  <c r="I584" i="14"/>
  <c r="E582" i="14"/>
  <c r="L575" i="14"/>
  <c r="J574" i="14"/>
  <c r="H573" i="14"/>
  <c r="F572" i="14"/>
  <c r="K569" i="14"/>
  <c r="I568" i="14"/>
  <c r="E566" i="14"/>
  <c r="H558" i="14"/>
  <c r="E557" i="14"/>
  <c r="I555" i="14"/>
  <c r="H551" i="14"/>
  <c r="L549" i="14"/>
  <c r="I548" i="14"/>
  <c r="K545" i="14"/>
  <c r="L542" i="14"/>
  <c r="I541" i="14"/>
  <c r="F540" i="14"/>
  <c r="J538" i="14"/>
  <c r="G537" i="14"/>
  <c r="L535" i="14"/>
  <c r="I534" i="14"/>
  <c r="F533" i="14"/>
  <c r="G530" i="14"/>
  <c r="L528" i="14"/>
  <c r="G523" i="14"/>
  <c r="H521" i="14"/>
  <c r="G519" i="14"/>
  <c r="K512" i="14"/>
  <c r="L503" i="14"/>
  <c r="J501" i="14"/>
  <c r="K496" i="14"/>
  <c r="G494" i="14"/>
  <c r="H478" i="14"/>
  <c r="J472" i="14"/>
  <c r="J469" i="14"/>
  <c r="I449" i="14"/>
  <c r="K444" i="14"/>
  <c r="L439" i="14"/>
  <c r="I430" i="14"/>
  <c r="J410" i="14"/>
  <c r="J395" i="14"/>
  <c r="J386" i="14"/>
  <c r="J377" i="14"/>
  <c r="H358" i="14"/>
  <c r="I319" i="14"/>
  <c r="L586" i="14"/>
  <c r="J585" i="14"/>
  <c r="H584" i="14"/>
  <c r="F583" i="14"/>
  <c r="K580" i="14"/>
  <c r="I579" i="14"/>
  <c r="E577" i="14"/>
  <c r="L570" i="14"/>
  <c r="J569" i="14"/>
  <c r="H568" i="14"/>
  <c r="F567" i="14"/>
  <c r="K564" i="14"/>
  <c r="I563" i="14"/>
  <c r="E561" i="14"/>
  <c r="K559" i="14"/>
  <c r="L556" i="14"/>
  <c r="F554" i="14"/>
  <c r="J552" i="14"/>
  <c r="G551" i="14"/>
  <c r="F547" i="14"/>
  <c r="J545" i="14"/>
  <c r="H534" i="14"/>
  <c r="E533" i="14"/>
  <c r="I531" i="14"/>
  <c r="H527" i="14"/>
  <c r="L525" i="14"/>
  <c r="I524" i="14"/>
  <c r="F519" i="14"/>
  <c r="E517" i="14"/>
  <c r="J514" i="14"/>
  <c r="E506" i="14"/>
  <c r="K503" i="14"/>
  <c r="H501" i="14"/>
  <c r="E499" i="14"/>
  <c r="F489" i="14"/>
  <c r="K483" i="14"/>
  <c r="E481" i="14"/>
  <c r="F478" i="14"/>
  <c r="H472" i="14"/>
  <c r="J457" i="14"/>
  <c r="H453" i="14"/>
  <c r="L448" i="14"/>
  <c r="H444" i="14"/>
  <c r="J439" i="14"/>
  <c r="F425" i="14"/>
  <c r="G415" i="14"/>
  <c r="H395" i="14"/>
  <c r="J376" i="14"/>
  <c r="F367" i="14"/>
  <c r="J357" i="14"/>
  <c r="H319" i="14"/>
  <c r="G272" i="14"/>
  <c r="L629" i="14"/>
  <c r="J628" i="14"/>
  <c r="H627" i="14"/>
  <c r="F626" i="14"/>
  <c r="K623" i="14"/>
  <c r="I622" i="14"/>
  <c r="E620" i="14"/>
  <c r="L613" i="14"/>
  <c r="J612" i="14"/>
  <c r="H611" i="14"/>
  <c r="F610" i="14"/>
  <c r="K607" i="14"/>
  <c r="I606" i="14"/>
  <c r="E604" i="14"/>
  <c r="L597" i="14"/>
  <c r="J596" i="14"/>
  <c r="H595" i="14"/>
  <c r="F594" i="14"/>
  <c r="K591" i="14"/>
  <c r="I590" i="14"/>
  <c r="E588" i="14"/>
  <c r="L581" i="14"/>
  <c r="J580" i="14"/>
  <c r="H579" i="14"/>
  <c r="F578" i="14"/>
  <c r="K575" i="14"/>
  <c r="I574" i="14"/>
  <c r="E572" i="14"/>
  <c r="L565" i="14"/>
  <c r="J564" i="14"/>
  <c r="H563" i="14"/>
  <c r="F562" i="14"/>
  <c r="J559" i="14"/>
  <c r="G558" i="14"/>
  <c r="K556" i="14"/>
  <c r="H555" i="14"/>
  <c r="K549" i="14"/>
  <c r="H548" i="14"/>
  <c r="E547" i="14"/>
  <c r="I545" i="14"/>
  <c r="F544" i="14"/>
  <c r="K542" i="14"/>
  <c r="H541" i="14"/>
  <c r="E540" i="14"/>
  <c r="F537" i="14"/>
  <c r="K535" i="14"/>
  <c r="L532" i="14"/>
  <c r="F530" i="14"/>
  <c r="J528" i="14"/>
  <c r="G527" i="14"/>
  <c r="F523" i="14"/>
  <c r="F521" i="14"/>
  <c r="E519" i="14"/>
  <c r="G510" i="14"/>
  <c r="L505" i="14"/>
  <c r="G501" i="14"/>
  <c r="L493" i="14"/>
  <c r="H491" i="14"/>
  <c r="E489" i="14"/>
  <c r="H486" i="14"/>
  <c r="K480" i="14"/>
  <c r="E478" i="14"/>
  <c r="F475" i="14"/>
  <c r="G472" i="14"/>
  <c r="H465" i="14"/>
  <c r="G453" i="14"/>
  <c r="K429" i="14"/>
  <c r="E420" i="14"/>
  <c r="I409" i="14"/>
  <c r="G395" i="14"/>
  <c r="G385" i="14"/>
  <c r="E376" i="14"/>
  <c r="K269" i="14"/>
  <c r="L553" i="14"/>
  <c r="K552" i="14"/>
  <c r="L545" i="14"/>
  <c r="K544" i="14"/>
  <c r="L537" i="14"/>
  <c r="K536" i="14"/>
  <c r="L529" i="14"/>
  <c r="K528" i="14"/>
  <c r="F518" i="14"/>
  <c r="L516" i="14"/>
  <c r="J515" i="14"/>
  <c r="H514" i="14"/>
  <c r="E512" i="14"/>
  <c r="K510" i="14"/>
  <c r="G508" i="14"/>
  <c r="F502" i="14"/>
  <c r="L500" i="14"/>
  <c r="J499" i="14"/>
  <c r="H498" i="14"/>
  <c r="E496" i="14"/>
  <c r="K494" i="14"/>
  <c r="G492" i="14"/>
  <c r="E486" i="14"/>
  <c r="F483" i="14"/>
  <c r="K481" i="14"/>
  <c r="L478" i="14"/>
  <c r="F476" i="14"/>
  <c r="K474" i="14"/>
  <c r="K471" i="14"/>
  <c r="J468" i="14"/>
  <c r="K460" i="14"/>
  <c r="K458" i="14"/>
  <c r="H452" i="14"/>
  <c r="G450" i="14"/>
  <c r="K445" i="14"/>
  <c r="L440" i="14"/>
  <c r="I438" i="14"/>
  <c r="F436" i="14"/>
  <c r="K433" i="14"/>
  <c r="F424" i="14"/>
  <c r="J421" i="14"/>
  <c r="I416" i="14"/>
  <c r="J406" i="14"/>
  <c r="E404" i="14"/>
  <c r="I401" i="14"/>
  <c r="H391" i="14"/>
  <c r="E388" i="14"/>
  <c r="E374" i="14"/>
  <c r="G370" i="14"/>
  <c r="H363" i="14"/>
  <c r="J359" i="14"/>
  <c r="G356" i="14"/>
  <c r="F335" i="14"/>
  <c r="F331" i="14"/>
  <c r="L326" i="14"/>
  <c r="G323" i="14"/>
  <c r="F319" i="14"/>
  <c r="L314" i="14"/>
  <c r="H292" i="14"/>
  <c r="L408" i="14"/>
  <c r="K403" i="14"/>
  <c r="H401" i="14"/>
  <c r="G398" i="14"/>
  <c r="G391" i="14"/>
  <c r="L387" i="14"/>
  <c r="J380" i="14"/>
  <c r="E370" i="14"/>
  <c r="J366" i="14"/>
  <c r="E363" i="14"/>
  <c r="F356" i="14"/>
  <c r="L348" i="14"/>
  <c r="H345" i="14"/>
  <c r="G338" i="14"/>
  <c r="L334" i="14"/>
  <c r="K326" i="14"/>
  <c r="I318" i="14"/>
  <c r="K310" i="14"/>
  <c r="L306" i="14"/>
  <c r="J302" i="14"/>
  <c r="F298" i="14"/>
  <c r="F292" i="14"/>
  <c r="F285" i="14"/>
  <c r="K255" i="14"/>
  <c r="J521" i="14"/>
  <c r="H520" i="14"/>
  <c r="E518" i="14"/>
  <c r="K516" i="14"/>
  <c r="G514" i="14"/>
  <c r="F508" i="14"/>
  <c r="L506" i="14"/>
  <c r="J505" i="14"/>
  <c r="H504" i="14"/>
  <c r="E502" i="14"/>
  <c r="K500" i="14"/>
  <c r="G498" i="14"/>
  <c r="F492" i="14"/>
  <c r="L490" i="14"/>
  <c r="J489" i="14"/>
  <c r="H488" i="14"/>
  <c r="E483" i="14"/>
  <c r="F480" i="14"/>
  <c r="K478" i="14"/>
  <c r="E476" i="14"/>
  <c r="H468" i="14"/>
  <c r="I460" i="14"/>
  <c r="H456" i="14"/>
  <c r="G454" i="14"/>
  <c r="F452" i="14"/>
  <c r="L449" i="14"/>
  <c r="G438" i="14"/>
  <c r="L435" i="14"/>
  <c r="I433" i="14"/>
  <c r="J428" i="14"/>
  <c r="L423" i="14"/>
  <c r="L418" i="14"/>
  <c r="K413" i="14"/>
  <c r="F411" i="14"/>
  <c r="J403" i="14"/>
  <c r="F398" i="14"/>
  <c r="H394" i="14"/>
  <c r="E391" i="14"/>
  <c r="L383" i="14"/>
  <c r="E377" i="14"/>
  <c r="G373" i="14"/>
  <c r="H359" i="14"/>
  <c r="L355" i="14"/>
  <c r="F352" i="14"/>
  <c r="J334" i="14"/>
  <c r="H330" i="14"/>
  <c r="J326" i="14"/>
  <c r="J314" i="14"/>
  <c r="H310" i="14"/>
  <c r="I302" i="14"/>
  <c r="E253" i="14"/>
  <c r="H341" i="14"/>
  <c r="E338" i="14"/>
  <c r="H326" i="14"/>
  <c r="E322" i="14"/>
  <c r="F318" i="14"/>
  <c r="F302" i="14"/>
  <c r="L297" i="14"/>
  <c r="F250" i="14"/>
  <c r="L555" i="14"/>
  <c r="K554" i="14"/>
  <c r="L547" i="14"/>
  <c r="K546" i="14"/>
  <c r="L539" i="14"/>
  <c r="K538" i="14"/>
  <c r="L531" i="14"/>
  <c r="K530" i="14"/>
  <c r="L523" i="14"/>
  <c r="K522" i="14"/>
  <c r="G520" i="14"/>
  <c r="F514" i="14"/>
  <c r="L512" i="14"/>
  <c r="J511" i="14"/>
  <c r="H510" i="14"/>
  <c r="E508" i="14"/>
  <c r="K506" i="14"/>
  <c r="G504" i="14"/>
  <c r="F498" i="14"/>
  <c r="L496" i="14"/>
  <c r="J495" i="14"/>
  <c r="H494" i="14"/>
  <c r="E492" i="14"/>
  <c r="K490" i="14"/>
  <c r="G488" i="14"/>
  <c r="E480" i="14"/>
  <c r="K475" i="14"/>
  <c r="L472" i="14"/>
  <c r="L469" i="14"/>
  <c r="H464" i="14"/>
  <c r="G462" i="14"/>
  <c r="F458" i="14"/>
  <c r="F456" i="14"/>
  <c r="L451" i="14"/>
  <c r="J449" i="14"/>
  <c r="H447" i="14"/>
  <c r="L444" i="14"/>
  <c r="J442" i="14"/>
  <c r="G433" i="14"/>
  <c r="H428" i="14"/>
  <c r="J423" i="14"/>
  <c r="I418" i="14"/>
  <c r="F416" i="14"/>
  <c r="I413" i="14"/>
  <c r="L410" i="14"/>
  <c r="K405" i="14"/>
  <c r="I400" i="14"/>
  <c r="F380" i="14"/>
  <c r="F373" i="14"/>
  <c r="L358" i="14"/>
  <c r="J344" i="14"/>
  <c r="G341" i="14"/>
  <c r="J337" i="14"/>
  <c r="G326" i="14"/>
  <c r="L313" i="14"/>
  <c r="K309" i="14"/>
  <c r="K305" i="14"/>
  <c r="E302" i="14"/>
  <c r="E297" i="14"/>
  <c r="G284" i="14"/>
  <c r="K501" i="14"/>
  <c r="G499" i="14"/>
  <c r="F493" i="14"/>
  <c r="L491" i="14"/>
  <c r="J490" i="14"/>
  <c r="H489" i="14"/>
  <c r="L486" i="14"/>
  <c r="F484" i="14"/>
  <c r="K482" i="14"/>
  <c r="G481" i="14"/>
  <c r="L479" i="14"/>
  <c r="J475" i="14"/>
  <c r="G474" i="14"/>
  <c r="K472" i="14"/>
  <c r="G471" i="14"/>
  <c r="F468" i="14"/>
  <c r="F466" i="14"/>
  <c r="E464" i="14"/>
  <c r="F462" i="14"/>
  <c r="F460" i="14"/>
  <c r="E458" i="14"/>
  <c r="E456" i="14"/>
  <c r="L453" i="14"/>
  <c r="K451" i="14"/>
  <c r="I442" i="14"/>
  <c r="H435" i="14"/>
  <c r="L432" i="14"/>
  <c r="K430" i="14"/>
  <c r="L425" i="14"/>
  <c r="I423" i="14"/>
  <c r="L415" i="14"/>
  <c r="G413" i="14"/>
  <c r="G408" i="14"/>
  <c r="J405" i="14"/>
  <c r="H397" i="14"/>
  <c r="E394" i="14"/>
  <c r="G390" i="14"/>
  <c r="G383" i="14"/>
  <c r="H379" i="14"/>
  <c r="E355" i="14"/>
  <c r="H344" i="14"/>
  <c r="E341" i="14"/>
  <c r="K329" i="14"/>
  <c r="E318" i="14"/>
  <c r="J309" i="14"/>
  <c r="J305" i="14"/>
  <c r="J301" i="14"/>
  <c r="G291" i="14"/>
  <c r="L282" i="14"/>
  <c r="I321" i="14"/>
  <c r="K317" i="14"/>
  <c r="I313" i="14"/>
  <c r="F301" i="14"/>
  <c r="I296" i="14"/>
  <c r="K231" i="14"/>
  <c r="G632" i="14"/>
  <c r="G631" i="14"/>
  <c r="G630" i="14"/>
  <c r="G629" i="14"/>
  <c r="G628" i="14"/>
  <c r="G627" i="14"/>
  <c r="G626" i="14"/>
  <c r="G625" i="14"/>
  <c r="G624" i="14"/>
  <c r="G623" i="14"/>
  <c r="G622" i="14"/>
  <c r="G621" i="14"/>
  <c r="G620" i="14"/>
  <c r="G619" i="14"/>
  <c r="G618" i="14"/>
  <c r="G617" i="14"/>
  <c r="G616" i="14"/>
  <c r="G615" i="14"/>
  <c r="G614" i="14"/>
  <c r="G613" i="14"/>
  <c r="G612" i="14"/>
  <c r="G611" i="14"/>
  <c r="G610" i="14"/>
  <c r="G609" i="14"/>
  <c r="G608" i="14"/>
  <c r="G607" i="14"/>
  <c r="G606" i="14"/>
  <c r="G605" i="14"/>
  <c r="G604" i="14"/>
  <c r="G603" i="14"/>
  <c r="G602" i="14"/>
  <c r="G601" i="14"/>
  <c r="G600" i="14"/>
  <c r="G599" i="14"/>
  <c r="G598" i="14"/>
  <c r="G597" i="14"/>
  <c r="G596" i="14"/>
  <c r="G595" i="14"/>
  <c r="G594" i="14"/>
  <c r="G593" i="14"/>
  <c r="G592" i="14"/>
  <c r="G591" i="14"/>
  <c r="G590" i="14"/>
  <c r="G589" i="14"/>
  <c r="G588" i="14"/>
  <c r="G587" i="14"/>
  <c r="G586" i="14"/>
  <c r="G585" i="14"/>
  <c r="G584" i="14"/>
  <c r="G583" i="14"/>
  <c r="G582" i="14"/>
  <c r="G581" i="14"/>
  <c r="G580" i="14"/>
  <c r="G579" i="14"/>
  <c r="G578" i="14"/>
  <c r="G577" i="14"/>
  <c r="G576" i="14"/>
  <c r="G575" i="14"/>
  <c r="G574" i="14"/>
  <c r="G573" i="14"/>
  <c r="G572" i="14"/>
  <c r="G571" i="14"/>
  <c r="G570" i="14"/>
  <c r="G569" i="14"/>
  <c r="G568" i="14"/>
  <c r="G567" i="14"/>
  <c r="G566" i="14"/>
  <c r="G565" i="14"/>
  <c r="G564" i="14"/>
  <c r="G563" i="14"/>
  <c r="G562" i="14"/>
  <c r="G561" i="14"/>
  <c r="G560" i="14"/>
  <c r="F559" i="14"/>
  <c r="E558" i="14"/>
  <c r="J555" i="14"/>
  <c r="I554" i="14"/>
  <c r="H553" i="14"/>
  <c r="G552" i="14"/>
  <c r="F551" i="14"/>
  <c r="E550" i="14"/>
  <c r="J547" i="14"/>
  <c r="I546" i="14"/>
  <c r="H545" i="14"/>
  <c r="G544" i="14"/>
  <c r="F543" i="14"/>
  <c r="E542" i="14"/>
  <c r="J539" i="14"/>
  <c r="I538" i="14"/>
  <c r="H537" i="14"/>
  <c r="G536" i="14"/>
  <c r="F535" i="14"/>
  <c r="E534" i="14"/>
  <c r="J531" i="14"/>
  <c r="I530" i="14"/>
  <c r="H529" i="14"/>
  <c r="G528" i="14"/>
  <c r="F527" i="14"/>
  <c r="E526" i="14"/>
  <c r="J523" i="14"/>
  <c r="G521" i="14"/>
  <c r="F515" i="14"/>
  <c r="L513" i="14"/>
  <c r="J512" i="14"/>
  <c r="H511" i="14"/>
  <c r="E509" i="14"/>
  <c r="K507" i="14"/>
  <c r="G505" i="14"/>
  <c r="F499" i="14"/>
  <c r="L497" i="14"/>
  <c r="J496" i="14"/>
  <c r="H495" i="14"/>
  <c r="E493" i="14"/>
  <c r="K491" i="14"/>
  <c r="G489" i="14"/>
  <c r="K486" i="14"/>
  <c r="E484" i="14"/>
  <c r="F481" i="14"/>
  <c r="K479" i="14"/>
  <c r="G478" i="14"/>
  <c r="L476" i="14"/>
  <c r="F474" i="14"/>
  <c r="F471" i="14"/>
  <c r="E468" i="14"/>
  <c r="E466" i="14"/>
  <c r="L463" i="14"/>
  <c r="L461" i="14"/>
  <c r="J453" i="14"/>
  <c r="I451" i="14"/>
  <c r="G449" i="14"/>
  <c r="F447" i="14"/>
  <c r="I437" i="14"/>
  <c r="J432" i="14"/>
  <c r="F430" i="14"/>
  <c r="K420" i="14"/>
  <c r="G418" i="14"/>
  <c r="J415" i="14"/>
  <c r="L407" i="14"/>
  <c r="G400" i="14"/>
  <c r="E390" i="14"/>
  <c r="G379" i="14"/>
  <c r="F365" i="14"/>
  <c r="L361" i="14"/>
  <c r="J354" i="14"/>
  <c r="G351" i="14"/>
  <c r="J340" i="14"/>
  <c r="E337" i="14"/>
  <c r="G333" i="14"/>
  <c r="I329" i="14"/>
  <c r="H321" i="14"/>
  <c r="H305" i="14"/>
  <c r="E301" i="14"/>
  <c r="H296" i="14"/>
  <c r="E290" i="14"/>
  <c r="K281" i="14"/>
  <c r="E228" i="14"/>
  <c r="H522" i="14"/>
  <c r="E520" i="14"/>
  <c r="K518" i="14"/>
  <c r="G516" i="14"/>
  <c r="F510" i="14"/>
  <c r="L508" i="14"/>
  <c r="J507" i="14"/>
  <c r="H506" i="14"/>
  <c r="E504" i="14"/>
  <c r="K502" i="14"/>
  <c r="G500" i="14"/>
  <c r="F494" i="14"/>
  <c r="L492" i="14"/>
  <c r="J491" i="14"/>
  <c r="H490" i="14"/>
  <c r="E488" i="14"/>
  <c r="J486" i="14"/>
  <c r="G485" i="14"/>
  <c r="H482" i="14"/>
  <c r="J479" i="14"/>
  <c r="H475" i="14"/>
  <c r="E474" i="14"/>
  <c r="H469" i="14"/>
  <c r="K461" i="14"/>
  <c r="J455" i="14"/>
  <c r="I453" i="14"/>
  <c r="F451" i="14"/>
  <c r="F449" i="14"/>
  <c r="G442" i="14"/>
  <c r="K439" i="14"/>
  <c r="H437" i="14"/>
  <c r="L434" i="14"/>
  <c r="G425" i="14"/>
  <c r="L422" i="14"/>
  <c r="I420" i="14"/>
  <c r="I415" i="14"/>
  <c r="E413" i="14"/>
  <c r="H410" i="14"/>
  <c r="K407" i="14"/>
  <c r="J402" i="14"/>
  <c r="F400" i="14"/>
  <c r="J396" i="14"/>
  <c r="J382" i="14"/>
  <c r="L371" i="14"/>
  <c r="L364" i="14"/>
  <c r="L357" i="14"/>
  <c r="L350" i="14"/>
  <c r="E344" i="14"/>
  <c r="F333" i="14"/>
  <c r="E325" i="14"/>
  <c r="E321" i="14"/>
  <c r="L312" i="14"/>
  <c r="E309" i="14"/>
  <c r="L300" i="14"/>
  <c r="K289" i="14"/>
  <c r="G280" i="14"/>
  <c r="G347" i="14"/>
  <c r="E340" i="14"/>
  <c r="L324" i="14"/>
  <c r="L320" i="14"/>
  <c r="J316" i="14"/>
  <c r="J308" i="14"/>
  <c r="I304" i="14"/>
  <c r="K300" i="14"/>
  <c r="F280" i="14"/>
  <c r="F516" i="14"/>
  <c r="L514" i="14"/>
  <c r="J513" i="14"/>
  <c r="H512" i="14"/>
  <c r="E510" i="14"/>
  <c r="K508" i="14"/>
  <c r="G506" i="14"/>
  <c r="F500" i="14"/>
  <c r="L498" i="14"/>
  <c r="J497" i="14"/>
  <c r="H496" i="14"/>
  <c r="E494" i="14"/>
  <c r="K492" i="14"/>
  <c r="G490" i="14"/>
  <c r="J483" i="14"/>
  <c r="G482" i="14"/>
  <c r="L480" i="14"/>
  <c r="H479" i="14"/>
  <c r="J476" i="14"/>
  <c r="K470" i="14"/>
  <c r="G469" i="14"/>
  <c r="J463" i="14"/>
  <c r="H459" i="14"/>
  <c r="H455" i="14"/>
  <c r="K448" i="14"/>
  <c r="I446" i="14"/>
  <c r="G444" i="14"/>
  <c r="K441" i="14"/>
  <c r="I439" i="14"/>
  <c r="F437" i="14"/>
  <c r="H432" i="14"/>
  <c r="L429" i="14"/>
  <c r="F420" i="14"/>
  <c r="I417" i="14"/>
  <c r="L414" i="14"/>
  <c r="E410" i="14"/>
  <c r="H407" i="14"/>
  <c r="F396" i="14"/>
  <c r="F375" i="14"/>
  <c r="G368" i="14"/>
  <c r="E347" i="14"/>
  <c r="F343" i="14"/>
  <c r="L339" i="14"/>
  <c r="H336" i="14"/>
  <c r="H332" i="14"/>
  <c r="J328" i="14"/>
  <c r="K320" i="14"/>
  <c r="H316" i="14"/>
  <c r="F308" i="14"/>
  <c r="G289" i="14"/>
  <c r="F402" i="14"/>
  <c r="F389" i="14"/>
  <c r="H385" i="14"/>
  <c r="L381" i="14"/>
  <c r="H378" i="14"/>
  <c r="J374" i="14"/>
  <c r="E361" i="14"/>
  <c r="J353" i="14"/>
  <c r="G350" i="14"/>
  <c r="E343" i="14"/>
  <c r="F336" i="14"/>
  <c r="F332" i="14"/>
  <c r="H328" i="14"/>
  <c r="F324" i="14"/>
  <c r="I312" i="14"/>
  <c r="G304" i="14"/>
  <c r="H294" i="14"/>
  <c r="G279" i="14"/>
  <c r="I192" i="14"/>
  <c r="F522" i="14"/>
  <c r="L520" i="14"/>
  <c r="J519" i="14"/>
  <c r="H518" i="14"/>
  <c r="E516" i="14"/>
  <c r="K514" i="14"/>
  <c r="G512" i="14"/>
  <c r="F506" i="14"/>
  <c r="L504" i="14"/>
  <c r="J503" i="14"/>
  <c r="H502" i="14"/>
  <c r="E500" i="14"/>
  <c r="K498" i="14"/>
  <c r="G496" i="14"/>
  <c r="F490" i="14"/>
  <c r="L488" i="14"/>
  <c r="J487" i="14"/>
  <c r="G486" i="14"/>
  <c r="L484" i="14"/>
  <c r="F482" i="14"/>
  <c r="J480" i="14"/>
  <c r="G479" i="14"/>
  <c r="L477" i="14"/>
  <c r="H476" i="14"/>
  <c r="J473" i="14"/>
  <c r="F472" i="14"/>
  <c r="G461" i="14"/>
  <c r="F459" i="14"/>
  <c r="E457" i="14"/>
  <c r="K450" i="14"/>
  <c r="J448" i="14"/>
  <c r="G446" i="14"/>
  <c r="H441" i="14"/>
  <c r="J436" i="14"/>
  <c r="H434" i="14"/>
  <c r="L431" i="14"/>
  <c r="J429" i="14"/>
  <c r="L419" i="14"/>
  <c r="H417" i="14"/>
  <c r="K414" i="14"/>
  <c r="E407" i="14"/>
  <c r="E402" i="14"/>
  <c r="F399" i="14"/>
  <c r="F378" i="14"/>
  <c r="G367" i="14"/>
  <c r="F364" i="14"/>
  <c r="E357" i="14"/>
  <c r="J346" i="14"/>
  <c r="L342" i="14"/>
  <c r="E332" i="14"/>
  <c r="E328" i="14"/>
  <c r="L319" i="14"/>
  <c r="G312" i="14"/>
  <c r="L307" i="14"/>
  <c r="K299" i="14"/>
  <c r="F277" i="14"/>
  <c r="L187" i="14"/>
  <c r="G346" i="14"/>
  <c r="H339" i="14"/>
  <c r="L331" i="14"/>
  <c r="J319" i="14"/>
  <c r="L303" i="14"/>
  <c r="G299" i="14"/>
  <c r="G294" i="14"/>
  <c r="G287" i="14"/>
  <c r="H168" i="14"/>
  <c r="L468" i="14"/>
  <c r="J467" i="14"/>
  <c r="G466" i="14"/>
  <c r="L464" i="14"/>
  <c r="J460" i="14"/>
  <c r="G459" i="14"/>
  <c r="L457" i="14"/>
  <c r="I456" i="14"/>
  <c r="E455" i="14"/>
  <c r="I447" i="14"/>
  <c r="L445" i="14"/>
  <c r="H439" i="14"/>
  <c r="J437" i="14"/>
  <c r="I434" i="14"/>
  <c r="F431" i="14"/>
  <c r="K427" i="14"/>
  <c r="G426" i="14"/>
  <c r="J424" i="14"/>
  <c r="G421" i="14"/>
  <c r="I419" i="14"/>
  <c r="E416" i="14"/>
  <c r="G414" i="14"/>
  <c r="K410" i="14"/>
  <c r="E409" i="14"/>
  <c r="F407" i="14"/>
  <c r="I405" i="14"/>
  <c r="E393" i="14"/>
  <c r="J390" i="14"/>
  <c r="J385" i="14"/>
  <c r="F376" i="14"/>
  <c r="G371" i="14"/>
  <c r="H361" i="14"/>
  <c r="J356" i="14"/>
  <c r="L351" i="14"/>
  <c r="F347" i="14"/>
  <c r="G342" i="14"/>
  <c r="G337" i="14"/>
  <c r="E335" i="14"/>
  <c r="F321" i="14"/>
  <c r="G318" i="14"/>
  <c r="K312" i="14"/>
  <c r="G307" i="14"/>
  <c r="H304" i="14"/>
  <c r="K301" i="14"/>
  <c r="H298" i="14"/>
  <c r="I290" i="14"/>
  <c r="E487" i="14"/>
  <c r="K485" i="14"/>
  <c r="G483" i="14"/>
  <c r="F477" i="14"/>
  <c r="L475" i="14"/>
  <c r="J474" i="14"/>
  <c r="H473" i="14"/>
  <c r="E471" i="14"/>
  <c r="K469" i="14"/>
  <c r="L465" i="14"/>
  <c r="I464" i="14"/>
  <c r="E463" i="14"/>
  <c r="J461" i="14"/>
  <c r="G460" i="14"/>
  <c r="H457" i="14"/>
  <c r="J454" i="14"/>
  <c r="F453" i="14"/>
  <c r="J451" i="14"/>
  <c r="I445" i="14"/>
  <c r="F442" i="14"/>
  <c r="K438" i="14"/>
  <c r="G437" i="14"/>
  <c r="J435" i="14"/>
  <c r="L428" i="14"/>
  <c r="H427" i="14"/>
  <c r="K425" i="14"/>
  <c r="I422" i="14"/>
  <c r="G417" i="14"/>
  <c r="E412" i="14"/>
  <c r="H408" i="14"/>
  <c r="E405" i="14"/>
  <c r="F403" i="14"/>
  <c r="G399" i="14"/>
  <c r="G397" i="14"/>
  <c r="H392" i="14"/>
  <c r="L389" i="14"/>
  <c r="F385" i="14"/>
  <c r="J365" i="14"/>
  <c r="L360" i="14"/>
  <c r="G358" i="14"/>
  <c r="F346" i="14"/>
  <c r="L343" i="14"/>
  <c r="I331" i="14"/>
  <c r="I328" i="14"/>
  <c r="E323" i="14"/>
  <c r="E320" i="14"/>
  <c r="J317" i="14"/>
  <c r="G309" i="14"/>
  <c r="F306" i="14"/>
  <c r="K303" i="14"/>
  <c r="I289" i="14"/>
  <c r="F284" i="14"/>
  <c r="F267" i="14"/>
  <c r="G473" i="14"/>
  <c r="G464" i="14"/>
  <c r="I461" i="14"/>
  <c r="F457" i="14"/>
  <c r="I454" i="14"/>
  <c r="L452" i="14"/>
  <c r="H451" i="14"/>
  <c r="H448" i="14"/>
  <c r="L441" i="14"/>
  <c r="F440" i="14"/>
  <c r="J438" i="14"/>
  <c r="G435" i="14"/>
  <c r="K428" i="14"/>
  <c r="F427" i="14"/>
  <c r="H425" i="14"/>
  <c r="G422" i="14"/>
  <c r="H420" i="14"/>
  <c r="J418" i="14"/>
  <c r="E417" i="14"/>
  <c r="F415" i="14"/>
  <c r="H413" i="14"/>
  <c r="I406" i="14"/>
  <c r="L402" i="14"/>
  <c r="G401" i="14"/>
  <c r="L396" i="14"/>
  <c r="F392" i="14"/>
  <c r="J389" i="14"/>
  <c r="E387" i="14"/>
  <c r="G382" i="14"/>
  <c r="L374" i="14"/>
  <c r="L367" i="14"/>
  <c r="H365" i="14"/>
  <c r="J360" i="14"/>
  <c r="J350" i="14"/>
  <c r="E346" i="14"/>
  <c r="J343" i="14"/>
  <c r="K333" i="14"/>
  <c r="E331" i="14"/>
  <c r="G325" i="14"/>
  <c r="K322" i="14"/>
  <c r="F317" i="14"/>
  <c r="H314" i="14"/>
  <c r="H311" i="14"/>
  <c r="L305" i="14"/>
  <c r="H303" i="14"/>
  <c r="I300" i="14"/>
  <c r="G293" i="14"/>
  <c r="J206" i="14"/>
  <c r="E467" i="14"/>
  <c r="J465" i="14"/>
  <c r="F464" i="14"/>
  <c r="K462" i="14"/>
  <c r="H461" i="14"/>
  <c r="K455" i="14"/>
  <c r="H454" i="14"/>
  <c r="G451" i="14"/>
  <c r="K449" i="14"/>
  <c r="K446" i="14"/>
  <c r="I443" i="14"/>
  <c r="L436" i="14"/>
  <c r="F435" i="14"/>
  <c r="J433" i="14"/>
  <c r="G430" i="14"/>
  <c r="K423" i="14"/>
  <c r="F422" i="14"/>
  <c r="G420" i="14"/>
  <c r="L416" i="14"/>
  <c r="J411" i="14"/>
  <c r="K409" i="14"/>
  <c r="H406" i="14"/>
  <c r="I404" i="14"/>
  <c r="E399" i="14"/>
  <c r="G394" i="14"/>
  <c r="H389" i="14"/>
  <c r="L386" i="14"/>
  <c r="F382" i="14"/>
  <c r="G365" i="14"/>
  <c r="J362" i="14"/>
  <c r="H360" i="14"/>
  <c r="E358" i="14"/>
  <c r="H355" i="14"/>
  <c r="F353" i="14"/>
  <c r="L345" i="14"/>
  <c r="G343" i="14"/>
  <c r="J333" i="14"/>
  <c r="K330" i="14"/>
  <c r="F325" i="14"/>
  <c r="J322" i="14"/>
  <c r="K319" i="14"/>
  <c r="L316" i="14"/>
  <c r="F314" i="14"/>
  <c r="F300" i="14"/>
  <c r="K296" i="14"/>
  <c r="K292" i="14"/>
  <c r="F288" i="14"/>
  <c r="F485" i="14"/>
  <c r="L483" i="14"/>
  <c r="J482" i="14"/>
  <c r="H481" i="14"/>
  <c r="E479" i="14"/>
  <c r="K477" i="14"/>
  <c r="G475" i="14"/>
  <c r="F469" i="14"/>
  <c r="L467" i="14"/>
  <c r="K463" i="14"/>
  <c r="H462" i="14"/>
  <c r="I459" i="14"/>
  <c r="K456" i="14"/>
  <c r="K447" i="14"/>
  <c r="F446" i="14"/>
  <c r="J444" i="14"/>
  <c r="G441" i="14"/>
  <c r="K434" i="14"/>
  <c r="F433" i="14"/>
  <c r="H431" i="14"/>
  <c r="G428" i="14"/>
  <c r="I426" i="14"/>
  <c r="L424" i="14"/>
  <c r="I421" i="14"/>
  <c r="K419" i="14"/>
  <c r="F418" i="14"/>
  <c r="G416" i="14"/>
  <c r="L412" i="14"/>
  <c r="E411" i="14"/>
  <c r="J407" i="14"/>
  <c r="F404" i="14"/>
  <c r="H402" i="14"/>
  <c r="H400" i="14"/>
  <c r="L395" i="14"/>
  <c r="J393" i="14"/>
  <c r="F379" i="14"/>
  <c r="H376" i="14"/>
  <c r="G374" i="14"/>
  <c r="H369" i="14"/>
  <c r="E367" i="14"/>
  <c r="F362" i="14"/>
  <c r="G357" i="14"/>
  <c r="E350" i="14"/>
  <c r="H347" i="14"/>
  <c r="F345" i="14"/>
  <c r="J342" i="14"/>
  <c r="G335" i="14"/>
  <c r="L332" i="14"/>
  <c r="E330" i="14"/>
  <c r="I324" i="14"/>
  <c r="J321" i="14"/>
  <c r="F316" i="14"/>
  <c r="F313" i="14"/>
  <c r="F305" i="14"/>
  <c r="E299" i="14"/>
  <c r="K279" i="14"/>
  <c r="H244" i="14"/>
  <c r="E282" i="14"/>
  <c r="H261" i="14"/>
  <c r="E250" i="14"/>
  <c r="I241" i="14"/>
  <c r="J238" i="14"/>
  <c r="F235" i="14"/>
  <c r="J227" i="14"/>
  <c r="K223" i="14"/>
  <c r="E219" i="14"/>
  <c r="H214" i="14"/>
  <c r="J210" i="14"/>
  <c r="H206" i="14"/>
  <c r="K196" i="14"/>
  <c r="L466" i="14"/>
  <c r="K465" i="14"/>
  <c r="J464" i="14"/>
  <c r="I463" i="14"/>
  <c r="F461" i="14"/>
  <c r="E460" i="14"/>
  <c r="L458" i="14"/>
  <c r="K457" i="14"/>
  <c r="J456" i="14"/>
  <c r="I455" i="14"/>
  <c r="J450" i="14"/>
  <c r="H449" i="14"/>
  <c r="F448" i="14"/>
  <c r="L446" i="14"/>
  <c r="I444" i="14"/>
  <c r="G443" i="14"/>
  <c r="K440" i="14"/>
  <c r="J434" i="14"/>
  <c r="H433" i="14"/>
  <c r="F432" i="14"/>
  <c r="L430" i="14"/>
  <c r="I428" i="14"/>
  <c r="G427" i="14"/>
  <c r="K424" i="14"/>
  <c r="E421" i="14"/>
  <c r="J419" i="14"/>
  <c r="H418" i="14"/>
  <c r="H414" i="14"/>
  <c r="F413" i="14"/>
  <c r="I410" i="14"/>
  <c r="F409" i="14"/>
  <c r="G405" i="14"/>
  <c r="L403" i="14"/>
  <c r="L399" i="14"/>
  <c r="L393" i="14"/>
  <c r="G389" i="14"/>
  <c r="G386" i="14"/>
  <c r="J378" i="14"/>
  <c r="F377" i="14"/>
  <c r="J375" i="14"/>
  <c r="J372" i="14"/>
  <c r="F368" i="14"/>
  <c r="E359" i="14"/>
  <c r="H357" i="14"/>
  <c r="E356" i="14"/>
  <c r="E353" i="14"/>
  <c r="L349" i="14"/>
  <c r="H348" i="14"/>
  <c r="L346" i="14"/>
  <c r="G339" i="14"/>
  <c r="G336" i="14"/>
  <c r="G331" i="14"/>
  <c r="J329" i="14"/>
  <c r="L327" i="14"/>
  <c r="F326" i="14"/>
  <c r="H324" i="14"/>
  <c r="G319" i="14"/>
  <c r="I317" i="14"/>
  <c r="K315" i="14"/>
  <c r="E314" i="14"/>
  <c r="H312" i="14"/>
  <c r="J310" i="14"/>
  <c r="E307" i="14"/>
  <c r="I305" i="14"/>
  <c r="J303" i="14"/>
  <c r="L299" i="14"/>
  <c r="E298" i="14"/>
  <c r="K295" i="14"/>
  <c r="I291" i="14"/>
  <c r="I284" i="14"/>
  <c r="L281" i="14"/>
  <c r="I279" i="14"/>
  <c r="E277" i="14"/>
  <c r="E272" i="14"/>
  <c r="I269" i="14"/>
  <c r="L266" i="14"/>
  <c r="E264" i="14"/>
  <c r="I255" i="14"/>
  <c r="E247" i="14"/>
  <c r="G244" i="14"/>
  <c r="G231" i="14"/>
  <c r="I227" i="14"/>
  <c r="L218" i="14"/>
  <c r="I210" i="14"/>
  <c r="H201" i="14"/>
  <c r="I196" i="14"/>
  <c r="K191" i="14"/>
  <c r="J182" i="14"/>
  <c r="F175" i="14"/>
  <c r="H165" i="14"/>
  <c r="H274" i="14"/>
  <c r="L271" i="14"/>
  <c r="H269" i="14"/>
  <c r="F261" i="14"/>
  <c r="G258" i="14"/>
  <c r="J252" i="14"/>
  <c r="K249" i="14"/>
  <c r="F244" i="14"/>
  <c r="H241" i="14"/>
  <c r="G238" i="14"/>
  <c r="H227" i="14"/>
  <c r="F214" i="14"/>
  <c r="F210" i="14"/>
  <c r="I205" i="14"/>
  <c r="K200" i="14"/>
  <c r="E196" i="14"/>
  <c r="J191" i="14"/>
  <c r="H187" i="14"/>
  <c r="H182" i="14"/>
  <c r="G274" i="14"/>
  <c r="K266" i="14"/>
  <c r="L260" i="14"/>
  <c r="H255" i="14"/>
  <c r="J249" i="14"/>
  <c r="J246" i="14"/>
  <c r="K237" i="14"/>
  <c r="J234" i="14"/>
  <c r="E214" i="14"/>
  <c r="K209" i="14"/>
  <c r="I186" i="14"/>
  <c r="E181" i="14"/>
  <c r="F164" i="14"/>
  <c r="F395" i="14"/>
  <c r="E392" i="14"/>
  <c r="E386" i="14"/>
  <c r="H384" i="14"/>
  <c r="E383" i="14"/>
  <c r="H381" i="14"/>
  <c r="L379" i="14"/>
  <c r="L376" i="14"/>
  <c r="H375" i="14"/>
  <c r="L373" i="14"/>
  <c r="G372" i="14"/>
  <c r="G366" i="14"/>
  <c r="G363" i="14"/>
  <c r="J358" i="14"/>
  <c r="F351" i="14"/>
  <c r="J349" i="14"/>
  <c r="F348" i="14"/>
  <c r="E339" i="14"/>
  <c r="H329" i="14"/>
  <c r="E324" i="14"/>
  <c r="H322" i="14"/>
  <c r="J320" i="14"/>
  <c r="L318" i="14"/>
  <c r="I315" i="14"/>
  <c r="K313" i="14"/>
  <c r="E312" i="14"/>
  <c r="F310" i="14"/>
  <c r="I308" i="14"/>
  <c r="E305" i="14"/>
  <c r="I297" i="14"/>
  <c r="H295" i="14"/>
  <c r="F293" i="14"/>
  <c r="F291" i="14"/>
  <c r="E289" i="14"/>
  <c r="L283" i="14"/>
  <c r="F279" i="14"/>
  <c r="K276" i="14"/>
  <c r="E274" i="14"/>
  <c r="I266" i="14"/>
  <c r="K260" i="14"/>
  <c r="G255" i="14"/>
  <c r="G252" i="14"/>
  <c r="I234" i="14"/>
  <c r="J230" i="14"/>
  <c r="I226" i="14"/>
  <c r="L217" i="14"/>
  <c r="H209" i="14"/>
  <c r="F200" i="14"/>
  <c r="H191" i="14"/>
  <c r="H186" i="14"/>
  <c r="L180" i="14"/>
  <c r="E174" i="14"/>
  <c r="L162" i="14"/>
  <c r="J466" i="14"/>
  <c r="I465" i="14"/>
  <c r="F463" i="14"/>
  <c r="E462" i="14"/>
  <c r="L460" i="14"/>
  <c r="K459" i="14"/>
  <c r="J458" i="14"/>
  <c r="I457" i="14"/>
  <c r="F455" i="14"/>
  <c r="K452" i="14"/>
  <c r="J446" i="14"/>
  <c r="H445" i="14"/>
  <c r="F444" i="14"/>
  <c r="L442" i="14"/>
  <c r="I440" i="14"/>
  <c r="G439" i="14"/>
  <c r="K436" i="14"/>
  <c r="J430" i="14"/>
  <c r="H429" i="14"/>
  <c r="F428" i="14"/>
  <c r="L426" i="14"/>
  <c r="I424" i="14"/>
  <c r="G423" i="14"/>
  <c r="L421" i="14"/>
  <c r="J420" i="14"/>
  <c r="H419" i="14"/>
  <c r="H415" i="14"/>
  <c r="F414" i="14"/>
  <c r="K412" i="14"/>
  <c r="F410" i="14"/>
  <c r="G406" i="14"/>
  <c r="E401" i="14"/>
  <c r="E398" i="14"/>
  <c r="E395" i="14"/>
  <c r="H393" i="14"/>
  <c r="L391" i="14"/>
  <c r="H390" i="14"/>
  <c r="E389" i="14"/>
  <c r="H387" i="14"/>
  <c r="L382" i="14"/>
  <c r="G378" i="14"/>
  <c r="G375" i="14"/>
  <c r="G369" i="14"/>
  <c r="F366" i="14"/>
  <c r="J364" i="14"/>
  <c r="J361" i="14"/>
  <c r="F360" i="14"/>
  <c r="F357" i="14"/>
  <c r="H346" i="14"/>
  <c r="E345" i="14"/>
  <c r="E342" i="14"/>
  <c r="H340" i="14"/>
  <c r="L338" i="14"/>
  <c r="H337" i="14"/>
  <c r="L335" i="14"/>
  <c r="J332" i="14"/>
  <c r="L330" i="14"/>
  <c r="G329" i="14"/>
  <c r="I327" i="14"/>
  <c r="J325" i="14"/>
  <c r="K318" i="14"/>
  <c r="E317" i="14"/>
  <c r="J313" i="14"/>
  <c r="H308" i="14"/>
  <c r="K306" i="14"/>
  <c r="F303" i="14"/>
  <c r="I301" i="14"/>
  <c r="H297" i="14"/>
  <c r="E293" i="14"/>
  <c r="E291" i="14"/>
  <c r="K288" i="14"/>
  <c r="H286" i="14"/>
  <c r="I281" i="14"/>
  <c r="K273" i="14"/>
  <c r="I271" i="14"/>
  <c r="E269" i="14"/>
  <c r="G263" i="14"/>
  <c r="H260" i="14"/>
  <c r="J257" i="14"/>
  <c r="L248" i="14"/>
  <c r="J243" i="14"/>
  <c r="I240" i="14"/>
  <c r="H237" i="14"/>
  <c r="F234" i="14"/>
  <c r="I230" i="14"/>
  <c r="E222" i="14"/>
  <c r="L213" i="14"/>
  <c r="F204" i="14"/>
  <c r="K199" i="14"/>
  <c r="F191" i="14"/>
  <c r="K180" i="14"/>
  <c r="J441" i="14"/>
  <c r="H440" i="14"/>
  <c r="F439" i="14"/>
  <c r="L437" i="14"/>
  <c r="I435" i="14"/>
  <c r="G434" i="14"/>
  <c r="K431" i="14"/>
  <c r="J425" i="14"/>
  <c r="H424" i="14"/>
  <c r="F423" i="14"/>
  <c r="E418" i="14"/>
  <c r="H411" i="14"/>
  <c r="K408" i="14"/>
  <c r="F406" i="14"/>
  <c r="K404" i="14"/>
  <c r="I403" i="14"/>
  <c r="G402" i="14"/>
  <c r="L400" i="14"/>
  <c r="L397" i="14"/>
  <c r="H396" i="14"/>
  <c r="L394" i="14"/>
  <c r="G387" i="14"/>
  <c r="G384" i="14"/>
  <c r="G381" i="14"/>
  <c r="J379" i="14"/>
  <c r="J373" i="14"/>
  <c r="F372" i="14"/>
  <c r="J370" i="14"/>
  <c r="F369" i="14"/>
  <c r="F363" i="14"/>
  <c r="E360" i="14"/>
  <c r="E354" i="14"/>
  <c r="H352" i="14"/>
  <c r="E351" i="14"/>
  <c r="H349" i="14"/>
  <c r="L347" i="14"/>
  <c r="L344" i="14"/>
  <c r="H343" i="14"/>
  <c r="L341" i="14"/>
  <c r="G340" i="14"/>
  <c r="G334" i="14"/>
  <c r="I332" i="14"/>
  <c r="E329" i="14"/>
  <c r="L323" i="14"/>
  <c r="F322" i="14"/>
  <c r="I320" i="14"/>
  <c r="J318" i="14"/>
  <c r="G315" i="14"/>
  <c r="K311" i="14"/>
  <c r="E310" i="14"/>
  <c r="J306" i="14"/>
  <c r="K304" i="14"/>
  <c r="I299" i="14"/>
  <c r="F297" i="14"/>
  <c r="E295" i="14"/>
  <c r="I288" i="14"/>
  <c r="G286" i="14"/>
  <c r="F276" i="14"/>
  <c r="G271" i="14"/>
  <c r="E266" i="14"/>
  <c r="E263" i="14"/>
  <c r="F260" i="14"/>
  <c r="I254" i="14"/>
  <c r="K251" i="14"/>
  <c r="F246" i="14"/>
  <c r="H240" i="14"/>
  <c r="G237" i="14"/>
  <c r="E234" i="14"/>
  <c r="H230" i="14"/>
  <c r="I221" i="14"/>
  <c r="J217" i="14"/>
  <c r="F209" i="14"/>
  <c r="E204" i="14"/>
  <c r="F195" i="14"/>
  <c r="J190" i="14"/>
  <c r="H156" i="14"/>
  <c r="L292" i="14"/>
  <c r="H288" i="14"/>
  <c r="H283" i="14"/>
  <c r="I278" i="14"/>
  <c r="I273" i="14"/>
  <c r="E271" i="14"/>
  <c r="I268" i="14"/>
  <c r="L262" i="14"/>
  <c r="E260" i="14"/>
  <c r="H257" i="14"/>
  <c r="H254" i="14"/>
  <c r="J251" i="14"/>
  <c r="E246" i="14"/>
  <c r="F243" i="14"/>
  <c r="F230" i="14"/>
  <c r="K225" i="14"/>
  <c r="E209" i="14"/>
  <c r="L203" i="14"/>
  <c r="F199" i="14"/>
  <c r="H190" i="14"/>
  <c r="E180" i="14"/>
  <c r="E156" i="14"/>
  <c r="I522" i="14"/>
  <c r="I521" i="14"/>
  <c r="I520" i="14"/>
  <c r="I519" i="14"/>
  <c r="I518" i="14"/>
  <c r="I517" i="14"/>
  <c r="I516" i="14"/>
  <c r="I515" i="14"/>
  <c r="I514" i="14"/>
  <c r="I513" i="14"/>
  <c r="I512" i="14"/>
  <c r="I511" i="14"/>
  <c r="I510" i="14"/>
  <c r="I509" i="14"/>
  <c r="I508" i="14"/>
  <c r="I507" i="14"/>
  <c r="I506" i="14"/>
  <c r="I505" i="14"/>
  <c r="I504" i="14"/>
  <c r="I503" i="14"/>
  <c r="I502" i="14"/>
  <c r="I501" i="14"/>
  <c r="I500" i="14"/>
  <c r="I499" i="14"/>
  <c r="I498" i="14"/>
  <c r="I497" i="14"/>
  <c r="I496" i="14"/>
  <c r="I495" i="14"/>
  <c r="I494" i="14"/>
  <c r="I493" i="14"/>
  <c r="I492" i="14"/>
  <c r="I491" i="14"/>
  <c r="I490" i="14"/>
  <c r="I489" i="14"/>
  <c r="I488" i="14"/>
  <c r="I487" i="14"/>
  <c r="I486" i="14"/>
  <c r="I485" i="14"/>
  <c r="I484" i="14"/>
  <c r="I483" i="14"/>
  <c r="I482" i="14"/>
  <c r="I481" i="14"/>
  <c r="I480" i="14"/>
  <c r="I479" i="14"/>
  <c r="I478" i="14"/>
  <c r="I477" i="14"/>
  <c r="I476" i="14"/>
  <c r="I475" i="14"/>
  <c r="I474" i="14"/>
  <c r="I473" i="14"/>
  <c r="I472" i="14"/>
  <c r="I471" i="14"/>
  <c r="I470" i="14"/>
  <c r="I469" i="14"/>
  <c r="I468" i="14"/>
  <c r="I467" i="14"/>
  <c r="H466" i="14"/>
  <c r="G465" i="14"/>
  <c r="H458" i="14"/>
  <c r="G457" i="14"/>
  <c r="K453" i="14"/>
  <c r="J447" i="14"/>
  <c r="H446" i="14"/>
  <c r="F445" i="14"/>
  <c r="L443" i="14"/>
  <c r="I441" i="14"/>
  <c r="G440" i="14"/>
  <c r="K437" i="14"/>
  <c r="J431" i="14"/>
  <c r="H430" i="14"/>
  <c r="F429" i="14"/>
  <c r="L427" i="14"/>
  <c r="I425" i="14"/>
  <c r="G424" i="14"/>
  <c r="F419" i="14"/>
  <c r="K417" i="14"/>
  <c r="I412" i="14"/>
  <c r="L409" i="14"/>
  <c r="J408" i="14"/>
  <c r="L405" i="14"/>
  <c r="J404" i="14"/>
  <c r="H403" i="14"/>
  <c r="J400" i="14"/>
  <c r="J394" i="14"/>
  <c r="F393" i="14"/>
  <c r="J391" i="14"/>
  <c r="J388" i="14"/>
  <c r="F384" i="14"/>
  <c r="E375" i="14"/>
  <c r="H373" i="14"/>
  <c r="E372" i="14"/>
  <c r="E369" i="14"/>
  <c r="L365" i="14"/>
  <c r="H364" i="14"/>
  <c r="L362" i="14"/>
  <c r="G355" i="14"/>
  <c r="G352" i="14"/>
  <c r="G349" i="14"/>
  <c r="J347" i="14"/>
  <c r="J341" i="14"/>
  <c r="F340" i="14"/>
  <c r="J338" i="14"/>
  <c r="F337" i="14"/>
  <c r="E334" i="14"/>
  <c r="L328" i="14"/>
  <c r="K323" i="14"/>
  <c r="L321" i="14"/>
  <c r="G320" i="14"/>
  <c r="H318" i="14"/>
  <c r="G313" i="14"/>
  <c r="I311" i="14"/>
  <c r="H306" i="14"/>
  <c r="L302" i="14"/>
  <c r="F299" i="14"/>
  <c r="K294" i="14"/>
  <c r="G288" i="14"/>
  <c r="K285" i="14"/>
  <c r="L280" i="14"/>
  <c r="H278" i="14"/>
  <c r="H273" i="14"/>
  <c r="J265" i="14"/>
  <c r="I248" i="14"/>
  <c r="L242" i="14"/>
  <c r="E240" i="14"/>
  <c r="L236" i="14"/>
  <c r="I233" i="14"/>
  <c r="L229" i="14"/>
  <c r="J225" i="14"/>
  <c r="E221" i="14"/>
  <c r="F217" i="14"/>
  <c r="K212" i="14"/>
  <c r="I208" i="14"/>
  <c r="F171" i="14"/>
  <c r="G283" i="14"/>
  <c r="K280" i="14"/>
  <c r="G278" i="14"/>
  <c r="L270" i="14"/>
  <c r="H265" i="14"/>
  <c r="F257" i="14"/>
  <c r="F254" i="14"/>
  <c r="G251" i="14"/>
  <c r="K242" i="14"/>
  <c r="K239" i="14"/>
  <c r="K198" i="14"/>
  <c r="J179" i="14"/>
  <c r="E171" i="14"/>
  <c r="H290" i="14"/>
  <c r="E288" i="14"/>
  <c r="I285" i="14"/>
  <c r="F283" i="14"/>
  <c r="F278" i="14"/>
  <c r="G273" i="14"/>
  <c r="I262" i="14"/>
  <c r="K259" i="14"/>
  <c r="L256" i="14"/>
  <c r="L253" i="14"/>
  <c r="H248" i="14"/>
  <c r="I245" i="14"/>
  <c r="J242" i="14"/>
  <c r="I239" i="14"/>
  <c r="I236" i="14"/>
  <c r="J216" i="14"/>
  <c r="H212" i="14"/>
  <c r="J207" i="14"/>
  <c r="H203" i="14"/>
  <c r="H189" i="14"/>
  <c r="F184" i="14"/>
  <c r="L178" i="14"/>
  <c r="I170" i="14"/>
  <c r="L287" i="14"/>
  <c r="H285" i="14"/>
  <c r="I280" i="14"/>
  <c r="I275" i="14"/>
  <c r="E268" i="14"/>
  <c r="F265" i="14"/>
  <c r="H262" i="14"/>
  <c r="I256" i="14"/>
  <c r="K253" i="14"/>
  <c r="L250" i="14"/>
  <c r="G248" i="14"/>
  <c r="G245" i="14"/>
  <c r="L228" i="14"/>
  <c r="L224" i="14"/>
  <c r="I220" i="14"/>
  <c r="F216" i="14"/>
  <c r="K211" i="14"/>
  <c r="J198" i="14"/>
  <c r="I193" i="14"/>
  <c r="L188" i="14"/>
  <c r="E184" i="14"/>
  <c r="I178" i="14"/>
  <c r="E140" i="14"/>
  <c r="K277" i="14"/>
  <c r="E273" i="14"/>
  <c r="H270" i="14"/>
  <c r="K267" i="14"/>
  <c r="H259" i="14"/>
  <c r="E248" i="14"/>
  <c r="F242" i="14"/>
  <c r="F236" i="14"/>
  <c r="J232" i="14"/>
  <c r="F224" i="14"/>
  <c r="E216" i="14"/>
  <c r="F207" i="14"/>
  <c r="H198" i="14"/>
  <c r="H193" i="14"/>
  <c r="I188" i="14"/>
  <c r="K183" i="14"/>
  <c r="F178" i="14"/>
  <c r="I169" i="14"/>
  <c r="G275" i="14"/>
  <c r="K272" i="14"/>
  <c r="G270" i="14"/>
  <c r="L264" i="14"/>
  <c r="F262" i="14"/>
  <c r="G259" i="14"/>
  <c r="H253" i="14"/>
  <c r="J250" i="14"/>
  <c r="K247" i="14"/>
  <c r="K244" i="14"/>
  <c r="E239" i="14"/>
  <c r="L235" i="14"/>
  <c r="H228" i="14"/>
  <c r="E224" i="14"/>
  <c r="F220" i="14"/>
  <c r="K215" i="14"/>
  <c r="K206" i="14"/>
  <c r="H202" i="14"/>
  <c r="F193" i="14"/>
  <c r="F188" i="14"/>
  <c r="L176" i="14"/>
  <c r="F129" i="14"/>
  <c r="F397" i="14"/>
  <c r="F394" i="14"/>
  <c r="J392" i="14"/>
  <c r="F391" i="14"/>
  <c r="E382" i="14"/>
  <c r="E379" i="14"/>
  <c r="H377" i="14"/>
  <c r="L375" i="14"/>
  <c r="H374" i="14"/>
  <c r="E373" i="14"/>
  <c r="H371" i="14"/>
  <c r="L366" i="14"/>
  <c r="G362" i="14"/>
  <c r="G359" i="14"/>
  <c r="G353" i="14"/>
  <c r="F350" i="14"/>
  <c r="J348" i="14"/>
  <c r="J345" i="14"/>
  <c r="F344" i="14"/>
  <c r="F341" i="14"/>
  <c r="I333" i="14"/>
  <c r="K331" i="14"/>
  <c r="G328" i="14"/>
  <c r="I326" i="14"/>
  <c r="G321" i="14"/>
  <c r="E316" i="14"/>
  <c r="J312" i="14"/>
  <c r="F309" i="14"/>
  <c r="E304" i="14"/>
  <c r="G302" i="14"/>
  <c r="G298" i="14"/>
  <c r="F296" i="14"/>
  <c r="L291" i="14"/>
  <c r="I287" i="14"/>
  <c r="L279" i="14"/>
  <c r="H277" i="14"/>
  <c r="F275" i="14"/>
  <c r="I272" i="14"/>
  <c r="E270" i="14"/>
  <c r="J264" i="14"/>
  <c r="I261" i="14"/>
  <c r="I247" i="14"/>
  <c r="I244" i="14"/>
  <c r="K241" i="14"/>
  <c r="L238" i="14"/>
  <c r="E232" i="14"/>
  <c r="L223" i="14"/>
  <c r="E188" i="14"/>
  <c r="J183" i="14"/>
  <c r="F176" i="14"/>
  <c r="L168" i="14"/>
  <c r="K25" i="14"/>
  <c r="H421" i="14"/>
  <c r="G419" i="14"/>
  <c r="F417" i="14"/>
  <c r="E415" i="14"/>
  <c r="L413" i="14"/>
  <c r="K411" i="14"/>
  <c r="J409" i="14"/>
  <c r="I407" i="14"/>
  <c r="H405" i="14"/>
  <c r="G403" i="14"/>
  <c r="F401" i="14"/>
  <c r="E400" i="14"/>
  <c r="G396" i="14"/>
  <c r="F390" i="14"/>
  <c r="L388" i="14"/>
  <c r="J387" i="14"/>
  <c r="H386" i="14"/>
  <c r="E384" i="14"/>
  <c r="G380" i="14"/>
  <c r="F374" i="14"/>
  <c r="L372" i="14"/>
  <c r="J371" i="14"/>
  <c r="H370" i="14"/>
  <c r="E368" i="14"/>
  <c r="G364" i="14"/>
  <c r="F358" i="14"/>
  <c r="L356" i="14"/>
  <c r="J355" i="14"/>
  <c r="H354" i="14"/>
  <c r="E352" i="14"/>
  <c r="G348" i="14"/>
  <c r="F342" i="14"/>
  <c r="L340" i="14"/>
  <c r="J339" i="14"/>
  <c r="H338" i="14"/>
  <c r="E336" i="14"/>
  <c r="J330" i="14"/>
  <c r="F329" i="14"/>
  <c r="K327" i="14"/>
  <c r="I316" i="14"/>
  <c r="E315" i="14"/>
  <c r="L310" i="14"/>
  <c r="I309" i="14"/>
  <c r="E308" i="14"/>
  <c r="G305" i="14"/>
  <c r="H302" i="14"/>
  <c r="H299" i="14"/>
  <c r="F294" i="14"/>
  <c r="I292" i="14"/>
  <c r="K290" i="14"/>
  <c r="L288" i="14"/>
  <c r="L286" i="14"/>
  <c r="E285" i="14"/>
  <c r="L278" i="14"/>
  <c r="L276" i="14"/>
  <c r="K270" i="14"/>
  <c r="G264" i="14"/>
  <c r="L261" i="14"/>
  <c r="F255" i="14"/>
  <c r="K252" i="14"/>
  <c r="G250" i="14"/>
  <c r="L245" i="14"/>
  <c r="G243" i="14"/>
  <c r="F241" i="14"/>
  <c r="E236" i="14"/>
  <c r="J226" i="14"/>
  <c r="E220" i="14"/>
  <c r="H216" i="14"/>
  <c r="K190" i="14"/>
  <c r="F183" i="14"/>
  <c r="H179" i="14"/>
  <c r="H169" i="14"/>
  <c r="J163" i="14"/>
  <c r="J154" i="14"/>
  <c r="J133" i="14"/>
  <c r="E169" i="14"/>
  <c r="H163" i="14"/>
  <c r="F154" i="14"/>
  <c r="J130" i="14"/>
  <c r="F421" i="14"/>
  <c r="E419" i="14"/>
  <c r="L417" i="14"/>
  <c r="K415" i="14"/>
  <c r="J413" i="14"/>
  <c r="I411" i="14"/>
  <c r="H409" i="14"/>
  <c r="G407" i="14"/>
  <c r="F405" i="14"/>
  <c r="E403" i="14"/>
  <c r="L401" i="14"/>
  <c r="J399" i="14"/>
  <c r="H398" i="14"/>
  <c r="E396" i="14"/>
  <c r="G392" i="14"/>
  <c r="F386" i="14"/>
  <c r="L384" i="14"/>
  <c r="J383" i="14"/>
  <c r="H382" i="14"/>
  <c r="E380" i="14"/>
  <c r="G376" i="14"/>
  <c r="F370" i="14"/>
  <c r="L368" i="14"/>
  <c r="J367" i="14"/>
  <c r="H366" i="14"/>
  <c r="E364" i="14"/>
  <c r="G360" i="14"/>
  <c r="F354" i="14"/>
  <c r="L352" i="14"/>
  <c r="J351" i="14"/>
  <c r="H350" i="14"/>
  <c r="E348" i="14"/>
  <c r="G344" i="14"/>
  <c r="F338" i="14"/>
  <c r="L336" i="14"/>
  <c r="J335" i="14"/>
  <c r="H334" i="14"/>
  <c r="E333" i="14"/>
  <c r="F330" i="14"/>
  <c r="K328" i="14"/>
  <c r="H327" i="14"/>
  <c r="E326" i="14"/>
  <c r="J324" i="14"/>
  <c r="F323" i="14"/>
  <c r="K321" i="14"/>
  <c r="H320" i="14"/>
  <c r="K314" i="14"/>
  <c r="H313" i="14"/>
  <c r="L311" i="14"/>
  <c r="I310" i="14"/>
  <c r="K307" i="14"/>
  <c r="L304" i="14"/>
  <c r="I303" i="14"/>
  <c r="I295" i="14"/>
  <c r="G290" i="14"/>
  <c r="H284" i="14"/>
  <c r="H280" i="14"/>
  <c r="H276" i="14"/>
  <c r="F272" i="14"/>
  <c r="G268" i="14"/>
  <c r="K265" i="14"/>
  <c r="I263" i="14"/>
  <c r="G261" i="14"/>
  <c r="H247" i="14"/>
  <c r="H235" i="14"/>
  <c r="I232" i="14"/>
  <c r="H229" i="14"/>
  <c r="L225" i="14"/>
  <c r="I222" i="14"/>
  <c r="J215" i="14"/>
  <c r="L204" i="14"/>
  <c r="E197" i="14"/>
  <c r="E186" i="14"/>
  <c r="E178" i="14"/>
  <c r="F162" i="14"/>
  <c r="J177" i="14"/>
  <c r="J167" i="14"/>
  <c r="E161" i="14"/>
  <c r="K150" i="14"/>
  <c r="J113" i="14"/>
  <c r="F177" i="14"/>
  <c r="H172" i="14"/>
  <c r="E167" i="14"/>
  <c r="E454" i="14"/>
  <c r="E453" i="14"/>
  <c r="E452" i="14"/>
  <c r="E451" i="14"/>
  <c r="E450" i="14"/>
  <c r="E449" i="14"/>
  <c r="E448" i="14"/>
  <c r="E447" i="14"/>
  <c r="E446" i="14"/>
  <c r="E445" i="14"/>
  <c r="E444" i="14"/>
  <c r="E443" i="14"/>
  <c r="E442" i="14"/>
  <c r="E441" i="14"/>
  <c r="E440" i="14"/>
  <c r="E439" i="14"/>
  <c r="E438" i="14"/>
  <c r="E437" i="14"/>
  <c r="E436" i="14"/>
  <c r="E435" i="14"/>
  <c r="E434" i="14"/>
  <c r="E433" i="14"/>
  <c r="E432" i="14"/>
  <c r="E431" i="14"/>
  <c r="E430" i="14"/>
  <c r="E429" i="14"/>
  <c r="E428" i="14"/>
  <c r="E427" i="14"/>
  <c r="E426" i="14"/>
  <c r="E425" i="14"/>
  <c r="E424" i="14"/>
  <c r="E423" i="14"/>
  <c r="E422" i="14"/>
  <c r="L420" i="14"/>
  <c r="K418" i="14"/>
  <c r="J416" i="14"/>
  <c r="I414" i="14"/>
  <c r="H412" i="14"/>
  <c r="G410" i="14"/>
  <c r="F408" i="14"/>
  <c r="E406" i="14"/>
  <c r="L404" i="14"/>
  <c r="K402" i="14"/>
  <c r="H399" i="14"/>
  <c r="E397" i="14"/>
  <c r="G393" i="14"/>
  <c r="F387" i="14"/>
  <c r="L385" i="14"/>
  <c r="J384" i="14"/>
  <c r="H383" i="14"/>
  <c r="E381" i="14"/>
  <c r="G377" i="14"/>
  <c r="F371" i="14"/>
  <c r="L369" i="14"/>
  <c r="J368" i="14"/>
  <c r="H367" i="14"/>
  <c r="E365" i="14"/>
  <c r="G361" i="14"/>
  <c r="F355" i="14"/>
  <c r="L353" i="14"/>
  <c r="J352" i="14"/>
  <c r="H351" i="14"/>
  <c r="E349" i="14"/>
  <c r="G345" i="14"/>
  <c r="F339" i="14"/>
  <c r="L337" i="14"/>
  <c r="J336" i="14"/>
  <c r="H335" i="14"/>
  <c r="F334" i="14"/>
  <c r="L329" i="14"/>
  <c r="F327" i="14"/>
  <c r="K325" i="14"/>
  <c r="L322" i="14"/>
  <c r="G317" i="14"/>
  <c r="L315" i="14"/>
  <c r="E313" i="14"/>
  <c r="J311" i="14"/>
  <c r="G310" i="14"/>
  <c r="L308" i="14"/>
  <c r="I307" i="14"/>
  <c r="E306" i="14"/>
  <c r="J304" i="14"/>
  <c r="G303" i="14"/>
  <c r="G300" i="14"/>
  <c r="L296" i="14"/>
  <c r="G295" i="14"/>
  <c r="E286" i="14"/>
  <c r="E278" i="14"/>
  <c r="L275" i="14"/>
  <c r="L269" i="14"/>
  <c r="F263" i="14"/>
  <c r="E261" i="14"/>
  <c r="J258" i="14"/>
  <c r="G256" i="14"/>
  <c r="E254" i="14"/>
  <c r="F247" i="14"/>
  <c r="J244" i="14"/>
  <c r="I242" i="14"/>
  <c r="G240" i="14"/>
  <c r="K234" i="14"/>
  <c r="K228" i="14"/>
  <c r="H225" i="14"/>
  <c r="I218" i="14"/>
  <c r="H200" i="14"/>
  <c r="E193" i="14"/>
  <c r="H185" i="14"/>
  <c r="H181" i="14"/>
  <c r="E177" i="14"/>
  <c r="L166" i="14"/>
  <c r="J166" i="14"/>
  <c r="H147" i="14"/>
  <c r="F95" i="14"/>
  <c r="K184" i="14"/>
  <c r="H171" i="14"/>
  <c r="I166" i="14"/>
  <c r="L158" i="14"/>
  <c r="G144" i="14"/>
  <c r="I158" i="14"/>
  <c r="E144" i="14"/>
  <c r="J165" i="14"/>
  <c r="E158" i="14"/>
  <c r="J54" i="14"/>
  <c r="J141" i="14"/>
  <c r="J41" i="14"/>
  <c r="L333" i="14"/>
  <c r="K332" i="14"/>
  <c r="J331" i="14"/>
  <c r="I330" i="14"/>
  <c r="F328" i="14"/>
  <c r="E327" i="14"/>
  <c r="L325" i="14"/>
  <c r="K324" i="14"/>
  <c r="J323" i="14"/>
  <c r="I322" i="14"/>
  <c r="F320" i="14"/>
  <c r="E319" i="14"/>
  <c r="L317" i="14"/>
  <c r="K316" i="14"/>
  <c r="J315" i="14"/>
  <c r="I314" i="14"/>
  <c r="F312" i="14"/>
  <c r="E311" i="14"/>
  <c r="L309" i="14"/>
  <c r="K308" i="14"/>
  <c r="J307" i="14"/>
  <c r="I306" i="14"/>
  <c r="F304" i="14"/>
  <c r="E303" i="14"/>
  <c r="L301" i="14"/>
  <c r="F295" i="14"/>
  <c r="K293" i="14"/>
  <c r="G292" i="14"/>
  <c r="L290" i="14"/>
  <c r="H289" i="14"/>
  <c r="E283" i="14"/>
  <c r="H281" i="14"/>
  <c r="I276" i="14"/>
  <c r="K274" i="14"/>
  <c r="F273" i="14"/>
  <c r="H264" i="14"/>
  <c r="J262" i="14"/>
  <c r="K258" i="14"/>
  <c r="F253" i="14"/>
  <c r="H251" i="14"/>
  <c r="I249" i="14"/>
  <c r="K245" i="14"/>
  <c r="L243" i="14"/>
  <c r="E225" i="14"/>
  <c r="J222" i="14"/>
  <c r="H220" i="14"/>
  <c r="K217" i="14"/>
  <c r="I215" i="14"/>
  <c r="H208" i="14"/>
  <c r="F203" i="14"/>
  <c r="I200" i="14"/>
  <c r="H195" i="14"/>
  <c r="E190" i="14"/>
  <c r="K187" i="14"/>
  <c r="I182" i="14"/>
  <c r="L179" i="14"/>
  <c r="F174" i="14"/>
  <c r="I165" i="14"/>
  <c r="J162" i="14"/>
  <c r="H158" i="14"/>
  <c r="H148" i="14"/>
  <c r="I128" i="14"/>
  <c r="H162" i="14"/>
  <c r="L153" i="14"/>
  <c r="J147" i="14"/>
  <c r="H140" i="14"/>
  <c r="E84" i="14"/>
  <c r="K400" i="14"/>
  <c r="K399" i="14"/>
  <c r="K398" i="14"/>
  <c r="K397" i="14"/>
  <c r="K396" i="14"/>
  <c r="K395" i="14"/>
  <c r="K394" i="14"/>
  <c r="K393" i="14"/>
  <c r="K392" i="14"/>
  <c r="K391" i="14"/>
  <c r="K390" i="14"/>
  <c r="K389" i="14"/>
  <c r="K388" i="14"/>
  <c r="K387" i="14"/>
  <c r="K386" i="14"/>
  <c r="K385" i="14"/>
  <c r="K384" i="14"/>
  <c r="K383" i="14"/>
  <c r="K382" i="14"/>
  <c r="K381" i="14"/>
  <c r="K380" i="14"/>
  <c r="K379" i="14"/>
  <c r="K378" i="14"/>
  <c r="K377" i="14"/>
  <c r="K376" i="14"/>
  <c r="K375" i="14"/>
  <c r="K374" i="14"/>
  <c r="K373" i="14"/>
  <c r="K372" i="14"/>
  <c r="K371" i="14"/>
  <c r="K370" i="14"/>
  <c r="K369" i="14"/>
  <c r="K368" i="14"/>
  <c r="K367" i="14"/>
  <c r="K366" i="14"/>
  <c r="K365" i="14"/>
  <c r="K364" i="14"/>
  <c r="K363" i="14"/>
  <c r="K362" i="14"/>
  <c r="K361" i="14"/>
  <c r="K360" i="14"/>
  <c r="K359" i="14"/>
  <c r="K358" i="14"/>
  <c r="K357" i="14"/>
  <c r="K356" i="14"/>
  <c r="K355" i="14"/>
  <c r="K354" i="14"/>
  <c r="K353" i="14"/>
  <c r="K352" i="14"/>
  <c r="K351" i="14"/>
  <c r="K350" i="14"/>
  <c r="K349" i="14"/>
  <c r="K348" i="14"/>
  <c r="K347" i="14"/>
  <c r="K346" i="14"/>
  <c r="K345" i="14"/>
  <c r="K344" i="14"/>
  <c r="K343" i="14"/>
  <c r="K342" i="14"/>
  <c r="K341" i="14"/>
  <c r="K340" i="14"/>
  <c r="K339" i="14"/>
  <c r="K338" i="14"/>
  <c r="K337" i="14"/>
  <c r="K336" i="14"/>
  <c r="K335" i="14"/>
  <c r="K334" i="14"/>
  <c r="H331" i="14"/>
  <c r="G330" i="14"/>
  <c r="H323" i="14"/>
  <c r="G322" i="14"/>
  <c r="H315" i="14"/>
  <c r="G314" i="14"/>
  <c r="H307" i="14"/>
  <c r="G306" i="14"/>
  <c r="H300" i="14"/>
  <c r="K297" i="14"/>
  <c r="G296" i="14"/>
  <c r="L294" i="14"/>
  <c r="H293" i="14"/>
  <c r="E292" i="14"/>
  <c r="F289" i="14"/>
  <c r="L285" i="14"/>
  <c r="K282" i="14"/>
  <c r="H279" i="14"/>
  <c r="E276" i="14"/>
  <c r="I274" i="14"/>
  <c r="L272" i="14"/>
  <c r="L267" i="14"/>
  <c r="G262" i="14"/>
  <c r="G260" i="14"/>
  <c r="I258" i="14"/>
  <c r="J256" i="14"/>
  <c r="J254" i="14"/>
  <c r="L252" i="14"/>
  <c r="G247" i="14"/>
  <c r="H245" i="14"/>
  <c r="H243" i="14"/>
  <c r="J241" i="14"/>
  <c r="I237" i="14"/>
  <c r="J235" i="14"/>
  <c r="I231" i="14"/>
  <c r="F229" i="14"/>
  <c r="F227" i="14"/>
  <c r="I224" i="14"/>
  <c r="I217" i="14"/>
  <c r="F215" i="14"/>
  <c r="K207" i="14"/>
  <c r="H205" i="14"/>
  <c r="I202" i="14"/>
  <c r="E200" i="14"/>
  <c r="H197" i="14"/>
  <c r="H192" i="14"/>
  <c r="F187" i="14"/>
  <c r="I184" i="14"/>
  <c r="I173" i="14"/>
  <c r="K73" i="14"/>
  <c r="H233" i="14"/>
  <c r="E229" i="14"/>
  <c r="J219" i="14"/>
  <c r="H217" i="14"/>
  <c r="E215" i="14"/>
  <c r="J212" i="14"/>
  <c r="E205" i="14"/>
  <c r="F197" i="14"/>
  <c r="K194" i="14"/>
  <c r="I189" i="14"/>
  <c r="H184" i="14"/>
  <c r="E179" i="14"/>
  <c r="H176" i="14"/>
  <c r="L170" i="14"/>
  <c r="E165" i="14"/>
  <c r="F161" i="14"/>
  <c r="I157" i="14"/>
  <c r="E153" i="14"/>
  <c r="J119" i="14"/>
  <c r="E173" i="14"/>
  <c r="H170" i="14"/>
  <c r="I164" i="14"/>
  <c r="J156" i="14"/>
  <c r="I152" i="14"/>
  <c r="E146" i="14"/>
  <c r="I399" i="14"/>
  <c r="I398" i="14"/>
  <c r="I397" i="14"/>
  <c r="I396" i="14"/>
  <c r="I395" i="14"/>
  <c r="I394" i="14"/>
  <c r="I393" i="14"/>
  <c r="I392" i="14"/>
  <c r="I391" i="14"/>
  <c r="I390" i="14"/>
  <c r="I389" i="14"/>
  <c r="I388" i="14"/>
  <c r="I387" i="14"/>
  <c r="I386" i="14"/>
  <c r="I385" i="14"/>
  <c r="I384" i="14"/>
  <c r="I383" i="14"/>
  <c r="I382" i="14"/>
  <c r="I381" i="14"/>
  <c r="I380" i="14"/>
  <c r="I379" i="14"/>
  <c r="I378" i="14"/>
  <c r="I377" i="14"/>
  <c r="I376" i="14"/>
  <c r="I375" i="14"/>
  <c r="I374" i="14"/>
  <c r="I373" i="14"/>
  <c r="I372" i="14"/>
  <c r="I371" i="14"/>
  <c r="I370" i="14"/>
  <c r="I369" i="14"/>
  <c r="I368" i="14"/>
  <c r="I367" i="14"/>
  <c r="I366" i="14"/>
  <c r="I365" i="14"/>
  <c r="I364" i="14"/>
  <c r="I363" i="14"/>
  <c r="I362" i="14"/>
  <c r="I361" i="14"/>
  <c r="I360" i="14"/>
  <c r="I359" i="14"/>
  <c r="I358" i="14"/>
  <c r="I357" i="14"/>
  <c r="I356" i="14"/>
  <c r="I355" i="14"/>
  <c r="I354" i="14"/>
  <c r="I353" i="14"/>
  <c r="I352" i="14"/>
  <c r="I351" i="14"/>
  <c r="I350" i="14"/>
  <c r="I349" i="14"/>
  <c r="I348" i="14"/>
  <c r="I347" i="14"/>
  <c r="I346" i="14"/>
  <c r="I345" i="14"/>
  <c r="I344" i="14"/>
  <c r="I343" i="14"/>
  <c r="I342" i="14"/>
  <c r="I341" i="14"/>
  <c r="I340" i="14"/>
  <c r="I339" i="14"/>
  <c r="I338" i="14"/>
  <c r="I337" i="14"/>
  <c r="I336" i="14"/>
  <c r="I335" i="14"/>
  <c r="I334" i="14"/>
  <c r="H333" i="14"/>
  <c r="G332" i="14"/>
  <c r="H325" i="14"/>
  <c r="G324" i="14"/>
  <c r="H317" i="14"/>
  <c r="G316" i="14"/>
  <c r="H309" i="14"/>
  <c r="G308" i="14"/>
  <c r="H301" i="14"/>
  <c r="K298" i="14"/>
  <c r="L295" i="14"/>
  <c r="I294" i="14"/>
  <c r="K291" i="14"/>
  <c r="F282" i="14"/>
  <c r="E279" i="14"/>
  <c r="G277" i="14"/>
  <c r="K275" i="14"/>
  <c r="F269" i="14"/>
  <c r="G267" i="14"/>
  <c r="I265" i="14"/>
  <c r="L259" i="14"/>
  <c r="E258" i="14"/>
  <c r="E256" i="14"/>
  <c r="G254" i="14"/>
  <c r="H252" i="14"/>
  <c r="J248" i="14"/>
  <c r="F239" i="14"/>
  <c r="L234" i="14"/>
  <c r="F233" i="14"/>
  <c r="L230" i="14"/>
  <c r="J221" i="14"/>
  <c r="F219" i="14"/>
  <c r="K216" i="14"/>
  <c r="H207" i="14"/>
  <c r="I204" i="14"/>
  <c r="E202" i="14"/>
  <c r="J199" i="14"/>
  <c r="L196" i="14"/>
  <c r="H194" i="14"/>
  <c r="E189" i="14"/>
  <c r="F181" i="14"/>
  <c r="J178" i="14"/>
  <c r="J175" i="14"/>
  <c r="L172" i="14"/>
  <c r="F170" i="14"/>
  <c r="H164" i="14"/>
  <c r="L160" i="14"/>
  <c r="I156" i="14"/>
  <c r="F114" i="14"/>
  <c r="E59" i="14"/>
  <c r="H175" i="14"/>
  <c r="J169" i="14"/>
  <c r="L163" i="14"/>
  <c r="J151" i="14"/>
  <c r="E135" i="14"/>
  <c r="G43" i="14"/>
  <c r="I163" i="14"/>
  <c r="J155" i="14"/>
  <c r="K143" i="14"/>
  <c r="I133" i="14"/>
  <c r="G104" i="14"/>
  <c r="G236" i="14"/>
  <c r="K227" i="14"/>
  <c r="F223" i="14"/>
  <c r="H218" i="14"/>
  <c r="L215" i="14"/>
  <c r="J213" i="14"/>
  <c r="F211" i="14"/>
  <c r="E206" i="14"/>
  <c r="K203" i="14"/>
  <c r="I198" i="14"/>
  <c r="L195" i="14"/>
  <c r="K182" i="14"/>
  <c r="I180" i="14"/>
  <c r="L174" i="14"/>
  <c r="F169" i="14"/>
  <c r="F155" i="14"/>
  <c r="K142" i="14"/>
  <c r="J21" i="14"/>
  <c r="I238" i="14"/>
  <c r="F237" i="14"/>
  <c r="K235" i="14"/>
  <c r="L232" i="14"/>
  <c r="E230" i="14"/>
  <c r="J228" i="14"/>
  <c r="L221" i="14"/>
  <c r="K218" i="14"/>
  <c r="H215" i="14"/>
  <c r="E212" i="14"/>
  <c r="L208" i="14"/>
  <c r="J203" i="14"/>
  <c r="L199" i="14"/>
  <c r="H196" i="14"/>
  <c r="J194" i="14"/>
  <c r="L192" i="14"/>
  <c r="J187" i="14"/>
  <c r="L183" i="14"/>
  <c r="H180" i="14"/>
  <c r="J176" i="14"/>
  <c r="I174" i="14"/>
  <c r="J172" i="14"/>
  <c r="I162" i="14"/>
  <c r="H160" i="14"/>
  <c r="H153" i="14"/>
  <c r="G150" i="14"/>
  <c r="J143" i="14"/>
  <c r="L128" i="14"/>
  <c r="E123" i="14"/>
  <c r="G101" i="14"/>
  <c r="L91" i="14"/>
  <c r="F80" i="14"/>
  <c r="J53" i="14"/>
  <c r="E36" i="14"/>
  <c r="G301" i="14"/>
  <c r="E300" i="14"/>
  <c r="L293" i="14"/>
  <c r="H291" i="14"/>
  <c r="F290" i="14"/>
  <c r="K287" i="14"/>
  <c r="I286" i="14"/>
  <c r="G285" i="14"/>
  <c r="E284" i="14"/>
  <c r="L277" i="14"/>
  <c r="H275" i="14"/>
  <c r="F274" i="14"/>
  <c r="K271" i="14"/>
  <c r="I270" i="14"/>
  <c r="G269" i="14"/>
  <c r="J266" i="14"/>
  <c r="K263" i="14"/>
  <c r="J259" i="14"/>
  <c r="F258" i="14"/>
  <c r="I252" i="14"/>
  <c r="F251" i="14"/>
  <c r="L246" i="14"/>
  <c r="E244" i="14"/>
  <c r="H238" i="14"/>
  <c r="E237" i="14"/>
  <c r="G234" i="14"/>
  <c r="H231" i="14"/>
  <c r="F225" i="14"/>
  <c r="I223" i="14"/>
  <c r="K221" i="14"/>
  <c r="J218" i="14"/>
  <c r="L211" i="14"/>
  <c r="H210" i="14"/>
  <c r="K208" i="14"/>
  <c r="F205" i="14"/>
  <c r="I201" i="14"/>
  <c r="E198" i="14"/>
  <c r="F196" i="14"/>
  <c r="I194" i="14"/>
  <c r="K192" i="14"/>
  <c r="F189" i="14"/>
  <c r="I185" i="14"/>
  <c r="E182" i="14"/>
  <c r="F180" i="14"/>
  <c r="H178" i="14"/>
  <c r="H174" i="14"/>
  <c r="I172" i="14"/>
  <c r="J170" i="14"/>
  <c r="I168" i="14"/>
  <c r="H155" i="14"/>
  <c r="F153" i="14"/>
  <c r="E150" i="14"/>
  <c r="H143" i="14"/>
  <c r="F139" i="14"/>
  <c r="F110" i="14"/>
  <c r="I79" i="14"/>
  <c r="K66" i="14"/>
  <c r="E53" i="14"/>
  <c r="G100" i="14"/>
  <c r="G50" i="14"/>
  <c r="E35" i="14"/>
  <c r="I116" i="14"/>
  <c r="L99" i="14"/>
  <c r="I78" i="14"/>
  <c r="I33" i="14"/>
  <c r="E162" i="14"/>
  <c r="J159" i="14"/>
  <c r="E155" i="14"/>
  <c r="H152" i="14"/>
  <c r="F149" i="14"/>
  <c r="I142" i="14"/>
  <c r="F122" i="14"/>
  <c r="F116" i="14"/>
  <c r="E108" i="14"/>
  <c r="H99" i="14"/>
  <c r="L88" i="14"/>
  <c r="K76" i="14"/>
  <c r="E49" i="14"/>
  <c r="J30" i="14"/>
  <c r="I298" i="14"/>
  <c r="G297" i="14"/>
  <c r="E296" i="14"/>
  <c r="L289" i="14"/>
  <c r="H287" i="14"/>
  <c r="F286" i="14"/>
  <c r="K283" i="14"/>
  <c r="I282" i="14"/>
  <c r="G281" i="14"/>
  <c r="E280" i="14"/>
  <c r="L273" i="14"/>
  <c r="H271" i="14"/>
  <c r="F270" i="14"/>
  <c r="G266" i="14"/>
  <c r="H263" i="14"/>
  <c r="E262" i="14"/>
  <c r="J260" i="14"/>
  <c r="K257" i="14"/>
  <c r="H256" i="14"/>
  <c r="E255" i="14"/>
  <c r="I253" i="14"/>
  <c r="F252" i="14"/>
  <c r="K250" i="14"/>
  <c r="H249" i="14"/>
  <c r="I246" i="14"/>
  <c r="F245" i="14"/>
  <c r="K243" i="14"/>
  <c r="L240" i="14"/>
  <c r="F238" i="14"/>
  <c r="K236" i="14"/>
  <c r="G235" i="14"/>
  <c r="F231" i="14"/>
  <c r="J229" i="14"/>
  <c r="L227" i="14"/>
  <c r="H226" i="14"/>
  <c r="K224" i="14"/>
  <c r="E218" i="14"/>
  <c r="I216" i="14"/>
  <c r="L214" i="14"/>
  <c r="F213" i="14"/>
  <c r="J211" i="14"/>
  <c r="F208" i="14"/>
  <c r="I206" i="14"/>
  <c r="K204" i="14"/>
  <c r="F201" i="14"/>
  <c r="I197" i="14"/>
  <c r="E194" i="14"/>
  <c r="F192" i="14"/>
  <c r="I190" i="14"/>
  <c r="K188" i="14"/>
  <c r="F185" i="14"/>
  <c r="I181" i="14"/>
  <c r="L177" i="14"/>
  <c r="E172" i="14"/>
  <c r="F168" i="14"/>
  <c r="E164" i="14"/>
  <c r="L161" i="14"/>
  <c r="I159" i="14"/>
  <c r="E157" i="14"/>
  <c r="L154" i="14"/>
  <c r="K145" i="14"/>
  <c r="G138" i="14"/>
  <c r="L132" i="14"/>
  <c r="E127" i="14"/>
  <c r="L121" i="14"/>
  <c r="E116" i="14"/>
  <c r="L107" i="14"/>
  <c r="I88" i="14"/>
  <c r="G64" i="14"/>
  <c r="H47" i="14"/>
  <c r="L284" i="14"/>
  <c r="H282" i="14"/>
  <c r="F281" i="14"/>
  <c r="K278" i="14"/>
  <c r="I277" i="14"/>
  <c r="G276" i="14"/>
  <c r="E275" i="14"/>
  <c r="L268" i="14"/>
  <c r="J267" i="14"/>
  <c r="F266" i="14"/>
  <c r="I260" i="14"/>
  <c r="F259" i="14"/>
  <c r="L254" i="14"/>
  <c r="E252" i="14"/>
  <c r="H246" i="14"/>
  <c r="E245" i="14"/>
  <c r="G242" i="14"/>
  <c r="H239" i="14"/>
  <c r="E238" i="14"/>
  <c r="J236" i="14"/>
  <c r="K233" i="14"/>
  <c r="H232" i="14"/>
  <c r="E231" i="14"/>
  <c r="L222" i="14"/>
  <c r="H221" i="14"/>
  <c r="K219" i="14"/>
  <c r="E213" i="14"/>
  <c r="I211" i="14"/>
  <c r="L209" i="14"/>
  <c r="E208" i="14"/>
  <c r="K202" i="14"/>
  <c r="E201" i="14"/>
  <c r="H199" i="14"/>
  <c r="K195" i="14"/>
  <c r="E192" i="14"/>
  <c r="K186" i="14"/>
  <c r="E185" i="14"/>
  <c r="H183" i="14"/>
  <c r="L173" i="14"/>
  <c r="L169" i="14"/>
  <c r="E168" i="14"/>
  <c r="F166" i="14"/>
  <c r="L156" i="14"/>
  <c r="F152" i="14"/>
  <c r="L148" i="14"/>
  <c r="J145" i="14"/>
  <c r="G142" i="14"/>
  <c r="K137" i="14"/>
  <c r="L126" i="14"/>
  <c r="E121" i="14"/>
  <c r="G107" i="14"/>
  <c r="H97" i="14"/>
  <c r="K62" i="14"/>
  <c r="K28" i="14"/>
  <c r="J148" i="14"/>
  <c r="E142" i="14"/>
  <c r="H137" i="14"/>
  <c r="E107" i="14"/>
  <c r="E75" i="14"/>
  <c r="E62" i="14"/>
  <c r="G46" i="14"/>
  <c r="H27" i="14"/>
  <c r="F287" i="14"/>
  <c r="K284" i="14"/>
  <c r="I283" i="14"/>
  <c r="G282" i="14"/>
  <c r="E281" i="14"/>
  <c r="L274" i="14"/>
  <c r="H272" i="14"/>
  <c r="F271" i="14"/>
  <c r="K268" i="14"/>
  <c r="H267" i="14"/>
  <c r="I264" i="14"/>
  <c r="K261" i="14"/>
  <c r="L258" i="14"/>
  <c r="I257" i="14"/>
  <c r="G253" i="14"/>
  <c r="L251" i="14"/>
  <c r="I250" i="14"/>
  <c r="F249" i="14"/>
  <c r="G246" i="14"/>
  <c r="L244" i="14"/>
  <c r="E242" i="14"/>
  <c r="J240" i="14"/>
  <c r="G239" i="14"/>
  <c r="L237" i="14"/>
  <c r="H236" i="14"/>
  <c r="J233" i="14"/>
  <c r="G232" i="14"/>
  <c r="F226" i="14"/>
  <c r="H224" i="14"/>
  <c r="K222" i="14"/>
  <c r="I214" i="14"/>
  <c r="L212" i="14"/>
  <c r="H211" i="14"/>
  <c r="J209" i="14"/>
  <c r="L207" i="14"/>
  <c r="H204" i="14"/>
  <c r="J202" i="14"/>
  <c r="L200" i="14"/>
  <c r="J195" i="14"/>
  <c r="L191" i="14"/>
  <c r="H188" i="14"/>
  <c r="J186" i="14"/>
  <c r="L184" i="14"/>
  <c r="I179" i="14"/>
  <c r="I175" i="14"/>
  <c r="J171" i="14"/>
  <c r="L167" i="14"/>
  <c r="F159" i="14"/>
  <c r="I154" i="14"/>
  <c r="L151" i="14"/>
  <c r="I131" i="14"/>
  <c r="I120" i="14"/>
  <c r="G96" i="14"/>
  <c r="J74" i="14"/>
  <c r="I43" i="14"/>
  <c r="F27" i="14"/>
  <c r="G148" i="14"/>
  <c r="E145" i="14"/>
  <c r="E137" i="14"/>
  <c r="E131" i="14"/>
  <c r="F125" i="14"/>
  <c r="E120" i="14"/>
  <c r="L113" i="14"/>
  <c r="L95" i="14"/>
  <c r="E42" i="14"/>
  <c r="I113" i="14"/>
  <c r="I93" i="14"/>
  <c r="I56" i="14"/>
  <c r="F41" i="14"/>
  <c r="I19" i="14"/>
  <c r="F130" i="14"/>
  <c r="K112" i="14"/>
  <c r="H70" i="14"/>
  <c r="H39" i="14"/>
  <c r="J160" i="14"/>
  <c r="F158" i="14"/>
  <c r="J153" i="14"/>
  <c r="G147" i="14"/>
  <c r="G140" i="14"/>
  <c r="I129" i="14"/>
  <c r="F124" i="14"/>
  <c r="I111" i="14"/>
  <c r="L92" i="14"/>
  <c r="K69" i="14"/>
  <c r="F55" i="14"/>
  <c r="J37" i="14"/>
  <c r="J17" i="14"/>
  <c r="J300" i="14"/>
  <c r="J299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83" i="14"/>
  <c r="J282" i="14"/>
  <c r="J281" i="14"/>
  <c r="J280" i="14"/>
  <c r="J279" i="14"/>
  <c r="J278" i="14"/>
  <c r="J277" i="14"/>
  <c r="J276" i="14"/>
  <c r="J275" i="14"/>
  <c r="J274" i="14"/>
  <c r="J273" i="14"/>
  <c r="J272" i="14"/>
  <c r="J271" i="14"/>
  <c r="J270" i="14"/>
  <c r="J269" i="14"/>
  <c r="J268" i="14"/>
  <c r="I267" i="14"/>
  <c r="H266" i="14"/>
  <c r="G265" i="14"/>
  <c r="F264" i="14"/>
  <c r="I259" i="14"/>
  <c r="H258" i="14"/>
  <c r="G257" i="14"/>
  <c r="F256" i="14"/>
  <c r="I251" i="14"/>
  <c r="H250" i="14"/>
  <c r="G249" i="14"/>
  <c r="F248" i="14"/>
  <c r="I243" i="14"/>
  <c r="H242" i="14"/>
  <c r="G241" i="14"/>
  <c r="F240" i="14"/>
  <c r="I235" i="14"/>
  <c r="H234" i="14"/>
  <c r="G233" i="14"/>
  <c r="F232" i="14"/>
  <c r="K229" i="14"/>
  <c r="I228" i="14"/>
  <c r="E226" i="14"/>
  <c r="J223" i="14"/>
  <c r="H222" i="14"/>
  <c r="F221" i="14"/>
  <c r="L219" i="14"/>
  <c r="K213" i="14"/>
  <c r="I212" i="14"/>
  <c r="E210" i="14"/>
  <c r="I207" i="14"/>
  <c r="F206" i="14"/>
  <c r="I203" i="14"/>
  <c r="F202" i="14"/>
  <c r="I199" i="14"/>
  <c r="F198" i="14"/>
  <c r="I195" i="14"/>
  <c r="F194" i="14"/>
  <c r="I191" i="14"/>
  <c r="F190" i="14"/>
  <c r="I187" i="14"/>
  <c r="F186" i="14"/>
  <c r="I183" i="14"/>
  <c r="F182" i="14"/>
  <c r="I176" i="14"/>
  <c r="E175" i="14"/>
  <c r="J173" i="14"/>
  <c r="F172" i="14"/>
  <c r="H166" i="14"/>
  <c r="L164" i="14"/>
  <c r="I160" i="14"/>
  <c r="E159" i="14"/>
  <c r="J157" i="14"/>
  <c r="F156" i="14"/>
  <c r="I148" i="14"/>
  <c r="L146" i="14"/>
  <c r="F145" i="14"/>
  <c r="I143" i="14"/>
  <c r="I138" i="14"/>
  <c r="L136" i="14"/>
  <c r="J134" i="14"/>
  <c r="J132" i="14"/>
  <c r="E122" i="14"/>
  <c r="L119" i="14"/>
  <c r="L117" i="14"/>
  <c r="J115" i="14"/>
  <c r="G113" i="14"/>
  <c r="L109" i="14"/>
  <c r="G106" i="14"/>
  <c r="F103" i="14"/>
  <c r="G99" i="14"/>
  <c r="K95" i="14"/>
  <c r="J91" i="14"/>
  <c r="K87" i="14"/>
  <c r="K83" i="14"/>
  <c r="I74" i="14"/>
  <c r="J69" i="14"/>
  <c r="G65" i="14"/>
  <c r="G60" i="14"/>
  <c r="G53" i="14"/>
  <c r="G47" i="14"/>
  <c r="I40" i="14"/>
  <c r="F16" i="14"/>
  <c r="K141" i="14"/>
  <c r="I132" i="14"/>
  <c r="F126" i="14"/>
  <c r="E124" i="14"/>
  <c r="J117" i="14"/>
  <c r="I115" i="14"/>
  <c r="K109" i="14"/>
  <c r="E106" i="14"/>
  <c r="I102" i="14"/>
  <c r="F99" i="14"/>
  <c r="I91" i="14"/>
  <c r="J83" i="14"/>
  <c r="K78" i="14"/>
  <c r="F74" i="14"/>
  <c r="H64" i="14"/>
  <c r="F59" i="14"/>
  <c r="F53" i="14"/>
  <c r="E47" i="14"/>
  <c r="J33" i="14"/>
  <c r="E27" i="14"/>
  <c r="H15" i="14"/>
  <c r="K14" i="14"/>
  <c r="H268" i="14"/>
  <c r="E265" i="14"/>
  <c r="L263" i="14"/>
  <c r="K262" i="14"/>
  <c r="J261" i="14"/>
  <c r="E257" i="14"/>
  <c r="L255" i="14"/>
  <c r="K254" i="14"/>
  <c r="J253" i="14"/>
  <c r="E249" i="14"/>
  <c r="L247" i="14"/>
  <c r="K246" i="14"/>
  <c r="J245" i="14"/>
  <c r="E241" i="14"/>
  <c r="L239" i="14"/>
  <c r="K238" i="14"/>
  <c r="J237" i="14"/>
  <c r="E233" i="14"/>
  <c r="L231" i="14"/>
  <c r="K230" i="14"/>
  <c r="I229" i="14"/>
  <c r="E227" i="14"/>
  <c r="J224" i="14"/>
  <c r="H223" i="14"/>
  <c r="F222" i="14"/>
  <c r="L220" i="14"/>
  <c r="K214" i="14"/>
  <c r="I213" i="14"/>
  <c r="E211" i="14"/>
  <c r="J208" i="14"/>
  <c r="L205" i="14"/>
  <c r="J204" i="14"/>
  <c r="L201" i="14"/>
  <c r="J200" i="14"/>
  <c r="L197" i="14"/>
  <c r="J196" i="14"/>
  <c r="L193" i="14"/>
  <c r="J192" i="14"/>
  <c r="L189" i="14"/>
  <c r="J188" i="14"/>
  <c r="L185" i="14"/>
  <c r="J184" i="14"/>
  <c r="L181" i="14"/>
  <c r="J180" i="14"/>
  <c r="F179" i="14"/>
  <c r="H173" i="14"/>
  <c r="L171" i="14"/>
  <c r="I167" i="14"/>
  <c r="E166" i="14"/>
  <c r="J164" i="14"/>
  <c r="F163" i="14"/>
  <c r="H157" i="14"/>
  <c r="L155" i="14"/>
  <c r="I151" i="14"/>
  <c r="I146" i="14"/>
  <c r="L144" i="14"/>
  <c r="F143" i="14"/>
  <c r="I136" i="14"/>
  <c r="F132" i="14"/>
  <c r="E130" i="14"/>
  <c r="E128" i="14"/>
  <c r="L125" i="14"/>
  <c r="I117" i="14"/>
  <c r="J112" i="14"/>
  <c r="G109" i="14"/>
  <c r="L105" i="14"/>
  <c r="F102" i="14"/>
  <c r="H98" i="14"/>
  <c r="K94" i="14"/>
  <c r="F91" i="14"/>
  <c r="G87" i="14"/>
  <c r="I82" i="14"/>
  <c r="H73" i="14"/>
  <c r="F69" i="14"/>
  <c r="F64" i="14"/>
  <c r="F46" i="14"/>
  <c r="G39" i="14"/>
  <c r="I25" i="14"/>
  <c r="J12" i="14"/>
  <c r="E163" i="14"/>
  <c r="J161" i="14"/>
  <c r="F160" i="14"/>
  <c r="H154" i="14"/>
  <c r="L152" i="14"/>
  <c r="H151" i="14"/>
  <c r="K149" i="14"/>
  <c r="H141" i="14"/>
  <c r="K139" i="14"/>
  <c r="F138" i="14"/>
  <c r="F134" i="14"/>
  <c r="L127" i="14"/>
  <c r="J125" i="14"/>
  <c r="J123" i="14"/>
  <c r="I121" i="14"/>
  <c r="F117" i="14"/>
  <c r="F115" i="14"/>
  <c r="I105" i="14"/>
  <c r="E102" i="14"/>
  <c r="J94" i="14"/>
  <c r="J77" i="14"/>
  <c r="K68" i="14"/>
  <c r="J58" i="14"/>
  <c r="G45" i="14"/>
  <c r="I32" i="14"/>
  <c r="F25" i="14"/>
  <c r="K11" i="14"/>
  <c r="F228" i="14"/>
  <c r="L226" i="14"/>
  <c r="K220" i="14"/>
  <c r="I219" i="14"/>
  <c r="E217" i="14"/>
  <c r="J214" i="14"/>
  <c r="H213" i="14"/>
  <c r="F212" i="14"/>
  <c r="L210" i="14"/>
  <c r="E207" i="14"/>
  <c r="K205" i="14"/>
  <c r="E203" i="14"/>
  <c r="K201" i="14"/>
  <c r="E199" i="14"/>
  <c r="K197" i="14"/>
  <c r="E195" i="14"/>
  <c r="K193" i="14"/>
  <c r="E191" i="14"/>
  <c r="K189" i="14"/>
  <c r="E187" i="14"/>
  <c r="K185" i="14"/>
  <c r="E183" i="14"/>
  <c r="K181" i="14"/>
  <c r="I177" i="14"/>
  <c r="E176" i="14"/>
  <c r="J174" i="14"/>
  <c r="F173" i="14"/>
  <c r="H167" i="14"/>
  <c r="L165" i="14"/>
  <c r="I161" i="14"/>
  <c r="E160" i="14"/>
  <c r="J158" i="14"/>
  <c r="F157" i="14"/>
  <c r="J149" i="14"/>
  <c r="E148" i="14"/>
  <c r="G146" i="14"/>
  <c r="J144" i="14"/>
  <c r="J139" i="14"/>
  <c r="E138" i="14"/>
  <c r="E132" i="14"/>
  <c r="L129" i="14"/>
  <c r="I123" i="14"/>
  <c r="E115" i="14"/>
  <c r="G112" i="14"/>
  <c r="K108" i="14"/>
  <c r="G82" i="14"/>
  <c r="I77" i="14"/>
  <c r="G68" i="14"/>
  <c r="E64" i="14"/>
  <c r="E58" i="14"/>
  <c r="I51" i="14"/>
  <c r="E45" i="14"/>
  <c r="F39" i="14"/>
  <c r="K23" i="14"/>
  <c r="F151" i="14"/>
  <c r="L142" i="14"/>
  <c r="I139" i="14"/>
  <c r="E136" i="14"/>
  <c r="J127" i="14"/>
  <c r="I125" i="14"/>
  <c r="F121" i="14"/>
  <c r="H108" i="14"/>
  <c r="J101" i="14"/>
  <c r="K97" i="14"/>
  <c r="F94" i="14"/>
  <c r="H90" i="14"/>
  <c r="I86" i="14"/>
  <c r="I57" i="14"/>
  <c r="K44" i="14"/>
  <c r="K31" i="14"/>
  <c r="H23" i="14"/>
  <c r="G11" i="14"/>
  <c r="F268" i="14"/>
  <c r="E267" i="14"/>
  <c r="L265" i="14"/>
  <c r="K264" i="14"/>
  <c r="J263" i="14"/>
  <c r="E259" i="14"/>
  <c r="L257" i="14"/>
  <c r="K256" i="14"/>
  <c r="J255" i="14"/>
  <c r="E251" i="14"/>
  <c r="L249" i="14"/>
  <c r="K248" i="14"/>
  <c r="J247" i="14"/>
  <c r="E243" i="14"/>
  <c r="L241" i="14"/>
  <c r="K240" i="14"/>
  <c r="J239" i="14"/>
  <c r="E235" i="14"/>
  <c r="L233" i="14"/>
  <c r="K232" i="14"/>
  <c r="J231" i="14"/>
  <c r="K226" i="14"/>
  <c r="I225" i="14"/>
  <c r="E223" i="14"/>
  <c r="J220" i="14"/>
  <c r="H219" i="14"/>
  <c r="F218" i="14"/>
  <c r="L216" i="14"/>
  <c r="K210" i="14"/>
  <c r="I209" i="14"/>
  <c r="L206" i="14"/>
  <c r="J205" i="14"/>
  <c r="L202" i="14"/>
  <c r="J201" i="14"/>
  <c r="L198" i="14"/>
  <c r="J197" i="14"/>
  <c r="L194" i="14"/>
  <c r="J193" i="14"/>
  <c r="L190" i="14"/>
  <c r="J189" i="14"/>
  <c r="L186" i="14"/>
  <c r="J185" i="14"/>
  <c r="L182" i="14"/>
  <c r="J181" i="14"/>
  <c r="H177" i="14"/>
  <c r="L175" i="14"/>
  <c r="I171" i="14"/>
  <c r="E170" i="14"/>
  <c r="J168" i="14"/>
  <c r="F167" i="14"/>
  <c r="H161" i="14"/>
  <c r="L159" i="14"/>
  <c r="I155" i="14"/>
  <c r="E154" i="14"/>
  <c r="J152" i="14"/>
  <c r="H149" i="14"/>
  <c r="K147" i="14"/>
  <c r="F146" i="14"/>
  <c r="I144" i="14"/>
  <c r="F141" i="14"/>
  <c r="H139" i="14"/>
  <c r="L135" i="14"/>
  <c r="L133" i="14"/>
  <c r="J131" i="14"/>
  <c r="E119" i="14"/>
  <c r="L116" i="14"/>
  <c r="K114" i="14"/>
  <c r="L111" i="14"/>
  <c r="I101" i="14"/>
  <c r="J97" i="14"/>
  <c r="L93" i="14"/>
  <c r="F90" i="14"/>
  <c r="J81" i="14"/>
  <c r="H72" i="14"/>
  <c r="G57" i="14"/>
  <c r="J50" i="14"/>
  <c r="K37" i="14"/>
  <c r="H8" i="14"/>
  <c r="L150" i="14"/>
  <c r="I147" i="14"/>
  <c r="L140" i="14"/>
  <c r="G139" i="14"/>
  <c r="J137" i="14"/>
  <c r="J135" i="14"/>
  <c r="L120" i="14"/>
  <c r="J118" i="14"/>
  <c r="J116" i="14"/>
  <c r="I114" i="14"/>
  <c r="G111" i="14"/>
  <c r="H104" i="14"/>
  <c r="H93" i="14"/>
  <c r="I89" i="14"/>
  <c r="H76" i="14"/>
  <c r="I71" i="14"/>
  <c r="J62" i="14"/>
  <c r="G56" i="14"/>
  <c r="F50" i="14"/>
  <c r="J36" i="14"/>
  <c r="J7" i="14"/>
  <c r="K5" i="14"/>
  <c r="J140" i="14"/>
  <c r="F133" i="14"/>
  <c r="F131" i="14"/>
  <c r="L124" i="14"/>
  <c r="J122" i="14"/>
  <c r="E114" i="14"/>
  <c r="E111" i="14"/>
  <c r="E104" i="14"/>
  <c r="H100" i="14"/>
  <c r="L96" i="14"/>
  <c r="F93" i="14"/>
  <c r="G89" i="14"/>
  <c r="E85" i="14"/>
  <c r="G71" i="14"/>
  <c r="I61" i="14"/>
  <c r="E56" i="14"/>
  <c r="F49" i="14"/>
  <c r="H42" i="14"/>
  <c r="G36" i="14"/>
  <c r="G21" i="14"/>
  <c r="K4" i="14"/>
  <c r="F165" i="14"/>
  <c r="H159" i="14"/>
  <c r="L157" i="14"/>
  <c r="I153" i="14"/>
  <c r="E152" i="14"/>
  <c r="I150" i="14"/>
  <c r="F147" i="14"/>
  <c r="H145" i="14"/>
  <c r="L143" i="14"/>
  <c r="I140" i="14"/>
  <c r="L138" i="14"/>
  <c r="F137" i="14"/>
  <c r="J126" i="14"/>
  <c r="I124" i="14"/>
  <c r="I122" i="14"/>
  <c r="F118" i="14"/>
  <c r="K113" i="14"/>
  <c r="G110" i="14"/>
  <c r="F107" i="14"/>
  <c r="H103" i="14"/>
  <c r="I92" i="14"/>
  <c r="K88" i="14"/>
  <c r="E80" i="14"/>
  <c r="I70" i="14"/>
  <c r="E66" i="14"/>
  <c r="F61" i="14"/>
  <c r="E55" i="14"/>
  <c r="G48" i="14"/>
  <c r="K41" i="14"/>
  <c r="J28" i="14"/>
  <c r="H150" i="14"/>
  <c r="G149" i="14"/>
  <c r="F148" i="14"/>
  <c r="E147" i="14"/>
  <c r="L145" i="14"/>
  <c r="K144" i="14"/>
  <c r="H142" i="14"/>
  <c r="G141" i="14"/>
  <c r="F140" i="14"/>
  <c r="E139" i="14"/>
  <c r="L137" i="14"/>
  <c r="J136" i="14"/>
  <c r="F135" i="14"/>
  <c r="L130" i="14"/>
  <c r="I126" i="14"/>
  <c r="E125" i="14"/>
  <c r="J120" i="14"/>
  <c r="F119" i="14"/>
  <c r="L114" i="14"/>
  <c r="F111" i="14"/>
  <c r="G105" i="14"/>
  <c r="G103" i="14"/>
  <c r="G97" i="14"/>
  <c r="L94" i="14"/>
  <c r="J90" i="14"/>
  <c r="J88" i="14"/>
  <c r="H86" i="14"/>
  <c r="G81" i="14"/>
  <c r="J78" i="14"/>
  <c r="F76" i="14"/>
  <c r="E71" i="14"/>
  <c r="E68" i="14"/>
  <c r="J65" i="14"/>
  <c r="H60" i="14"/>
  <c r="G52" i="14"/>
  <c r="G49" i="14"/>
  <c r="H46" i="14"/>
  <c r="H43" i="14"/>
  <c r="E41" i="14"/>
  <c r="G35" i="14"/>
  <c r="E29" i="14"/>
  <c r="J25" i="14"/>
  <c r="K21" i="14"/>
  <c r="I15" i="14"/>
  <c r="F9" i="14"/>
  <c r="I112" i="14"/>
  <c r="J110" i="14"/>
  <c r="J108" i="14"/>
  <c r="K104" i="14"/>
  <c r="E103" i="14"/>
  <c r="L100" i="14"/>
  <c r="L98" i="14"/>
  <c r="K96" i="14"/>
  <c r="I94" i="14"/>
  <c r="G88" i="14"/>
  <c r="E86" i="14"/>
  <c r="I83" i="14"/>
  <c r="I80" i="14"/>
  <c r="G78" i="14"/>
  <c r="K67" i="14"/>
  <c r="I62" i="14"/>
  <c r="F57" i="14"/>
  <c r="I54" i="14"/>
  <c r="K48" i="14"/>
  <c r="H40" i="14"/>
  <c r="I37" i="14"/>
  <c r="J34" i="14"/>
  <c r="I31" i="14"/>
  <c r="G28" i="14"/>
  <c r="K24" i="14"/>
  <c r="E21" i="14"/>
  <c r="G151" i="14"/>
  <c r="F150" i="14"/>
  <c r="E149" i="14"/>
  <c r="L147" i="14"/>
  <c r="K146" i="14"/>
  <c r="H144" i="14"/>
  <c r="G143" i="14"/>
  <c r="F142" i="14"/>
  <c r="E141" i="14"/>
  <c r="L139" i="14"/>
  <c r="K138" i="14"/>
  <c r="L134" i="14"/>
  <c r="I130" i="14"/>
  <c r="E129" i="14"/>
  <c r="J124" i="14"/>
  <c r="F123" i="14"/>
  <c r="L118" i="14"/>
  <c r="I110" i="14"/>
  <c r="I108" i="14"/>
  <c r="J106" i="14"/>
  <c r="J104" i="14"/>
  <c r="J100" i="14"/>
  <c r="K98" i="14"/>
  <c r="H92" i="14"/>
  <c r="G90" i="14"/>
  <c r="K85" i="14"/>
  <c r="H80" i="14"/>
  <c r="F78" i="14"/>
  <c r="F70" i="14"/>
  <c r="J67" i="14"/>
  <c r="F65" i="14"/>
  <c r="E57" i="14"/>
  <c r="F54" i="14"/>
  <c r="G51" i="14"/>
  <c r="J48" i="14"/>
  <c r="J45" i="14"/>
  <c r="F43" i="14"/>
  <c r="I34" i="14"/>
  <c r="H31" i="14"/>
  <c r="E28" i="14"/>
  <c r="H20" i="14"/>
  <c r="K13" i="14"/>
  <c r="G7" i="14"/>
  <c r="G230" i="14"/>
  <c r="G229" i="14"/>
  <c r="G228" i="14"/>
  <c r="G227" i="14"/>
  <c r="G226" i="14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4" i="14"/>
  <c r="G163" i="14"/>
  <c r="G162" i="14"/>
  <c r="G161" i="14"/>
  <c r="G160" i="14"/>
  <c r="G159" i="14"/>
  <c r="G158" i="14"/>
  <c r="G157" i="14"/>
  <c r="G156" i="14"/>
  <c r="G155" i="14"/>
  <c r="G154" i="14"/>
  <c r="G153" i="14"/>
  <c r="G152" i="14"/>
  <c r="J146" i="14"/>
  <c r="I145" i="14"/>
  <c r="J138" i="14"/>
  <c r="I137" i="14"/>
  <c r="F136" i="14"/>
  <c r="L131" i="14"/>
  <c r="I127" i="14"/>
  <c r="E126" i="14"/>
  <c r="J121" i="14"/>
  <c r="F120" i="14"/>
  <c r="L115" i="14"/>
  <c r="G114" i="14"/>
  <c r="H112" i="14"/>
  <c r="I106" i="14"/>
  <c r="I104" i="14"/>
  <c r="J102" i="14"/>
  <c r="I100" i="14"/>
  <c r="J98" i="14"/>
  <c r="H94" i="14"/>
  <c r="F88" i="14"/>
  <c r="J85" i="14"/>
  <c r="G80" i="14"/>
  <c r="K77" i="14"/>
  <c r="F75" i="14"/>
  <c r="K72" i="14"/>
  <c r="E70" i="14"/>
  <c r="I67" i="14"/>
  <c r="K64" i="14"/>
  <c r="G62" i="14"/>
  <c r="J59" i="14"/>
  <c r="K56" i="14"/>
  <c r="H48" i="14"/>
  <c r="I45" i="14"/>
  <c r="K39" i="14"/>
  <c r="G37" i="14"/>
  <c r="F34" i="14"/>
  <c r="K27" i="14"/>
  <c r="G20" i="14"/>
  <c r="H13" i="14"/>
  <c r="F62" i="14"/>
  <c r="G59" i="14"/>
  <c r="J56" i="14"/>
  <c r="E54" i="14"/>
  <c r="F51" i="14"/>
  <c r="I42" i="14"/>
  <c r="I39" i="14"/>
  <c r="F37" i="14"/>
  <c r="E34" i="14"/>
  <c r="G31" i="14"/>
  <c r="I27" i="14"/>
  <c r="E24" i="14"/>
  <c r="K19" i="14"/>
  <c r="G6" i="14"/>
  <c r="E151" i="14"/>
  <c r="L149" i="14"/>
  <c r="K148" i="14"/>
  <c r="H146" i="14"/>
  <c r="G145" i="14"/>
  <c r="F144" i="14"/>
  <c r="E143" i="14"/>
  <c r="L141" i="14"/>
  <c r="K140" i="14"/>
  <c r="H138" i="14"/>
  <c r="G137" i="14"/>
  <c r="I134" i="14"/>
  <c r="E133" i="14"/>
  <c r="J128" i="14"/>
  <c r="F127" i="14"/>
  <c r="L122" i="14"/>
  <c r="I118" i="14"/>
  <c r="E117" i="14"/>
  <c r="E112" i="14"/>
  <c r="E110" i="14"/>
  <c r="G108" i="14"/>
  <c r="F106" i="14"/>
  <c r="G102" i="14"/>
  <c r="G98" i="14"/>
  <c r="F96" i="14"/>
  <c r="K91" i="14"/>
  <c r="J89" i="14"/>
  <c r="H87" i="14"/>
  <c r="H82" i="14"/>
  <c r="J61" i="14"/>
  <c r="E51" i="14"/>
  <c r="K47" i="14"/>
  <c r="F45" i="14"/>
  <c r="G42" i="14"/>
  <c r="I36" i="14"/>
  <c r="K33" i="14"/>
  <c r="E31" i="14"/>
  <c r="I23" i="14"/>
  <c r="F19" i="14"/>
  <c r="H5" i="14"/>
  <c r="H111" i="14"/>
  <c r="J109" i="14"/>
  <c r="I107" i="14"/>
  <c r="K105" i="14"/>
  <c r="L103" i="14"/>
  <c r="L101" i="14"/>
  <c r="K99" i="14"/>
  <c r="I97" i="14"/>
  <c r="H91" i="14"/>
  <c r="F89" i="14"/>
  <c r="F87" i="14"/>
  <c r="H84" i="14"/>
  <c r="E82" i="14"/>
  <c r="I76" i="14"/>
  <c r="H71" i="14"/>
  <c r="G66" i="14"/>
  <c r="I58" i="14"/>
  <c r="H55" i="14"/>
  <c r="K52" i="14"/>
  <c r="H44" i="14"/>
  <c r="I41" i="14"/>
  <c r="J38" i="14"/>
  <c r="K35" i="14"/>
  <c r="G33" i="14"/>
  <c r="K29" i="14"/>
  <c r="F26" i="14"/>
  <c r="G22" i="14"/>
  <c r="I17" i="14"/>
  <c r="H3" i="14"/>
  <c r="K179" i="14"/>
  <c r="K178" i="14"/>
  <c r="K177" i="14"/>
  <c r="K176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K155" i="14"/>
  <c r="K154" i="14"/>
  <c r="K153" i="14"/>
  <c r="K152" i="14"/>
  <c r="K151" i="14"/>
  <c r="J150" i="14"/>
  <c r="I149" i="14"/>
  <c r="J142" i="14"/>
  <c r="I141" i="14"/>
  <c r="I135" i="14"/>
  <c r="E134" i="14"/>
  <c r="J129" i="14"/>
  <c r="F128" i="14"/>
  <c r="L123" i="14"/>
  <c r="I119" i="14"/>
  <c r="E118" i="14"/>
  <c r="I109" i="14"/>
  <c r="H107" i="14"/>
  <c r="J105" i="14"/>
  <c r="I103" i="14"/>
  <c r="K101" i="14"/>
  <c r="J99" i="14"/>
  <c r="H95" i="14"/>
  <c r="G93" i="14"/>
  <c r="F84" i="14"/>
  <c r="E79" i="14"/>
  <c r="E74" i="14"/>
  <c r="K60" i="14"/>
  <c r="H58" i="14"/>
  <c r="G55" i="14"/>
  <c r="J52" i="14"/>
  <c r="K49" i="14"/>
  <c r="F47" i="14"/>
  <c r="I38" i="14"/>
  <c r="I35" i="14"/>
  <c r="K32" i="14"/>
  <c r="J29" i="14"/>
  <c r="E26" i="14"/>
  <c r="G3" i="14"/>
  <c r="I60" i="14"/>
  <c r="I52" i="14"/>
  <c r="I49" i="14"/>
  <c r="E44" i="14"/>
  <c r="G41" i="14"/>
  <c r="H38" i="14"/>
  <c r="H35" i="14"/>
  <c r="J32" i="14"/>
  <c r="I29" i="14"/>
  <c r="E22" i="14"/>
  <c r="G16" i="14"/>
  <c r="I9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L110" i="14"/>
  <c r="L106" i="14"/>
  <c r="L102" i="14"/>
  <c r="F100" i="14"/>
  <c r="I98" i="14"/>
  <c r="J95" i="14"/>
  <c r="G94" i="14"/>
  <c r="K92" i="14"/>
  <c r="L89" i="14"/>
  <c r="H88" i="14"/>
  <c r="L86" i="14"/>
  <c r="F85" i="14"/>
  <c r="E78" i="14"/>
  <c r="G76" i="14"/>
  <c r="H74" i="14"/>
  <c r="J72" i="14"/>
  <c r="G67" i="14"/>
  <c r="H65" i="14"/>
  <c r="G58" i="14"/>
  <c r="H56" i="14"/>
  <c r="H54" i="14"/>
  <c r="I50" i="14"/>
  <c r="I48" i="14"/>
  <c r="J46" i="14"/>
  <c r="J44" i="14"/>
  <c r="E43" i="14"/>
  <c r="K40" i="14"/>
  <c r="E37" i="14"/>
  <c r="F35" i="14"/>
  <c r="F33" i="14"/>
  <c r="G29" i="14"/>
  <c r="G27" i="14"/>
  <c r="I21" i="14"/>
  <c r="H19" i="14"/>
  <c r="G15" i="14"/>
  <c r="G13" i="14"/>
  <c r="F11" i="14"/>
  <c r="J4" i="14"/>
  <c r="J114" i="14"/>
  <c r="H113" i="14"/>
  <c r="F112" i="14"/>
  <c r="K110" i="14"/>
  <c r="H109" i="14"/>
  <c r="F108" i="14"/>
  <c r="K106" i="14"/>
  <c r="H105" i="14"/>
  <c r="F104" i="14"/>
  <c r="K102" i="14"/>
  <c r="H101" i="14"/>
  <c r="F97" i="14"/>
  <c r="I95" i="14"/>
  <c r="J92" i="14"/>
  <c r="G91" i="14"/>
  <c r="K89" i="14"/>
  <c r="G83" i="14"/>
  <c r="H81" i="14"/>
  <c r="G74" i="14"/>
  <c r="I72" i="14"/>
  <c r="K70" i="14"/>
  <c r="E69" i="14"/>
  <c r="I63" i="14"/>
  <c r="K61" i="14"/>
  <c r="F60" i="14"/>
  <c r="F58" i="14"/>
  <c r="G54" i="14"/>
  <c r="H52" i="14"/>
  <c r="H50" i="14"/>
  <c r="I46" i="14"/>
  <c r="I44" i="14"/>
  <c r="J42" i="14"/>
  <c r="J40" i="14"/>
  <c r="E39" i="14"/>
  <c r="K36" i="14"/>
  <c r="E33" i="14"/>
  <c r="F31" i="14"/>
  <c r="F29" i="14"/>
  <c r="G25" i="14"/>
  <c r="G23" i="14"/>
  <c r="H17" i="14"/>
  <c r="F15" i="14"/>
  <c r="J6" i="14"/>
  <c r="I4" i="14"/>
  <c r="G19" i="14"/>
  <c r="F13" i="14"/>
  <c r="J10" i="14"/>
  <c r="K8" i="14"/>
  <c r="E25" i="14"/>
  <c r="F23" i="14"/>
  <c r="F21" i="14"/>
  <c r="F17" i="14"/>
  <c r="K12" i="14"/>
  <c r="I10" i="14"/>
  <c r="J8" i="14"/>
  <c r="H4" i="14"/>
  <c r="H114" i="14"/>
  <c r="F113" i="14"/>
  <c r="K111" i="14"/>
  <c r="H110" i="14"/>
  <c r="F109" i="14"/>
  <c r="K107" i="14"/>
  <c r="H106" i="14"/>
  <c r="F105" i="14"/>
  <c r="K103" i="14"/>
  <c r="H102" i="14"/>
  <c r="F101" i="14"/>
  <c r="I99" i="14"/>
  <c r="J96" i="14"/>
  <c r="G95" i="14"/>
  <c r="K93" i="14"/>
  <c r="L90" i="14"/>
  <c r="H89" i="14"/>
  <c r="K84" i="14"/>
  <c r="K82" i="14"/>
  <c r="F81" i="14"/>
  <c r="J75" i="14"/>
  <c r="F72" i="14"/>
  <c r="G70" i="14"/>
  <c r="J66" i="14"/>
  <c r="H61" i="14"/>
  <c r="K57" i="14"/>
  <c r="K55" i="14"/>
  <c r="E52" i="14"/>
  <c r="E50" i="14"/>
  <c r="G44" i="14"/>
  <c r="F42" i="14"/>
  <c r="G38" i="14"/>
  <c r="H36" i="14"/>
  <c r="H34" i="14"/>
  <c r="I30" i="14"/>
  <c r="I28" i="14"/>
  <c r="J26" i="14"/>
  <c r="J24" i="14"/>
  <c r="E23" i="14"/>
  <c r="K20" i="14"/>
  <c r="J16" i="14"/>
  <c r="J14" i="14"/>
  <c r="H10" i="14"/>
  <c r="F4" i="14"/>
  <c r="H136" i="14"/>
  <c r="H135" i="14"/>
  <c r="H134" i="14"/>
  <c r="H133" i="14"/>
  <c r="H132" i="14"/>
  <c r="H131" i="14"/>
  <c r="H130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E113" i="14"/>
  <c r="J111" i="14"/>
  <c r="E109" i="14"/>
  <c r="J107" i="14"/>
  <c r="E105" i="14"/>
  <c r="J103" i="14"/>
  <c r="F98" i="14"/>
  <c r="I96" i="14"/>
  <c r="J93" i="14"/>
  <c r="G92" i="14"/>
  <c r="K90" i="14"/>
  <c r="L87" i="14"/>
  <c r="G86" i="14"/>
  <c r="J82" i="14"/>
  <c r="H77" i="14"/>
  <c r="E72" i="14"/>
  <c r="H68" i="14"/>
  <c r="I66" i="14"/>
  <c r="E63" i="14"/>
  <c r="J57" i="14"/>
  <c r="I55" i="14"/>
  <c r="K53" i="14"/>
  <c r="K51" i="14"/>
  <c r="E48" i="14"/>
  <c r="E46" i="14"/>
  <c r="G40" i="14"/>
  <c r="F38" i="14"/>
  <c r="G34" i="14"/>
  <c r="H32" i="14"/>
  <c r="H30" i="14"/>
  <c r="I26" i="14"/>
  <c r="I24" i="14"/>
  <c r="J22" i="14"/>
  <c r="J20" i="14"/>
  <c r="I14" i="14"/>
  <c r="F6" i="14"/>
  <c r="G30" i="14"/>
  <c r="H28" i="14"/>
  <c r="H26" i="14"/>
  <c r="I22" i="14"/>
  <c r="I20" i="14"/>
  <c r="I18" i="14"/>
  <c r="H16" i="14"/>
  <c r="G10" i="14"/>
  <c r="K3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L112" i="14"/>
  <c r="L108" i="14"/>
  <c r="L104" i="14"/>
  <c r="K100" i="14"/>
  <c r="L97" i="14"/>
  <c r="H96" i="14"/>
  <c r="F92" i="14"/>
  <c r="I90" i="14"/>
  <c r="J87" i="14"/>
  <c r="F86" i="14"/>
  <c r="G84" i="14"/>
  <c r="K80" i="14"/>
  <c r="F77" i="14"/>
  <c r="G75" i="14"/>
  <c r="J73" i="14"/>
  <c r="J71" i="14"/>
  <c r="F68" i="14"/>
  <c r="H66" i="14"/>
  <c r="I64" i="14"/>
  <c r="I53" i="14"/>
  <c r="H51" i="14"/>
  <c r="J49" i="14"/>
  <c r="I47" i="14"/>
  <c r="K45" i="14"/>
  <c r="K43" i="14"/>
  <c r="E40" i="14"/>
  <c r="E38" i="14"/>
  <c r="G32" i="14"/>
  <c r="F30" i="14"/>
  <c r="G26" i="14"/>
  <c r="H24" i="14"/>
  <c r="H22" i="14"/>
  <c r="G14" i="14"/>
  <c r="F12" i="14"/>
  <c r="K7" i="14"/>
  <c r="I3" i="14"/>
  <c r="E32" i="14"/>
  <c r="E30" i="14"/>
  <c r="G24" i="14"/>
  <c r="F22" i="14"/>
  <c r="K9" i="14"/>
  <c r="I7" i="14"/>
  <c r="I13" i="14"/>
  <c r="J11" i="14"/>
  <c r="H9" i="14"/>
  <c r="H7" i="14"/>
  <c r="G5" i="14"/>
  <c r="E20" i="14"/>
  <c r="K17" i="14"/>
  <c r="J15" i="14"/>
  <c r="I11" i="14"/>
  <c r="G9" i="14"/>
  <c r="F5" i="14"/>
  <c r="F3" i="14"/>
  <c r="E87" i="14"/>
  <c r="J84" i="14"/>
  <c r="H83" i="14"/>
  <c r="E81" i="14"/>
  <c r="K79" i="14"/>
  <c r="G77" i="14"/>
  <c r="I73" i="14"/>
  <c r="F71" i="14"/>
  <c r="J68" i="14"/>
  <c r="H67" i="14"/>
  <c r="E65" i="14"/>
  <c r="K63" i="14"/>
  <c r="G61" i="14"/>
  <c r="K18" i="14"/>
  <c r="H14" i="14"/>
  <c r="F10" i="14"/>
  <c r="I8" i="14"/>
  <c r="J5" i="14"/>
  <c r="G4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I84" i="14"/>
  <c r="F82" i="14"/>
  <c r="J79" i="14"/>
  <c r="H78" i="14"/>
  <c r="E76" i="14"/>
  <c r="K74" i="14"/>
  <c r="G72" i="14"/>
  <c r="I68" i="14"/>
  <c r="F66" i="14"/>
  <c r="J63" i="14"/>
  <c r="H62" i="14"/>
  <c r="E60" i="14"/>
  <c r="K58" i="14"/>
  <c r="H57" i="14"/>
  <c r="F56" i="14"/>
  <c r="K54" i="14"/>
  <c r="H53" i="14"/>
  <c r="F52" i="14"/>
  <c r="K50" i="14"/>
  <c r="H49" i="14"/>
  <c r="F48" i="14"/>
  <c r="K46" i="14"/>
  <c r="H45" i="14"/>
  <c r="F44" i="14"/>
  <c r="K42" i="14"/>
  <c r="H41" i="14"/>
  <c r="F40" i="14"/>
  <c r="K38" i="14"/>
  <c r="H37" i="14"/>
  <c r="F36" i="14"/>
  <c r="K34" i="14"/>
  <c r="H33" i="14"/>
  <c r="F32" i="14"/>
  <c r="K30" i="14"/>
  <c r="H29" i="14"/>
  <c r="F28" i="14"/>
  <c r="K26" i="14"/>
  <c r="H25" i="14"/>
  <c r="F24" i="14"/>
  <c r="K22" i="14"/>
  <c r="H21" i="14"/>
  <c r="F20" i="14"/>
  <c r="J18" i="14"/>
  <c r="G17" i="14"/>
  <c r="K15" i="14"/>
  <c r="H11" i="14"/>
  <c r="F7" i="14"/>
  <c r="I5" i="14"/>
  <c r="K86" i="14"/>
  <c r="I85" i="14"/>
  <c r="F83" i="14"/>
  <c r="J80" i="14"/>
  <c r="H79" i="14"/>
  <c r="E77" i="14"/>
  <c r="K75" i="14"/>
  <c r="G73" i="14"/>
  <c r="I69" i="14"/>
  <c r="F67" i="14"/>
  <c r="J64" i="14"/>
  <c r="H63" i="14"/>
  <c r="E61" i="14"/>
  <c r="K59" i="14"/>
  <c r="H18" i="14"/>
  <c r="F14" i="14"/>
  <c r="I12" i="14"/>
  <c r="J9" i="14"/>
  <c r="G8" i="14"/>
  <c r="K6" i="14"/>
  <c r="J86" i="14"/>
  <c r="H85" i="14"/>
  <c r="E83" i="14"/>
  <c r="K81" i="14"/>
  <c r="G79" i="14"/>
  <c r="I75" i="14"/>
  <c r="F73" i="14"/>
  <c r="J70" i="14"/>
  <c r="H69" i="14"/>
  <c r="E67" i="14"/>
  <c r="K65" i="14"/>
  <c r="G63" i="14"/>
  <c r="I59" i="14"/>
  <c r="J55" i="14"/>
  <c r="J51" i="14"/>
  <c r="J47" i="14"/>
  <c r="J43" i="14"/>
  <c r="J39" i="14"/>
  <c r="J35" i="14"/>
  <c r="J31" i="14"/>
  <c r="J27" i="14"/>
  <c r="J23" i="14"/>
  <c r="J19" i="14"/>
  <c r="G18" i="14"/>
  <c r="K16" i="14"/>
  <c r="H12" i="14"/>
  <c r="F8" i="14"/>
  <c r="I6" i="14"/>
  <c r="J3" i="14"/>
  <c r="I87" i="14"/>
  <c r="G85" i="14"/>
  <c r="I81" i="14"/>
  <c r="F79" i="14"/>
  <c r="J76" i="14"/>
  <c r="H75" i="14"/>
  <c r="E73" i="14"/>
  <c r="K71" i="14"/>
  <c r="G69" i="14"/>
  <c r="I65" i="14"/>
  <c r="F63" i="14"/>
  <c r="J60" i="14"/>
  <c r="H59" i="14"/>
  <c r="F18" i="14"/>
  <c r="I16" i="14"/>
  <c r="J13" i="14"/>
  <c r="G12" i="14"/>
  <c r="K10" i="14"/>
  <c r="H6" i="14"/>
  <c r="L85" i="14"/>
  <c r="L84" i="14"/>
  <c r="L83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D622" i="14"/>
  <c r="D616" i="14"/>
  <c r="D588" i="14"/>
  <c r="D531" i="14"/>
  <c r="D521" i="14"/>
  <c r="D625" i="14"/>
  <c r="D578" i="14"/>
  <c r="D612" i="14"/>
  <c r="D580" i="14"/>
  <c r="D568" i="14"/>
  <c r="D596" i="14"/>
  <c r="D621" i="14"/>
  <c r="D608" i="14"/>
  <c r="D602" i="14"/>
  <c r="D630" i="14"/>
  <c r="D548" i="14"/>
  <c r="D557" i="14"/>
  <c r="D554" i="14"/>
  <c r="D613" i="14"/>
  <c r="D628" i="14"/>
  <c r="D541" i="14"/>
  <c r="D631" i="14"/>
  <c r="D626" i="14"/>
  <c r="D617" i="14"/>
  <c r="D605" i="14"/>
  <c r="D600" i="14"/>
  <c r="D589" i="14"/>
  <c r="D508" i="14"/>
  <c r="D540" i="14"/>
  <c r="D632" i="14"/>
  <c r="D623" i="14"/>
  <c r="D618" i="14"/>
  <c r="D609" i="14"/>
  <c r="D567" i="14"/>
  <c r="D478" i="14"/>
  <c r="D627" i="14"/>
  <c r="D619" i="14"/>
  <c r="D614" i="14"/>
  <c r="D592" i="14"/>
  <c r="D528" i="14"/>
  <c r="D624" i="14"/>
  <c r="D471" i="14"/>
  <c r="D615" i="14"/>
  <c r="D610" i="14"/>
  <c r="D601" i="14"/>
  <c r="D590" i="14"/>
  <c r="D468" i="14"/>
  <c r="D607" i="14"/>
  <c r="D606" i="14"/>
  <c r="D620" i="14"/>
  <c r="D576" i="14"/>
  <c r="D629" i="14"/>
  <c r="D611" i="14"/>
  <c r="D599" i="14"/>
  <c r="D555" i="14"/>
  <c r="D516" i="14"/>
  <c r="D597" i="14"/>
  <c r="D586" i="14"/>
  <c r="D575" i="14"/>
  <c r="D537" i="14"/>
  <c r="D529" i="14"/>
  <c r="D525" i="14"/>
  <c r="D509" i="14"/>
  <c r="D457" i="14"/>
  <c r="D445" i="14"/>
  <c r="D604" i="14"/>
  <c r="D595" i="14"/>
  <c r="D585" i="14"/>
  <c r="D574" i="14"/>
  <c r="D550" i="14"/>
  <c r="D542" i="14"/>
  <c r="D522" i="14"/>
  <c r="D504" i="14"/>
  <c r="D489" i="14"/>
  <c r="D584" i="14"/>
  <c r="D551" i="14"/>
  <c r="D546" i="14"/>
  <c r="D530" i="14"/>
  <c r="D510" i="14"/>
  <c r="D428" i="14"/>
  <c r="D603" i="14"/>
  <c r="D594" i="14"/>
  <c r="D583" i="14"/>
  <c r="D573" i="14"/>
  <c r="D526" i="14"/>
  <c r="D518" i="14"/>
  <c r="D514" i="14"/>
  <c r="D462" i="14"/>
  <c r="D444" i="14"/>
  <c r="D572" i="14"/>
  <c r="D459" i="14"/>
  <c r="D427" i="14"/>
  <c r="D593" i="14"/>
  <c r="D582" i="14"/>
  <c r="D571" i="14"/>
  <c r="D543" i="14"/>
  <c r="D477" i="14"/>
  <c r="D511" i="14"/>
  <c r="D591" i="14"/>
  <c r="D581" i="14"/>
  <c r="D570" i="14"/>
  <c r="D553" i="14"/>
  <c r="D539" i="14"/>
  <c r="D527" i="14"/>
  <c r="D519" i="14"/>
  <c r="D507" i="14"/>
  <c r="D495" i="14"/>
  <c r="D461" i="14"/>
  <c r="D579" i="14"/>
  <c r="D569" i="14"/>
  <c r="D532" i="14"/>
  <c r="D443" i="14"/>
  <c r="D425" i="14"/>
  <c r="D520" i="14"/>
  <c r="D439" i="14"/>
  <c r="D503" i="14"/>
  <c r="D339" i="14"/>
  <c r="D566" i="14"/>
  <c r="D565" i="14"/>
  <c r="D564" i="14"/>
  <c r="D563" i="14"/>
  <c r="D559" i="14"/>
  <c r="D558" i="14"/>
  <c r="D463" i="14"/>
  <c r="D455" i="14"/>
  <c r="D442" i="14"/>
  <c r="D598" i="14"/>
  <c r="D587" i="14"/>
  <c r="D577" i="14"/>
  <c r="D562" i="14"/>
  <c r="D561" i="14"/>
  <c r="D560" i="14"/>
  <c r="D533" i="14"/>
  <c r="D547" i="14"/>
  <c r="D536" i="14"/>
  <c r="D515" i="14"/>
  <c r="D496" i="14"/>
  <c r="D491" i="14"/>
  <c r="D472" i="14"/>
  <c r="D467" i="14"/>
  <c r="D426" i="14"/>
  <c r="D397" i="14"/>
  <c r="D414" i="14"/>
  <c r="D556" i="14"/>
  <c r="D552" i="14"/>
  <c r="D535" i="14"/>
  <c r="D524" i="14"/>
  <c r="D488" i="14"/>
  <c r="D482" i="14"/>
  <c r="D460" i="14"/>
  <c r="D419" i="14"/>
  <c r="D406" i="14"/>
  <c r="D396" i="14"/>
  <c r="D545" i="14"/>
  <c r="D534" i="14"/>
  <c r="D513" i="14"/>
  <c r="D479" i="14"/>
  <c r="D436" i="14"/>
  <c r="D431" i="14"/>
  <c r="D410" i="14"/>
  <c r="D544" i="14"/>
  <c r="D523" i="14"/>
  <c r="D512" i="14"/>
  <c r="D500" i="14"/>
  <c r="D499" i="14"/>
  <c r="D458" i="14"/>
  <c r="D441" i="14"/>
  <c r="D473" i="14"/>
  <c r="D446" i="14"/>
  <c r="D429" i="14"/>
  <c r="D390" i="14"/>
  <c r="D451" i="14"/>
  <c r="D368" i="14"/>
  <c r="D365" i="14"/>
  <c r="D420" i="14"/>
  <c r="D415" i="14"/>
  <c r="D403" i="14"/>
  <c r="D430" i="14"/>
  <c r="D413" i="14"/>
  <c r="D405" i="14"/>
  <c r="D435" i="14"/>
  <c r="D549" i="14"/>
  <c r="D538" i="14"/>
  <c r="D517" i="14"/>
  <c r="D487" i="14"/>
  <c r="D484" i="14"/>
  <c r="D452" i="14"/>
  <c r="D447" i="14"/>
  <c r="D423" i="14"/>
  <c r="D506" i="14"/>
  <c r="D502" i="14"/>
  <c r="D498" i="14"/>
  <c r="D494" i="14"/>
  <c r="D475" i="14"/>
  <c r="D466" i="14"/>
  <c r="D465" i="14"/>
  <c r="D450" i="14"/>
  <c r="D449" i="14"/>
  <c r="D434" i="14"/>
  <c r="D433" i="14"/>
  <c r="D418" i="14"/>
  <c r="D417" i="14"/>
  <c r="D485" i="14"/>
  <c r="D474" i="14"/>
  <c r="D409" i="14"/>
  <c r="D505" i="14"/>
  <c r="D501" i="14"/>
  <c r="D497" i="14"/>
  <c r="D493" i="14"/>
  <c r="D483" i="14"/>
  <c r="D470" i="14"/>
  <c r="D469" i="14"/>
  <c r="D454" i="14"/>
  <c r="D453" i="14"/>
  <c r="D438" i="14"/>
  <c r="D437" i="14"/>
  <c r="D422" i="14"/>
  <c r="D421" i="14"/>
  <c r="D399" i="14"/>
  <c r="D492" i="14"/>
  <c r="D481" i="14"/>
  <c r="D456" i="14"/>
  <c r="D440" i="14"/>
  <c r="D424" i="14"/>
  <c r="D411" i="14"/>
  <c r="D401" i="14"/>
  <c r="D395" i="14"/>
  <c r="D490" i="14"/>
  <c r="D480" i="14"/>
  <c r="D412" i="14"/>
  <c r="D407" i="14"/>
  <c r="D486" i="14"/>
  <c r="D476" i="14"/>
  <c r="D464" i="14"/>
  <c r="D448" i="14"/>
  <c r="D432" i="14"/>
  <c r="D416" i="14"/>
  <c r="D408" i="14"/>
  <c r="D404" i="14"/>
  <c r="D400" i="14"/>
  <c r="D394" i="14"/>
  <c r="D363" i="14"/>
  <c r="D306" i="14"/>
  <c r="D261" i="14"/>
  <c r="D253" i="14"/>
  <c r="D297" i="14"/>
  <c r="D375" i="14"/>
  <c r="D369" i="14"/>
  <c r="D343" i="14"/>
  <c r="D336" i="14"/>
  <c r="D323" i="14"/>
  <c r="D398" i="14"/>
  <c r="D376" i="14"/>
  <c r="D361" i="14"/>
  <c r="D383" i="14"/>
  <c r="D377" i="14"/>
  <c r="D232" i="14"/>
  <c r="D385" i="14"/>
  <c r="D384" i="14"/>
  <c r="D351" i="14"/>
  <c r="D347" i="14"/>
  <c r="D312" i="14"/>
  <c r="D290" i="14"/>
  <c r="D366" i="14"/>
  <c r="D364" i="14"/>
  <c r="D296" i="14"/>
  <c r="D402" i="14"/>
  <c r="D386" i="14"/>
  <c r="D340" i="14"/>
  <c r="D295" i="14"/>
  <c r="D389" i="14"/>
  <c r="D388" i="14"/>
  <c r="D387" i="14"/>
  <c r="D371" i="14"/>
  <c r="D342" i="14"/>
  <c r="D322" i="14"/>
  <c r="D281" i="14"/>
  <c r="D372" i="14"/>
  <c r="D362" i="14"/>
  <c r="D311" i="14"/>
  <c r="D379" i="14"/>
  <c r="D373" i="14"/>
  <c r="D367" i="14"/>
  <c r="D314" i="14"/>
  <c r="D380" i="14"/>
  <c r="D393" i="14"/>
  <c r="D392" i="14"/>
  <c r="D391" i="14"/>
  <c r="D381" i="14"/>
  <c r="D346" i="14"/>
  <c r="D344" i="14"/>
  <c r="D329" i="14"/>
  <c r="D288" i="14"/>
  <c r="D280" i="14"/>
  <c r="D262" i="14"/>
  <c r="D341" i="14"/>
  <c r="D358" i="14"/>
  <c r="D173" i="14"/>
  <c r="D382" i="14"/>
  <c r="D378" i="14"/>
  <c r="D374" i="14"/>
  <c r="D370" i="14"/>
  <c r="D360" i="14"/>
  <c r="D359" i="14"/>
  <c r="D283" i="14"/>
  <c r="D354" i="14"/>
  <c r="D330" i="14"/>
  <c r="D310" i="14"/>
  <c r="D308" i="14"/>
  <c r="D355" i="14"/>
  <c r="D350" i="14"/>
  <c r="D321" i="14"/>
  <c r="D338" i="14"/>
  <c r="D337" i="14"/>
  <c r="D324" i="14"/>
  <c r="D309" i="14"/>
  <c r="D303" i="14"/>
  <c r="D242" i="14"/>
  <c r="D237" i="14"/>
  <c r="D357" i="14"/>
  <c r="D353" i="14"/>
  <c r="D349" i="14"/>
  <c r="D345" i="14"/>
  <c r="D325" i="14"/>
  <c r="D268" i="14"/>
  <c r="D113" i="14"/>
  <c r="D335" i="14"/>
  <c r="D327" i="14"/>
  <c r="D326" i="14"/>
  <c r="D319" i="14"/>
  <c r="D289" i="14"/>
  <c r="D279" i="14"/>
  <c r="D247" i="14"/>
  <c r="D334" i="14"/>
  <c r="D333" i="14"/>
  <c r="D332" i="14"/>
  <c r="D331" i="14"/>
  <c r="D328" i="14"/>
  <c r="D284" i="14"/>
  <c r="D258" i="14"/>
  <c r="D356" i="14"/>
  <c r="D352" i="14"/>
  <c r="D348" i="14"/>
  <c r="D320" i="14"/>
  <c r="D241" i="14"/>
  <c r="D318" i="14"/>
  <c r="D307" i="14"/>
  <c r="D317" i="14"/>
  <c r="D287" i="14"/>
  <c r="D316" i="14"/>
  <c r="D305" i="14"/>
  <c r="D277" i="14"/>
  <c r="D267" i="14"/>
  <c r="D265" i="14"/>
  <c r="D162" i="14"/>
  <c r="D315" i="14"/>
  <c r="D299" i="14"/>
  <c r="D250" i="14"/>
  <c r="D223" i="14"/>
  <c r="D216" i="14"/>
  <c r="D304" i="14"/>
  <c r="D300" i="14"/>
  <c r="D285" i="14"/>
  <c r="D252" i="14"/>
  <c r="D133" i="14"/>
  <c r="D313" i="14"/>
  <c r="D301" i="14"/>
  <c r="D294" i="14"/>
  <c r="D256" i="14"/>
  <c r="D239" i="14"/>
  <c r="D269" i="14"/>
  <c r="D226" i="14"/>
  <c r="D197" i="14"/>
  <c r="D272" i="14"/>
  <c r="D271" i="14"/>
  <c r="D263" i="14"/>
  <c r="D218" i="14"/>
  <c r="D302" i="14"/>
  <c r="D293" i="14"/>
  <c r="D273" i="14"/>
  <c r="D255" i="14"/>
  <c r="D243" i="14"/>
  <c r="D238" i="14"/>
  <c r="D140" i="14"/>
  <c r="D292" i="14"/>
  <c r="D233" i="14"/>
  <c r="D97" i="14"/>
  <c r="D291" i="14"/>
  <c r="D276" i="14"/>
  <c r="D275" i="14"/>
  <c r="D264" i="14"/>
  <c r="D230" i="14"/>
  <c r="D164" i="14"/>
  <c r="D298" i="14"/>
  <c r="D266" i="14"/>
  <c r="D246" i="14"/>
  <c r="D204" i="14"/>
  <c r="D249" i="14"/>
  <c r="D217" i="14"/>
  <c r="D158" i="14"/>
  <c r="D286" i="14"/>
  <c r="D282" i="14"/>
  <c r="D278" i="14"/>
  <c r="D274" i="14"/>
  <c r="D270" i="14"/>
  <c r="D229" i="14"/>
  <c r="D227" i="14"/>
  <c r="D260" i="14"/>
  <c r="D259" i="14"/>
  <c r="D257" i="14"/>
  <c r="D254" i="14"/>
  <c r="D251" i="14"/>
  <c r="D245" i="14"/>
  <c r="D222" i="14"/>
  <c r="D215" i="14"/>
  <c r="D231" i="14"/>
  <c r="D211" i="14"/>
  <c r="D225" i="14"/>
  <c r="D248" i="14"/>
  <c r="D244" i="14"/>
  <c r="D240" i="14"/>
  <c r="D236" i="14"/>
  <c r="D224" i="14"/>
  <c r="D209" i="14"/>
  <c r="D207" i="14"/>
  <c r="D69" i="14"/>
  <c r="D235" i="14"/>
  <c r="D109" i="14"/>
  <c r="D149" i="14"/>
  <c r="D234" i="14"/>
  <c r="D228" i="14"/>
  <c r="D191" i="14"/>
  <c r="D171" i="14"/>
  <c r="D101" i="14"/>
  <c r="D180" i="14"/>
  <c r="D214" i="14"/>
  <c r="D151" i="14"/>
  <c r="D72" i="14"/>
  <c r="D47" i="14"/>
  <c r="D221" i="14"/>
  <c r="D163" i="14"/>
  <c r="D128" i="14"/>
  <c r="D213" i="14"/>
  <c r="D212" i="14"/>
  <c r="D139" i="14"/>
  <c r="D220" i="14"/>
  <c r="D208" i="14"/>
  <c r="D141" i="14"/>
  <c r="D205" i="14"/>
  <c r="D203" i="14"/>
  <c r="D200" i="14"/>
  <c r="D189" i="14"/>
  <c r="D186" i="14"/>
  <c r="D181" i="14"/>
  <c r="D179" i="14"/>
  <c r="D177" i="14"/>
  <c r="D170" i="14"/>
  <c r="D138" i="14"/>
  <c r="D135" i="14"/>
  <c r="D43" i="14"/>
  <c r="D219" i="14"/>
  <c r="D201" i="14"/>
  <c r="D199" i="14"/>
  <c r="D196" i="14"/>
  <c r="D195" i="14"/>
  <c r="D154" i="14"/>
  <c r="D143" i="14"/>
  <c r="D193" i="14"/>
  <c r="D182" i="14"/>
  <c r="D152" i="14"/>
  <c r="D188" i="14"/>
  <c r="D183" i="14"/>
  <c r="D167" i="14"/>
  <c r="D161" i="14"/>
  <c r="D137" i="14"/>
  <c r="D132" i="14"/>
  <c r="D85" i="14"/>
  <c r="D40" i="14"/>
  <c r="D185" i="14"/>
  <c r="D184" i="14"/>
  <c r="D157" i="14"/>
  <c r="D66" i="14"/>
  <c r="D192" i="14"/>
  <c r="D187" i="14"/>
  <c r="D176" i="14"/>
  <c r="D88" i="14"/>
  <c r="D26" i="14"/>
  <c r="D24" i="14"/>
  <c r="D5" i="14"/>
  <c r="D210" i="14"/>
  <c r="D206" i="14"/>
  <c r="D202" i="14"/>
  <c r="D198" i="14"/>
  <c r="D194" i="14"/>
  <c r="D190" i="14"/>
  <c r="D147" i="14"/>
  <c r="D121" i="14"/>
  <c r="D90" i="14"/>
  <c r="D175" i="14"/>
  <c r="D169" i="14"/>
  <c r="D80" i="14"/>
  <c r="D57" i="14"/>
  <c r="D160" i="14"/>
  <c r="D159" i="14"/>
  <c r="D91" i="14"/>
  <c r="D86" i="14"/>
  <c r="D174" i="14"/>
  <c r="D168" i="14"/>
  <c r="D156" i="14"/>
  <c r="D155" i="14"/>
  <c r="D153" i="14"/>
  <c r="D146" i="14"/>
  <c r="D134" i="14"/>
  <c r="D93" i="14"/>
  <c r="D64" i="14"/>
  <c r="D27" i="14"/>
  <c r="D178" i="14"/>
  <c r="D172" i="14"/>
  <c r="D166" i="14"/>
  <c r="D82" i="14"/>
  <c r="D35" i="14"/>
  <c r="D145" i="14"/>
  <c r="D117" i="14"/>
  <c r="D92" i="14"/>
  <c r="D89" i="14"/>
  <c r="D51" i="14"/>
  <c r="D150" i="14"/>
  <c r="D144" i="14"/>
  <c r="D87" i="14"/>
  <c r="D63" i="14"/>
  <c r="D58" i="14"/>
  <c r="D41" i="14"/>
  <c r="D70" i="14"/>
  <c r="D11" i="14"/>
  <c r="D148" i="14"/>
  <c r="D130" i="14"/>
  <c r="D125" i="14"/>
  <c r="D105" i="14"/>
  <c r="D165" i="14"/>
  <c r="D142" i="14"/>
  <c r="D136" i="14"/>
  <c r="D129" i="14"/>
  <c r="D124" i="14"/>
  <c r="D120" i="14"/>
  <c r="D116" i="14"/>
  <c r="D112" i="14"/>
  <c r="D108" i="14"/>
  <c r="D104" i="14"/>
  <c r="D100" i="14"/>
  <c r="D96" i="14"/>
  <c r="D74" i="14"/>
  <c r="D34" i="14"/>
  <c r="D28" i="14"/>
  <c r="D13" i="14"/>
  <c r="D37" i="14"/>
  <c r="D78" i="14"/>
  <c r="D48" i="14"/>
  <c r="D131" i="14"/>
  <c r="D127" i="14"/>
  <c r="D123" i="14"/>
  <c r="D119" i="14"/>
  <c r="D115" i="14"/>
  <c r="D111" i="14"/>
  <c r="D107" i="14"/>
  <c r="D103" i="14"/>
  <c r="D99" i="14"/>
  <c r="D95" i="14"/>
  <c r="D60" i="14"/>
  <c r="D54" i="14"/>
  <c r="D45" i="14"/>
  <c r="D25" i="14"/>
  <c r="D126" i="14"/>
  <c r="D122" i="14"/>
  <c r="D118" i="14"/>
  <c r="D114" i="14"/>
  <c r="D110" i="14"/>
  <c r="D106" i="14"/>
  <c r="D102" i="14"/>
  <c r="D98" i="14"/>
  <c r="D94" i="14"/>
  <c r="D83" i="14"/>
  <c r="D76" i="14"/>
  <c r="D29" i="14"/>
  <c r="D84" i="14"/>
  <c r="D52" i="14"/>
  <c r="D46" i="14"/>
  <c r="D68" i="14"/>
  <c r="D39" i="14"/>
  <c r="D33" i="14"/>
  <c r="D31" i="14"/>
  <c r="D30" i="14"/>
  <c r="D15" i="14"/>
  <c r="D14" i="14"/>
  <c r="D6" i="14"/>
  <c r="D81" i="14"/>
  <c r="D77" i="14"/>
  <c r="D73" i="14"/>
  <c r="D62" i="14"/>
  <c r="D56" i="14"/>
  <c r="D32" i="14"/>
  <c r="D7" i="14"/>
  <c r="D50" i="14"/>
  <c r="D44" i="14"/>
  <c r="D17" i="14"/>
  <c r="D16" i="14"/>
  <c r="D67" i="14"/>
  <c r="D61" i="14"/>
  <c r="D38" i="14"/>
  <c r="D55" i="14"/>
  <c r="D49" i="14"/>
  <c r="D19" i="14"/>
  <c r="D18" i="14"/>
  <c r="D21" i="14"/>
  <c r="D20" i="14"/>
  <c r="D9" i="14"/>
  <c r="D71" i="14"/>
  <c r="D65" i="14"/>
  <c r="D42" i="14"/>
  <c r="D36" i="14"/>
  <c r="D23" i="14"/>
  <c r="D22" i="14"/>
  <c r="D79" i="14"/>
  <c r="D75" i="14"/>
  <c r="D59" i="14"/>
  <c r="D53" i="14"/>
  <c r="D10" i="14"/>
  <c r="D12" i="14"/>
  <c r="D8" i="14"/>
  <c r="D4" i="14"/>
  <c r="D3" i="14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282" i="13"/>
  <c r="O283" i="13"/>
  <c r="O284" i="13"/>
  <c r="O285" i="13"/>
  <c r="O286" i="13"/>
  <c r="O287" i="13"/>
  <c r="O288" i="13"/>
  <c r="O289" i="13"/>
  <c r="O290" i="13"/>
  <c r="O291" i="13"/>
  <c r="O292" i="13"/>
  <c r="O293" i="13"/>
  <c r="O294" i="13"/>
  <c r="O295" i="13"/>
  <c r="O296" i="13"/>
  <c r="O297" i="13"/>
  <c r="O298" i="13"/>
  <c r="O299" i="13"/>
  <c r="O300" i="13"/>
  <c r="O301" i="13"/>
  <c r="O302" i="13"/>
  <c r="O2" i="13"/>
  <c r="M21" i="13" l="1"/>
  <c r="N21" i="13"/>
  <c r="M22" i="13"/>
  <c r="N22" i="13"/>
  <c r="M23" i="13"/>
  <c r="N23" i="13"/>
  <c r="M24" i="13"/>
  <c r="N24" i="13"/>
  <c r="M25" i="13"/>
  <c r="N25" i="13"/>
  <c r="M26" i="13"/>
  <c r="N26" i="13"/>
  <c r="M27" i="13"/>
  <c r="N27" i="13"/>
  <c r="M28" i="13"/>
  <c r="N28" i="13"/>
  <c r="M29" i="13"/>
  <c r="N29" i="13"/>
  <c r="M30" i="13"/>
  <c r="N30" i="13"/>
  <c r="M31" i="13"/>
  <c r="N31" i="13"/>
  <c r="M32" i="13"/>
  <c r="N32" i="13"/>
  <c r="M33" i="13"/>
  <c r="N33" i="13"/>
  <c r="M34" i="13"/>
  <c r="N34" i="13"/>
  <c r="M35" i="13"/>
  <c r="N35" i="13"/>
  <c r="M36" i="13"/>
  <c r="N36" i="13"/>
  <c r="M37" i="13"/>
  <c r="N37" i="13"/>
  <c r="M38" i="13"/>
  <c r="N38" i="13"/>
  <c r="M39" i="13"/>
  <c r="N39" i="13"/>
  <c r="M40" i="13"/>
  <c r="N40" i="13"/>
  <c r="M41" i="13"/>
  <c r="N41" i="13"/>
  <c r="M42" i="13"/>
  <c r="N42" i="13"/>
  <c r="M43" i="13"/>
  <c r="N43" i="13"/>
  <c r="M44" i="13"/>
  <c r="N44" i="13"/>
  <c r="M45" i="13"/>
  <c r="N45" i="13"/>
  <c r="M46" i="13"/>
  <c r="N46" i="13"/>
  <c r="M47" i="13"/>
  <c r="N47" i="13"/>
  <c r="M48" i="13"/>
  <c r="N48" i="13"/>
  <c r="M49" i="13"/>
  <c r="N49" i="13"/>
  <c r="M50" i="13"/>
  <c r="N50" i="13"/>
  <c r="M51" i="13"/>
  <c r="N51" i="13"/>
  <c r="M52" i="13"/>
  <c r="N52" i="13"/>
  <c r="M53" i="13"/>
  <c r="N53" i="13"/>
  <c r="M54" i="13"/>
  <c r="N54" i="13"/>
  <c r="M55" i="13"/>
  <c r="N55" i="13"/>
  <c r="M56" i="13"/>
  <c r="N56" i="13"/>
  <c r="M57" i="13"/>
  <c r="N57" i="13"/>
  <c r="M58" i="13"/>
  <c r="N58" i="13"/>
  <c r="M59" i="13"/>
  <c r="N59" i="13"/>
  <c r="M60" i="13"/>
  <c r="N60" i="13"/>
  <c r="M61" i="13"/>
  <c r="N61" i="13"/>
  <c r="M62" i="13"/>
  <c r="N62" i="13"/>
  <c r="M63" i="13"/>
  <c r="N63" i="13"/>
  <c r="M64" i="13"/>
  <c r="N64" i="13"/>
  <c r="M65" i="13"/>
  <c r="N65" i="13"/>
  <c r="M66" i="13"/>
  <c r="N66" i="13"/>
  <c r="M67" i="13"/>
  <c r="N67" i="13"/>
  <c r="M68" i="13"/>
  <c r="N68" i="13"/>
  <c r="M69" i="13"/>
  <c r="N69" i="13"/>
  <c r="M70" i="13"/>
  <c r="N70" i="13"/>
  <c r="M71" i="13"/>
  <c r="N71" i="13"/>
  <c r="M72" i="13"/>
  <c r="N72" i="13"/>
  <c r="M73" i="13"/>
  <c r="N73" i="13"/>
  <c r="M74" i="13"/>
  <c r="N74" i="13"/>
  <c r="M75" i="13"/>
  <c r="N75" i="13"/>
  <c r="M76" i="13"/>
  <c r="N76" i="13"/>
  <c r="M77" i="13"/>
  <c r="N77" i="13"/>
  <c r="M78" i="13"/>
  <c r="N78" i="13"/>
  <c r="M79" i="13"/>
  <c r="N79" i="13"/>
  <c r="M80" i="13"/>
  <c r="N80" i="13"/>
  <c r="M81" i="13"/>
  <c r="N81" i="13"/>
  <c r="M82" i="13"/>
  <c r="N82" i="13"/>
  <c r="M83" i="13"/>
  <c r="N83" i="13"/>
  <c r="M84" i="13"/>
  <c r="N84" i="13"/>
  <c r="M85" i="13"/>
  <c r="N85" i="13"/>
  <c r="M86" i="13"/>
  <c r="N86" i="13"/>
  <c r="M87" i="13"/>
  <c r="N87" i="13"/>
  <c r="M88" i="13"/>
  <c r="N88" i="13"/>
  <c r="M89" i="13"/>
  <c r="N89" i="13"/>
  <c r="M90" i="13"/>
  <c r="N90" i="13"/>
  <c r="M91" i="13"/>
  <c r="N91" i="13"/>
  <c r="M92" i="13"/>
  <c r="N92" i="13"/>
  <c r="M93" i="13"/>
  <c r="N93" i="13"/>
  <c r="M94" i="13"/>
  <c r="N94" i="13"/>
  <c r="M95" i="13"/>
  <c r="N95" i="13"/>
  <c r="M96" i="13"/>
  <c r="N96" i="13"/>
  <c r="M97" i="13"/>
  <c r="N97" i="13"/>
  <c r="M98" i="13"/>
  <c r="N98" i="13"/>
  <c r="M99" i="13"/>
  <c r="N99" i="13"/>
  <c r="M100" i="13"/>
  <c r="N100" i="13"/>
  <c r="M101" i="13"/>
  <c r="N101" i="13"/>
  <c r="M102" i="13"/>
  <c r="N102" i="13"/>
  <c r="M103" i="13"/>
  <c r="N103" i="13"/>
  <c r="M104" i="13"/>
  <c r="N104" i="13"/>
  <c r="M105" i="13"/>
  <c r="N105" i="13"/>
  <c r="M106" i="13"/>
  <c r="N106" i="13"/>
  <c r="M107" i="13"/>
  <c r="N107" i="13"/>
  <c r="M108" i="13"/>
  <c r="N108" i="13"/>
  <c r="M109" i="13"/>
  <c r="N109" i="13"/>
  <c r="M110" i="13"/>
  <c r="N110" i="13"/>
  <c r="M111" i="13"/>
  <c r="N111" i="13"/>
  <c r="M112" i="13"/>
  <c r="N112" i="13"/>
  <c r="M113" i="13"/>
  <c r="N113" i="13"/>
  <c r="M114" i="13"/>
  <c r="N114" i="13"/>
  <c r="M115" i="13"/>
  <c r="N115" i="13"/>
  <c r="M116" i="13"/>
  <c r="N116" i="13"/>
  <c r="M117" i="13"/>
  <c r="N117" i="13"/>
  <c r="M118" i="13"/>
  <c r="N118" i="13"/>
  <c r="M119" i="13"/>
  <c r="N119" i="13"/>
  <c r="M120" i="13"/>
  <c r="N120" i="13"/>
  <c r="M121" i="13"/>
  <c r="N121" i="13"/>
  <c r="M122" i="13"/>
  <c r="N122" i="13"/>
  <c r="M123" i="13"/>
  <c r="N123" i="13"/>
  <c r="M124" i="13"/>
  <c r="N124" i="13"/>
  <c r="M125" i="13"/>
  <c r="N125" i="13"/>
  <c r="M126" i="13"/>
  <c r="N126" i="13"/>
  <c r="M127" i="13"/>
  <c r="N127" i="13"/>
  <c r="M128" i="13"/>
  <c r="N128" i="13"/>
  <c r="M129" i="13"/>
  <c r="N129" i="13"/>
  <c r="M130" i="13"/>
  <c r="N130" i="13"/>
  <c r="M131" i="13"/>
  <c r="N131" i="13"/>
  <c r="M132" i="13"/>
  <c r="N132" i="13"/>
  <c r="M133" i="13"/>
  <c r="N133" i="13"/>
  <c r="M134" i="13"/>
  <c r="N134" i="13"/>
  <c r="M135" i="13"/>
  <c r="N135" i="13"/>
  <c r="M136" i="13"/>
  <c r="N136" i="13"/>
  <c r="M137" i="13"/>
  <c r="N137" i="13"/>
  <c r="M138" i="13"/>
  <c r="N138" i="13"/>
  <c r="M139" i="13"/>
  <c r="N139" i="13"/>
  <c r="M140" i="13"/>
  <c r="N140" i="13"/>
  <c r="M141" i="13"/>
  <c r="N141" i="13"/>
  <c r="M142" i="13"/>
  <c r="N142" i="13"/>
  <c r="M143" i="13"/>
  <c r="N143" i="13"/>
  <c r="M144" i="13"/>
  <c r="N144" i="13"/>
  <c r="M145" i="13"/>
  <c r="N145" i="13"/>
  <c r="M146" i="13"/>
  <c r="N146" i="13"/>
  <c r="M147" i="13"/>
  <c r="N147" i="13"/>
  <c r="M148" i="13"/>
  <c r="N148" i="13"/>
  <c r="M149" i="13"/>
  <c r="N149" i="13"/>
  <c r="M150" i="13"/>
  <c r="N150" i="13"/>
  <c r="M151" i="13"/>
  <c r="N151" i="13"/>
  <c r="M152" i="13"/>
  <c r="N152" i="13"/>
  <c r="M153" i="13"/>
  <c r="N153" i="13"/>
  <c r="M154" i="13"/>
  <c r="N154" i="13"/>
  <c r="M155" i="13"/>
  <c r="N155" i="13"/>
  <c r="M156" i="13"/>
  <c r="N156" i="13"/>
  <c r="M157" i="13"/>
  <c r="N157" i="13"/>
  <c r="M158" i="13"/>
  <c r="N158" i="13"/>
  <c r="M159" i="13"/>
  <c r="N159" i="13"/>
  <c r="M160" i="13"/>
  <c r="N160" i="13"/>
  <c r="M161" i="13"/>
  <c r="N161" i="13"/>
  <c r="M162" i="13"/>
  <c r="N162" i="13"/>
  <c r="M163" i="13"/>
  <c r="N163" i="13"/>
  <c r="M164" i="13"/>
  <c r="N164" i="13"/>
  <c r="M165" i="13"/>
  <c r="N165" i="13"/>
  <c r="M166" i="13"/>
  <c r="N166" i="13"/>
  <c r="M167" i="13"/>
  <c r="N167" i="13"/>
  <c r="M168" i="13"/>
  <c r="N168" i="13"/>
  <c r="M169" i="13"/>
  <c r="N169" i="13"/>
  <c r="M170" i="13"/>
  <c r="N170" i="13"/>
  <c r="M171" i="13"/>
  <c r="N171" i="13"/>
  <c r="M172" i="13"/>
  <c r="N172" i="13"/>
  <c r="M173" i="13"/>
  <c r="N173" i="13"/>
  <c r="M174" i="13"/>
  <c r="N174" i="13"/>
  <c r="M175" i="13"/>
  <c r="N175" i="13"/>
  <c r="M176" i="13"/>
  <c r="N176" i="13"/>
  <c r="M177" i="13"/>
  <c r="N177" i="13"/>
  <c r="M178" i="13"/>
  <c r="N178" i="13"/>
  <c r="M179" i="13"/>
  <c r="N179" i="13"/>
  <c r="M180" i="13"/>
  <c r="N180" i="13"/>
  <c r="M181" i="13"/>
  <c r="N181" i="13"/>
  <c r="M182" i="13"/>
  <c r="N182" i="13"/>
  <c r="M183" i="13"/>
  <c r="N183" i="13"/>
  <c r="M184" i="13"/>
  <c r="N184" i="13"/>
  <c r="M185" i="13"/>
  <c r="N185" i="13"/>
  <c r="M186" i="13"/>
  <c r="N186" i="13"/>
  <c r="M187" i="13"/>
  <c r="N187" i="13"/>
  <c r="M188" i="13"/>
  <c r="N188" i="13"/>
  <c r="M189" i="13"/>
  <c r="N189" i="13"/>
  <c r="M190" i="13"/>
  <c r="N190" i="13"/>
  <c r="M191" i="13"/>
  <c r="N191" i="13"/>
  <c r="M192" i="13"/>
  <c r="N192" i="13"/>
  <c r="M193" i="13"/>
  <c r="N193" i="13"/>
  <c r="M194" i="13"/>
  <c r="N194" i="13"/>
  <c r="M195" i="13"/>
  <c r="N195" i="13"/>
  <c r="M196" i="13"/>
  <c r="N196" i="13"/>
  <c r="M197" i="13"/>
  <c r="N197" i="13"/>
  <c r="M198" i="13"/>
  <c r="N198" i="13"/>
  <c r="M199" i="13"/>
  <c r="N199" i="13"/>
  <c r="M200" i="13"/>
  <c r="N200" i="13"/>
  <c r="M201" i="13"/>
  <c r="N201" i="13"/>
  <c r="M202" i="13"/>
  <c r="N202" i="13"/>
  <c r="M203" i="13"/>
  <c r="N203" i="13"/>
  <c r="M204" i="13"/>
  <c r="N204" i="13"/>
  <c r="M205" i="13"/>
  <c r="N205" i="13"/>
  <c r="M206" i="13"/>
  <c r="N206" i="13"/>
  <c r="M207" i="13"/>
  <c r="N207" i="13"/>
  <c r="M208" i="13"/>
  <c r="N208" i="13"/>
  <c r="M209" i="13"/>
  <c r="N209" i="13"/>
  <c r="M210" i="13"/>
  <c r="N210" i="13"/>
  <c r="M211" i="13"/>
  <c r="N211" i="13"/>
  <c r="M212" i="13"/>
  <c r="N212" i="13"/>
  <c r="M213" i="13"/>
  <c r="N213" i="13"/>
  <c r="M214" i="13"/>
  <c r="N214" i="13"/>
  <c r="M215" i="13"/>
  <c r="N215" i="13"/>
  <c r="M216" i="13"/>
  <c r="N216" i="13"/>
  <c r="M217" i="13"/>
  <c r="N217" i="13"/>
  <c r="M218" i="13"/>
  <c r="N218" i="13"/>
  <c r="M219" i="13"/>
  <c r="N219" i="13"/>
  <c r="M220" i="13"/>
  <c r="N220" i="13"/>
  <c r="M221" i="13"/>
  <c r="N221" i="13"/>
  <c r="M222" i="13"/>
  <c r="N222" i="13"/>
  <c r="M223" i="13"/>
  <c r="N223" i="13"/>
  <c r="M224" i="13"/>
  <c r="N224" i="13"/>
  <c r="M225" i="13"/>
  <c r="N225" i="13"/>
  <c r="M226" i="13"/>
  <c r="N226" i="13"/>
  <c r="M227" i="13"/>
  <c r="N227" i="13"/>
  <c r="M228" i="13"/>
  <c r="N228" i="13"/>
  <c r="M229" i="13"/>
  <c r="N229" i="13"/>
  <c r="M230" i="13"/>
  <c r="N230" i="13"/>
  <c r="M231" i="13"/>
  <c r="N231" i="13"/>
  <c r="M232" i="13"/>
  <c r="N232" i="13"/>
  <c r="M233" i="13"/>
  <c r="N233" i="13"/>
  <c r="M234" i="13"/>
  <c r="N234" i="13"/>
  <c r="M235" i="13"/>
  <c r="N235" i="13"/>
  <c r="M236" i="13"/>
  <c r="N236" i="13"/>
  <c r="M237" i="13"/>
  <c r="N237" i="13"/>
  <c r="M238" i="13"/>
  <c r="N238" i="13"/>
  <c r="M239" i="13"/>
  <c r="N239" i="13"/>
  <c r="M240" i="13"/>
  <c r="N240" i="13"/>
  <c r="M241" i="13"/>
  <c r="N241" i="13"/>
  <c r="M242" i="13"/>
  <c r="N242" i="13"/>
  <c r="M243" i="13"/>
  <c r="N243" i="13"/>
  <c r="M244" i="13"/>
  <c r="N244" i="13"/>
  <c r="M245" i="13"/>
  <c r="N245" i="13"/>
  <c r="M246" i="13"/>
  <c r="N246" i="13"/>
  <c r="M247" i="13"/>
  <c r="N247" i="13"/>
  <c r="M248" i="13"/>
  <c r="N248" i="13"/>
  <c r="M249" i="13"/>
  <c r="N249" i="13"/>
  <c r="M250" i="13"/>
  <c r="N250" i="13"/>
  <c r="M251" i="13"/>
  <c r="N251" i="13"/>
  <c r="M252" i="13"/>
  <c r="N252" i="13"/>
  <c r="M253" i="13"/>
  <c r="N253" i="13"/>
  <c r="M254" i="13"/>
  <c r="N254" i="13"/>
  <c r="M255" i="13"/>
  <c r="N255" i="13"/>
  <c r="M256" i="13"/>
  <c r="N256" i="13"/>
  <c r="M257" i="13"/>
  <c r="N257" i="13"/>
  <c r="M258" i="13"/>
  <c r="N258" i="13"/>
  <c r="M259" i="13"/>
  <c r="N259" i="13"/>
  <c r="M260" i="13"/>
  <c r="N260" i="13"/>
  <c r="M261" i="13"/>
  <c r="N261" i="13"/>
  <c r="M262" i="13"/>
  <c r="N262" i="13"/>
  <c r="M263" i="13"/>
  <c r="N263" i="13"/>
  <c r="M264" i="13"/>
  <c r="N264" i="13"/>
  <c r="M265" i="13"/>
  <c r="N265" i="13"/>
  <c r="M266" i="13"/>
  <c r="N266" i="13"/>
  <c r="M267" i="13"/>
  <c r="N267" i="13"/>
  <c r="M268" i="13"/>
  <c r="N268" i="13"/>
  <c r="M269" i="13"/>
  <c r="N269" i="13"/>
  <c r="M270" i="13"/>
  <c r="N270" i="13"/>
  <c r="M271" i="13"/>
  <c r="N271" i="13"/>
  <c r="M272" i="13"/>
  <c r="N272" i="13"/>
  <c r="M273" i="13"/>
  <c r="N273" i="13"/>
  <c r="M274" i="13"/>
  <c r="N274" i="13"/>
  <c r="M275" i="13"/>
  <c r="N275" i="13"/>
  <c r="M276" i="13"/>
  <c r="N276" i="13"/>
  <c r="M277" i="13"/>
  <c r="N277" i="13"/>
  <c r="M278" i="13"/>
  <c r="N278" i="13"/>
  <c r="M279" i="13"/>
  <c r="N279" i="13"/>
  <c r="M280" i="13"/>
  <c r="N280" i="13"/>
  <c r="M281" i="13"/>
  <c r="N281" i="13"/>
  <c r="M282" i="13"/>
  <c r="N282" i="13"/>
  <c r="M283" i="13"/>
  <c r="N283" i="13"/>
  <c r="M284" i="13"/>
  <c r="N284" i="13"/>
  <c r="M285" i="13"/>
  <c r="N285" i="13"/>
  <c r="M286" i="13"/>
  <c r="N286" i="13"/>
  <c r="M287" i="13"/>
  <c r="N287" i="13"/>
  <c r="M288" i="13"/>
  <c r="N288" i="13"/>
  <c r="M289" i="13"/>
  <c r="N289" i="13"/>
  <c r="M290" i="13"/>
  <c r="N290" i="13"/>
  <c r="M291" i="13"/>
  <c r="N291" i="13"/>
  <c r="M292" i="13"/>
  <c r="N292" i="13"/>
  <c r="M293" i="13"/>
  <c r="N293" i="13"/>
  <c r="M294" i="13"/>
  <c r="N294" i="13"/>
  <c r="M295" i="13"/>
  <c r="N295" i="13"/>
  <c r="M296" i="13"/>
  <c r="N296" i="13"/>
  <c r="M297" i="13"/>
  <c r="N297" i="13"/>
  <c r="M298" i="13"/>
  <c r="N298" i="13"/>
  <c r="M299" i="13"/>
  <c r="N299" i="13"/>
  <c r="M300" i="13"/>
  <c r="N300" i="13"/>
  <c r="M301" i="13"/>
  <c r="N301" i="13"/>
  <c r="M302" i="13"/>
  <c r="N302" i="13"/>
  <c r="M3" i="13"/>
  <c r="N3" i="13"/>
  <c r="M4" i="13"/>
  <c r="N4" i="13"/>
  <c r="M5" i="13"/>
  <c r="N5" i="13"/>
  <c r="M6" i="13"/>
  <c r="N6" i="13"/>
  <c r="M7" i="13"/>
  <c r="N7" i="13"/>
  <c r="M8" i="13"/>
  <c r="N8" i="13"/>
  <c r="M9" i="13"/>
  <c r="N9" i="13"/>
  <c r="M10" i="13"/>
  <c r="N10" i="13"/>
  <c r="M11" i="13"/>
  <c r="N11" i="13"/>
  <c r="M12" i="13"/>
  <c r="N12" i="13"/>
  <c r="M13" i="13"/>
  <c r="N13" i="13"/>
  <c r="M14" i="13"/>
  <c r="N14" i="13"/>
  <c r="M15" i="13"/>
  <c r="N15" i="13"/>
  <c r="M16" i="13"/>
  <c r="N16" i="13"/>
  <c r="M17" i="13"/>
  <c r="N17" i="13"/>
  <c r="M18" i="13"/>
  <c r="N18" i="13"/>
  <c r="M19" i="13"/>
  <c r="N19" i="13"/>
  <c r="M20" i="13"/>
  <c r="N20" i="13"/>
  <c r="N2" i="13"/>
  <c r="M2" i="13"/>
  <c r="D28" i="13" a="1"/>
  <c r="L28" i="13" a="1"/>
  <c r="K28" i="13" a="1"/>
  <c r="J28" i="13" a="1"/>
  <c r="G28" i="13" a="1"/>
  <c r="F28" i="13" a="1"/>
  <c r="I28" i="13" a="1"/>
  <c r="H28" i="13" a="1"/>
  <c r="E28" i="13" a="1"/>
  <c r="D36" i="13" a="1"/>
  <c r="L36" i="13" a="1"/>
  <c r="K36" i="13" a="1"/>
  <c r="J36" i="13" a="1"/>
  <c r="G36" i="13" a="1"/>
  <c r="F36" i="13" a="1"/>
  <c r="I36" i="13" a="1"/>
  <c r="H36" i="13" a="1"/>
  <c r="E36" i="13" a="1"/>
  <c r="D44" i="13" a="1"/>
  <c r="L44" i="13" a="1"/>
  <c r="K44" i="13" a="1"/>
  <c r="J44" i="13" a="1"/>
  <c r="G44" i="13" a="1"/>
  <c r="F44" i="13" a="1"/>
  <c r="I44" i="13" a="1"/>
  <c r="H44" i="13" a="1"/>
  <c r="E44" i="13" a="1"/>
  <c r="D52" i="13" a="1"/>
  <c r="L52" i="13" a="1"/>
  <c r="K52" i="13" a="1"/>
  <c r="J52" i="13" a="1"/>
  <c r="I52" i="13" a="1"/>
  <c r="G52" i="13" a="1"/>
  <c r="F52" i="13" a="1"/>
  <c r="H52" i="13" a="1"/>
  <c r="E52" i="13" a="1"/>
  <c r="D60" i="13" a="1"/>
  <c r="E60" i="13" a="1"/>
  <c r="L60" i="13" a="1"/>
  <c r="K60" i="13" a="1"/>
  <c r="J60" i="13" a="1"/>
  <c r="I60" i="13" a="1"/>
  <c r="H60" i="13" a="1"/>
  <c r="G60" i="13" a="1"/>
  <c r="F60" i="13" a="1"/>
  <c r="D68" i="13" a="1"/>
  <c r="E68" i="13" a="1"/>
  <c r="L68" i="13" a="1"/>
  <c r="K68" i="13" a="1"/>
  <c r="J68" i="13" a="1"/>
  <c r="I68" i="13" a="1"/>
  <c r="H68" i="13" a="1"/>
  <c r="G68" i="13" a="1"/>
  <c r="F68" i="13" a="1"/>
  <c r="D76" i="13" a="1"/>
  <c r="E76" i="13" a="1"/>
  <c r="L76" i="13" a="1"/>
  <c r="K76" i="13" a="1"/>
  <c r="J76" i="13" a="1"/>
  <c r="I76" i="13" a="1"/>
  <c r="H76" i="13" a="1"/>
  <c r="G76" i="13" a="1"/>
  <c r="F76" i="13" a="1"/>
  <c r="D84" i="13" a="1"/>
  <c r="E84" i="13" a="1"/>
  <c r="L84" i="13" a="1"/>
  <c r="K84" i="13" a="1"/>
  <c r="J84" i="13" a="1"/>
  <c r="I84" i="13" a="1"/>
  <c r="H84" i="13" a="1"/>
  <c r="G84" i="13" a="1"/>
  <c r="F84" i="13" a="1"/>
  <c r="D92" i="13" a="1"/>
  <c r="H92" i="13" a="1"/>
  <c r="G92" i="13" a="1"/>
  <c r="F92" i="13" a="1"/>
  <c r="E92" i="13" a="1"/>
  <c r="L92" i="13" a="1"/>
  <c r="K92" i="13" a="1"/>
  <c r="J92" i="13" a="1"/>
  <c r="I92" i="13" a="1"/>
  <c r="D100" i="13" a="1"/>
  <c r="E100" i="13" a="1"/>
  <c r="F100" i="13" a="1"/>
  <c r="H100" i="13" a="1"/>
  <c r="G100" i="13" a="1"/>
  <c r="L100" i="13" a="1"/>
  <c r="K100" i="13" a="1"/>
  <c r="J100" i="13" a="1"/>
  <c r="I100" i="13" a="1"/>
  <c r="D108" i="13" a="1"/>
  <c r="H108" i="13" a="1"/>
  <c r="G108" i="13" a="1"/>
  <c r="F108" i="13" a="1"/>
  <c r="E108" i="13" a="1"/>
  <c r="L108" i="13" a="1"/>
  <c r="K108" i="13" a="1"/>
  <c r="J108" i="13" a="1"/>
  <c r="I108" i="13" a="1"/>
  <c r="D124" i="13" a="1"/>
  <c r="L124" i="13" a="1"/>
  <c r="H124" i="13" a="1"/>
  <c r="G124" i="13" a="1"/>
  <c r="F124" i="13" a="1"/>
  <c r="E124" i="13" a="1"/>
  <c r="K124" i="13" a="1"/>
  <c r="J124" i="13" a="1"/>
  <c r="I124" i="13" a="1"/>
  <c r="D132" i="13" a="1"/>
  <c r="L132" i="13" a="1"/>
  <c r="K132" i="13" a="1"/>
  <c r="J132" i="13" a="1"/>
  <c r="I132" i="13" a="1"/>
  <c r="H132" i="13" a="1"/>
  <c r="G132" i="13" a="1"/>
  <c r="F132" i="13" a="1"/>
  <c r="E132" i="13" a="1"/>
  <c r="D140" i="13" a="1"/>
  <c r="H140" i="13" a="1"/>
  <c r="G140" i="13" a="1"/>
  <c r="I140" i="13" a="1"/>
  <c r="F140" i="13" a="1"/>
  <c r="E140" i="13" a="1"/>
  <c r="L140" i="13" a="1"/>
  <c r="K140" i="13" a="1"/>
  <c r="J140" i="13" a="1"/>
  <c r="D148" i="13" a="1"/>
  <c r="K148" i="13" a="1"/>
  <c r="J148" i="13" a="1"/>
  <c r="I148" i="13" a="1"/>
  <c r="H148" i="13" a="1"/>
  <c r="G148" i="13" a="1"/>
  <c r="F148" i="13" a="1"/>
  <c r="E148" i="13" a="1"/>
  <c r="L148" i="13" a="1"/>
  <c r="D156" i="13" a="1"/>
  <c r="K156" i="13" a="1"/>
  <c r="J156" i="13" a="1"/>
  <c r="I156" i="13" a="1"/>
  <c r="H156" i="13" a="1"/>
  <c r="G156" i="13" a="1"/>
  <c r="F156" i="13" a="1"/>
  <c r="E156" i="13" a="1"/>
  <c r="L156" i="13" a="1"/>
  <c r="D164" i="13" a="1"/>
  <c r="K164" i="13" a="1"/>
  <c r="L164" i="13" a="1"/>
  <c r="E164" i="13" a="1"/>
  <c r="J164" i="13" a="1"/>
  <c r="I164" i="13" a="1"/>
  <c r="H164" i="13" a="1"/>
  <c r="G164" i="13" a="1"/>
  <c r="F164" i="13" a="1"/>
  <c r="D172" i="13" a="1"/>
  <c r="E172" i="13" a="1"/>
  <c r="K172" i="13" a="1"/>
  <c r="L172" i="13" a="1"/>
  <c r="J172" i="13" a="1"/>
  <c r="I172" i="13" a="1"/>
  <c r="H172" i="13" a="1"/>
  <c r="G172" i="13" a="1"/>
  <c r="F172" i="13" a="1"/>
  <c r="D180" i="13" a="1"/>
  <c r="E180" i="13" a="1"/>
  <c r="L180" i="13" a="1"/>
  <c r="K180" i="13" a="1"/>
  <c r="I180" i="13" a="1"/>
  <c r="J180" i="13" a="1"/>
  <c r="H180" i="13" a="1"/>
  <c r="G180" i="13" a="1"/>
  <c r="F180" i="13" a="1"/>
  <c r="D188" i="13" a="1"/>
  <c r="K188" i="13" a="1"/>
  <c r="I188" i="13" a="1"/>
  <c r="E188" i="13" a="1"/>
  <c r="L188" i="13" a="1"/>
  <c r="J188" i="13" a="1"/>
  <c r="H188" i="13" a="1"/>
  <c r="G188" i="13" a="1"/>
  <c r="F188" i="13" a="1"/>
  <c r="D8" i="13" a="1"/>
  <c r="L8" i="13" a="1"/>
  <c r="G8" i="13" a="1"/>
  <c r="K8" i="13" a="1"/>
  <c r="J8" i="13" a="1"/>
  <c r="I8" i="13" a="1"/>
  <c r="H8" i="13" a="1"/>
  <c r="F8" i="13" a="1"/>
  <c r="E8" i="13" a="1"/>
  <c r="D69" i="13" a="1"/>
  <c r="J69" i="13" a="1"/>
  <c r="I69" i="13" a="1"/>
  <c r="H69" i="13" a="1"/>
  <c r="G69" i="13" a="1"/>
  <c r="F69" i="13" a="1"/>
  <c r="E69" i="13" a="1"/>
  <c r="L69" i="13" a="1"/>
  <c r="K69" i="13" a="1"/>
  <c r="D133" i="13" a="1"/>
  <c r="F133" i="13" a="1"/>
  <c r="E133" i="13" a="1"/>
  <c r="L133" i="13" a="1"/>
  <c r="K133" i="13" a="1"/>
  <c r="J133" i="13" a="1"/>
  <c r="I133" i="13" a="1"/>
  <c r="H133" i="13" a="1"/>
  <c r="G133" i="13" a="1"/>
  <c r="D173" i="13" a="1"/>
  <c r="L173" i="13" a="1"/>
  <c r="K173" i="13" a="1"/>
  <c r="E173" i="13" a="1"/>
  <c r="J173" i="13" a="1"/>
  <c r="I173" i="13" a="1"/>
  <c r="H173" i="13" a="1"/>
  <c r="G173" i="13" a="1"/>
  <c r="F173" i="13" a="1"/>
  <c r="D116" i="13" a="1"/>
  <c r="G116" i="13" a="1"/>
  <c r="F116" i="13" a="1"/>
  <c r="E116" i="13" a="1"/>
  <c r="H116" i="13" a="1"/>
  <c r="L116" i="13" a="1"/>
  <c r="K116" i="13" a="1"/>
  <c r="J116" i="13" a="1"/>
  <c r="I116" i="13" a="1"/>
  <c r="D16" i="13" a="1"/>
  <c r="L16" i="13" a="1"/>
  <c r="G16" i="13" a="1"/>
  <c r="K16" i="13" a="1"/>
  <c r="J16" i="13" a="1"/>
  <c r="I16" i="13" a="1"/>
  <c r="H16" i="13" a="1"/>
  <c r="F16" i="13" a="1"/>
  <c r="E16" i="13" a="1"/>
  <c r="D77" i="13" a="1"/>
  <c r="J77" i="13" a="1"/>
  <c r="I77" i="13" a="1"/>
  <c r="H77" i="13" a="1"/>
  <c r="G77" i="13" a="1"/>
  <c r="F77" i="13" a="1"/>
  <c r="E77" i="13" a="1"/>
  <c r="L77" i="13" a="1"/>
  <c r="K77" i="13" a="1"/>
  <c r="D141" i="13" a="1"/>
  <c r="K141" i="13" a="1"/>
  <c r="J141" i="13" a="1"/>
  <c r="I141" i="13" a="1"/>
  <c r="H141" i="13" a="1"/>
  <c r="G141" i="13" a="1"/>
  <c r="F141" i="13" a="1"/>
  <c r="E141" i="13" a="1"/>
  <c r="L141" i="13" a="1"/>
  <c r="D189" i="13" a="1"/>
  <c r="I189" i="13" a="1"/>
  <c r="L189" i="13" a="1"/>
  <c r="K189" i="13" a="1"/>
  <c r="E189" i="13" a="1"/>
  <c r="J189" i="13" a="1"/>
  <c r="H189" i="13" a="1"/>
  <c r="G189" i="13" a="1"/>
  <c r="F189" i="13" a="1"/>
  <c r="D101" i="13" a="1"/>
  <c r="H101" i="13" a="1"/>
  <c r="G101" i="13" a="1"/>
  <c r="F101" i="13" a="1"/>
  <c r="E101" i="13" a="1"/>
  <c r="L101" i="13" a="1"/>
  <c r="K101" i="13" a="1"/>
  <c r="J101" i="13" a="1"/>
  <c r="I101" i="13" a="1"/>
  <c r="D165" i="13" a="1"/>
  <c r="K165" i="13" a="1"/>
  <c r="E165" i="13" a="1"/>
  <c r="L165" i="13" a="1"/>
  <c r="J165" i="13" a="1"/>
  <c r="I165" i="13" a="1"/>
  <c r="H165" i="13" a="1"/>
  <c r="G165" i="13" a="1"/>
  <c r="F165" i="13" a="1"/>
  <c r="D21" i="13" a="1"/>
  <c r="F21" i="13" a="1"/>
  <c r="L21" i="13" a="1"/>
  <c r="J21" i="13" a="1"/>
  <c r="G21" i="13" a="1"/>
  <c r="K21" i="13" a="1"/>
  <c r="I21" i="13" a="1"/>
  <c r="H21" i="13" a="1"/>
  <c r="E21" i="13" a="1"/>
  <c r="D29" i="13" a="1"/>
  <c r="L29" i="13" a="1"/>
  <c r="K29" i="13" a="1"/>
  <c r="J29" i="13" a="1"/>
  <c r="G29" i="13" a="1"/>
  <c r="F29" i="13" a="1"/>
  <c r="I29" i="13" a="1"/>
  <c r="H29" i="13" a="1"/>
  <c r="E29" i="13" a="1"/>
  <c r="D37" i="13" a="1"/>
  <c r="L37" i="13" a="1"/>
  <c r="K37" i="13" a="1"/>
  <c r="J37" i="13" a="1"/>
  <c r="G37" i="13" a="1"/>
  <c r="F37" i="13" a="1"/>
  <c r="I37" i="13" a="1"/>
  <c r="H37" i="13" a="1"/>
  <c r="E37" i="13" a="1"/>
  <c r="D45" i="13" a="1"/>
  <c r="L45" i="13" a="1"/>
  <c r="K45" i="13" a="1"/>
  <c r="J45" i="13" a="1"/>
  <c r="G45" i="13" a="1"/>
  <c r="F45" i="13" a="1"/>
  <c r="I45" i="13" a="1"/>
  <c r="H45" i="13" a="1"/>
  <c r="E45" i="13" a="1"/>
  <c r="D53" i="13" a="1"/>
  <c r="J53" i="13" a="1"/>
  <c r="I53" i="13" a="1"/>
  <c r="H53" i="13" a="1"/>
  <c r="G53" i="13" a="1"/>
  <c r="F53" i="13" a="1"/>
  <c r="E53" i="13" a="1"/>
  <c r="L53" i="13" a="1"/>
  <c r="K53" i="13" a="1"/>
  <c r="D61" i="13" a="1"/>
  <c r="J61" i="13" a="1"/>
  <c r="I61" i="13" a="1"/>
  <c r="H61" i="13" a="1"/>
  <c r="G61" i="13" a="1"/>
  <c r="F61" i="13" a="1"/>
  <c r="E61" i="13" a="1"/>
  <c r="L61" i="13" a="1"/>
  <c r="K61" i="13" a="1"/>
  <c r="D85" i="13" a="1"/>
  <c r="J85" i="13" a="1"/>
  <c r="I85" i="13" a="1"/>
  <c r="H85" i="13" a="1"/>
  <c r="G85" i="13" a="1"/>
  <c r="F85" i="13" a="1"/>
  <c r="E85" i="13" a="1"/>
  <c r="L85" i="13" a="1"/>
  <c r="K85" i="13" a="1"/>
  <c r="D109" i="13" a="1"/>
  <c r="G109" i="13" a="1"/>
  <c r="F109" i="13" a="1"/>
  <c r="E109" i="13" a="1"/>
  <c r="H109" i="13" a="1"/>
  <c r="L109" i="13" a="1"/>
  <c r="K109" i="13" a="1"/>
  <c r="J109" i="13" a="1"/>
  <c r="I109" i="13" a="1"/>
  <c r="D117" i="13" a="1"/>
  <c r="H117" i="13" a="1"/>
  <c r="G117" i="13" a="1"/>
  <c r="F117" i="13" a="1"/>
  <c r="E117" i="13" a="1"/>
  <c r="L117" i="13" a="1"/>
  <c r="K117" i="13" a="1"/>
  <c r="J117" i="13" a="1"/>
  <c r="I117" i="13" a="1"/>
  <c r="D149" i="13" a="1"/>
  <c r="K149" i="13" a="1"/>
  <c r="J149" i="13" a="1"/>
  <c r="I149" i="13" a="1"/>
  <c r="H149" i="13" a="1"/>
  <c r="G149" i="13" a="1"/>
  <c r="F149" i="13" a="1"/>
  <c r="E149" i="13" a="1"/>
  <c r="L149" i="13" a="1"/>
  <c r="D22" i="13" a="1"/>
  <c r="L22" i="13" a="1"/>
  <c r="J22" i="13" a="1"/>
  <c r="G22" i="13" a="1"/>
  <c r="F22" i="13" a="1"/>
  <c r="K22" i="13" a="1"/>
  <c r="I22" i="13" a="1"/>
  <c r="H22" i="13" a="1"/>
  <c r="E22" i="13" a="1"/>
  <c r="D30" i="13" a="1"/>
  <c r="L30" i="13" a="1"/>
  <c r="K30" i="13" a="1"/>
  <c r="J30" i="13" a="1"/>
  <c r="G30" i="13" a="1"/>
  <c r="F30" i="13" a="1"/>
  <c r="I30" i="13" a="1"/>
  <c r="H30" i="13" a="1"/>
  <c r="E30" i="13" a="1"/>
  <c r="D38" i="13" a="1"/>
  <c r="F38" i="13" a="1"/>
  <c r="L38" i="13" a="1"/>
  <c r="K38" i="13" a="1"/>
  <c r="J38" i="13" a="1"/>
  <c r="G38" i="13" a="1"/>
  <c r="I38" i="13" a="1"/>
  <c r="H38" i="13" a="1"/>
  <c r="E38" i="13" a="1"/>
  <c r="D46" i="13" a="1"/>
  <c r="L46" i="13" a="1"/>
  <c r="K46" i="13" a="1"/>
  <c r="J46" i="13" a="1"/>
  <c r="G46" i="13" a="1"/>
  <c r="F46" i="13" a="1"/>
  <c r="I46" i="13" a="1"/>
  <c r="H46" i="13" a="1"/>
  <c r="E46" i="13" a="1"/>
  <c r="D54" i="13" a="1"/>
  <c r="L54" i="13" a="1"/>
  <c r="K54" i="13" a="1"/>
  <c r="J54" i="13" a="1"/>
  <c r="I54" i="13" a="1"/>
  <c r="H54" i="13" a="1"/>
  <c r="G54" i="13" a="1"/>
  <c r="F54" i="13" a="1"/>
  <c r="E54" i="13" a="1"/>
  <c r="D62" i="13" a="1"/>
  <c r="L62" i="13" a="1"/>
  <c r="K62" i="13" a="1"/>
  <c r="J62" i="13" a="1"/>
  <c r="I62" i="13" a="1"/>
  <c r="H62" i="13" a="1"/>
  <c r="G62" i="13" a="1"/>
  <c r="F62" i="13" a="1"/>
  <c r="E62" i="13" a="1"/>
  <c r="D70" i="13" a="1"/>
  <c r="L70" i="13" a="1"/>
  <c r="K70" i="13" a="1"/>
  <c r="J70" i="13" a="1"/>
  <c r="I70" i="13" a="1"/>
  <c r="H70" i="13" a="1"/>
  <c r="G70" i="13" a="1"/>
  <c r="F70" i="13" a="1"/>
  <c r="E70" i="13" a="1"/>
  <c r="D78" i="13" a="1"/>
  <c r="L78" i="13" a="1"/>
  <c r="K78" i="13" a="1"/>
  <c r="J78" i="13" a="1"/>
  <c r="I78" i="13" a="1"/>
  <c r="H78" i="13" a="1"/>
  <c r="G78" i="13" a="1"/>
  <c r="F78" i="13" a="1"/>
  <c r="E78" i="13" a="1"/>
  <c r="D86" i="13" a="1"/>
  <c r="L86" i="13" a="1"/>
  <c r="K86" i="13" a="1"/>
  <c r="J86" i="13" a="1"/>
  <c r="I86" i="13" a="1"/>
  <c r="H86" i="13" a="1"/>
  <c r="G86" i="13" a="1"/>
  <c r="F86" i="13" a="1"/>
  <c r="E86" i="13" a="1"/>
  <c r="D94" i="13" a="1"/>
  <c r="E94" i="13" a="1"/>
  <c r="H94" i="13" a="1"/>
  <c r="G94" i="13" a="1"/>
  <c r="F94" i="13" a="1"/>
  <c r="L94" i="13" a="1"/>
  <c r="K94" i="13" a="1"/>
  <c r="J94" i="13" a="1"/>
  <c r="I94" i="13" a="1"/>
  <c r="D102" i="13" a="1"/>
  <c r="H102" i="13" a="1"/>
  <c r="G102" i="13" a="1"/>
  <c r="F102" i="13" a="1"/>
  <c r="E102" i="13" a="1"/>
  <c r="L102" i="13" a="1"/>
  <c r="K102" i="13" a="1"/>
  <c r="J102" i="13" a="1"/>
  <c r="I102" i="13" a="1"/>
  <c r="D110" i="13" a="1"/>
  <c r="H110" i="13" a="1"/>
  <c r="G110" i="13" a="1"/>
  <c r="F110" i="13" a="1"/>
  <c r="E110" i="13" a="1"/>
  <c r="L110" i="13" a="1"/>
  <c r="K110" i="13" a="1"/>
  <c r="J110" i="13" a="1"/>
  <c r="I110" i="13" a="1"/>
  <c r="D118" i="13" a="1"/>
  <c r="G118" i="13" a="1"/>
  <c r="H118" i="13" a="1"/>
  <c r="F118" i="13" a="1"/>
  <c r="E118" i="13" a="1"/>
  <c r="L118" i="13" a="1"/>
  <c r="K118" i="13" a="1"/>
  <c r="J118" i="13" a="1"/>
  <c r="I118" i="13" a="1"/>
  <c r="D126" i="13" a="1"/>
  <c r="L126" i="13" a="1"/>
  <c r="H126" i="13" a="1"/>
  <c r="G126" i="13" a="1"/>
  <c r="F126" i="13" a="1"/>
  <c r="E126" i="13" a="1"/>
  <c r="K126" i="13" a="1"/>
  <c r="J126" i="13" a="1"/>
  <c r="I126" i="13" a="1"/>
  <c r="D134" i="13" a="1"/>
  <c r="I134" i="13" a="1"/>
  <c r="J134" i="13" a="1"/>
  <c r="K134" i="13" a="1"/>
  <c r="H134" i="13" a="1"/>
  <c r="G134" i="13" a="1"/>
  <c r="F134" i="13" a="1"/>
  <c r="E134" i="13" a="1"/>
  <c r="L134" i="13" a="1"/>
  <c r="D142" i="13" a="1"/>
  <c r="K142" i="13" a="1"/>
  <c r="J142" i="13" a="1"/>
  <c r="I142" i="13" a="1"/>
  <c r="H142" i="13" a="1"/>
  <c r="G142" i="13" a="1"/>
  <c r="F142" i="13" a="1"/>
  <c r="E142" i="13" a="1"/>
  <c r="L142" i="13" a="1"/>
  <c r="D150" i="13" a="1"/>
  <c r="K150" i="13" a="1"/>
  <c r="J150" i="13" a="1"/>
  <c r="I150" i="13" a="1"/>
  <c r="H150" i="13" a="1"/>
  <c r="G150" i="13" a="1"/>
  <c r="F150" i="13" a="1"/>
  <c r="E150" i="13" a="1"/>
  <c r="L150" i="13" a="1"/>
  <c r="D158" i="13" a="1"/>
  <c r="K158" i="13" a="1"/>
  <c r="J158" i="13" a="1"/>
  <c r="I158" i="13" a="1"/>
  <c r="H158" i="13" a="1"/>
  <c r="G158" i="13" a="1"/>
  <c r="F158" i="13" a="1"/>
  <c r="E158" i="13" a="1"/>
  <c r="L158" i="13" a="1"/>
  <c r="D166" i="13" a="1"/>
  <c r="K166" i="13" a="1"/>
  <c r="L166" i="13" a="1"/>
  <c r="E166" i="13" a="1"/>
  <c r="J166" i="13" a="1"/>
  <c r="I166" i="13" a="1"/>
  <c r="H166" i="13" a="1"/>
  <c r="G166" i="13" a="1"/>
  <c r="F166" i="13" a="1"/>
  <c r="D174" i="13" a="1"/>
  <c r="K174" i="13" a="1"/>
  <c r="E174" i="13" a="1"/>
  <c r="I174" i="13" a="1"/>
  <c r="L174" i="13" a="1"/>
  <c r="J174" i="13" a="1"/>
  <c r="H174" i="13" a="1"/>
  <c r="G174" i="13" a="1"/>
  <c r="F174" i="13" a="1"/>
  <c r="D182" i="13" a="1"/>
  <c r="I182" i="13" a="1"/>
  <c r="L182" i="13" a="1"/>
  <c r="K182" i="13" a="1"/>
  <c r="E182" i="13" a="1"/>
  <c r="J182" i="13" a="1"/>
  <c r="H182" i="13" a="1"/>
  <c r="G182" i="13" a="1"/>
  <c r="F182" i="13" a="1"/>
  <c r="D190" i="13" a="1"/>
  <c r="K190" i="13" a="1"/>
  <c r="I190" i="13" a="1"/>
  <c r="E190" i="13" a="1"/>
  <c r="L190" i="13" a="1"/>
  <c r="J190" i="13" a="1"/>
  <c r="H190" i="13" a="1"/>
  <c r="G190" i="13" a="1"/>
  <c r="F190" i="13" a="1"/>
  <c r="D10" i="13" a="1"/>
  <c r="L10" i="13" a="1"/>
  <c r="G10" i="13" a="1"/>
  <c r="K10" i="13" a="1"/>
  <c r="J10" i="13" a="1"/>
  <c r="I10" i="13" a="1"/>
  <c r="H10" i="13" a="1"/>
  <c r="F10" i="13" a="1"/>
  <c r="E10" i="13" a="1"/>
  <c r="D18" i="13" a="1"/>
  <c r="L18" i="13" a="1"/>
  <c r="G18" i="13" a="1"/>
  <c r="K18" i="13" a="1"/>
  <c r="J18" i="13" a="1"/>
  <c r="I18" i="13" a="1"/>
  <c r="H18" i="13" a="1"/>
  <c r="F18" i="13" a="1"/>
  <c r="E18" i="13" a="1"/>
  <c r="D23" i="13" a="1"/>
  <c r="J23" i="13" a="1"/>
  <c r="L23" i="13" a="1"/>
  <c r="G23" i="13" a="1"/>
  <c r="F23" i="13" a="1"/>
  <c r="K23" i="13" a="1"/>
  <c r="I23" i="13" a="1"/>
  <c r="H23" i="13" a="1"/>
  <c r="E23" i="13" a="1"/>
  <c r="D31" i="13" a="1"/>
  <c r="F31" i="13" a="1"/>
  <c r="L31" i="13" a="1"/>
  <c r="K31" i="13" a="1"/>
  <c r="J31" i="13" a="1"/>
  <c r="G31" i="13" a="1"/>
  <c r="I31" i="13" a="1"/>
  <c r="H31" i="13" a="1"/>
  <c r="E31" i="13" a="1"/>
  <c r="D39" i="13" a="1"/>
  <c r="L39" i="13" a="1"/>
  <c r="K39" i="13" a="1"/>
  <c r="J39" i="13" a="1"/>
  <c r="G39" i="13" a="1"/>
  <c r="F39" i="13" a="1"/>
  <c r="I39" i="13" a="1"/>
  <c r="H39" i="13" a="1"/>
  <c r="E39" i="13" a="1"/>
  <c r="D47" i="13" a="1"/>
  <c r="F47" i="13" a="1"/>
  <c r="L47" i="13" a="1"/>
  <c r="K47" i="13" a="1"/>
  <c r="J47" i="13" a="1"/>
  <c r="G47" i="13" a="1"/>
  <c r="I47" i="13" a="1"/>
  <c r="H47" i="13" a="1"/>
  <c r="E47" i="13" a="1"/>
  <c r="D55" i="13" a="1"/>
  <c r="F55" i="13" a="1"/>
  <c r="E55" i="13" a="1"/>
  <c r="L55" i="13" a="1"/>
  <c r="K55" i="13" a="1"/>
  <c r="J55" i="13" a="1"/>
  <c r="I55" i="13" a="1"/>
  <c r="H55" i="13" a="1"/>
  <c r="G55" i="13" a="1"/>
  <c r="D63" i="13" a="1"/>
  <c r="F63" i="13" a="1"/>
  <c r="E63" i="13" a="1"/>
  <c r="L63" i="13" a="1"/>
  <c r="K63" i="13" a="1"/>
  <c r="J63" i="13" a="1"/>
  <c r="I63" i="13" a="1"/>
  <c r="H63" i="13" a="1"/>
  <c r="G63" i="13" a="1"/>
  <c r="D71" i="13" a="1"/>
  <c r="F71" i="13" a="1"/>
  <c r="E71" i="13" a="1"/>
  <c r="L71" i="13" a="1"/>
  <c r="K71" i="13" a="1"/>
  <c r="J71" i="13" a="1"/>
  <c r="I71" i="13" a="1"/>
  <c r="H71" i="13" a="1"/>
  <c r="G71" i="13" a="1"/>
  <c r="D79" i="13" a="1"/>
  <c r="F79" i="13" a="1"/>
  <c r="E79" i="13" a="1"/>
  <c r="L79" i="13" a="1"/>
  <c r="K79" i="13" a="1"/>
  <c r="J79" i="13" a="1"/>
  <c r="I79" i="13" a="1"/>
  <c r="H79" i="13" a="1"/>
  <c r="G79" i="13" a="1"/>
  <c r="D87" i="13" a="1"/>
  <c r="F87" i="13" a="1"/>
  <c r="E87" i="13" a="1"/>
  <c r="L87" i="13" a="1"/>
  <c r="K87" i="13" a="1"/>
  <c r="J87" i="13" a="1"/>
  <c r="I87" i="13" a="1"/>
  <c r="H87" i="13" a="1"/>
  <c r="G87" i="13" a="1"/>
  <c r="D95" i="13" a="1"/>
  <c r="H95" i="13" a="1"/>
  <c r="G95" i="13" a="1"/>
  <c r="F95" i="13" a="1"/>
  <c r="E95" i="13" a="1"/>
  <c r="L95" i="13" a="1"/>
  <c r="K95" i="13" a="1"/>
  <c r="J95" i="13" a="1"/>
  <c r="I95" i="13" a="1"/>
  <c r="D103" i="13" a="1"/>
  <c r="G103" i="13" a="1"/>
  <c r="F103" i="13" a="1"/>
  <c r="E103" i="13" a="1"/>
  <c r="H103" i="13" a="1"/>
  <c r="L103" i="13" a="1"/>
  <c r="K103" i="13" a="1"/>
  <c r="J103" i="13" a="1"/>
  <c r="I103" i="13" a="1"/>
  <c r="D111" i="13" a="1"/>
  <c r="H111" i="13" a="1"/>
  <c r="G111" i="13" a="1"/>
  <c r="F111" i="13" a="1"/>
  <c r="E111" i="13" a="1"/>
  <c r="L111" i="13" a="1"/>
  <c r="K111" i="13" a="1"/>
  <c r="J111" i="13" a="1"/>
  <c r="I111" i="13" a="1"/>
  <c r="D119" i="13" a="1"/>
  <c r="H119" i="13" a="1"/>
  <c r="G119" i="13" a="1"/>
  <c r="F119" i="13" a="1"/>
  <c r="E119" i="13" a="1"/>
  <c r="L119" i="13" a="1"/>
  <c r="K119" i="13" a="1"/>
  <c r="J119" i="13" a="1"/>
  <c r="I119" i="13" a="1"/>
  <c r="D127" i="13" a="1"/>
  <c r="F127" i="13" a="1"/>
  <c r="E127" i="13" a="1"/>
  <c r="L127" i="13" a="1"/>
  <c r="K127" i="13" a="1"/>
  <c r="I127" i="13" a="1"/>
  <c r="H127" i="13" a="1"/>
  <c r="G127" i="13" a="1"/>
  <c r="J127" i="13" a="1"/>
  <c r="D135" i="13" a="1"/>
  <c r="L135" i="13" a="1"/>
  <c r="K135" i="13" a="1"/>
  <c r="J135" i="13" a="1"/>
  <c r="I135" i="13" a="1"/>
  <c r="H135" i="13" a="1"/>
  <c r="G135" i="13" a="1"/>
  <c r="F135" i="13" a="1"/>
  <c r="E135" i="13" a="1"/>
  <c r="D143" i="13" a="1"/>
  <c r="K143" i="13" a="1"/>
  <c r="J143" i="13" a="1"/>
  <c r="I143" i="13" a="1"/>
  <c r="H143" i="13" a="1"/>
  <c r="G143" i="13" a="1"/>
  <c r="F143" i="13" a="1"/>
  <c r="E143" i="13" a="1"/>
  <c r="L143" i="13" a="1"/>
  <c r="D151" i="13" a="1"/>
  <c r="K151" i="13" a="1"/>
  <c r="J151" i="13" a="1"/>
  <c r="I151" i="13" a="1"/>
  <c r="H151" i="13" a="1"/>
  <c r="G151" i="13" a="1"/>
  <c r="F151" i="13" a="1"/>
  <c r="E151" i="13" a="1"/>
  <c r="L151" i="13" a="1"/>
  <c r="D159" i="13" a="1"/>
  <c r="K159" i="13" a="1"/>
  <c r="J159" i="13" a="1"/>
  <c r="I159" i="13" a="1"/>
  <c r="H159" i="13" a="1"/>
  <c r="G159" i="13" a="1"/>
  <c r="F159" i="13" a="1"/>
  <c r="E159" i="13" a="1"/>
  <c r="L159" i="13" a="1"/>
  <c r="D167" i="13" a="1"/>
  <c r="L167" i="13" a="1"/>
  <c r="K167" i="13" a="1"/>
  <c r="E167" i="13" a="1"/>
  <c r="J167" i="13" a="1"/>
  <c r="I167" i="13" a="1"/>
  <c r="H167" i="13" a="1"/>
  <c r="G167" i="13" a="1"/>
  <c r="F167" i="13" a="1"/>
  <c r="D175" i="13" a="1"/>
  <c r="L175" i="13" a="1"/>
  <c r="K175" i="13" a="1"/>
  <c r="E175" i="13" a="1"/>
  <c r="J175" i="13" a="1"/>
  <c r="I175" i="13" a="1"/>
  <c r="H175" i="13" a="1"/>
  <c r="G175" i="13" a="1"/>
  <c r="F175" i="13" a="1"/>
  <c r="D183" i="13" a="1"/>
  <c r="L183" i="13" a="1"/>
  <c r="I183" i="13" a="1"/>
  <c r="K183" i="13" a="1"/>
  <c r="E183" i="13" a="1"/>
  <c r="J183" i="13" a="1"/>
  <c r="H183" i="13" a="1"/>
  <c r="G183" i="13" a="1"/>
  <c r="F183" i="13" a="1"/>
  <c r="D191" i="13" a="1"/>
  <c r="E191" i="13" a="1"/>
  <c r="K191" i="13" a="1"/>
  <c r="L191" i="13" a="1"/>
  <c r="I191" i="13" a="1"/>
  <c r="J191" i="13" a="1"/>
  <c r="H191" i="13" a="1"/>
  <c r="G191" i="13" a="1"/>
  <c r="F191" i="13" a="1"/>
  <c r="D3" i="13" a="1"/>
  <c r="L3" i="13" a="1"/>
  <c r="G3" i="13" a="1"/>
  <c r="K3" i="13" a="1"/>
  <c r="J3" i="13" a="1"/>
  <c r="I3" i="13" a="1"/>
  <c r="H3" i="13" a="1"/>
  <c r="F3" i="13" a="1"/>
  <c r="E3" i="13" a="1"/>
  <c r="D11" i="13" a="1"/>
  <c r="L11" i="13" a="1"/>
  <c r="G11" i="13" a="1"/>
  <c r="K11" i="13" a="1"/>
  <c r="J11" i="13" a="1"/>
  <c r="I11" i="13" a="1"/>
  <c r="H11" i="13" a="1"/>
  <c r="F11" i="13" a="1"/>
  <c r="E11" i="13" a="1"/>
  <c r="D19" i="13" a="1"/>
  <c r="L19" i="13" a="1"/>
  <c r="G19" i="13" a="1"/>
  <c r="K19" i="13" a="1"/>
  <c r="J19" i="13" a="1"/>
  <c r="I19" i="13" a="1"/>
  <c r="H19" i="13" a="1"/>
  <c r="F19" i="13" a="1"/>
  <c r="E19" i="13" a="1"/>
  <c r="D4" i="13" a="1"/>
  <c r="L4" i="13" a="1"/>
  <c r="G4" i="13" a="1"/>
  <c r="K4" i="13" a="1"/>
  <c r="J4" i="13" a="1"/>
  <c r="I4" i="13" a="1"/>
  <c r="H4" i="13" a="1"/>
  <c r="F4" i="13" a="1"/>
  <c r="E4" i="13" a="1"/>
  <c r="D20" i="13" a="1"/>
  <c r="L20" i="13" a="1"/>
  <c r="J20" i="13" a="1"/>
  <c r="G20" i="13" a="1"/>
  <c r="F20" i="13" a="1"/>
  <c r="K20" i="13" a="1"/>
  <c r="I20" i="13" a="1"/>
  <c r="H20" i="13" a="1"/>
  <c r="E20" i="13" a="1"/>
  <c r="D33" i="13" a="1"/>
  <c r="J33" i="13" a="1"/>
  <c r="G33" i="13" a="1"/>
  <c r="F33" i="13" a="1"/>
  <c r="L33" i="13" a="1"/>
  <c r="K33" i="13" a="1"/>
  <c r="I33" i="13" a="1"/>
  <c r="H33" i="13" a="1"/>
  <c r="E33" i="13" a="1"/>
  <c r="D49" i="13" a="1"/>
  <c r="J49" i="13" a="1"/>
  <c r="G49" i="13" a="1"/>
  <c r="F49" i="13" a="1"/>
  <c r="L49" i="13" a="1"/>
  <c r="K49" i="13" a="1"/>
  <c r="I49" i="13" a="1"/>
  <c r="H49" i="13" a="1"/>
  <c r="E49" i="13" a="1"/>
  <c r="D57" i="13" a="1"/>
  <c r="L57" i="13" a="1"/>
  <c r="K57" i="13" a="1"/>
  <c r="J57" i="13" a="1"/>
  <c r="I57" i="13" a="1"/>
  <c r="H57" i="13" a="1"/>
  <c r="G57" i="13" a="1"/>
  <c r="F57" i="13" a="1"/>
  <c r="E57" i="13" a="1"/>
  <c r="D73" i="13" a="1"/>
  <c r="L73" i="13" a="1"/>
  <c r="K73" i="13" a="1"/>
  <c r="J73" i="13" a="1"/>
  <c r="I73" i="13" a="1"/>
  <c r="H73" i="13" a="1"/>
  <c r="G73" i="13" a="1"/>
  <c r="F73" i="13" a="1"/>
  <c r="E73" i="13" a="1"/>
  <c r="D89" i="13" a="1"/>
  <c r="F89" i="13" a="1"/>
  <c r="E89" i="13" a="1"/>
  <c r="L89" i="13" a="1"/>
  <c r="K89" i="13" a="1"/>
  <c r="J89" i="13" a="1"/>
  <c r="I89" i="13" a="1"/>
  <c r="H89" i="13" a="1"/>
  <c r="G89" i="13" a="1"/>
  <c r="D113" i="13" a="1"/>
  <c r="H113" i="13" a="1"/>
  <c r="G113" i="13" a="1"/>
  <c r="F113" i="13" a="1"/>
  <c r="E113" i="13" a="1"/>
  <c r="L113" i="13" a="1"/>
  <c r="K113" i="13" a="1"/>
  <c r="J113" i="13" a="1"/>
  <c r="I113" i="13" a="1"/>
  <c r="D145" i="13" a="1"/>
  <c r="K145" i="13" a="1"/>
  <c r="J145" i="13" a="1"/>
  <c r="I145" i="13" a="1"/>
  <c r="H145" i="13" a="1"/>
  <c r="G145" i="13" a="1"/>
  <c r="F145" i="13" a="1"/>
  <c r="E145" i="13" a="1"/>
  <c r="L145" i="13" a="1"/>
  <c r="D169" i="13" a="1"/>
  <c r="K169" i="13" a="1"/>
  <c r="L169" i="13" a="1"/>
  <c r="E169" i="13" a="1"/>
  <c r="J169" i="13" a="1"/>
  <c r="I169" i="13" a="1"/>
  <c r="H169" i="13" a="1"/>
  <c r="G169" i="13" a="1"/>
  <c r="F169" i="13" a="1"/>
  <c r="D185" i="13" a="1"/>
  <c r="L185" i="13" a="1"/>
  <c r="K185" i="13" a="1"/>
  <c r="I185" i="13" a="1"/>
  <c r="E185" i="13" a="1"/>
  <c r="J185" i="13" a="1"/>
  <c r="H185" i="13" a="1"/>
  <c r="G185" i="13" a="1"/>
  <c r="F185" i="13" a="1"/>
  <c r="D5" i="13" a="1"/>
  <c r="L5" i="13" a="1"/>
  <c r="G5" i="13" a="1"/>
  <c r="K5" i="13" a="1"/>
  <c r="J5" i="13" a="1"/>
  <c r="I5" i="13" a="1"/>
  <c r="H5" i="13" a="1"/>
  <c r="F5" i="13" a="1"/>
  <c r="E5" i="13" a="1"/>
  <c r="D42" i="13" a="1"/>
  <c r="K42" i="13" a="1"/>
  <c r="J42" i="13" a="1"/>
  <c r="G42" i="13" a="1"/>
  <c r="F42" i="13" a="1"/>
  <c r="L42" i="13" a="1"/>
  <c r="I42" i="13" a="1"/>
  <c r="H42" i="13" a="1"/>
  <c r="E42" i="13" a="1"/>
  <c r="D114" i="13" a="1"/>
  <c r="E114" i="13" a="1"/>
  <c r="F114" i="13" a="1"/>
  <c r="H114" i="13" a="1"/>
  <c r="G114" i="13" a="1"/>
  <c r="L114" i="13" a="1"/>
  <c r="K114" i="13" a="1"/>
  <c r="J114" i="13" a="1"/>
  <c r="I114" i="13" a="1"/>
  <c r="D162" i="13" a="1"/>
  <c r="E162" i="13" a="1"/>
  <c r="K162" i="13" a="1"/>
  <c r="L162" i="13" a="1"/>
  <c r="J162" i="13" a="1"/>
  <c r="I162" i="13" a="1"/>
  <c r="H162" i="13" a="1"/>
  <c r="G162" i="13" a="1"/>
  <c r="F162" i="13" a="1"/>
  <c r="D14" i="13" a="1"/>
  <c r="L14" i="13" a="1"/>
  <c r="G14" i="13" a="1"/>
  <c r="K14" i="13" a="1"/>
  <c r="J14" i="13" a="1"/>
  <c r="I14" i="13" a="1"/>
  <c r="H14" i="13" a="1"/>
  <c r="F14" i="13" a="1"/>
  <c r="E14" i="13" a="1"/>
  <c r="D24" i="13" a="1"/>
  <c r="L24" i="13" a="1"/>
  <c r="J24" i="13" a="1"/>
  <c r="G24" i="13" a="1"/>
  <c r="F24" i="13" a="1"/>
  <c r="K24" i="13" a="1"/>
  <c r="I24" i="13" a="1"/>
  <c r="H24" i="13" a="1"/>
  <c r="E24" i="13" a="1"/>
  <c r="D32" i="13" a="1"/>
  <c r="L32" i="13" a="1"/>
  <c r="K32" i="13" a="1"/>
  <c r="J32" i="13" a="1"/>
  <c r="G32" i="13" a="1"/>
  <c r="F32" i="13" a="1"/>
  <c r="I32" i="13" a="1"/>
  <c r="H32" i="13" a="1"/>
  <c r="E32" i="13" a="1"/>
  <c r="D40" i="13" a="1"/>
  <c r="G40" i="13" a="1"/>
  <c r="F40" i="13" a="1"/>
  <c r="L40" i="13" a="1"/>
  <c r="K40" i="13" a="1"/>
  <c r="J40" i="13" a="1"/>
  <c r="I40" i="13" a="1"/>
  <c r="H40" i="13" a="1"/>
  <c r="E40" i="13" a="1"/>
  <c r="D48" i="13" a="1"/>
  <c r="L48" i="13" a="1"/>
  <c r="K48" i="13" a="1"/>
  <c r="J48" i="13" a="1"/>
  <c r="G48" i="13" a="1"/>
  <c r="F48" i="13" a="1"/>
  <c r="I48" i="13" a="1"/>
  <c r="H48" i="13" a="1"/>
  <c r="E48" i="13" a="1"/>
  <c r="D56" i="13" a="1"/>
  <c r="L56" i="13" a="1"/>
  <c r="K56" i="13" a="1"/>
  <c r="J56" i="13" a="1"/>
  <c r="I56" i="13" a="1"/>
  <c r="H56" i="13" a="1"/>
  <c r="G56" i="13" a="1"/>
  <c r="F56" i="13" a="1"/>
  <c r="E56" i="13" a="1"/>
  <c r="D64" i="13" a="1"/>
  <c r="L64" i="13" a="1"/>
  <c r="K64" i="13" a="1"/>
  <c r="J64" i="13" a="1"/>
  <c r="I64" i="13" a="1"/>
  <c r="H64" i="13" a="1"/>
  <c r="G64" i="13" a="1"/>
  <c r="F64" i="13" a="1"/>
  <c r="E64" i="13" a="1"/>
  <c r="D72" i="13" a="1"/>
  <c r="L72" i="13" a="1"/>
  <c r="K72" i="13" a="1"/>
  <c r="J72" i="13" a="1"/>
  <c r="I72" i="13" a="1"/>
  <c r="H72" i="13" a="1"/>
  <c r="G72" i="13" a="1"/>
  <c r="F72" i="13" a="1"/>
  <c r="E72" i="13" a="1"/>
  <c r="D80" i="13" a="1"/>
  <c r="L80" i="13" a="1"/>
  <c r="K80" i="13" a="1"/>
  <c r="J80" i="13" a="1"/>
  <c r="I80" i="13" a="1"/>
  <c r="H80" i="13" a="1"/>
  <c r="G80" i="13" a="1"/>
  <c r="F80" i="13" a="1"/>
  <c r="E80" i="13" a="1"/>
  <c r="D88" i="13" a="1"/>
  <c r="F88" i="13" a="1"/>
  <c r="E88" i="13" a="1"/>
  <c r="L88" i="13" a="1"/>
  <c r="K88" i="13" a="1"/>
  <c r="J88" i="13" a="1"/>
  <c r="I88" i="13" a="1"/>
  <c r="H88" i="13" a="1"/>
  <c r="G88" i="13" a="1"/>
  <c r="D96" i="13" a="1"/>
  <c r="H96" i="13" a="1"/>
  <c r="G96" i="13" a="1"/>
  <c r="F96" i="13" a="1"/>
  <c r="E96" i="13" a="1"/>
  <c r="L96" i="13" a="1"/>
  <c r="K96" i="13" a="1"/>
  <c r="J96" i="13" a="1"/>
  <c r="I96" i="13" a="1"/>
  <c r="D104" i="13" a="1"/>
  <c r="H104" i="13" a="1"/>
  <c r="G104" i="13" a="1"/>
  <c r="F104" i="13" a="1"/>
  <c r="E104" i="13" a="1"/>
  <c r="L104" i="13" a="1"/>
  <c r="K104" i="13" a="1"/>
  <c r="J104" i="13" a="1"/>
  <c r="I104" i="13" a="1"/>
  <c r="D112" i="13" a="1"/>
  <c r="E112" i="13" a="1"/>
  <c r="H112" i="13" a="1"/>
  <c r="G112" i="13" a="1"/>
  <c r="F112" i="13" a="1"/>
  <c r="L112" i="13" a="1"/>
  <c r="K112" i="13" a="1"/>
  <c r="J112" i="13" a="1"/>
  <c r="I112" i="13" a="1"/>
  <c r="D120" i="13" a="1"/>
  <c r="H120" i="13" a="1"/>
  <c r="G120" i="13" a="1"/>
  <c r="F120" i="13" a="1"/>
  <c r="E120" i="13" a="1"/>
  <c r="L120" i="13" a="1"/>
  <c r="K120" i="13" a="1"/>
  <c r="J120" i="13" a="1"/>
  <c r="I120" i="13" a="1"/>
  <c r="D128" i="13" a="1"/>
  <c r="L128" i="13" a="1"/>
  <c r="K128" i="13" a="1"/>
  <c r="I128" i="13" a="1"/>
  <c r="H128" i="13" a="1"/>
  <c r="G128" i="13" a="1"/>
  <c r="F128" i="13" a="1"/>
  <c r="E128" i="13" a="1"/>
  <c r="J128" i="13" a="1"/>
  <c r="D136" i="13" a="1"/>
  <c r="F136" i="13" a="1"/>
  <c r="E136" i="13" a="1"/>
  <c r="L136" i="13" a="1"/>
  <c r="K136" i="13" a="1"/>
  <c r="J136" i="13" a="1"/>
  <c r="I136" i="13" a="1"/>
  <c r="H136" i="13" a="1"/>
  <c r="G136" i="13" a="1"/>
  <c r="D144" i="13" a="1"/>
  <c r="K144" i="13" a="1"/>
  <c r="J144" i="13" a="1"/>
  <c r="I144" i="13" a="1"/>
  <c r="H144" i="13" a="1"/>
  <c r="G144" i="13" a="1"/>
  <c r="F144" i="13" a="1"/>
  <c r="E144" i="13" a="1"/>
  <c r="L144" i="13" a="1"/>
  <c r="D152" i="13" a="1"/>
  <c r="K152" i="13" a="1"/>
  <c r="J152" i="13" a="1"/>
  <c r="I152" i="13" a="1"/>
  <c r="H152" i="13" a="1"/>
  <c r="G152" i="13" a="1"/>
  <c r="F152" i="13" a="1"/>
  <c r="E152" i="13" a="1"/>
  <c r="L152" i="13" a="1"/>
  <c r="D160" i="13" a="1"/>
  <c r="K160" i="13" a="1"/>
  <c r="J160" i="13" a="1"/>
  <c r="I160" i="13" a="1"/>
  <c r="H160" i="13" a="1"/>
  <c r="G160" i="13" a="1"/>
  <c r="F160" i="13" a="1"/>
  <c r="E160" i="13" a="1"/>
  <c r="L160" i="13" a="1"/>
  <c r="D168" i="13" a="1"/>
  <c r="K168" i="13" a="1"/>
  <c r="E168" i="13" a="1"/>
  <c r="L168" i="13" a="1"/>
  <c r="J168" i="13" a="1"/>
  <c r="I168" i="13" a="1"/>
  <c r="H168" i="13" a="1"/>
  <c r="G168" i="13" a="1"/>
  <c r="F168" i="13" a="1"/>
  <c r="D176" i="13" a="1"/>
  <c r="K176" i="13" a="1"/>
  <c r="L176" i="13" a="1"/>
  <c r="E176" i="13" a="1"/>
  <c r="J176" i="13" a="1"/>
  <c r="I176" i="13" a="1"/>
  <c r="H176" i="13" a="1"/>
  <c r="G176" i="13" a="1"/>
  <c r="F176" i="13" a="1"/>
  <c r="D184" i="13" a="1"/>
  <c r="E184" i="13" a="1"/>
  <c r="K184" i="13" a="1"/>
  <c r="L184" i="13" a="1"/>
  <c r="I184" i="13" a="1"/>
  <c r="J184" i="13" a="1"/>
  <c r="H184" i="13" a="1"/>
  <c r="G184" i="13" a="1"/>
  <c r="F184" i="13" a="1"/>
  <c r="D12" i="13" a="1"/>
  <c r="L12" i="13" a="1"/>
  <c r="G12" i="13" a="1"/>
  <c r="K12" i="13" a="1"/>
  <c r="J12" i="13" a="1"/>
  <c r="I12" i="13" a="1"/>
  <c r="H12" i="13" a="1"/>
  <c r="F12" i="13" a="1"/>
  <c r="E12" i="13" a="1"/>
  <c r="D25" i="13" a="1"/>
  <c r="L25" i="13" a="1"/>
  <c r="J25" i="13" a="1"/>
  <c r="G25" i="13" a="1"/>
  <c r="F25" i="13" a="1"/>
  <c r="K25" i="13" a="1"/>
  <c r="I25" i="13" a="1"/>
  <c r="H25" i="13" a="1"/>
  <c r="E25" i="13" a="1"/>
  <c r="D81" i="13" a="1"/>
  <c r="L81" i="13" a="1"/>
  <c r="K81" i="13" a="1"/>
  <c r="J81" i="13" a="1"/>
  <c r="I81" i="13" a="1"/>
  <c r="H81" i="13" a="1"/>
  <c r="G81" i="13" a="1"/>
  <c r="F81" i="13" a="1"/>
  <c r="E81" i="13" a="1"/>
  <c r="D105" i="13" a="1"/>
  <c r="H105" i="13" a="1"/>
  <c r="G105" i="13" a="1"/>
  <c r="F105" i="13" a="1"/>
  <c r="E105" i="13" a="1"/>
  <c r="L105" i="13" a="1"/>
  <c r="K105" i="13" a="1"/>
  <c r="J105" i="13" a="1"/>
  <c r="I105" i="13" a="1"/>
  <c r="D121" i="13" a="1"/>
  <c r="E121" i="13" a="1"/>
  <c r="H121" i="13" a="1"/>
  <c r="G121" i="13" a="1"/>
  <c r="F121" i="13" a="1"/>
  <c r="L121" i="13" a="1"/>
  <c r="K121" i="13" a="1"/>
  <c r="J121" i="13" a="1"/>
  <c r="I121" i="13" a="1"/>
  <c r="D153" i="13" a="1"/>
  <c r="K153" i="13" a="1"/>
  <c r="J153" i="13" a="1"/>
  <c r="I153" i="13" a="1"/>
  <c r="H153" i="13" a="1"/>
  <c r="G153" i="13" a="1"/>
  <c r="F153" i="13" a="1"/>
  <c r="E153" i="13" a="1"/>
  <c r="L153" i="13" a="1"/>
  <c r="D177" i="13" a="1"/>
  <c r="L177" i="13" a="1"/>
  <c r="E177" i="13" a="1"/>
  <c r="I177" i="13" a="1"/>
  <c r="K177" i="13" a="1"/>
  <c r="J177" i="13" a="1"/>
  <c r="H177" i="13" a="1"/>
  <c r="G177" i="13" a="1"/>
  <c r="F177" i="13" a="1"/>
  <c r="D50" i="13" a="1"/>
  <c r="L50" i="13" a="1"/>
  <c r="K50" i="13" a="1"/>
  <c r="J50" i="13" a="1"/>
  <c r="G50" i="13" a="1"/>
  <c r="F50" i="13" a="1"/>
  <c r="I50" i="13" a="1"/>
  <c r="H50" i="13" a="1"/>
  <c r="E50" i="13" a="1"/>
  <c r="D98" i="13" a="1"/>
  <c r="H98" i="13" a="1"/>
  <c r="G98" i="13" a="1"/>
  <c r="F98" i="13" a="1"/>
  <c r="E98" i="13" a="1"/>
  <c r="L98" i="13" a="1"/>
  <c r="K98" i="13" a="1"/>
  <c r="J98" i="13" a="1"/>
  <c r="I98" i="13" a="1"/>
  <c r="D146" i="13" a="1"/>
  <c r="K146" i="13" a="1"/>
  <c r="J146" i="13" a="1"/>
  <c r="I146" i="13" a="1"/>
  <c r="H146" i="13" a="1"/>
  <c r="G146" i="13" a="1"/>
  <c r="F146" i="13" a="1"/>
  <c r="E146" i="13" a="1"/>
  <c r="L146" i="13" a="1"/>
  <c r="D6" i="13" a="1"/>
  <c r="L6" i="13" a="1"/>
  <c r="G6" i="13" a="1"/>
  <c r="K6" i="13" a="1"/>
  <c r="J6" i="13" a="1"/>
  <c r="H6" i="13" a="1"/>
  <c r="F6" i="13" a="1"/>
  <c r="E6" i="13" a="1"/>
  <c r="I6" i="13" a="1"/>
  <c r="D17" i="13" a="1"/>
  <c r="L17" i="13" a="1"/>
  <c r="G17" i="13" a="1"/>
  <c r="K17" i="13" a="1"/>
  <c r="J17" i="13" a="1"/>
  <c r="I17" i="13" a="1"/>
  <c r="H17" i="13" a="1"/>
  <c r="F17" i="13" a="1"/>
  <c r="E17" i="13" a="1"/>
  <c r="D41" i="13" a="1"/>
  <c r="L41" i="13" a="1"/>
  <c r="K41" i="13" a="1"/>
  <c r="J41" i="13" a="1"/>
  <c r="G41" i="13" a="1"/>
  <c r="F41" i="13" a="1"/>
  <c r="I41" i="13" a="1"/>
  <c r="H41" i="13" a="1"/>
  <c r="E41" i="13" a="1"/>
  <c r="D65" i="13" a="1"/>
  <c r="L65" i="13" a="1"/>
  <c r="K65" i="13" a="1"/>
  <c r="J65" i="13" a="1"/>
  <c r="I65" i="13" a="1"/>
  <c r="H65" i="13" a="1"/>
  <c r="G65" i="13" a="1"/>
  <c r="F65" i="13" a="1"/>
  <c r="E65" i="13" a="1"/>
  <c r="D97" i="13" a="1"/>
  <c r="E97" i="13" a="1"/>
  <c r="H97" i="13" a="1"/>
  <c r="G97" i="13" a="1"/>
  <c r="F97" i="13" a="1"/>
  <c r="L97" i="13" a="1"/>
  <c r="K97" i="13" a="1"/>
  <c r="J97" i="13" a="1"/>
  <c r="I97" i="13" a="1"/>
  <c r="D129" i="13" a="1"/>
  <c r="L129" i="13" a="1"/>
  <c r="K129" i="13" a="1"/>
  <c r="J129" i="13" a="1"/>
  <c r="I129" i="13" a="1"/>
  <c r="H129" i="13" a="1"/>
  <c r="G129" i="13" a="1"/>
  <c r="F129" i="13" a="1"/>
  <c r="E129" i="13" a="1"/>
  <c r="D161" i="13" a="1"/>
  <c r="E161" i="13" a="1"/>
  <c r="K161" i="13" a="1"/>
  <c r="J161" i="13" a="1"/>
  <c r="H161" i="13" a="1"/>
  <c r="I161" i="13" a="1"/>
  <c r="G161" i="13" a="1"/>
  <c r="F161" i="13" a="1"/>
  <c r="L161" i="13" a="1"/>
  <c r="D13" i="13" a="1"/>
  <c r="L13" i="13" a="1"/>
  <c r="G13" i="13" a="1"/>
  <c r="K13" i="13" a="1"/>
  <c r="J13" i="13" a="1"/>
  <c r="I13" i="13" a="1"/>
  <c r="H13" i="13" a="1"/>
  <c r="F13" i="13" a="1"/>
  <c r="E13" i="13" a="1"/>
  <c r="D2" i="13" a="1"/>
  <c r="L2" i="13" a="1"/>
  <c r="G2" i="13" a="1"/>
  <c r="K2" i="13" a="1"/>
  <c r="J2" i="13" a="1"/>
  <c r="I2" i="13" a="1"/>
  <c r="H2" i="13" a="1"/>
  <c r="F2" i="13" a="1"/>
  <c r="E2" i="13" a="1"/>
  <c r="D58" i="13" a="1"/>
  <c r="H58" i="13" a="1"/>
  <c r="G58" i="13" a="1"/>
  <c r="F58" i="13" a="1"/>
  <c r="E58" i="13" a="1"/>
  <c r="L58" i="13" a="1"/>
  <c r="K58" i="13" a="1"/>
  <c r="J58" i="13" a="1"/>
  <c r="I58" i="13" a="1"/>
  <c r="D130" i="13" a="1"/>
  <c r="G130" i="13" a="1"/>
  <c r="F130" i="13" a="1"/>
  <c r="E130" i="13" a="1"/>
  <c r="L130" i="13" a="1"/>
  <c r="K130" i="13" a="1"/>
  <c r="J130" i="13" a="1"/>
  <c r="I130" i="13" a="1"/>
  <c r="H130" i="13" a="1"/>
  <c r="D178" i="13" a="1"/>
  <c r="L178" i="13" a="1"/>
  <c r="K178" i="13" a="1"/>
  <c r="I178" i="13" a="1"/>
  <c r="E178" i="13" a="1"/>
  <c r="J178" i="13" a="1"/>
  <c r="H178" i="13" a="1"/>
  <c r="G178" i="13" a="1"/>
  <c r="F178" i="13" a="1"/>
  <c r="D137" i="13" a="1"/>
  <c r="J137" i="13" a="1"/>
  <c r="I137" i="13" a="1"/>
  <c r="H137" i="13" a="1"/>
  <c r="G137" i="13" a="1"/>
  <c r="F137" i="13" a="1"/>
  <c r="E137" i="13" a="1"/>
  <c r="L137" i="13" a="1"/>
  <c r="K137" i="13" a="1"/>
  <c r="D66" i="13" a="1"/>
  <c r="G66" i="13" a="1"/>
  <c r="H66" i="13" a="1"/>
  <c r="F66" i="13" a="1"/>
  <c r="E66" i="13" a="1"/>
  <c r="L66" i="13" a="1"/>
  <c r="K66" i="13" a="1"/>
  <c r="J66" i="13" a="1"/>
  <c r="I66" i="13" a="1"/>
  <c r="D122" i="13" a="1"/>
  <c r="H122" i="13" a="1"/>
  <c r="G122" i="13" a="1"/>
  <c r="F122" i="13" a="1"/>
  <c r="E122" i="13" a="1"/>
  <c r="L122" i="13" a="1"/>
  <c r="K122" i="13" a="1"/>
  <c r="J122" i="13" a="1"/>
  <c r="I122" i="13" a="1"/>
  <c r="D170" i="13" a="1"/>
  <c r="L170" i="13" a="1"/>
  <c r="K170" i="13" a="1"/>
  <c r="E170" i="13" a="1"/>
  <c r="J170" i="13" a="1"/>
  <c r="I170" i="13" a="1"/>
  <c r="H170" i="13" a="1"/>
  <c r="G170" i="13" a="1"/>
  <c r="F170" i="13" a="1"/>
  <c r="D74" i="13" a="1"/>
  <c r="H74" i="13" a="1"/>
  <c r="G74" i="13" a="1"/>
  <c r="F74" i="13" a="1"/>
  <c r="E74" i="13" a="1"/>
  <c r="L74" i="13" a="1"/>
  <c r="K74" i="13" a="1"/>
  <c r="J74" i="13" a="1"/>
  <c r="I74" i="13" a="1"/>
  <c r="D138" i="13" a="1"/>
  <c r="L138" i="13" a="1"/>
  <c r="K138" i="13" a="1"/>
  <c r="J138" i="13" a="1"/>
  <c r="I138" i="13" a="1"/>
  <c r="H138" i="13" a="1"/>
  <c r="G138" i="13" a="1"/>
  <c r="F138" i="13" a="1"/>
  <c r="E138" i="13" a="1"/>
  <c r="D186" i="13" a="1"/>
  <c r="I186" i="13" a="1"/>
  <c r="L186" i="13" a="1"/>
  <c r="E186" i="13" a="1"/>
  <c r="K186" i="13" a="1"/>
  <c r="J186" i="13" a="1"/>
  <c r="H186" i="13" a="1"/>
  <c r="G186" i="13" a="1"/>
  <c r="F186" i="13" a="1"/>
  <c r="D26" i="13" a="1"/>
  <c r="J26" i="13" a="1"/>
  <c r="G26" i="13" a="1"/>
  <c r="F26" i="13" a="1"/>
  <c r="L26" i="13" a="1"/>
  <c r="K26" i="13" a="1"/>
  <c r="I26" i="13" a="1"/>
  <c r="H26" i="13" a="1"/>
  <c r="E26" i="13" a="1"/>
  <c r="D34" i="13" a="1"/>
  <c r="L34" i="13" a="1"/>
  <c r="K34" i="13" a="1"/>
  <c r="J34" i="13" a="1"/>
  <c r="G34" i="13" a="1"/>
  <c r="F34" i="13" a="1"/>
  <c r="I34" i="13" a="1"/>
  <c r="H34" i="13" a="1"/>
  <c r="E34" i="13" a="1"/>
  <c r="D82" i="13" a="1"/>
  <c r="H82" i="13" a="1"/>
  <c r="G82" i="13" a="1"/>
  <c r="F82" i="13" a="1"/>
  <c r="E82" i="13" a="1"/>
  <c r="L82" i="13" a="1"/>
  <c r="K82" i="13" a="1"/>
  <c r="J82" i="13" a="1"/>
  <c r="I82" i="13" a="1"/>
  <c r="D90" i="13" a="1"/>
  <c r="E90" i="13" a="1"/>
  <c r="F90" i="13" a="1"/>
  <c r="L90" i="13" a="1"/>
  <c r="K90" i="13" a="1"/>
  <c r="J90" i="13" a="1"/>
  <c r="I90" i="13" a="1"/>
  <c r="H90" i="13" a="1"/>
  <c r="G90" i="13" a="1"/>
  <c r="D106" i="13" a="1"/>
  <c r="H106" i="13" a="1"/>
  <c r="G106" i="13" a="1"/>
  <c r="F106" i="13" a="1"/>
  <c r="E106" i="13" a="1"/>
  <c r="L106" i="13" a="1"/>
  <c r="K106" i="13" a="1"/>
  <c r="J106" i="13" a="1"/>
  <c r="I106" i="13" a="1"/>
  <c r="D154" i="13" a="1"/>
  <c r="K154" i="13" a="1"/>
  <c r="J154" i="13" a="1"/>
  <c r="I154" i="13" a="1"/>
  <c r="H154" i="13" a="1"/>
  <c r="G154" i="13" a="1"/>
  <c r="F154" i="13" a="1"/>
  <c r="E154" i="13" a="1"/>
  <c r="L154" i="13" a="1"/>
  <c r="D9" i="13" a="1"/>
  <c r="L9" i="13" a="1"/>
  <c r="G9" i="13" a="1"/>
  <c r="K9" i="13" a="1"/>
  <c r="J9" i="13" a="1"/>
  <c r="I9" i="13" a="1"/>
  <c r="H9" i="13" a="1"/>
  <c r="F9" i="13" a="1"/>
  <c r="E9" i="13" a="1"/>
  <c r="D27" i="13" a="1"/>
  <c r="L27" i="13" a="1"/>
  <c r="K27" i="13" a="1"/>
  <c r="J27" i="13" a="1"/>
  <c r="G27" i="13" a="1"/>
  <c r="F27" i="13" a="1"/>
  <c r="I27" i="13" a="1"/>
  <c r="H27" i="13" a="1"/>
  <c r="E27" i="13" a="1"/>
  <c r="D35" i="13" a="1"/>
  <c r="K35" i="13" a="1"/>
  <c r="J35" i="13" a="1"/>
  <c r="L35" i="13" a="1"/>
  <c r="G35" i="13" a="1"/>
  <c r="F35" i="13" a="1"/>
  <c r="I35" i="13" a="1"/>
  <c r="H35" i="13" a="1"/>
  <c r="E35" i="13" a="1"/>
  <c r="D43" i="13" a="1"/>
  <c r="L43" i="13" a="1"/>
  <c r="K43" i="13" a="1"/>
  <c r="J43" i="13" a="1"/>
  <c r="G43" i="13" a="1"/>
  <c r="F43" i="13" a="1"/>
  <c r="I43" i="13" a="1"/>
  <c r="H43" i="13" a="1"/>
  <c r="E43" i="13" a="1"/>
  <c r="D51" i="13" a="1"/>
  <c r="L51" i="13" a="1"/>
  <c r="K51" i="13" a="1"/>
  <c r="J51" i="13" a="1"/>
  <c r="G51" i="13" a="1"/>
  <c r="F51" i="13" a="1"/>
  <c r="I51" i="13" a="1"/>
  <c r="H51" i="13" a="1"/>
  <c r="E51" i="13" a="1"/>
  <c r="D59" i="13" a="1"/>
  <c r="L59" i="13" a="1"/>
  <c r="K59" i="13" a="1"/>
  <c r="J59" i="13" a="1"/>
  <c r="I59" i="13" a="1"/>
  <c r="H59" i="13" a="1"/>
  <c r="G59" i="13" a="1"/>
  <c r="F59" i="13" a="1"/>
  <c r="E59" i="13" a="1"/>
  <c r="D67" i="13" a="1"/>
  <c r="L67" i="13" a="1"/>
  <c r="K67" i="13" a="1"/>
  <c r="J67" i="13" a="1"/>
  <c r="I67" i="13" a="1"/>
  <c r="H67" i="13" a="1"/>
  <c r="G67" i="13" a="1"/>
  <c r="F67" i="13" a="1"/>
  <c r="E67" i="13" a="1"/>
  <c r="D75" i="13" a="1"/>
  <c r="L75" i="13" a="1"/>
  <c r="K75" i="13" a="1"/>
  <c r="J75" i="13" a="1"/>
  <c r="I75" i="13" a="1"/>
  <c r="H75" i="13" a="1"/>
  <c r="G75" i="13" a="1"/>
  <c r="F75" i="13" a="1"/>
  <c r="E75" i="13" a="1"/>
  <c r="D83" i="13" a="1"/>
  <c r="L83" i="13" a="1"/>
  <c r="K83" i="13" a="1"/>
  <c r="J83" i="13" a="1"/>
  <c r="I83" i="13" a="1"/>
  <c r="H83" i="13" a="1"/>
  <c r="G83" i="13" a="1"/>
  <c r="F83" i="13" a="1"/>
  <c r="E83" i="13" a="1"/>
  <c r="D91" i="13" a="1"/>
  <c r="H91" i="13" a="1"/>
  <c r="F91" i="13" a="1"/>
  <c r="E91" i="13" a="1"/>
  <c r="L91" i="13" a="1"/>
  <c r="K91" i="13" a="1"/>
  <c r="J91" i="13" a="1"/>
  <c r="I91" i="13" a="1"/>
  <c r="G91" i="13" a="1"/>
  <c r="D99" i="13" a="1"/>
  <c r="H99" i="13" a="1"/>
  <c r="G99" i="13" a="1"/>
  <c r="F99" i="13" a="1"/>
  <c r="E99" i="13" a="1"/>
  <c r="L99" i="13" a="1"/>
  <c r="K99" i="13" a="1"/>
  <c r="J99" i="13" a="1"/>
  <c r="I99" i="13" a="1"/>
  <c r="D107" i="13" a="1"/>
  <c r="H107" i="13" a="1"/>
  <c r="G107" i="13" a="1"/>
  <c r="F107" i="13" a="1"/>
  <c r="E107" i="13" a="1"/>
  <c r="L107" i="13" a="1"/>
  <c r="K107" i="13" a="1"/>
  <c r="J107" i="13" a="1"/>
  <c r="I107" i="13" a="1"/>
  <c r="D115" i="13" a="1"/>
  <c r="H115" i="13" a="1"/>
  <c r="G115" i="13" a="1"/>
  <c r="F115" i="13" a="1"/>
  <c r="E115" i="13" a="1"/>
  <c r="L115" i="13" a="1"/>
  <c r="K115" i="13" a="1"/>
  <c r="J115" i="13" a="1"/>
  <c r="I115" i="13" a="1"/>
  <c r="D123" i="13" a="1"/>
  <c r="F123" i="13" a="1"/>
  <c r="E123" i="13" a="1"/>
  <c r="L123" i="13" a="1"/>
  <c r="H123" i="13" a="1"/>
  <c r="G123" i="13" a="1"/>
  <c r="K123" i="13" a="1"/>
  <c r="J123" i="13" a="1"/>
  <c r="I123" i="13" a="1"/>
  <c r="D131" i="13" a="1"/>
  <c r="K131" i="13" a="1"/>
  <c r="J131" i="13" a="1"/>
  <c r="I131" i="13" a="1"/>
  <c r="H131" i="13" a="1"/>
  <c r="G131" i="13" a="1"/>
  <c r="F131" i="13" a="1"/>
  <c r="E131" i="13" a="1"/>
  <c r="L131" i="13" a="1"/>
  <c r="D139" i="13" a="1"/>
  <c r="E139" i="13" a="1"/>
  <c r="L139" i="13" a="1"/>
  <c r="K139" i="13" a="1"/>
  <c r="J139" i="13" a="1"/>
  <c r="I139" i="13" a="1"/>
  <c r="H139" i="13" a="1"/>
  <c r="G139" i="13" a="1"/>
  <c r="F139" i="13" a="1"/>
  <c r="D147" i="13" a="1"/>
  <c r="K147" i="13" a="1"/>
  <c r="J147" i="13" a="1"/>
  <c r="I147" i="13" a="1"/>
  <c r="H147" i="13" a="1"/>
  <c r="G147" i="13" a="1"/>
  <c r="F147" i="13" a="1"/>
  <c r="E147" i="13" a="1"/>
  <c r="L147" i="13" a="1"/>
  <c r="D155" i="13" a="1"/>
  <c r="K155" i="13" a="1"/>
  <c r="J155" i="13" a="1"/>
  <c r="H155" i="13" a="1"/>
  <c r="I155" i="13" a="1"/>
  <c r="G155" i="13" a="1"/>
  <c r="F155" i="13" a="1"/>
  <c r="E155" i="13" a="1"/>
  <c r="L155" i="13" a="1"/>
  <c r="D163" i="13" a="1"/>
  <c r="L163" i="13" a="1"/>
  <c r="K163" i="13" a="1"/>
  <c r="E163" i="13" a="1"/>
  <c r="J163" i="13" a="1"/>
  <c r="I163" i="13" a="1"/>
  <c r="H163" i="13" a="1"/>
  <c r="G163" i="13" a="1"/>
  <c r="F163" i="13" a="1"/>
  <c r="D171" i="13" a="1"/>
  <c r="L171" i="13" a="1"/>
  <c r="K171" i="13" a="1"/>
  <c r="E171" i="13" a="1"/>
  <c r="J171" i="13" a="1"/>
  <c r="I171" i="13" a="1"/>
  <c r="H171" i="13" a="1"/>
  <c r="G171" i="13" a="1"/>
  <c r="F171" i="13" a="1"/>
  <c r="D179" i="13" a="1"/>
  <c r="K179" i="13" a="1"/>
  <c r="I179" i="13" a="1"/>
  <c r="E179" i="13" a="1"/>
  <c r="L179" i="13" a="1"/>
  <c r="J179" i="13" a="1"/>
  <c r="H179" i="13" a="1"/>
  <c r="G179" i="13" a="1"/>
  <c r="F179" i="13" a="1"/>
  <c r="D187" i="13" a="1"/>
  <c r="L187" i="13" a="1"/>
  <c r="K187" i="13" a="1"/>
  <c r="I187" i="13" a="1"/>
  <c r="E187" i="13" a="1"/>
  <c r="J187" i="13" a="1"/>
  <c r="H187" i="13" a="1"/>
  <c r="G187" i="13" a="1"/>
  <c r="F187" i="13" a="1"/>
  <c r="D7" i="13" a="1"/>
  <c r="L7" i="13" a="1"/>
  <c r="G7" i="13" a="1"/>
  <c r="K7" i="13" a="1"/>
  <c r="J7" i="13" a="1"/>
  <c r="I7" i="13" a="1"/>
  <c r="H7" i="13" a="1"/>
  <c r="F7" i="13" a="1"/>
  <c r="E7" i="13" a="1"/>
  <c r="D15" i="13" a="1"/>
  <c r="L15" i="13" a="1"/>
  <c r="G15" i="13" a="1"/>
  <c r="K15" i="13" a="1"/>
  <c r="J15" i="13" a="1"/>
  <c r="I15" i="13" a="1"/>
  <c r="H15" i="13" a="1"/>
  <c r="F15" i="13" a="1"/>
  <c r="E15" i="13" a="1"/>
  <c r="D93" i="13" a="1"/>
  <c r="H93" i="13" a="1"/>
  <c r="G93" i="13" a="1"/>
  <c r="F93" i="13" a="1"/>
  <c r="E93" i="13" a="1"/>
  <c r="L93" i="13" a="1"/>
  <c r="K93" i="13" a="1"/>
  <c r="J93" i="13" a="1"/>
  <c r="I93" i="13" a="1"/>
  <c r="D125" i="13" a="1"/>
  <c r="F125" i="13" a="1"/>
  <c r="E125" i="13" a="1"/>
  <c r="L125" i="13" a="1"/>
  <c r="H125" i="13" a="1"/>
  <c r="G125" i="13" a="1"/>
  <c r="K125" i="13" a="1"/>
  <c r="J125" i="13" a="1"/>
  <c r="I125" i="13" a="1"/>
  <c r="D157" i="13" a="1"/>
  <c r="K157" i="13" a="1"/>
  <c r="J157" i="13" a="1"/>
  <c r="I157" i="13" a="1"/>
  <c r="H157" i="13" a="1"/>
  <c r="G157" i="13" a="1"/>
  <c r="F157" i="13" a="1"/>
  <c r="E157" i="13" a="1"/>
  <c r="L157" i="13" a="1"/>
  <c r="D181" i="13" a="1"/>
  <c r="K181" i="13" a="1"/>
  <c r="I181" i="13" a="1"/>
  <c r="E181" i="13" a="1"/>
  <c r="L181" i="13" a="1"/>
  <c r="J181" i="13" a="1"/>
  <c r="H181" i="13" a="1"/>
  <c r="G181" i="13" a="1"/>
  <c r="F181" i="13" a="1"/>
  <c r="F181" i="13" l="1"/>
  <c r="G181" i="13"/>
  <c r="H181" i="13"/>
  <c r="J181" i="13"/>
  <c r="L181" i="13"/>
  <c r="E181" i="13"/>
  <c r="I181" i="13"/>
  <c r="K181" i="13"/>
  <c r="D181" i="13"/>
  <c r="L157" i="13"/>
  <c r="E157" i="13"/>
  <c r="F157" i="13"/>
  <c r="G157" i="13"/>
  <c r="H157" i="13"/>
  <c r="I157" i="13"/>
  <c r="J157" i="13"/>
  <c r="K157" i="13"/>
  <c r="D157" i="13"/>
  <c r="I125" i="13"/>
  <c r="J125" i="13"/>
  <c r="K125" i="13"/>
  <c r="G125" i="13"/>
  <c r="H125" i="13"/>
  <c r="L125" i="13"/>
  <c r="E125" i="13"/>
  <c r="F125" i="13"/>
  <c r="D125" i="13"/>
  <c r="I93" i="13"/>
  <c r="J93" i="13"/>
  <c r="K93" i="13"/>
  <c r="L93" i="13"/>
  <c r="E93" i="13"/>
  <c r="F93" i="13"/>
  <c r="G93" i="13"/>
  <c r="H93" i="13"/>
  <c r="D93" i="13"/>
  <c r="E15" i="13"/>
  <c r="F15" i="13"/>
  <c r="H15" i="13"/>
  <c r="I15" i="13"/>
  <c r="J15" i="13"/>
  <c r="K15" i="13"/>
  <c r="G15" i="13"/>
  <c r="L15" i="13"/>
  <c r="D15" i="13"/>
  <c r="E7" i="13"/>
  <c r="F7" i="13"/>
  <c r="H7" i="13"/>
  <c r="I7" i="13"/>
  <c r="J7" i="13"/>
  <c r="K7" i="13"/>
  <c r="G7" i="13"/>
  <c r="L7" i="13"/>
  <c r="D7" i="13"/>
  <c r="F187" i="13"/>
  <c r="G187" i="13"/>
  <c r="H187" i="13"/>
  <c r="J187" i="13"/>
  <c r="E187" i="13"/>
  <c r="I187" i="13"/>
  <c r="K187" i="13"/>
  <c r="L187" i="13"/>
  <c r="D187" i="13"/>
  <c r="F179" i="13"/>
  <c r="G179" i="13"/>
  <c r="H179" i="13"/>
  <c r="J179" i="13"/>
  <c r="L179" i="13"/>
  <c r="E179" i="13"/>
  <c r="I179" i="13"/>
  <c r="K179" i="13"/>
  <c r="D179" i="13"/>
  <c r="F171" i="13"/>
  <c r="G171" i="13"/>
  <c r="H171" i="13"/>
  <c r="I171" i="13"/>
  <c r="J171" i="13"/>
  <c r="E171" i="13"/>
  <c r="K171" i="13"/>
  <c r="L171" i="13"/>
  <c r="D171" i="13"/>
  <c r="F163" i="13"/>
  <c r="G163" i="13"/>
  <c r="H163" i="13"/>
  <c r="I163" i="13"/>
  <c r="J163" i="13"/>
  <c r="E163" i="13"/>
  <c r="K163" i="13"/>
  <c r="L163" i="13"/>
  <c r="D163" i="13"/>
  <c r="L155" i="13"/>
  <c r="E155" i="13"/>
  <c r="F155" i="13"/>
  <c r="G155" i="13"/>
  <c r="I155" i="13"/>
  <c r="H155" i="13"/>
  <c r="J155" i="13"/>
  <c r="K155" i="13"/>
  <c r="D155" i="13"/>
  <c r="L147" i="13"/>
  <c r="E147" i="13"/>
  <c r="F147" i="13"/>
  <c r="G147" i="13"/>
  <c r="H147" i="13"/>
  <c r="I147" i="13"/>
  <c r="J147" i="13"/>
  <c r="K147" i="13"/>
  <c r="D147" i="13"/>
  <c r="F139" i="13"/>
  <c r="G139" i="13"/>
  <c r="H139" i="13"/>
  <c r="I139" i="13"/>
  <c r="J139" i="13"/>
  <c r="K139" i="13"/>
  <c r="L139" i="13"/>
  <c r="E139" i="13"/>
  <c r="D139" i="13"/>
  <c r="L131" i="13"/>
  <c r="E131" i="13"/>
  <c r="F131" i="13"/>
  <c r="G131" i="13"/>
  <c r="H131" i="13"/>
  <c r="I131" i="13"/>
  <c r="J131" i="13"/>
  <c r="K131" i="13"/>
  <c r="D131" i="13"/>
  <c r="I123" i="13"/>
  <c r="J123" i="13"/>
  <c r="K123" i="13"/>
  <c r="G123" i="13"/>
  <c r="H123" i="13"/>
  <c r="L123" i="13"/>
  <c r="E123" i="13"/>
  <c r="F123" i="13"/>
  <c r="D123" i="13"/>
  <c r="I115" i="13"/>
  <c r="J115" i="13"/>
  <c r="K115" i="13"/>
  <c r="L115" i="13"/>
  <c r="E115" i="13"/>
  <c r="F115" i="13"/>
  <c r="G115" i="13"/>
  <c r="H115" i="13"/>
  <c r="D115" i="13"/>
  <c r="I107" i="13"/>
  <c r="J107" i="13"/>
  <c r="K107" i="13"/>
  <c r="L107" i="13"/>
  <c r="E107" i="13"/>
  <c r="F107" i="13"/>
  <c r="G107" i="13"/>
  <c r="H107" i="13"/>
  <c r="D107" i="13"/>
  <c r="I99" i="13"/>
  <c r="J99" i="13"/>
  <c r="K99" i="13"/>
  <c r="L99" i="13"/>
  <c r="E99" i="13"/>
  <c r="F99" i="13"/>
  <c r="G99" i="13"/>
  <c r="H99" i="13"/>
  <c r="D99" i="13"/>
  <c r="G91" i="13"/>
  <c r="I91" i="13"/>
  <c r="J91" i="13"/>
  <c r="K91" i="13"/>
  <c r="L91" i="13"/>
  <c r="E91" i="13"/>
  <c r="F91" i="13"/>
  <c r="H91" i="13"/>
  <c r="D91" i="13"/>
  <c r="E83" i="13"/>
  <c r="F83" i="13"/>
  <c r="G83" i="13"/>
  <c r="H83" i="13"/>
  <c r="I83" i="13"/>
  <c r="J83" i="13"/>
  <c r="K83" i="13"/>
  <c r="L83" i="13"/>
  <c r="D83" i="13"/>
  <c r="E75" i="13"/>
  <c r="F75" i="13"/>
  <c r="G75" i="13"/>
  <c r="H75" i="13"/>
  <c r="I75" i="13"/>
  <c r="J75" i="13"/>
  <c r="K75" i="13"/>
  <c r="L75" i="13"/>
  <c r="D75" i="13"/>
  <c r="E67" i="13"/>
  <c r="F67" i="13"/>
  <c r="G67" i="13"/>
  <c r="H67" i="13"/>
  <c r="I67" i="13"/>
  <c r="J67" i="13"/>
  <c r="K67" i="13"/>
  <c r="L67" i="13"/>
  <c r="D67" i="13"/>
  <c r="E59" i="13"/>
  <c r="F59" i="13"/>
  <c r="G59" i="13"/>
  <c r="H59" i="13"/>
  <c r="I59" i="13"/>
  <c r="J59" i="13"/>
  <c r="K59" i="13"/>
  <c r="L59" i="13"/>
  <c r="D59" i="13"/>
  <c r="E51" i="13"/>
  <c r="H51" i="13"/>
  <c r="I51" i="13"/>
  <c r="F51" i="13"/>
  <c r="G51" i="13"/>
  <c r="J51" i="13"/>
  <c r="K51" i="13"/>
  <c r="L51" i="13"/>
  <c r="D51" i="13"/>
  <c r="E43" i="13"/>
  <c r="H43" i="13"/>
  <c r="I43" i="13"/>
  <c r="F43" i="13"/>
  <c r="G43" i="13"/>
  <c r="J43" i="13"/>
  <c r="K43" i="13"/>
  <c r="L43" i="13"/>
  <c r="D43" i="13"/>
  <c r="E35" i="13"/>
  <c r="H35" i="13"/>
  <c r="I35" i="13"/>
  <c r="F35" i="13"/>
  <c r="G35" i="13"/>
  <c r="L35" i="13"/>
  <c r="J35" i="13"/>
  <c r="K35" i="13"/>
  <c r="D35" i="13"/>
  <c r="E27" i="13"/>
  <c r="H27" i="13"/>
  <c r="I27" i="13"/>
  <c r="F27" i="13"/>
  <c r="G27" i="13"/>
  <c r="J27" i="13"/>
  <c r="K27" i="13"/>
  <c r="L27" i="13"/>
  <c r="D27" i="13"/>
  <c r="E9" i="13"/>
  <c r="F9" i="13"/>
  <c r="H9" i="13"/>
  <c r="I9" i="13"/>
  <c r="J9" i="13"/>
  <c r="K9" i="13"/>
  <c r="G9" i="13"/>
  <c r="L9" i="13"/>
  <c r="D9" i="13"/>
  <c r="L154" i="13"/>
  <c r="E154" i="13"/>
  <c r="F154" i="13"/>
  <c r="G154" i="13"/>
  <c r="H154" i="13"/>
  <c r="I154" i="13"/>
  <c r="J154" i="13"/>
  <c r="K154" i="13"/>
  <c r="D154" i="13"/>
  <c r="I106" i="13"/>
  <c r="J106" i="13"/>
  <c r="K106" i="13"/>
  <c r="L106" i="13"/>
  <c r="E106" i="13"/>
  <c r="F106" i="13"/>
  <c r="G106" i="13"/>
  <c r="H106" i="13"/>
  <c r="D106" i="13"/>
  <c r="G90" i="13"/>
  <c r="H90" i="13"/>
  <c r="I90" i="13"/>
  <c r="J90" i="13"/>
  <c r="K90" i="13"/>
  <c r="L90" i="13"/>
  <c r="F90" i="13"/>
  <c r="E90" i="13"/>
  <c r="D90" i="13"/>
  <c r="I82" i="13"/>
  <c r="J82" i="13"/>
  <c r="K82" i="13"/>
  <c r="L82" i="13"/>
  <c r="E82" i="13"/>
  <c r="F82" i="13"/>
  <c r="G82" i="13"/>
  <c r="H82" i="13"/>
  <c r="D82" i="13"/>
  <c r="E34" i="13"/>
  <c r="H34" i="13"/>
  <c r="I34" i="13"/>
  <c r="F34" i="13"/>
  <c r="G34" i="13"/>
  <c r="J34" i="13"/>
  <c r="K34" i="13"/>
  <c r="L34" i="13"/>
  <c r="D34" i="13"/>
  <c r="E26" i="13"/>
  <c r="H26" i="13"/>
  <c r="I26" i="13"/>
  <c r="K26" i="13"/>
  <c r="L26" i="13"/>
  <c r="F26" i="13"/>
  <c r="G26" i="13"/>
  <c r="J26" i="13"/>
  <c r="D26" i="13"/>
  <c r="F186" i="13"/>
  <c r="G186" i="13"/>
  <c r="H186" i="13"/>
  <c r="J186" i="13"/>
  <c r="K186" i="13"/>
  <c r="E186" i="13"/>
  <c r="L186" i="13"/>
  <c r="I186" i="13"/>
  <c r="D186" i="13"/>
  <c r="E138" i="13"/>
  <c r="F138" i="13"/>
  <c r="G138" i="13"/>
  <c r="H138" i="13"/>
  <c r="I138" i="13"/>
  <c r="J138" i="13"/>
  <c r="K138" i="13"/>
  <c r="L138" i="13"/>
  <c r="D138" i="13"/>
  <c r="I74" i="13"/>
  <c r="J74" i="13"/>
  <c r="K74" i="13"/>
  <c r="L74" i="13"/>
  <c r="E74" i="13"/>
  <c r="F74" i="13"/>
  <c r="G74" i="13"/>
  <c r="H74" i="13"/>
  <c r="D74" i="13"/>
  <c r="F170" i="13"/>
  <c r="G170" i="13"/>
  <c r="H170" i="13"/>
  <c r="I170" i="13"/>
  <c r="J170" i="13"/>
  <c r="E170" i="13"/>
  <c r="K170" i="13"/>
  <c r="L170" i="13"/>
  <c r="D170" i="13"/>
  <c r="I122" i="13"/>
  <c r="J122" i="13"/>
  <c r="K122" i="13"/>
  <c r="L122" i="13"/>
  <c r="E122" i="13"/>
  <c r="F122" i="13"/>
  <c r="G122" i="13"/>
  <c r="H122" i="13"/>
  <c r="D122" i="13"/>
  <c r="I66" i="13"/>
  <c r="J66" i="13"/>
  <c r="K66" i="13"/>
  <c r="L66" i="13"/>
  <c r="E66" i="13"/>
  <c r="F66" i="13"/>
  <c r="H66" i="13"/>
  <c r="G66" i="13"/>
  <c r="D66" i="13"/>
  <c r="K137" i="13"/>
  <c r="L137" i="13"/>
  <c r="E137" i="13"/>
  <c r="F137" i="13"/>
  <c r="G137" i="13"/>
  <c r="H137" i="13"/>
  <c r="I137" i="13"/>
  <c r="J137" i="13"/>
  <c r="D137" i="13"/>
  <c r="F178" i="13"/>
  <c r="G178" i="13"/>
  <c r="H178" i="13"/>
  <c r="J178" i="13"/>
  <c r="E178" i="13"/>
  <c r="I178" i="13"/>
  <c r="K178" i="13"/>
  <c r="L178" i="13"/>
  <c r="D178" i="13"/>
  <c r="H130" i="13"/>
  <c r="I130" i="13"/>
  <c r="J130" i="13"/>
  <c r="K130" i="13"/>
  <c r="L130" i="13"/>
  <c r="E130" i="13"/>
  <c r="F130" i="13"/>
  <c r="G130" i="13"/>
  <c r="D130" i="13"/>
  <c r="I58" i="13"/>
  <c r="J58" i="13"/>
  <c r="K58" i="13"/>
  <c r="L58" i="13"/>
  <c r="E58" i="13"/>
  <c r="F58" i="13"/>
  <c r="G58" i="13"/>
  <c r="H58" i="13"/>
  <c r="D58" i="13"/>
  <c r="E2" i="13"/>
  <c r="F2" i="13"/>
  <c r="H2" i="13"/>
  <c r="I2" i="13"/>
  <c r="J2" i="13"/>
  <c r="K2" i="13"/>
  <c r="G2" i="13"/>
  <c r="L2" i="13"/>
  <c r="D2" i="13"/>
  <c r="E13" i="13"/>
  <c r="F13" i="13"/>
  <c r="H13" i="13"/>
  <c r="I13" i="13"/>
  <c r="J13" i="13"/>
  <c r="K13" i="13"/>
  <c r="G13" i="13"/>
  <c r="L13" i="13"/>
  <c r="D13" i="13"/>
  <c r="L161" i="13"/>
  <c r="F161" i="13"/>
  <c r="G161" i="13"/>
  <c r="I161" i="13"/>
  <c r="H161" i="13"/>
  <c r="J161" i="13"/>
  <c r="K161" i="13"/>
  <c r="E161" i="13"/>
  <c r="D161" i="13"/>
  <c r="E129" i="13"/>
  <c r="F129" i="13"/>
  <c r="G129" i="13"/>
  <c r="H129" i="13"/>
  <c r="I129" i="13"/>
  <c r="J129" i="13"/>
  <c r="K129" i="13"/>
  <c r="L129" i="13"/>
  <c r="D129" i="13"/>
  <c r="I97" i="13"/>
  <c r="J97" i="13"/>
  <c r="K97" i="13"/>
  <c r="L97" i="13"/>
  <c r="F97" i="13"/>
  <c r="G97" i="13"/>
  <c r="H97" i="13"/>
  <c r="E97" i="13"/>
  <c r="D97" i="13"/>
  <c r="E65" i="13"/>
  <c r="F65" i="13"/>
  <c r="G65" i="13"/>
  <c r="H65" i="13"/>
  <c r="I65" i="13"/>
  <c r="J65" i="13"/>
  <c r="K65" i="13"/>
  <c r="L65" i="13"/>
  <c r="D65" i="13"/>
  <c r="E41" i="13"/>
  <c r="H41" i="13"/>
  <c r="I41" i="13"/>
  <c r="F41" i="13"/>
  <c r="G41" i="13"/>
  <c r="J41" i="13"/>
  <c r="K41" i="13"/>
  <c r="L41" i="13"/>
  <c r="D41" i="13"/>
  <c r="E17" i="13"/>
  <c r="F17" i="13"/>
  <c r="H17" i="13"/>
  <c r="I17" i="13"/>
  <c r="J17" i="13"/>
  <c r="K17" i="13"/>
  <c r="G17" i="13"/>
  <c r="L17" i="13"/>
  <c r="D17" i="13"/>
  <c r="I6" i="13"/>
  <c r="E6" i="13"/>
  <c r="F6" i="13"/>
  <c r="H6" i="13"/>
  <c r="J6" i="13"/>
  <c r="K6" i="13"/>
  <c r="G6" i="13"/>
  <c r="L6" i="13"/>
  <c r="D6" i="13"/>
  <c r="L146" i="13"/>
  <c r="E146" i="13"/>
  <c r="F146" i="13"/>
  <c r="G146" i="13"/>
  <c r="H146" i="13"/>
  <c r="I146" i="13"/>
  <c r="J146" i="13"/>
  <c r="K146" i="13"/>
  <c r="D146" i="13"/>
  <c r="I98" i="13"/>
  <c r="J98" i="13"/>
  <c r="K98" i="13"/>
  <c r="L98" i="13"/>
  <c r="E98" i="13"/>
  <c r="F98" i="13"/>
  <c r="G98" i="13"/>
  <c r="H98" i="13"/>
  <c r="D98" i="13"/>
  <c r="E50" i="13"/>
  <c r="H50" i="13"/>
  <c r="I50" i="13"/>
  <c r="F50" i="13"/>
  <c r="G50" i="13"/>
  <c r="J50" i="13"/>
  <c r="K50" i="13"/>
  <c r="L50" i="13"/>
  <c r="D50" i="13"/>
  <c r="F177" i="13"/>
  <c r="G177" i="13"/>
  <c r="H177" i="13"/>
  <c r="J177" i="13"/>
  <c r="K177" i="13"/>
  <c r="I177" i="13"/>
  <c r="E177" i="13"/>
  <c r="L177" i="13"/>
  <c r="D177" i="13"/>
  <c r="L153" i="13"/>
  <c r="E153" i="13"/>
  <c r="F153" i="13"/>
  <c r="G153" i="13"/>
  <c r="H153" i="13"/>
  <c r="I153" i="13"/>
  <c r="J153" i="13"/>
  <c r="K153" i="13"/>
  <c r="D153" i="13"/>
  <c r="I121" i="13"/>
  <c r="J121" i="13"/>
  <c r="K121" i="13"/>
  <c r="L121" i="13"/>
  <c r="F121" i="13"/>
  <c r="G121" i="13"/>
  <c r="H121" i="13"/>
  <c r="E121" i="13"/>
  <c r="D121" i="13"/>
  <c r="I105" i="13"/>
  <c r="J105" i="13"/>
  <c r="K105" i="13"/>
  <c r="L105" i="13"/>
  <c r="E105" i="13"/>
  <c r="F105" i="13"/>
  <c r="G105" i="13"/>
  <c r="H105" i="13"/>
  <c r="D105" i="13"/>
  <c r="E81" i="13"/>
  <c r="F81" i="13"/>
  <c r="G81" i="13"/>
  <c r="H81" i="13"/>
  <c r="I81" i="13"/>
  <c r="J81" i="13"/>
  <c r="K81" i="13"/>
  <c r="L81" i="13"/>
  <c r="D81" i="13"/>
  <c r="E25" i="13"/>
  <c r="H25" i="13"/>
  <c r="I25" i="13"/>
  <c r="K25" i="13"/>
  <c r="F25" i="13"/>
  <c r="G25" i="13"/>
  <c r="J25" i="13"/>
  <c r="L25" i="13"/>
  <c r="D25" i="13"/>
  <c r="E12" i="13"/>
  <c r="F12" i="13"/>
  <c r="H12" i="13"/>
  <c r="I12" i="13"/>
  <c r="J12" i="13"/>
  <c r="K12" i="13"/>
  <c r="G12" i="13"/>
  <c r="L12" i="13"/>
  <c r="D12" i="13"/>
  <c r="F184" i="13"/>
  <c r="G184" i="13"/>
  <c r="H184" i="13"/>
  <c r="J184" i="13"/>
  <c r="I184" i="13"/>
  <c r="L184" i="13"/>
  <c r="K184" i="13"/>
  <c r="E184" i="13"/>
  <c r="D184" i="13"/>
  <c r="F176" i="13"/>
  <c r="G176" i="13"/>
  <c r="H176" i="13"/>
  <c r="I176" i="13"/>
  <c r="J176" i="13"/>
  <c r="E176" i="13"/>
  <c r="L176" i="13"/>
  <c r="K176" i="13"/>
  <c r="D176" i="13"/>
  <c r="F168" i="13"/>
  <c r="G168" i="13"/>
  <c r="H168" i="13"/>
  <c r="I168" i="13"/>
  <c r="J168" i="13"/>
  <c r="L168" i="13"/>
  <c r="E168" i="13"/>
  <c r="K168" i="13"/>
  <c r="D168" i="13"/>
  <c r="L160" i="13"/>
  <c r="E160" i="13"/>
  <c r="F160" i="13"/>
  <c r="G160" i="13"/>
  <c r="H160" i="13"/>
  <c r="I160" i="13"/>
  <c r="J160" i="13"/>
  <c r="K160" i="13"/>
  <c r="D160" i="13"/>
  <c r="L152" i="13"/>
  <c r="E152" i="13"/>
  <c r="F152" i="13"/>
  <c r="G152" i="13"/>
  <c r="H152" i="13"/>
  <c r="I152" i="13"/>
  <c r="J152" i="13"/>
  <c r="K152" i="13"/>
  <c r="D152" i="13"/>
  <c r="L144" i="13"/>
  <c r="E144" i="13"/>
  <c r="F144" i="13"/>
  <c r="G144" i="13"/>
  <c r="H144" i="13"/>
  <c r="I144" i="13"/>
  <c r="J144" i="13"/>
  <c r="K144" i="13"/>
  <c r="D144" i="13"/>
  <c r="G136" i="13"/>
  <c r="H136" i="13"/>
  <c r="I136" i="13"/>
  <c r="J136" i="13"/>
  <c r="K136" i="13"/>
  <c r="L136" i="13"/>
  <c r="E136" i="13"/>
  <c r="F136" i="13"/>
  <c r="D136" i="13"/>
  <c r="J128" i="13"/>
  <c r="E128" i="13"/>
  <c r="F128" i="13"/>
  <c r="G128" i="13"/>
  <c r="H128" i="13"/>
  <c r="I128" i="13"/>
  <c r="K128" i="13"/>
  <c r="L128" i="13"/>
  <c r="D128" i="13"/>
  <c r="I120" i="13"/>
  <c r="J120" i="13"/>
  <c r="K120" i="13"/>
  <c r="L120" i="13"/>
  <c r="E120" i="13"/>
  <c r="F120" i="13"/>
  <c r="G120" i="13"/>
  <c r="H120" i="13"/>
  <c r="D120" i="13"/>
  <c r="I112" i="13"/>
  <c r="J112" i="13"/>
  <c r="K112" i="13"/>
  <c r="L112" i="13"/>
  <c r="F112" i="13"/>
  <c r="G112" i="13"/>
  <c r="H112" i="13"/>
  <c r="E112" i="13"/>
  <c r="D112" i="13"/>
  <c r="I104" i="13"/>
  <c r="J104" i="13"/>
  <c r="K104" i="13"/>
  <c r="L104" i="13"/>
  <c r="E104" i="13"/>
  <c r="F104" i="13"/>
  <c r="G104" i="13"/>
  <c r="H104" i="13"/>
  <c r="D104" i="13"/>
  <c r="I96" i="13"/>
  <c r="J96" i="13"/>
  <c r="K96" i="13"/>
  <c r="L96" i="13"/>
  <c r="E96" i="13"/>
  <c r="F96" i="13"/>
  <c r="G96" i="13"/>
  <c r="H96" i="13"/>
  <c r="D96" i="13"/>
  <c r="G88" i="13"/>
  <c r="H88" i="13"/>
  <c r="I88" i="13"/>
  <c r="J88" i="13"/>
  <c r="K88" i="13"/>
  <c r="L88" i="13"/>
  <c r="E88" i="13"/>
  <c r="F88" i="13"/>
  <c r="D88" i="13"/>
  <c r="E80" i="13"/>
  <c r="F80" i="13"/>
  <c r="G80" i="13"/>
  <c r="H80" i="13"/>
  <c r="I80" i="13"/>
  <c r="J80" i="13"/>
  <c r="K80" i="13"/>
  <c r="L80" i="13"/>
  <c r="D80" i="13"/>
  <c r="E72" i="13"/>
  <c r="F72" i="13"/>
  <c r="G72" i="13"/>
  <c r="H72" i="13"/>
  <c r="I72" i="13"/>
  <c r="J72" i="13"/>
  <c r="K72" i="13"/>
  <c r="L72" i="13"/>
  <c r="D72" i="13"/>
  <c r="E64" i="13"/>
  <c r="F64" i="13"/>
  <c r="G64" i="13"/>
  <c r="H64" i="13"/>
  <c r="I64" i="13"/>
  <c r="J64" i="13"/>
  <c r="K64" i="13"/>
  <c r="L64" i="13"/>
  <c r="D64" i="13"/>
  <c r="E56" i="13"/>
  <c r="F56" i="13"/>
  <c r="G56" i="13"/>
  <c r="H56" i="13"/>
  <c r="I56" i="13"/>
  <c r="J56" i="13"/>
  <c r="K56" i="13"/>
  <c r="L56" i="13"/>
  <c r="D56" i="13"/>
  <c r="E48" i="13"/>
  <c r="H48" i="13"/>
  <c r="I48" i="13"/>
  <c r="F48" i="13"/>
  <c r="G48" i="13"/>
  <c r="J48" i="13"/>
  <c r="K48" i="13"/>
  <c r="L48" i="13"/>
  <c r="D48" i="13"/>
  <c r="E40" i="13"/>
  <c r="H40" i="13"/>
  <c r="I40" i="13"/>
  <c r="J40" i="13"/>
  <c r="K40" i="13"/>
  <c r="L40" i="13"/>
  <c r="F40" i="13"/>
  <c r="G40" i="13"/>
  <c r="D40" i="13"/>
  <c r="E32" i="13"/>
  <c r="H32" i="13"/>
  <c r="I32" i="13"/>
  <c r="F32" i="13"/>
  <c r="G32" i="13"/>
  <c r="J32" i="13"/>
  <c r="K32" i="13"/>
  <c r="L32" i="13"/>
  <c r="D32" i="13"/>
  <c r="E24" i="13"/>
  <c r="H24" i="13"/>
  <c r="I24" i="13"/>
  <c r="K24" i="13"/>
  <c r="F24" i="13"/>
  <c r="G24" i="13"/>
  <c r="J24" i="13"/>
  <c r="L24" i="13"/>
  <c r="D24" i="13"/>
  <c r="E14" i="13"/>
  <c r="F14" i="13"/>
  <c r="H14" i="13"/>
  <c r="I14" i="13"/>
  <c r="J14" i="13"/>
  <c r="K14" i="13"/>
  <c r="G14" i="13"/>
  <c r="L14" i="13"/>
  <c r="D14" i="13"/>
  <c r="F162" i="13"/>
  <c r="G162" i="13"/>
  <c r="H162" i="13"/>
  <c r="I162" i="13"/>
  <c r="J162" i="13"/>
  <c r="L162" i="13"/>
  <c r="K162" i="13"/>
  <c r="E162" i="13"/>
  <c r="D162" i="13"/>
  <c r="I114" i="13"/>
  <c r="J114" i="13"/>
  <c r="K114" i="13"/>
  <c r="L114" i="13"/>
  <c r="G114" i="13"/>
  <c r="H114" i="13"/>
  <c r="F114" i="13"/>
  <c r="E114" i="13"/>
  <c r="D114" i="13"/>
  <c r="E42" i="13"/>
  <c r="H42" i="13"/>
  <c r="I42" i="13"/>
  <c r="L42" i="13"/>
  <c r="F42" i="13"/>
  <c r="G42" i="13"/>
  <c r="J42" i="13"/>
  <c r="K42" i="13"/>
  <c r="D42" i="13"/>
  <c r="E5" i="13"/>
  <c r="F5" i="13"/>
  <c r="H5" i="13"/>
  <c r="I5" i="13"/>
  <c r="J5" i="13"/>
  <c r="K5" i="13"/>
  <c r="G5" i="13"/>
  <c r="L5" i="13"/>
  <c r="D5" i="13"/>
  <c r="F185" i="13"/>
  <c r="G185" i="13"/>
  <c r="H185" i="13"/>
  <c r="J185" i="13"/>
  <c r="E185" i="13"/>
  <c r="I185" i="13"/>
  <c r="K185" i="13"/>
  <c r="L185" i="13"/>
  <c r="D185" i="13"/>
  <c r="F169" i="13"/>
  <c r="G169" i="13"/>
  <c r="H169" i="13"/>
  <c r="I169" i="13"/>
  <c r="J169" i="13"/>
  <c r="E169" i="13"/>
  <c r="L169" i="13"/>
  <c r="K169" i="13"/>
  <c r="D169" i="13"/>
  <c r="L145" i="13"/>
  <c r="E145" i="13"/>
  <c r="F145" i="13"/>
  <c r="G145" i="13"/>
  <c r="H145" i="13"/>
  <c r="I145" i="13"/>
  <c r="J145" i="13"/>
  <c r="K145" i="13"/>
  <c r="D145" i="13"/>
  <c r="I113" i="13"/>
  <c r="J113" i="13"/>
  <c r="K113" i="13"/>
  <c r="L113" i="13"/>
  <c r="E113" i="13"/>
  <c r="F113" i="13"/>
  <c r="G113" i="13"/>
  <c r="H113" i="13"/>
  <c r="D113" i="13"/>
  <c r="G89" i="13"/>
  <c r="H89" i="13"/>
  <c r="I89" i="13"/>
  <c r="J89" i="13"/>
  <c r="K89" i="13"/>
  <c r="L89" i="13"/>
  <c r="E89" i="13"/>
  <c r="F89" i="13"/>
  <c r="D89" i="13"/>
  <c r="E73" i="13"/>
  <c r="F73" i="13"/>
  <c r="G73" i="13"/>
  <c r="H73" i="13"/>
  <c r="I73" i="13"/>
  <c r="J73" i="13"/>
  <c r="K73" i="13"/>
  <c r="L73" i="13"/>
  <c r="D73" i="13"/>
  <c r="E57" i="13"/>
  <c r="F57" i="13"/>
  <c r="G57" i="13"/>
  <c r="H57" i="13"/>
  <c r="I57" i="13"/>
  <c r="J57" i="13"/>
  <c r="K57" i="13"/>
  <c r="L57" i="13"/>
  <c r="D57" i="13"/>
  <c r="E49" i="13"/>
  <c r="H49" i="13"/>
  <c r="I49" i="13"/>
  <c r="K49" i="13"/>
  <c r="L49" i="13"/>
  <c r="F49" i="13"/>
  <c r="G49" i="13"/>
  <c r="J49" i="13"/>
  <c r="D49" i="13"/>
  <c r="E33" i="13"/>
  <c r="H33" i="13"/>
  <c r="I33" i="13"/>
  <c r="K33" i="13"/>
  <c r="L33" i="13"/>
  <c r="F33" i="13"/>
  <c r="G33" i="13"/>
  <c r="J33" i="13"/>
  <c r="D33" i="13"/>
  <c r="E20" i="13"/>
  <c r="H20" i="13"/>
  <c r="I20" i="13"/>
  <c r="K20" i="13"/>
  <c r="F20" i="13"/>
  <c r="G20" i="13"/>
  <c r="J20" i="13"/>
  <c r="L20" i="13"/>
  <c r="D20" i="13"/>
  <c r="E4" i="13"/>
  <c r="F4" i="13"/>
  <c r="H4" i="13"/>
  <c r="I4" i="13"/>
  <c r="J4" i="13"/>
  <c r="K4" i="13"/>
  <c r="G4" i="13"/>
  <c r="L4" i="13"/>
  <c r="D4" i="13"/>
  <c r="E19" i="13"/>
  <c r="F19" i="13"/>
  <c r="H19" i="13"/>
  <c r="I19" i="13"/>
  <c r="J19" i="13"/>
  <c r="K19" i="13"/>
  <c r="G19" i="13"/>
  <c r="L19" i="13"/>
  <c r="D19" i="13"/>
  <c r="E11" i="13"/>
  <c r="F11" i="13"/>
  <c r="H11" i="13"/>
  <c r="I11" i="13"/>
  <c r="J11" i="13"/>
  <c r="K11" i="13"/>
  <c r="G11" i="13"/>
  <c r="L11" i="13"/>
  <c r="D11" i="13"/>
  <c r="E3" i="13"/>
  <c r="F3" i="13"/>
  <c r="H3" i="13"/>
  <c r="I3" i="13"/>
  <c r="J3" i="13"/>
  <c r="K3" i="13"/>
  <c r="G3" i="13"/>
  <c r="L3" i="13"/>
  <c r="D3" i="13"/>
  <c r="F191" i="13"/>
  <c r="G191" i="13"/>
  <c r="H191" i="13"/>
  <c r="J191" i="13"/>
  <c r="I191" i="13"/>
  <c r="L191" i="13"/>
  <c r="K191" i="13"/>
  <c r="E191" i="13"/>
  <c r="D191" i="13"/>
  <c r="F183" i="13"/>
  <c r="G183" i="13"/>
  <c r="H183" i="13"/>
  <c r="J183" i="13"/>
  <c r="E183" i="13"/>
  <c r="K183" i="13"/>
  <c r="I183" i="13"/>
  <c r="L183" i="13"/>
  <c r="D183" i="13"/>
  <c r="F175" i="13"/>
  <c r="G175" i="13"/>
  <c r="H175" i="13"/>
  <c r="I175" i="13"/>
  <c r="J175" i="13"/>
  <c r="E175" i="13"/>
  <c r="K175" i="13"/>
  <c r="L175" i="13"/>
  <c r="D175" i="13"/>
  <c r="F167" i="13"/>
  <c r="G167" i="13"/>
  <c r="H167" i="13"/>
  <c r="I167" i="13"/>
  <c r="J167" i="13"/>
  <c r="E167" i="13"/>
  <c r="K167" i="13"/>
  <c r="L167" i="13"/>
  <c r="D167" i="13"/>
  <c r="L159" i="13"/>
  <c r="E159" i="13"/>
  <c r="F159" i="13"/>
  <c r="G159" i="13"/>
  <c r="H159" i="13"/>
  <c r="I159" i="13"/>
  <c r="J159" i="13"/>
  <c r="K159" i="13"/>
  <c r="D159" i="13"/>
  <c r="L151" i="13"/>
  <c r="E151" i="13"/>
  <c r="F151" i="13"/>
  <c r="G151" i="13"/>
  <c r="H151" i="13"/>
  <c r="I151" i="13"/>
  <c r="J151" i="13"/>
  <c r="K151" i="13"/>
  <c r="D151" i="13"/>
  <c r="L143" i="13"/>
  <c r="E143" i="13"/>
  <c r="F143" i="13"/>
  <c r="G143" i="13"/>
  <c r="H143" i="13"/>
  <c r="I143" i="13"/>
  <c r="J143" i="13"/>
  <c r="K143" i="13"/>
  <c r="D143" i="13"/>
  <c r="E135" i="13"/>
  <c r="F135" i="13"/>
  <c r="G135" i="13"/>
  <c r="H135" i="13"/>
  <c r="I135" i="13"/>
  <c r="J135" i="13"/>
  <c r="K135" i="13"/>
  <c r="L135" i="13"/>
  <c r="D135" i="13"/>
  <c r="J127" i="13"/>
  <c r="G127" i="13"/>
  <c r="H127" i="13"/>
  <c r="I127" i="13"/>
  <c r="K127" i="13"/>
  <c r="L127" i="13"/>
  <c r="E127" i="13"/>
  <c r="F127" i="13"/>
  <c r="D127" i="13"/>
  <c r="I119" i="13"/>
  <c r="J119" i="13"/>
  <c r="K119" i="13"/>
  <c r="L119" i="13"/>
  <c r="E119" i="13"/>
  <c r="F119" i="13"/>
  <c r="G119" i="13"/>
  <c r="H119" i="13"/>
  <c r="D119" i="13"/>
  <c r="I111" i="13"/>
  <c r="J111" i="13"/>
  <c r="K111" i="13"/>
  <c r="L111" i="13"/>
  <c r="E111" i="13"/>
  <c r="F111" i="13"/>
  <c r="G111" i="13"/>
  <c r="H111" i="13"/>
  <c r="D111" i="13"/>
  <c r="I103" i="13"/>
  <c r="J103" i="13"/>
  <c r="K103" i="13"/>
  <c r="L103" i="13"/>
  <c r="H103" i="13"/>
  <c r="E103" i="13"/>
  <c r="F103" i="13"/>
  <c r="G103" i="13"/>
  <c r="D103" i="13"/>
  <c r="I95" i="13"/>
  <c r="J95" i="13"/>
  <c r="K95" i="13"/>
  <c r="L95" i="13"/>
  <c r="E95" i="13"/>
  <c r="F95" i="13"/>
  <c r="G95" i="13"/>
  <c r="H95" i="13"/>
  <c r="D95" i="13"/>
  <c r="G87" i="13"/>
  <c r="H87" i="13"/>
  <c r="I87" i="13"/>
  <c r="J87" i="13"/>
  <c r="K87" i="13"/>
  <c r="L87" i="13"/>
  <c r="E87" i="13"/>
  <c r="F87" i="13"/>
  <c r="D87" i="13"/>
  <c r="G79" i="13"/>
  <c r="H79" i="13"/>
  <c r="I79" i="13"/>
  <c r="J79" i="13"/>
  <c r="K79" i="13"/>
  <c r="L79" i="13"/>
  <c r="E79" i="13"/>
  <c r="F79" i="13"/>
  <c r="D79" i="13"/>
  <c r="G71" i="13"/>
  <c r="H71" i="13"/>
  <c r="I71" i="13"/>
  <c r="J71" i="13"/>
  <c r="K71" i="13"/>
  <c r="L71" i="13"/>
  <c r="E71" i="13"/>
  <c r="F71" i="13"/>
  <c r="D71" i="13"/>
  <c r="G63" i="13"/>
  <c r="H63" i="13"/>
  <c r="I63" i="13"/>
  <c r="J63" i="13"/>
  <c r="K63" i="13"/>
  <c r="L63" i="13"/>
  <c r="E63" i="13"/>
  <c r="F63" i="13"/>
  <c r="D63" i="13"/>
  <c r="G55" i="13"/>
  <c r="H55" i="13"/>
  <c r="I55" i="13"/>
  <c r="J55" i="13"/>
  <c r="K55" i="13"/>
  <c r="L55" i="13"/>
  <c r="E55" i="13"/>
  <c r="F55" i="13"/>
  <c r="D55" i="13"/>
  <c r="E47" i="13"/>
  <c r="H47" i="13"/>
  <c r="I47" i="13"/>
  <c r="G47" i="13"/>
  <c r="J47" i="13"/>
  <c r="K47" i="13"/>
  <c r="L47" i="13"/>
  <c r="F47" i="13"/>
  <c r="D47" i="13"/>
  <c r="E39" i="13"/>
  <c r="H39" i="13"/>
  <c r="I39" i="13"/>
  <c r="F39" i="13"/>
  <c r="G39" i="13"/>
  <c r="J39" i="13"/>
  <c r="K39" i="13"/>
  <c r="L39" i="13"/>
  <c r="D39" i="13"/>
  <c r="E31" i="13"/>
  <c r="H31" i="13"/>
  <c r="I31" i="13"/>
  <c r="G31" i="13"/>
  <c r="J31" i="13"/>
  <c r="K31" i="13"/>
  <c r="L31" i="13"/>
  <c r="F31" i="13"/>
  <c r="D31" i="13"/>
  <c r="E23" i="13"/>
  <c r="H23" i="13"/>
  <c r="I23" i="13"/>
  <c r="K23" i="13"/>
  <c r="F23" i="13"/>
  <c r="G23" i="13"/>
  <c r="L23" i="13"/>
  <c r="J23" i="13"/>
  <c r="D23" i="13"/>
  <c r="E18" i="13"/>
  <c r="F18" i="13"/>
  <c r="H18" i="13"/>
  <c r="I18" i="13"/>
  <c r="J18" i="13"/>
  <c r="K18" i="13"/>
  <c r="G18" i="13"/>
  <c r="L18" i="13"/>
  <c r="D18" i="13"/>
  <c r="E10" i="13"/>
  <c r="F10" i="13"/>
  <c r="H10" i="13"/>
  <c r="I10" i="13"/>
  <c r="J10" i="13"/>
  <c r="K10" i="13"/>
  <c r="G10" i="13"/>
  <c r="L10" i="13"/>
  <c r="D10" i="13"/>
  <c r="F190" i="13"/>
  <c r="G190" i="13"/>
  <c r="H190" i="13"/>
  <c r="J190" i="13"/>
  <c r="L190" i="13"/>
  <c r="E190" i="13"/>
  <c r="I190" i="13"/>
  <c r="K190" i="13"/>
  <c r="D190" i="13"/>
  <c r="F182" i="13"/>
  <c r="G182" i="13"/>
  <c r="H182" i="13"/>
  <c r="J182" i="13"/>
  <c r="E182" i="13"/>
  <c r="K182" i="13"/>
  <c r="L182" i="13"/>
  <c r="I182" i="13"/>
  <c r="D182" i="13"/>
  <c r="F174" i="13"/>
  <c r="G174" i="13"/>
  <c r="H174" i="13"/>
  <c r="J174" i="13"/>
  <c r="L174" i="13"/>
  <c r="I174" i="13"/>
  <c r="E174" i="13"/>
  <c r="K174" i="13"/>
  <c r="D174" i="13"/>
  <c r="F166" i="13"/>
  <c r="G166" i="13"/>
  <c r="H166" i="13"/>
  <c r="I166" i="13"/>
  <c r="J166" i="13"/>
  <c r="E166" i="13"/>
  <c r="L166" i="13"/>
  <c r="K166" i="13"/>
  <c r="D166" i="13"/>
  <c r="L158" i="13"/>
  <c r="E158" i="13"/>
  <c r="F158" i="13"/>
  <c r="G158" i="13"/>
  <c r="H158" i="13"/>
  <c r="I158" i="13"/>
  <c r="J158" i="13"/>
  <c r="K158" i="13"/>
  <c r="D158" i="13"/>
  <c r="L150" i="13"/>
  <c r="E150" i="13"/>
  <c r="F150" i="13"/>
  <c r="G150" i="13"/>
  <c r="H150" i="13"/>
  <c r="I150" i="13"/>
  <c r="J150" i="13"/>
  <c r="K150" i="13"/>
  <c r="D150" i="13"/>
  <c r="L142" i="13"/>
  <c r="E142" i="13"/>
  <c r="F142" i="13"/>
  <c r="G142" i="13"/>
  <c r="H142" i="13"/>
  <c r="I142" i="13"/>
  <c r="J142" i="13"/>
  <c r="K142" i="13"/>
  <c r="D142" i="13"/>
  <c r="L134" i="13"/>
  <c r="E134" i="13"/>
  <c r="F134" i="13"/>
  <c r="G134" i="13"/>
  <c r="H134" i="13"/>
  <c r="K134" i="13"/>
  <c r="J134" i="13"/>
  <c r="I134" i="13"/>
  <c r="D134" i="13"/>
  <c r="I126" i="13"/>
  <c r="J126" i="13"/>
  <c r="K126" i="13"/>
  <c r="E126" i="13"/>
  <c r="F126" i="13"/>
  <c r="G126" i="13"/>
  <c r="H126" i="13"/>
  <c r="L126" i="13"/>
  <c r="D126" i="13"/>
  <c r="I118" i="13"/>
  <c r="J118" i="13"/>
  <c r="K118" i="13"/>
  <c r="L118" i="13"/>
  <c r="E118" i="13"/>
  <c r="F118" i="13"/>
  <c r="H118" i="13"/>
  <c r="G118" i="13"/>
  <c r="D118" i="13"/>
  <c r="I110" i="13"/>
  <c r="J110" i="13"/>
  <c r="K110" i="13"/>
  <c r="L110" i="13"/>
  <c r="E110" i="13"/>
  <c r="F110" i="13"/>
  <c r="G110" i="13"/>
  <c r="H110" i="13"/>
  <c r="D110" i="13"/>
  <c r="I102" i="13"/>
  <c r="J102" i="13"/>
  <c r="K102" i="13"/>
  <c r="L102" i="13"/>
  <c r="E102" i="13"/>
  <c r="F102" i="13"/>
  <c r="G102" i="13"/>
  <c r="H102" i="13"/>
  <c r="D102" i="13"/>
  <c r="I94" i="13"/>
  <c r="J94" i="13"/>
  <c r="K94" i="13"/>
  <c r="L94" i="13"/>
  <c r="F94" i="13"/>
  <c r="G94" i="13"/>
  <c r="H94" i="13"/>
  <c r="E94" i="13"/>
  <c r="D94" i="13"/>
  <c r="E86" i="13"/>
  <c r="F86" i="13"/>
  <c r="G86" i="13"/>
  <c r="H86" i="13"/>
  <c r="I86" i="13"/>
  <c r="J86" i="13"/>
  <c r="K86" i="13"/>
  <c r="L86" i="13"/>
  <c r="D86" i="13"/>
  <c r="E78" i="13"/>
  <c r="F78" i="13"/>
  <c r="G78" i="13"/>
  <c r="H78" i="13"/>
  <c r="I78" i="13"/>
  <c r="J78" i="13"/>
  <c r="K78" i="13"/>
  <c r="L78" i="13"/>
  <c r="D78" i="13"/>
  <c r="E70" i="13"/>
  <c r="F70" i="13"/>
  <c r="G70" i="13"/>
  <c r="H70" i="13"/>
  <c r="I70" i="13"/>
  <c r="J70" i="13"/>
  <c r="K70" i="13"/>
  <c r="L70" i="13"/>
  <c r="D70" i="13"/>
  <c r="E62" i="13"/>
  <c r="F62" i="13"/>
  <c r="G62" i="13"/>
  <c r="H62" i="13"/>
  <c r="I62" i="13"/>
  <c r="J62" i="13"/>
  <c r="K62" i="13"/>
  <c r="L62" i="13"/>
  <c r="D62" i="13"/>
  <c r="E54" i="13"/>
  <c r="F54" i="13"/>
  <c r="G54" i="13"/>
  <c r="H54" i="13"/>
  <c r="I54" i="13"/>
  <c r="J54" i="13"/>
  <c r="K54" i="13"/>
  <c r="L54" i="13"/>
  <c r="D54" i="13"/>
  <c r="E46" i="13"/>
  <c r="H46" i="13"/>
  <c r="I46" i="13"/>
  <c r="F46" i="13"/>
  <c r="G46" i="13"/>
  <c r="J46" i="13"/>
  <c r="K46" i="13"/>
  <c r="L46" i="13"/>
  <c r="D46" i="13"/>
  <c r="E38" i="13"/>
  <c r="H38" i="13"/>
  <c r="I38" i="13"/>
  <c r="G38" i="13"/>
  <c r="J38" i="13"/>
  <c r="K38" i="13"/>
  <c r="L38" i="13"/>
  <c r="F38" i="13"/>
  <c r="D38" i="13"/>
  <c r="E30" i="13"/>
  <c r="H30" i="13"/>
  <c r="I30" i="13"/>
  <c r="F30" i="13"/>
  <c r="G30" i="13"/>
  <c r="J30" i="13"/>
  <c r="K30" i="13"/>
  <c r="L30" i="13"/>
  <c r="D30" i="13"/>
  <c r="E22" i="13"/>
  <c r="H22" i="13"/>
  <c r="I22" i="13"/>
  <c r="K22" i="13"/>
  <c r="F22" i="13"/>
  <c r="G22" i="13"/>
  <c r="J22" i="13"/>
  <c r="L22" i="13"/>
  <c r="D22" i="13"/>
  <c r="L149" i="13"/>
  <c r="E149" i="13"/>
  <c r="F149" i="13"/>
  <c r="G149" i="13"/>
  <c r="H149" i="13"/>
  <c r="I149" i="13"/>
  <c r="J149" i="13"/>
  <c r="K149" i="13"/>
  <c r="D149" i="13"/>
  <c r="I117" i="13"/>
  <c r="J117" i="13"/>
  <c r="K117" i="13"/>
  <c r="L117" i="13"/>
  <c r="E117" i="13"/>
  <c r="F117" i="13"/>
  <c r="G117" i="13"/>
  <c r="H117" i="13"/>
  <c r="D117" i="13"/>
  <c r="I109" i="13"/>
  <c r="J109" i="13"/>
  <c r="K109" i="13"/>
  <c r="L109" i="13"/>
  <c r="H109" i="13"/>
  <c r="E109" i="13"/>
  <c r="F109" i="13"/>
  <c r="G109" i="13"/>
  <c r="D109" i="13"/>
  <c r="K85" i="13"/>
  <c r="L85" i="13"/>
  <c r="E85" i="13"/>
  <c r="F85" i="13"/>
  <c r="G85" i="13"/>
  <c r="H85" i="13"/>
  <c r="I85" i="13"/>
  <c r="J85" i="13"/>
  <c r="D85" i="13"/>
  <c r="K61" i="13"/>
  <c r="L61" i="13"/>
  <c r="E61" i="13"/>
  <c r="F61" i="13"/>
  <c r="G61" i="13"/>
  <c r="H61" i="13"/>
  <c r="I61" i="13"/>
  <c r="J61" i="13"/>
  <c r="D61" i="13"/>
  <c r="K53" i="13"/>
  <c r="L53" i="13"/>
  <c r="E53" i="13"/>
  <c r="F53" i="13"/>
  <c r="G53" i="13"/>
  <c r="H53" i="13"/>
  <c r="I53" i="13"/>
  <c r="J53" i="13"/>
  <c r="D53" i="13"/>
  <c r="E45" i="13"/>
  <c r="H45" i="13"/>
  <c r="I45" i="13"/>
  <c r="F45" i="13"/>
  <c r="G45" i="13"/>
  <c r="J45" i="13"/>
  <c r="K45" i="13"/>
  <c r="L45" i="13"/>
  <c r="D45" i="13"/>
  <c r="E37" i="13"/>
  <c r="H37" i="13"/>
  <c r="I37" i="13"/>
  <c r="F37" i="13"/>
  <c r="G37" i="13"/>
  <c r="J37" i="13"/>
  <c r="K37" i="13"/>
  <c r="L37" i="13"/>
  <c r="D37" i="13"/>
  <c r="E29" i="13"/>
  <c r="H29" i="13"/>
  <c r="I29" i="13"/>
  <c r="F29" i="13"/>
  <c r="G29" i="13"/>
  <c r="J29" i="13"/>
  <c r="K29" i="13"/>
  <c r="L29" i="13"/>
  <c r="D29" i="13"/>
  <c r="E21" i="13"/>
  <c r="H21" i="13"/>
  <c r="I21" i="13"/>
  <c r="K21" i="13"/>
  <c r="G21" i="13"/>
  <c r="J21" i="13"/>
  <c r="L21" i="13"/>
  <c r="F21" i="13"/>
  <c r="D21" i="13"/>
  <c r="F165" i="13"/>
  <c r="G165" i="13"/>
  <c r="H165" i="13"/>
  <c r="I165" i="13"/>
  <c r="J165" i="13"/>
  <c r="L165" i="13"/>
  <c r="E165" i="13"/>
  <c r="K165" i="13"/>
  <c r="D165" i="13"/>
  <c r="I101" i="13"/>
  <c r="J101" i="13"/>
  <c r="K101" i="13"/>
  <c r="L101" i="13"/>
  <c r="E101" i="13"/>
  <c r="F101" i="13"/>
  <c r="G101" i="13"/>
  <c r="H101" i="13"/>
  <c r="D101" i="13"/>
  <c r="F189" i="13"/>
  <c r="G189" i="13"/>
  <c r="H189" i="13"/>
  <c r="J189" i="13"/>
  <c r="E189" i="13"/>
  <c r="K189" i="13"/>
  <c r="L189" i="13"/>
  <c r="I189" i="13"/>
  <c r="D189" i="13"/>
  <c r="L141" i="13"/>
  <c r="E141" i="13"/>
  <c r="F141" i="13"/>
  <c r="G141" i="13"/>
  <c r="H141" i="13"/>
  <c r="I141" i="13"/>
  <c r="J141" i="13"/>
  <c r="K141" i="13"/>
  <c r="D141" i="13"/>
  <c r="K77" i="13"/>
  <c r="L77" i="13"/>
  <c r="E77" i="13"/>
  <c r="F77" i="13"/>
  <c r="G77" i="13"/>
  <c r="H77" i="13"/>
  <c r="I77" i="13"/>
  <c r="J77" i="13"/>
  <c r="D77" i="13"/>
  <c r="E16" i="13"/>
  <c r="F16" i="13"/>
  <c r="H16" i="13"/>
  <c r="I16" i="13"/>
  <c r="J16" i="13"/>
  <c r="K16" i="13"/>
  <c r="G16" i="13"/>
  <c r="L16" i="13"/>
  <c r="D16" i="13"/>
  <c r="I116" i="13"/>
  <c r="J116" i="13"/>
  <c r="K116" i="13"/>
  <c r="L116" i="13"/>
  <c r="H116" i="13"/>
  <c r="E116" i="13"/>
  <c r="F116" i="13"/>
  <c r="G116" i="13"/>
  <c r="D116" i="13"/>
  <c r="F173" i="13"/>
  <c r="G173" i="13"/>
  <c r="H173" i="13"/>
  <c r="I173" i="13"/>
  <c r="J173" i="13"/>
  <c r="E173" i="13"/>
  <c r="K173" i="13"/>
  <c r="L173" i="13"/>
  <c r="D173" i="13"/>
  <c r="G133" i="13"/>
  <c r="H133" i="13"/>
  <c r="I133" i="13"/>
  <c r="J133" i="13"/>
  <c r="K133" i="13"/>
  <c r="L133" i="13"/>
  <c r="E133" i="13"/>
  <c r="F133" i="13"/>
  <c r="D133" i="13"/>
  <c r="K69" i="13"/>
  <c r="L69" i="13"/>
  <c r="E69" i="13"/>
  <c r="F69" i="13"/>
  <c r="G69" i="13"/>
  <c r="H69" i="13"/>
  <c r="I69" i="13"/>
  <c r="J69" i="13"/>
  <c r="D69" i="13"/>
  <c r="E8" i="13"/>
  <c r="F8" i="13"/>
  <c r="H8" i="13"/>
  <c r="I8" i="13"/>
  <c r="J8" i="13"/>
  <c r="K8" i="13"/>
  <c r="G8" i="13"/>
  <c r="L8" i="13"/>
  <c r="D8" i="13"/>
  <c r="F188" i="13"/>
  <c r="G188" i="13"/>
  <c r="H188" i="13"/>
  <c r="J188" i="13"/>
  <c r="L188" i="13"/>
  <c r="E188" i="13"/>
  <c r="I188" i="13"/>
  <c r="K188" i="13"/>
  <c r="D188" i="13"/>
  <c r="F180" i="13"/>
  <c r="G180" i="13"/>
  <c r="H180" i="13"/>
  <c r="J180" i="13"/>
  <c r="I180" i="13"/>
  <c r="K180" i="13"/>
  <c r="L180" i="13"/>
  <c r="E180" i="13"/>
  <c r="D180" i="13"/>
  <c r="F172" i="13"/>
  <c r="G172" i="13"/>
  <c r="H172" i="13"/>
  <c r="I172" i="13"/>
  <c r="J172" i="13"/>
  <c r="L172" i="13"/>
  <c r="K172" i="13"/>
  <c r="E172" i="13"/>
  <c r="D172" i="13"/>
  <c r="F164" i="13"/>
  <c r="G164" i="13"/>
  <c r="H164" i="13"/>
  <c r="I164" i="13"/>
  <c r="J164" i="13"/>
  <c r="E164" i="13"/>
  <c r="L164" i="13"/>
  <c r="K164" i="13"/>
  <c r="D164" i="13"/>
  <c r="L156" i="13"/>
  <c r="E156" i="13"/>
  <c r="F156" i="13"/>
  <c r="G156" i="13"/>
  <c r="H156" i="13"/>
  <c r="I156" i="13"/>
  <c r="J156" i="13"/>
  <c r="K156" i="13"/>
  <c r="D156" i="13"/>
  <c r="L148" i="13"/>
  <c r="E148" i="13"/>
  <c r="F148" i="13"/>
  <c r="G148" i="13"/>
  <c r="H148" i="13"/>
  <c r="I148" i="13"/>
  <c r="J148" i="13"/>
  <c r="K148" i="13"/>
  <c r="D148" i="13"/>
  <c r="J140" i="13"/>
  <c r="K140" i="13"/>
  <c r="L140" i="13"/>
  <c r="E140" i="13"/>
  <c r="F140" i="13"/>
  <c r="I140" i="13"/>
  <c r="G140" i="13"/>
  <c r="H140" i="13"/>
  <c r="D140" i="13"/>
  <c r="E132" i="13"/>
  <c r="F132" i="13"/>
  <c r="G132" i="13"/>
  <c r="H132" i="13"/>
  <c r="I132" i="13"/>
  <c r="J132" i="13"/>
  <c r="K132" i="13"/>
  <c r="L132" i="13"/>
  <c r="D132" i="13"/>
  <c r="I124" i="13"/>
  <c r="J124" i="13"/>
  <c r="K124" i="13"/>
  <c r="E124" i="13"/>
  <c r="F124" i="13"/>
  <c r="G124" i="13"/>
  <c r="H124" i="13"/>
  <c r="L124" i="13"/>
  <c r="D124" i="13"/>
  <c r="I108" i="13"/>
  <c r="J108" i="13"/>
  <c r="K108" i="13"/>
  <c r="L108" i="13"/>
  <c r="E108" i="13"/>
  <c r="F108" i="13"/>
  <c r="G108" i="13"/>
  <c r="H108" i="13"/>
  <c r="D108" i="13"/>
  <c r="I100" i="13"/>
  <c r="J100" i="13"/>
  <c r="K100" i="13"/>
  <c r="L100" i="13"/>
  <c r="G100" i="13"/>
  <c r="H100" i="13"/>
  <c r="F100" i="13"/>
  <c r="E100" i="13"/>
  <c r="D100" i="13"/>
  <c r="I92" i="13"/>
  <c r="J92" i="13"/>
  <c r="K92" i="13"/>
  <c r="L92" i="13"/>
  <c r="E92" i="13"/>
  <c r="F92" i="13"/>
  <c r="G92" i="13"/>
  <c r="H92" i="13"/>
  <c r="D92" i="13"/>
  <c r="F84" i="13"/>
  <c r="G84" i="13"/>
  <c r="H84" i="13"/>
  <c r="I84" i="13"/>
  <c r="J84" i="13"/>
  <c r="K84" i="13"/>
  <c r="L84" i="13"/>
  <c r="E84" i="13"/>
  <c r="D84" i="13"/>
  <c r="F76" i="13"/>
  <c r="G76" i="13"/>
  <c r="H76" i="13"/>
  <c r="I76" i="13"/>
  <c r="J76" i="13"/>
  <c r="K76" i="13"/>
  <c r="L76" i="13"/>
  <c r="E76" i="13"/>
  <c r="D76" i="13"/>
  <c r="F68" i="13"/>
  <c r="G68" i="13"/>
  <c r="H68" i="13"/>
  <c r="I68" i="13"/>
  <c r="J68" i="13"/>
  <c r="K68" i="13"/>
  <c r="L68" i="13"/>
  <c r="E68" i="13"/>
  <c r="D68" i="13"/>
  <c r="F60" i="13"/>
  <c r="G60" i="13"/>
  <c r="H60" i="13"/>
  <c r="I60" i="13"/>
  <c r="J60" i="13"/>
  <c r="K60" i="13"/>
  <c r="L60" i="13"/>
  <c r="E60" i="13"/>
  <c r="D60" i="13"/>
  <c r="E52" i="13"/>
  <c r="H52" i="13"/>
  <c r="F52" i="13"/>
  <c r="G52" i="13"/>
  <c r="I52" i="13"/>
  <c r="J52" i="13"/>
  <c r="K52" i="13"/>
  <c r="L52" i="13"/>
  <c r="D52" i="13"/>
  <c r="E44" i="13"/>
  <c r="H44" i="13"/>
  <c r="I44" i="13"/>
  <c r="F44" i="13"/>
  <c r="G44" i="13"/>
  <c r="J44" i="13"/>
  <c r="K44" i="13"/>
  <c r="L44" i="13"/>
  <c r="D44" i="13"/>
  <c r="E36" i="13"/>
  <c r="H36" i="13"/>
  <c r="I36" i="13"/>
  <c r="F36" i="13"/>
  <c r="G36" i="13"/>
  <c r="J36" i="13"/>
  <c r="K36" i="13"/>
  <c r="L36" i="13"/>
  <c r="D36" i="13"/>
  <c r="E28" i="13"/>
  <c r="H28" i="13"/>
  <c r="I28" i="13"/>
  <c r="F28" i="13"/>
  <c r="G28" i="13"/>
  <c r="J28" i="13"/>
  <c r="K28" i="13"/>
  <c r="L28" i="13"/>
  <c r="D28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<sst xmlns="http://schemas.openxmlformats.org/spreadsheetml/2006/main" count="2144" uniqueCount="106">
  <si>
    <t>Hà Nội</t>
  </si>
  <si>
    <t>TP. Hồ Chí Minh</t>
  </si>
  <si>
    <t>Bình Dương</t>
  </si>
  <si>
    <t>Đồng Nai</t>
  </si>
  <si>
    <t>Bắc Ninh</t>
  </si>
  <si>
    <t>Hải Phòng</t>
  </si>
  <si>
    <t>Tây Ninh</t>
  </si>
  <si>
    <t>Bắc Giang</t>
  </si>
  <si>
    <t>Bà Rịa - Vũng Tàu</t>
  </si>
  <si>
    <t>Hà Nam</t>
  </si>
  <si>
    <t>Long An</t>
  </si>
  <si>
    <t>Hải Dương</t>
  </si>
  <si>
    <t>Thái Nguyên</t>
  </si>
  <si>
    <t>Vĩnh Phúc</t>
  </si>
  <si>
    <t>Đà Nẵng</t>
  </si>
  <si>
    <t>Hưng Yên</t>
  </si>
  <si>
    <t>Bình Phước</t>
  </si>
  <si>
    <t>Tiền Giang</t>
  </si>
  <si>
    <t>Thanh Hóa</t>
  </si>
  <si>
    <t>Phú Thọ</t>
  </si>
  <si>
    <t>Thừa Thiên Huế</t>
  </si>
  <si>
    <t>Nghệ An</t>
  </si>
  <si>
    <t>Quảng Ninh</t>
  </si>
  <si>
    <t>Phú Yên</t>
  </si>
  <si>
    <t>Khánh Hòa</t>
  </si>
  <si>
    <t>Quảng Nam</t>
  </si>
  <si>
    <t>Bình Thuận</t>
  </si>
  <si>
    <t>Vĩnh Long</t>
  </si>
  <si>
    <t>Ninh Bình</t>
  </si>
  <si>
    <t>Quảng Ngãi</t>
  </si>
  <si>
    <t>Ninh Thuận</t>
  </si>
  <si>
    <t>Bạc Liêu</t>
  </si>
  <si>
    <t>Sóc Trăng</t>
  </si>
  <si>
    <t>Trà Vinh</t>
  </si>
  <si>
    <t>Bình Định</t>
  </si>
  <si>
    <t>Cà Mau</t>
  </si>
  <si>
    <t>Hậu Giang</t>
  </si>
  <si>
    <t>Cần Thơ</t>
  </si>
  <si>
    <t>Thái Bình</t>
  </si>
  <si>
    <t>An Giang</t>
  </si>
  <si>
    <t>Nam Định</t>
  </si>
  <si>
    <t>Bến Tre</t>
  </si>
  <si>
    <t>Hà Tĩnh</t>
  </si>
  <si>
    <t>Lâm Đồng</t>
  </si>
  <si>
    <t>Kiên Giang</t>
  </si>
  <si>
    <t>Quảng Trị</t>
  </si>
  <si>
    <t>Tuyên Quang</t>
  </si>
  <si>
    <t>Đồng Tháp</t>
  </si>
  <si>
    <t>Yên Bái</t>
  </si>
  <si>
    <t>Kon Tum</t>
  </si>
  <si>
    <t>Bắc Kạn</t>
  </si>
  <si>
    <t>Đăk Lăk</t>
  </si>
  <si>
    <t>Lạng Sơn</t>
  </si>
  <si>
    <t>Điện Biên</t>
  </si>
  <si>
    <t>Lào Cai</t>
  </si>
  <si>
    <t>Quảng Bình</t>
  </si>
  <si>
    <t>Hà Giang</t>
  </si>
  <si>
    <t>Sơn La</t>
  </si>
  <si>
    <t>Đăk Nông</t>
  </si>
  <si>
    <t>Cao Bằng</t>
  </si>
  <si>
    <t>Lai Châu</t>
  </si>
  <si>
    <t>Hòa Bình</t>
  </si>
  <si>
    <t>Gia Lai</t>
  </si>
  <si>
    <t>RANGE</t>
  </si>
  <si>
    <t>ITEM</t>
  </si>
  <si>
    <t>ATTRIBUTE</t>
  </si>
  <si>
    <t>TT</t>
  </si>
  <si>
    <t>Ngành</t>
  </si>
  <si>
    <t>Tăng vốn</t>
  </si>
  <si>
    <t>Góp vốn, mua cổ phần</t>
  </si>
  <si>
    <t>Cấp mới</t>
  </si>
  <si>
    <t>Tổng vốn đăng ký cấp mới, vốn tăng thêm và Vốn góp (triệu USD)</t>
  </si>
  <si>
    <t>Vốn đăng ký cấp mới (triệu USD)</t>
  </si>
  <si>
    <t>Số lượt góp vốn mua cổ phần</t>
  </si>
  <si>
    <t>Địa phương</t>
  </si>
  <si>
    <t>Số dự án cấp mới</t>
  </si>
  <si>
    <t>Vốn đăng ký cấp mới (USD)</t>
  </si>
  <si>
    <t>Giá trị góp vốn, mua cổ phần 
(triệu USD)</t>
  </si>
  <si>
    <t>Công nghiệp chế biến, chế tạo</t>
  </si>
  <si>
    <t>Sản xuất, phân phối điện, khí, nước, điều hòa</t>
  </si>
  <si>
    <t>Hoạt động kinh doanh bất động sản</t>
  </si>
  <si>
    <t>Xây dựng</t>
  </si>
  <si>
    <t>Bán buôn và bán lẻ; sửa chữa ô tô, mô tô, xe máy</t>
  </si>
  <si>
    <t>Nông nghiêp, lâm nghiệp và thủy sản</t>
  </si>
  <si>
    <t>Hoạt động chuyên môn, khoa học công nghệ</t>
  </si>
  <si>
    <t>Vận tải kho bãi</t>
  </si>
  <si>
    <t>Dịch vụ lưu trú và ăn uống</t>
  </si>
  <si>
    <t>Thông tin và truyền thông</t>
  </si>
  <si>
    <t>Hoạt động hành chính và dịch vụ hỗ trợ</t>
  </si>
  <si>
    <t>Hoạt động dịch vụ khác</t>
  </si>
  <si>
    <t>Giáo dục và đào tạo</t>
  </si>
  <si>
    <t>Cấp nước và xử lý chất thải</t>
  </si>
  <si>
    <t>Y tế và hoạt động trợ giúp xã hội</t>
  </si>
  <si>
    <t>Khai khoáng</t>
  </si>
  <si>
    <t>Nghệ thuật, vui chơi và giải trí</t>
  </si>
  <si>
    <t>Hoạt động tài chính, ngân hàng và bảo hiểm</t>
  </si>
  <si>
    <t>Hoạt đông làm thuê các công việc trong các hộ gia đình</t>
  </si>
  <si>
    <t>Tổng số</t>
  </si>
  <si>
    <t>Dầu khí</t>
  </si>
  <si>
    <t>Số lượt dự án điều chỉnh</t>
  </si>
  <si>
    <t>Vốn đăng ký điều chỉnh (USD)</t>
  </si>
  <si>
    <t>Vốn đăng ký điều chỉnh
(triệu USD)</t>
  </si>
  <si>
    <t>STT</t>
  </si>
  <si>
    <t>Sector</t>
  </si>
  <si>
    <t>Year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</si>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</sst>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name val="Arial"/>
      <family val="2"/>
    </font>
    <font>
      <b/>
      <sz val="10"/>
      <name val="Arial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164" fontId="3" fillId="0" borderId="0" xfId="1" applyNumberFormat="1" applyFont="1" applyFill="1" applyBorder="1" applyAlignment="1">
      <alignment horizontal="right"/>
    </xf>
    <xf numFmtId="164" fontId="4" fillId="0" borderId="0" xfId="1" applyNumberFormat="1" applyFont="1" applyFill="1" applyBorder="1"/>
    <xf numFmtId="0" fontId="2" fillId="2" borderId="0" xfId="0" applyFont="1" applyFill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2" fillId="0" borderId="0" xfId="0" applyFont="1" applyFill="1"/>
    <xf numFmtId="0" fontId="0" fillId="0" borderId="0" xfId="0" applyFill="1"/>
    <xf numFmtId="0" fontId="2" fillId="4" borderId="0" xfId="0" applyFont="1" applyFill="1"/>
    <xf numFmtId="0" fontId="0" fillId="4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23</xdr:row>
          <xdr:rowOff>60960</xdr:rowOff>
        </xdr:from>
        <xdr:to>
          <xdr:col>1</xdr:col>
          <xdr:colOff>1874520</xdr:colOff>
          <xdr:row>26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6D0A-F5D1-4F99-B3BB-F7F8644EEB27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164BB-0D8F-4971-9238-B0FF84FF288D}">
  <sheetPr codeName="Sheet2"/>
  <dimension ref="A1:D121"/>
  <sheetViews>
    <sheetView topLeftCell="A53" workbookViewId="0">
      <selection activeCell="D1" sqref="D1:D63"/>
    </sheetView>
  </sheetViews>
  <sheetFormatPr defaultRowHeight="14.4" x14ac:dyDescent="0.3"/>
  <cols>
    <col min="1" max="1" width="3" bestFit="1" customWidth="1"/>
    <col min="2" max="2" width="14.6640625" bestFit="1" customWidth="1"/>
    <col min="3" max="3" width="4" bestFit="1" customWidth="1"/>
    <col min="4" max="4" width="14.6640625" bestFit="1" customWidth="1"/>
  </cols>
  <sheetData>
    <row r="1" spans="1:4" x14ac:dyDescent="0.3">
      <c r="A1">
        <v>1</v>
      </c>
      <c r="B1" t="s">
        <v>0</v>
      </c>
      <c r="C1">
        <v>1</v>
      </c>
      <c r="D1" t="s">
        <v>0</v>
      </c>
    </row>
    <row r="2" spans="1:4" x14ac:dyDescent="0.3">
      <c r="A2">
        <v>2</v>
      </c>
      <c r="B2" t="s">
        <v>1</v>
      </c>
      <c r="C2">
        <v>2</v>
      </c>
      <c r="D2" t="s">
        <v>1</v>
      </c>
    </row>
    <row r="3" spans="1:4" x14ac:dyDescent="0.3">
      <c r="A3">
        <v>3</v>
      </c>
      <c r="B3" t="s">
        <v>2</v>
      </c>
      <c r="C3">
        <v>3</v>
      </c>
      <c r="D3" t="s">
        <v>2</v>
      </c>
    </row>
    <row r="4" spans="1:4" x14ac:dyDescent="0.3">
      <c r="A4">
        <v>4</v>
      </c>
      <c r="B4" t="s">
        <v>3</v>
      </c>
      <c r="C4">
        <v>4</v>
      </c>
      <c r="D4" t="s">
        <v>3</v>
      </c>
    </row>
    <row r="5" spans="1:4" x14ac:dyDescent="0.3">
      <c r="A5">
        <v>5</v>
      </c>
      <c r="B5" t="s">
        <v>4</v>
      </c>
      <c r="C5">
        <v>5</v>
      </c>
      <c r="D5" t="s">
        <v>4</v>
      </c>
    </row>
    <row r="6" spans="1:4" x14ac:dyDescent="0.3">
      <c r="A6">
        <v>6</v>
      </c>
      <c r="B6" t="s">
        <v>5</v>
      </c>
      <c r="C6">
        <v>6</v>
      </c>
      <c r="D6" t="s">
        <v>5</v>
      </c>
    </row>
    <row r="7" spans="1:4" x14ac:dyDescent="0.3">
      <c r="A7">
        <v>7</v>
      </c>
      <c r="B7" t="s">
        <v>6</v>
      </c>
      <c r="C7">
        <v>7</v>
      </c>
      <c r="D7" t="s">
        <v>6</v>
      </c>
    </row>
    <row r="8" spans="1:4" x14ac:dyDescent="0.3">
      <c r="A8">
        <v>8</v>
      </c>
      <c r="B8" t="s">
        <v>7</v>
      </c>
      <c r="C8">
        <v>8</v>
      </c>
      <c r="D8" t="s">
        <v>7</v>
      </c>
    </row>
    <row r="9" spans="1:4" x14ac:dyDescent="0.3">
      <c r="A9">
        <v>9</v>
      </c>
      <c r="B9" t="s">
        <v>8</v>
      </c>
      <c r="C9">
        <v>9</v>
      </c>
      <c r="D9" t="s">
        <v>8</v>
      </c>
    </row>
    <row r="10" spans="1:4" x14ac:dyDescent="0.3">
      <c r="A10">
        <v>10</v>
      </c>
      <c r="B10" t="s">
        <v>9</v>
      </c>
      <c r="C10">
        <v>10</v>
      </c>
      <c r="D10" t="s">
        <v>9</v>
      </c>
    </row>
    <row r="11" spans="1:4" x14ac:dyDescent="0.3">
      <c r="A11">
        <v>11</v>
      </c>
      <c r="B11" t="s">
        <v>10</v>
      </c>
      <c r="C11">
        <v>11</v>
      </c>
      <c r="D11" t="s">
        <v>10</v>
      </c>
    </row>
    <row r="12" spans="1:4" x14ac:dyDescent="0.3">
      <c r="A12">
        <v>12</v>
      </c>
      <c r="B12" t="s">
        <v>11</v>
      </c>
      <c r="C12">
        <v>12</v>
      </c>
      <c r="D12" t="s">
        <v>11</v>
      </c>
    </row>
    <row r="13" spans="1:4" x14ac:dyDescent="0.3">
      <c r="A13">
        <v>13</v>
      </c>
      <c r="B13" t="s">
        <v>12</v>
      </c>
      <c r="C13">
        <v>13</v>
      </c>
      <c r="D13" t="s">
        <v>12</v>
      </c>
    </row>
    <row r="14" spans="1:4" x14ac:dyDescent="0.3">
      <c r="A14">
        <v>14</v>
      </c>
      <c r="B14" t="s">
        <v>13</v>
      </c>
      <c r="C14">
        <v>14</v>
      </c>
      <c r="D14" t="s">
        <v>13</v>
      </c>
    </row>
    <row r="15" spans="1:4" x14ac:dyDescent="0.3">
      <c r="A15">
        <v>15</v>
      </c>
      <c r="B15" t="s">
        <v>14</v>
      </c>
      <c r="C15">
        <v>15</v>
      </c>
      <c r="D15" t="s">
        <v>14</v>
      </c>
    </row>
    <row r="16" spans="1:4" x14ac:dyDescent="0.3">
      <c r="A16">
        <v>16</v>
      </c>
      <c r="B16" t="s">
        <v>15</v>
      </c>
      <c r="C16">
        <v>16</v>
      </c>
      <c r="D16" t="s">
        <v>15</v>
      </c>
    </row>
    <row r="17" spans="1:4" x14ac:dyDescent="0.3">
      <c r="A17">
        <v>17</v>
      </c>
      <c r="B17" t="s">
        <v>16</v>
      </c>
      <c r="C17">
        <v>17</v>
      </c>
      <c r="D17" t="s">
        <v>16</v>
      </c>
    </row>
    <row r="18" spans="1:4" x14ac:dyDescent="0.3">
      <c r="A18">
        <v>18</v>
      </c>
      <c r="B18" t="s">
        <v>17</v>
      </c>
      <c r="C18">
        <v>18</v>
      </c>
      <c r="D18" t="s">
        <v>17</v>
      </c>
    </row>
    <row r="19" spans="1:4" x14ac:dyDescent="0.3">
      <c r="A19">
        <v>19</v>
      </c>
      <c r="B19" t="s">
        <v>18</v>
      </c>
      <c r="C19">
        <v>19</v>
      </c>
      <c r="D19" t="s">
        <v>18</v>
      </c>
    </row>
    <row r="20" spans="1:4" x14ac:dyDescent="0.3">
      <c r="A20">
        <v>20</v>
      </c>
      <c r="B20" t="s">
        <v>19</v>
      </c>
      <c r="C20">
        <v>20</v>
      </c>
      <c r="D20" t="s">
        <v>19</v>
      </c>
    </row>
    <row r="21" spans="1:4" x14ac:dyDescent="0.3">
      <c r="A21">
        <v>21</v>
      </c>
      <c r="B21" t="s">
        <v>20</v>
      </c>
      <c r="C21">
        <v>21</v>
      </c>
      <c r="D21" t="s">
        <v>20</v>
      </c>
    </row>
    <row r="22" spans="1:4" x14ac:dyDescent="0.3">
      <c r="A22">
        <v>22</v>
      </c>
      <c r="B22" t="s">
        <v>21</v>
      </c>
      <c r="C22">
        <v>22</v>
      </c>
      <c r="D22" t="s">
        <v>21</v>
      </c>
    </row>
    <row r="23" spans="1:4" x14ac:dyDescent="0.3">
      <c r="A23">
        <v>23</v>
      </c>
      <c r="B23" t="s">
        <v>22</v>
      </c>
      <c r="C23">
        <v>23</v>
      </c>
      <c r="D23" t="s">
        <v>22</v>
      </c>
    </row>
    <row r="24" spans="1:4" x14ac:dyDescent="0.3">
      <c r="A24">
        <v>24</v>
      </c>
      <c r="B24" t="s">
        <v>23</v>
      </c>
      <c r="C24">
        <v>24</v>
      </c>
      <c r="D24" t="s">
        <v>23</v>
      </c>
    </row>
    <row r="25" spans="1:4" x14ac:dyDescent="0.3">
      <c r="A25">
        <v>25</v>
      </c>
      <c r="B25" t="s">
        <v>24</v>
      </c>
      <c r="C25">
        <v>25</v>
      </c>
      <c r="D25" t="s">
        <v>24</v>
      </c>
    </row>
    <row r="26" spans="1:4" x14ac:dyDescent="0.3">
      <c r="A26">
        <v>26</v>
      </c>
      <c r="B26" t="s">
        <v>25</v>
      </c>
      <c r="C26">
        <v>26</v>
      </c>
      <c r="D26" t="s">
        <v>25</v>
      </c>
    </row>
    <row r="27" spans="1:4" x14ac:dyDescent="0.3">
      <c r="A27">
        <v>27</v>
      </c>
      <c r="B27" t="s">
        <v>26</v>
      </c>
      <c r="C27">
        <v>27</v>
      </c>
      <c r="D27" t="s">
        <v>26</v>
      </c>
    </row>
    <row r="28" spans="1:4" x14ac:dyDescent="0.3">
      <c r="A28">
        <v>28</v>
      </c>
      <c r="B28" t="s">
        <v>27</v>
      </c>
      <c r="C28">
        <v>28</v>
      </c>
      <c r="D28" t="s">
        <v>27</v>
      </c>
    </row>
    <row r="29" spans="1:4" x14ac:dyDescent="0.3">
      <c r="A29">
        <v>29</v>
      </c>
      <c r="B29" t="s">
        <v>28</v>
      </c>
      <c r="C29">
        <v>29</v>
      </c>
      <c r="D29" t="s">
        <v>28</v>
      </c>
    </row>
    <row r="30" spans="1:4" x14ac:dyDescent="0.3">
      <c r="A30">
        <v>30</v>
      </c>
      <c r="B30" t="s">
        <v>29</v>
      </c>
      <c r="C30">
        <v>30</v>
      </c>
      <c r="D30" t="s">
        <v>29</v>
      </c>
    </row>
    <row r="31" spans="1:4" x14ac:dyDescent="0.3">
      <c r="A31">
        <v>31</v>
      </c>
      <c r="B31" t="s">
        <v>30</v>
      </c>
      <c r="C31">
        <v>31</v>
      </c>
      <c r="D31" t="s">
        <v>30</v>
      </c>
    </row>
    <row r="32" spans="1:4" x14ac:dyDescent="0.3">
      <c r="A32">
        <v>32</v>
      </c>
      <c r="B32" t="s">
        <v>31</v>
      </c>
      <c r="C32">
        <v>32</v>
      </c>
      <c r="D32" t="s">
        <v>31</v>
      </c>
    </row>
    <row r="33" spans="1:4" x14ac:dyDescent="0.3">
      <c r="A33">
        <v>33</v>
      </c>
      <c r="B33" t="s">
        <v>32</v>
      </c>
      <c r="C33">
        <v>33</v>
      </c>
      <c r="D33" t="s">
        <v>32</v>
      </c>
    </row>
    <row r="34" spans="1:4" x14ac:dyDescent="0.3">
      <c r="A34">
        <v>34</v>
      </c>
      <c r="B34" t="s">
        <v>33</v>
      </c>
      <c r="C34">
        <v>34</v>
      </c>
      <c r="D34" t="s">
        <v>33</v>
      </c>
    </row>
    <row r="35" spans="1:4" x14ac:dyDescent="0.3">
      <c r="A35">
        <v>35</v>
      </c>
      <c r="B35" t="s">
        <v>34</v>
      </c>
      <c r="C35">
        <v>35</v>
      </c>
      <c r="D35" t="s">
        <v>34</v>
      </c>
    </row>
    <row r="36" spans="1:4" x14ac:dyDescent="0.3">
      <c r="A36">
        <v>36</v>
      </c>
      <c r="B36" t="s">
        <v>35</v>
      </c>
      <c r="C36">
        <v>36</v>
      </c>
      <c r="D36" t="s">
        <v>35</v>
      </c>
    </row>
    <row r="37" spans="1:4" x14ac:dyDescent="0.3">
      <c r="A37">
        <v>37</v>
      </c>
      <c r="B37" t="s">
        <v>36</v>
      </c>
      <c r="C37">
        <v>37</v>
      </c>
      <c r="D37" t="s">
        <v>36</v>
      </c>
    </row>
    <row r="38" spans="1:4" x14ac:dyDescent="0.3">
      <c r="A38">
        <v>38</v>
      </c>
      <c r="B38" t="s">
        <v>37</v>
      </c>
      <c r="C38">
        <v>38</v>
      </c>
      <c r="D38" t="s">
        <v>37</v>
      </c>
    </row>
    <row r="39" spans="1:4" x14ac:dyDescent="0.3">
      <c r="A39">
        <v>39</v>
      </c>
      <c r="B39" t="s">
        <v>38</v>
      </c>
      <c r="C39">
        <v>39</v>
      </c>
      <c r="D39" t="s">
        <v>38</v>
      </c>
    </row>
    <row r="40" spans="1:4" x14ac:dyDescent="0.3">
      <c r="A40">
        <v>40</v>
      </c>
      <c r="B40" t="s">
        <v>39</v>
      </c>
      <c r="C40">
        <v>40</v>
      </c>
      <c r="D40" t="s">
        <v>39</v>
      </c>
    </row>
    <row r="41" spans="1:4" x14ac:dyDescent="0.3">
      <c r="A41">
        <v>41</v>
      </c>
      <c r="B41" t="s">
        <v>40</v>
      </c>
      <c r="C41">
        <v>41</v>
      </c>
      <c r="D41" t="s">
        <v>40</v>
      </c>
    </row>
    <row r="42" spans="1:4" x14ac:dyDescent="0.3">
      <c r="A42">
        <v>42</v>
      </c>
      <c r="B42" t="s">
        <v>41</v>
      </c>
      <c r="C42">
        <v>42</v>
      </c>
      <c r="D42" t="s">
        <v>41</v>
      </c>
    </row>
    <row r="43" spans="1:4" x14ac:dyDescent="0.3">
      <c r="A43">
        <v>43</v>
      </c>
      <c r="B43" t="s">
        <v>42</v>
      </c>
      <c r="C43">
        <v>43</v>
      </c>
      <c r="D43" t="s">
        <v>42</v>
      </c>
    </row>
    <row r="44" spans="1:4" x14ac:dyDescent="0.3">
      <c r="A44">
        <v>44</v>
      </c>
      <c r="B44" t="s">
        <v>43</v>
      </c>
      <c r="C44">
        <v>44</v>
      </c>
      <c r="D44" t="s">
        <v>43</v>
      </c>
    </row>
    <row r="45" spans="1:4" x14ac:dyDescent="0.3">
      <c r="A45">
        <v>45</v>
      </c>
      <c r="B45" t="s">
        <v>44</v>
      </c>
      <c r="C45">
        <v>45</v>
      </c>
      <c r="D45" t="s">
        <v>44</v>
      </c>
    </row>
    <row r="46" spans="1:4" x14ac:dyDescent="0.3">
      <c r="A46">
        <v>46</v>
      </c>
      <c r="B46" t="s">
        <v>45</v>
      </c>
      <c r="C46">
        <v>46</v>
      </c>
      <c r="D46" t="s">
        <v>45</v>
      </c>
    </row>
    <row r="47" spans="1:4" x14ac:dyDescent="0.3">
      <c r="A47">
        <v>47</v>
      </c>
      <c r="B47" t="s">
        <v>46</v>
      </c>
      <c r="C47">
        <v>47</v>
      </c>
      <c r="D47" t="s">
        <v>46</v>
      </c>
    </row>
    <row r="48" spans="1:4" x14ac:dyDescent="0.3">
      <c r="A48">
        <v>48</v>
      </c>
      <c r="B48" t="s">
        <v>47</v>
      </c>
      <c r="C48">
        <v>48</v>
      </c>
      <c r="D48" t="s">
        <v>47</v>
      </c>
    </row>
    <row r="49" spans="1:4" x14ac:dyDescent="0.3">
      <c r="A49">
        <v>49</v>
      </c>
      <c r="B49" t="s">
        <v>48</v>
      </c>
      <c r="C49">
        <v>49</v>
      </c>
      <c r="D49" t="s">
        <v>48</v>
      </c>
    </row>
    <row r="50" spans="1:4" x14ac:dyDescent="0.3">
      <c r="A50">
        <v>50</v>
      </c>
      <c r="B50" t="s">
        <v>49</v>
      </c>
      <c r="C50">
        <v>50</v>
      </c>
      <c r="D50" t="s">
        <v>49</v>
      </c>
    </row>
    <row r="51" spans="1:4" x14ac:dyDescent="0.3">
      <c r="A51">
        <v>51</v>
      </c>
      <c r="B51" t="s">
        <v>50</v>
      </c>
      <c r="C51">
        <v>51</v>
      </c>
      <c r="D51" t="s">
        <v>50</v>
      </c>
    </row>
    <row r="52" spans="1:4" x14ac:dyDescent="0.3">
      <c r="A52">
        <v>52</v>
      </c>
      <c r="B52" t="s">
        <v>51</v>
      </c>
      <c r="C52">
        <v>52</v>
      </c>
      <c r="D52" t="s">
        <v>51</v>
      </c>
    </row>
    <row r="53" spans="1:4" x14ac:dyDescent="0.3">
      <c r="A53">
        <v>53</v>
      </c>
      <c r="B53" t="s">
        <v>52</v>
      </c>
      <c r="C53">
        <v>53</v>
      </c>
      <c r="D53" t="s">
        <v>52</v>
      </c>
    </row>
    <row r="54" spans="1:4" x14ac:dyDescent="0.3">
      <c r="A54">
        <v>54</v>
      </c>
      <c r="B54" t="s">
        <v>53</v>
      </c>
      <c r="C54">
        <v>54</v>
      </c>
      <c r="D54" t="s">
        <v>53</v>
      </c>
    </row>
    <row r="55" spans="1:4" x14ac:dyDescent="0.3">
      <c r="A55">
        <v>55</v>
      </c>
      <c r="B55" t="s">
        <v>54</v>
      </c>
      <c r="C55">
        <v>55</v>
      </c>
      <c r="D55" t="s">
        <v>54</v>
      </c>
    </row>
    <row r="56" spans="1:4" x14ac:dyDescent="0.3">
      <c r="A56">
        <v>56</v>
      </c>
      <c r="B56" t="s">
        <v>55</v>
      </c>
      <c r="C56">
        <v>56</v>
      </c>
      <c r="D56" t="s">
        <v>55</v>
      </c>
    </row>
    <row r="57" spans="1:4" x14ac:dyDescent="0.3">
      <c r="A57">
        <v>57</v>
      </c>
      <c r="B57" t="s">
        <v>56</v>
      </c>
      <c r="C57">
        <v>57</v>
      </c>
      <c r="D57" t="s">
        <v>56</v>
      </c>
    </row>
    <row r="58" spans="1:4" x14ac:dyDescent="0.3">
      <c r="A58">
        <v>58</v>
      </c>
      <c r="B58" t="s">
        <v>57</v>
      </c>
      <c r="C58">
        <v>58</v>
      </c>
      <c r="D58" t="s">
        <v>57</v>
      </c>
    </row>
    <row r="59" spans="1:4" x14ac:dyDescent="0.3">
      <c r="A59">
        <v>59</v>
      </c>
      <c r="B59" t="s">
        <v>58</v>
      </c>
      <c r="C59">
        <v>59</v>
      </c>
      <c r="D59" t="s">
        <v>58</v>
      </c>
    </row>
    <row r="60" spans="1:4" x14ac:dyDescent="0.3">
      <c r="A60">
        <v>60</v>
      </c>
      <c r="B60" t="s">
        <v>59</v>
      </c>
      <c r="C60">
        <v>60</v>
      </c>
      <c r="D60" t="s">
        <v>59</v>
      </c>
    </row>
    <row r="61" spans="1:4" x14ac:dyDescent="0.3">
      <c r="A61">
        <v>61</v>
      </c>
      <c r="B61" t="s">
        <v>60</v>
      </c>
      <c r="C61">
        <v>61</v>
      </c>
      <c r="D61" t="s">
        <v>60</v>
      </c>
    </row>
    <row r="62" spans="1:4" x14ac:dyDescent="0.3">
      <c r="A62">
        <v>62</v>
      </c>
      <c r="B62" t="s">
        <v>61</v>
      </c>
      <c r="C62">
        <v>62</v>
      </c>
      <c r="D62" t="s">
        <v>61</v>
      </c>
    </row>
    <row r="63" spans="1:4" x14ac:dyDescent="0.3">
      <c r="A63">
        <v>1</v>
      </c>
      <c r="B63" t="s">
        <v>1</v>
      </c>
      <c r="C63">
        <v>63</v>
      </c>
      <c r="D63" t="s">
        <v>62</v>
      </c>
    </row>
    <row r="64" spans="1:4" x14ac:dyDescent="0.3">
      <c r="A64">
        <v>2</v>
      </c>
      <c r="B64" t="s">
        <v>31</v>
      </c>
      <c r="C64">
        <v>64</v>
      </c>
      <c r="D64">
        <v>0</v>
      </c>
    </row>
    <row r="65" spans="1:3" x14ac:dyDescent="0.3">
      <c r="A65">
        <v>3</v>
      </c>
      <c r="B65" t="s">
        <v>0</v>
      </c>
      <c r="C65">
        <v>65</v>
      </c>
    </row>
    <row r="66" spans="1:3" x14ac:dyDescent="0.3">
      <c r="A66">
        <v>4</v>
      </c>
      <c r="B66" t="s">
        <v>8</v>
      </c>
      <c r="C66">
        <v>66</v>
      </c>
    </row>
    <row r="67" spans="1:3" x14ac:dyDescent="0.3">
      <c r="A67">
        <v>5</v>
      </c>
      <c r="B67" t="s">
        <v>2</v>
      </c>
      <c r="C67">
        <v>67</v>
      </c>
    </row>
    <row r="68" spans="1:3" x14ac:dyDescent="0.3">
      <c r="A68">
        <v>6</v>
      </c>
      <c r="B68" t="s">
        <v>5</v>
      </c>
      <c r="C68">
        <v>68</v>
      </c>
    </row>
    <row r="69" spans="1:3" x14ac:dyDescent="0.3">
      <c r="A69">
        <v>7</v>
      </c>
      <c r="B69" t="s">
        <v>3</v>
      </c>
      <c r="C69">
        <v>69</v>
      </c>
    </row>
    <row r="70" spans="1:3" x14ac:dyDescent="0.3">
      <c r="A70">
        <v>8</v>
      </c>
      <c r="B70" t="s">
        <v>4</v>
      </c>
      <c r="C70">
        <v>70</v>
      </c>
    </row>
    <row r="71" spans="1:3" x14ac:dyDescent="0.3">
      <c r="A71">
        <v>9</v>
      </c>
      <c r="B71" t="s">
        <v>7</v>
      </c>
      <c r="C71">
        <v>71</v>
      </c>
    </row>
    <row r="72" spans="1:3" x14ac:dyDescent="0.3">
      <c r="A72">
        <v>10</v>
      </c>
      <c r="B72" t="s">
        <v>10</v>
      </c>
      <c r="C72">
        <v>72</v>
      </c>
    </row>
    <row r="73" spans="1:3" x14ac:dyDescent="0.3">
      <c r="A73">
        <v>11</v>
      </c>
      <c r="B73" t="s">
        <v>9</v>
      </c>
      <c r="C73">
        <v>73</v>
      </c>
    </row>
    <row r="74" spans="1:3" x14ac:dyDescent="0.3">
      <c r="A74">
        <v>12</v>
      </c>
      <c r="B74" t="s">
        <v>41</v>
      </c>
      <c r="C74">
        <v>74</v>
      </c>
    </row>
    <row r="75" spans="1:3" x14ac:dyDescent="0.3">
      <c r="A75">
        <v>13</v>
      </c>
      <c r="B75" t="s">
        <v>6</v>
      </c>
      <c r="C75">
        <v>75</v>
      </c>
    </row>
    <row r="76" spans="1:3" x14ac:dyDescent="0.3">
      <c r="A76">
        <v>14</v>
      </c>
      <c r="B76" t="s">
        <v>13</v>
      </c>
      <c r="C76">
        <v>76</v>
      </c>
    </row>
    <row r="77" spans="1:3" x14ac:dyDescent="0.3">
      <c r="A77">
        <v>15</v>
      </c>
      <c r="B77" t="s">
        <v>11</v>
      </c>
      <c r="C77">
        <v>77</v>
      </c>
    </row>
    <row r="78" spans="1:3" x14ac:dyDescent="0.3">
      <c r="A78">
        <v>16</v>
      </c>
      <c r="B78" t="s">
        <v>22</v>
      </c>
      <c r="C78">
        <v>78</v>
      </c>
    </row>
    <row r="79" spans="1:3" x14ac:dyDescent="0.3">
      <c r="A79">
        <v>17</v>
      </c>
      <c r="B79" t="s">
        <v>15</v>
      </c>
      <c r="C79">
        <v>79</v>
      </c>
    </row>
    <row r="80" spans="1:3" x14ac:dyDescent="0.3">
      <c r="A80">
        <v>18</v>
      </c>
      <c r="B80" t="s">
        <v>12</v>
      </c>
      <c r="C80">
        <v>80</v>
      </c>
    </row>
    <row r="81" spans="1:3" x14ac:dyDescent="0.3">
      <c r="A81">
        <v>19</v>
      </c>
      <c r="B81" t="s">
        <v>16</v>
      </c>
      <c r="C81">
        <v>81</v>
      </c>
    </row>
    <row r="82" spans="1:3" x14ac:dyDescent="0.3">
      <c r="A82">
        <v>20</v>
      </c>
      <c r="B82" t="s">
        <v>18</v>
      </c>
      <c r="C82">
        <v>82</v>
      </c>
    </row>
    <row r="83" spans="1:3" x14ac:dyDescent="0.3">
      <c r="A83">
        <v>21</v>
      </c>
      <c r="B83" t="s">
        <v>19</v>
      </c>
      <c r="C83">
        <v>83</v>
      </c>
    </row>
    <row r="84" spans="1:3" x14ac:dyDescent="0.3">
      <c r="A84">
        <v>22</v>
      </c>
      <c r="B84" t="s">
        <v>55</v>
      </c>
      <c r="C84">
        <v>84</v>
      </c>
    </row>
    <row r="85" spans="1:3" x14ac:dyDescent="0.3">
      <c r="A85">
        <v>23</v>
      </c>
      <c r="B85" t="s">
        <v>27</v>
      </c>
      <c r="C85">
        <v>85</v>
      </c>
    </row>
    <row r="86" spans="1:3" x14ac:dyDescent="0.3">
      <c r="A86">
        <v>24</v>
      </c>
      <c r="B86" t="s">
        <v>14</v>
      </c>
      <c r="C86">
        <v>86</v>
      </c>
    </row>
    <row r="87" spans="1:3" x14ac:dyDescent="0.3">
      <c r="A87">
        <v>25</v>
      </c>
      <c r="B87" t="s">
        <v>21</v>
      </c>
      <c r="C87">
        <v>87</v>
      </c>
    </row>
    <row r="88" spans="1:3" x14ac:dyDescent="0.3">
      <c r="A88">
        <v>26</v>
      </c>
      <c r="B88" t="s">
        <v>17</v>
      </c>
      <c r="C88">
        <v>88</v>
      </c>
    </row>
    <row r="89" spans="1:3" x14ac:dyDescent="0.3">
      <c r="A89">
        <v>27</v>
      </c>
      <c r="B89" t="s">
        <v>58</v>
      </c>
      <c r="C89">
        <v>89</v>
      </c>
    </row>
    <row r="90" spans="1:3" x14ac:dyDescent="0.3">
      <c r="A90">
        <v>28</v>
      </c>
      <c r="B90" t="s">
        <v>29</v>
      </c>
      <c r="C90">
        <v>90</v>
      </c>
    </row>
    <row r="91" spans="1:3" x14ac:dyDescent="0.3">
      <c r="A91">
        <v>29</v>
      </c>
      <c r="B91" t="s">
        <v>33</v>
      </c>
      <c r="C91">
        <v>91</v>
      </c>
    </row>
    <row r="92" spans="1:3" x14ac:dyDescent="0.3">
      <c r="A92">
        <v>30</v>
      </c>
      <c r="B92" t="s">
        <v>28</v>
      </c>
      <c r="C92">
        <v>92</v>
      </c>
    </row>
    <row r="93" spans="1:3" x14ac:dyDescent="0.3">
      <c r="A93">
        <v>31</v>
      </c>
      <c r="B93" t="s">
        <v>26</v>
      </c>
      <c r="C93">
        <v>93</v>
      </c>
    </row>
    <row r="94" spans="1:3" x14ac:dyDescent="0.3">
      <c r="A94">
        <v>32</v>
      </c>
      <c r="B94" t="s">
        <v>40</v>
      </c>
      <c r="C94">
        <v>94</v>
      </c>
    </row>
    <row r="95" spans="1:3" x14ac:dyDescent="0.3">
      <c r="A95">
        <v>33</v>
      </c>
      <c r="B95" t="s">
        <v>38</v>
      </c>
      <c r="C95">
        <v>95</v>
      </c>
    </row>
    <row r="96" spans="1:3" x14ac:dyDescent="0.3">
      <c r="A96">
        <v>34</v>
      </c>
      <c r="B96" t="s">
        <v>24</v>
      </c>
      <c r="C96">
        <v>96</v>
      </c>
    </row>
    <row r="97" spans="1:3" x14ac:dyDescent="0.3">
      <c r="A97">
        <v>35</v>
      </c>
      <c r="B97" t="s">
        <v>32</v>
      </c>
      <c r="C97">
        <v>97</v>
      </c>
    </row>
    <row r="98" spans="1:3" x14ac:dyDescent="0.3">
      <c r="A98">
        <v>36</v>
      </c>
      <c r="B98" t="s">
        <v>34</v>
      </c>
      <c r="C98">
        <v>98</v>
      </c>
    </row>
    <row r="99" spans="1:3" x14ac:dyDescent="0.3">
      <c r="A99">
        <v>37</v>
      </c>
      <c r="B99" t="s">
        <v>37</v>
      </c>
      <c r="C99">
        <v>99</v>
      </c>
    </row>
    <row r="100" spans="1:3" x14ac:dyDescent="0.3">
      <c r="A100">
        <v>38</v>
      </c>
      <c r="B100" t="s">
        <v>20</v>
      </c>
      <c r="C100">
        <v>100</v>
      </c>
    </row>
    <row r="101" spans="1:3" x14ac:dyDescent="0.3">
      <c r="A101">
        <v>39</v>
      </c>
      <c r="B101" t="s">
        <v>35</v>
      </c>
      <c r="C101">
        <v>101</v>
      </c>
    </row>
    <row r="102" spans="1:3" x14ac:dyDescent="0.3">
      <c r="A102">
        <v>40</v>
      </c>
      <c r="B102" t="s">
        <v>61</v>
      </c>
      <c r="C102">
        <v>102</v>
      </c>
    </row>
    <row r="103" spans="1:3" x14ac:dyDescent="0.3">
      <c r="A103">
        <v>41</v>
      </c>
      <c r="B103" t="s">
        <v>45</v>
      </c>
      <c r="C103">
        <v>103</v>
      </c>
    </row>
    <row r="104" spans="1:3" x14ac:dyDescent="0.3">
      <c r="A104">
        <v>42</v>
      </c>
      <c r="B104" t="s">
        <v>43</v>
      </c>
      <c r="C104">
        <v>104</v>
      </c>
    </row>
    <row r="105" spans="1:3" x14ac:dyDescent="0.3">
      <c r="A105">
        <v>43</v>
      </c>
      <c r="B105" t="s">
        <v>47</v>
      </c>
      <c r="C105">
        <v>105</v>
      </c>
    </row>
    <row r="106" spans="1:3" x14ac:dyDescent="0.3">
      <c r="A106">
        <v>44</v>
      </c>
      <c r="B106" t="s">
        <v>42</v>
      </c>
      <c r="C106">
        <v>106</v>
      </c>
    </row>
    <row r="107" spans="1:3" x14ac:dyDescent="0.3">
      <c r="A107">
        <v>45</v>
      </c>
      <c r="B107" t="s">
        <v>44</v>
      </c>
      <c r="C107">
        <v>107</v>
      </c>
    </row>
    <row r="108" spans="1:3" x14ac:dyDescent="0.3">
      <c r="A108">
        <v>46</v>
      </c>
      <c r="B108" t="s">
        <v>46</v>
      </c>
      <c r="C108">
        <v>108</v>
      </c>
    </row>
    <row r="109" spans="1:3" x14ac:dyDescent="0.3">
      <c r="A109">
        <v>47</v>
      </c>
      <c r="B109" t="s">
        <v>62</v>
      </c>
      <c r="C109">
        <v>109</v>
      </c>
    </row>
    <row r="110" spans="1:3" x14ac:dyDescent="0.3">
      <c r="A110">
        <v>48</v>
      </c>
      <c r="B110" t="s">
        <v>48</v>
      </c>
      <c r="C110">
        <v>110</v>
      </c>
    </row>
    <row r="111" spans="1:3" x14ac:dyDescent="0.3">
      <c r="A111">
        <v>49</v>
      </c>
      <c r="B111" t="s">
        <v>54</v>
      </c>
      <c r="C111">
        <v>111</v>
      </c>
    </row>
    <row r="112" spans="1:3" x14ac:dyDescent="0.3">
      <c r="A112">
        <v>50</v>
      </c>
      <c r="B112" t="s">
        <v>39</v>
      </c>
      <c r="C112">
        <v>112</v>
      </c>
    </row>
    <row r="113" spans="1:3" x14ac:dyDescent="0.3">
      <c r="A113">
        <v>51</v>
      </c>
      <c r="B113" t="s">
        <v>36</v>
      </c>
      <c r="C113">
        <v>113</v>
      </c>
    </row>
    <row r="114" spans="1:3" x14ac:dyDescent="0.3">
      <c r="A114">
        <v>52</v>
      </c>
      <c r="B114" t="s">
        <v>51</v>
      </c>
      <c r="C114">
        <v>114</v>
      </c>
    </row>
    <row r="115" spans="1:3" x14ac:dyDescent="0.3">
      <c r="A115">
        <v>53</v>
      </c>
      <c r="B115" t="s">
        <v>57</v>
      </c>
      <c r="C115">
        <v>115</v>
      </c>
    </row>
    <row r="116" spans="1:3" x14ac:dyDescent="0.3">
      <c r="A116">
        <v>54</v>
      </c>
      <c r="B116" t="s">
        <v>23</v>
      </c>
      <c r="C116">
        <v>116</v>
      </c>
    </row>
    <row r="117" spans="1:3" x14ac:dyDescent="0.3">
      <c r="A117">
        <v>55</v>
      </c>
      <c r="B117" t="s">
        <v>49</v>
      </c>
      <c r="C117">
        <v>117</v>
      </c>
    </row>
    <row r="118" spans="1:3" x14ac:dyDescent="0.3">
      <c r="A118">
        <v>56</v>
      </c>
      <c r="B118" t="s">
        <v>53</v>
      </c>
      <c r="C118">
        <v>118</v>
      </c>
    </row>
    <row r="119" spans="1:3" x14ac:dyDescent="0.3">
      <c r="A119">
        <v>57</v>
      </c>
      <c r="B119" t="s">
        <v>59</v>
      </c>
    </row>
    <row r="120" spans="1:3" x14ac:dyDescent="0.3">
      <c r="A120">
        <v>59</v>
      </c>
      <c r="B120" t="s">
        <v>25</v>
      </c>
    </row>
    <row r="121" spans="1:3" x14ac:dyDescent="0.3">
      <c r="A121">
        <v>60</v>
      </c>
      <c r="B121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467E2-E4DE-4B3A-AB57-6CCAD30FA397}">
  <sheetPr codeName="Sheet13">
    <tabColor theme="9" tint="0.59999389629810485"/>
  </sheetPr>
  <dimension ref="A1:Y302"/>
  <sheetViews>
    <sheetView workbookViewId="0">
      <pane ySplit="1" topLeftCell="A166" activePane="bottomLeft" state="frozen"/>
      <selection activeCell="H1" sqref="H1"/>
      <selection pane="bottomLeft"/>
    </sheetView>
  </sheetViews>
  <sheetFormatPr defaultRowHeight="14.4" x14ac:dyDescent="0.3"/>
  <cols>
    <col min="1" max="1" width="3.88671875" bestFit="1" customWidth="1"/>
    <col min="2" max="2" width="5" bestFit="1" customWidth="1"/>
    <col min="3" max="3" width="44.88671875" bestFit="1" customWidth="1"/>
    <col min="4" max="4" width="15.33203125" style="7" bestFit="1" customWidth="1"/>
    <col min="5" max="5" width="23.33203125" style="9" bestFit="1" customWidth="1"/>
    <col min="6" max="6" width="27.6640625" style="7" bestFit="1" customWidth="1"/>
    <col min="7" max="7" width="21.109375" style="7" bestFit="1" customWidth="1"/>
    <col min="8" max="8" width="25.109375" style="9" bestFit="1" customWidth="1"/>
    <col min="9" max="9" width="29" style="7" bestFit="1" customWidth="1"/>
    <col min="10" max="10" width="24.6640625" style="7" bestFit="1" customWidth="1"/>
    <col min="11" max="11" width="34.109375" style="7" bestFit="1" customWidth="1"/>
    <col min="12" max="12" width="53.5546875" style="7" bestFit="1" customWidth="1"/>
    <col min="13" max="14" width="16.21875" style="5" bestFit="1" customWidth="1"/>
    <col min="15" max="15" width="15.21875" style="5" bestFit="1" customWidth="1"/>
    <col min="22" max="22" width="12.5546875" bestFit="1" customWidth="1"/>
    <col min="23" max="23" width="12.44140625" bestFit="1" customWidth="1"/>
    <col min="24" max="24" width="10.77734375" bestFit="1" customWidth="1"/>
    <col min="25" max="25" width="35.21875" bestFit="1" customWidth="1"/>
  </cols>
  <sheetData>
    <row r="1" spans="1:25" s="1" customFormat="1" x14ac:dyDescent="0.3">
      <c r="A1" s="1" t="s">
        <v>102</v>
      </c>
      <c r="B1" s="1" t="s">
        <v>104</v>
      </c>
      <c r="C1" s="1" t="s">
        <v>103</v>
      </c>
      <c r="D1" s="6" t="s">
        <v>75</v>
      </c>
      <c r="E1" s="8" t="s">
        <v>76</v>
      </c>
      <c r="F1" s="6" t="s">
        <v>72</v>
      </c>
      <c r="G1" s="6" t="s">
        <v>99</v>
      </c>
      <c r="H1" s="8" t="s">
        <v>100</v>
      </c>
      <c r="I1" s="6" t="s">
        <v>101</v>
      </c>
      <c r="J1" s="6" t="s">
        <v>73</v>
      </c>
      <c r="K1" s="6" t="s">
        <v>77</v>
      </c>
      <c r="L1" s="6" t="s">
        <v>71</v>
      </c>
      <c r="M1" s="4" t="s">
        <v>63</v>
      </c>
      <c r="N1" s="4" t="s">
        <v>64</v>
      </c>
      <c r="O1" s="4" t="s">
        <v>105</v>
      </c>
    </row>
    <row r="2" spans="1:25" x14ac:dyDescent="0.3">
      <c r="A2">
        <v>1</v>
      </c>
      <c r="B2">
        <v>2015</v>
      </c>
      <c r="C2" t="s">
        <v>78</v>
      </c>
      <c r="D2" s="7" cm="1">
        <f t="array" aca="1" ref="D2" ca="1">INDEX(INDIRECT($M2),
       MATCH(TRIM($C2), TRIM(INDIRECT($N2)), 0),
       MATCH(TRIM(D$1), TRIM(INDIRECT($O2)), 0))</f>
        <v>1012</v>
      </c>
      <c r="E2" s="9" cm="1">
        <f t="array" aca="1" ref="E2" ca="1">INDEX(INDIRECT($M2),
       MATCH(TRIM($C2), TRIM(INDIRECT($N2)), 0),
       MATCH(TRIM(E$1), TRIM(INDIRECT($O2)), 0))</f>
        <v>9466284582</v>
      </c>
      <c r="F2" s="7" cm="1">
        <f t="array" aca="1" ref="F2" ca="1">INDEX(INDIRECT($M2),
       MATCH(TRIM($C2), TRIM(INDIRECT($N2)), 0),
       MATCH(TRIM(F$1), TRIM(INDIRECT($O2)), 0))</f>
        <v>9466.2845820000002</v>
      </c>
      <c r="G2" s="7" cm="1">
        <f t="array" aca="1" ref="G2" ca="1">INDEX(INDIRECT($M2),
       MATCH(TRIM($C2), TRIM(INDIRECT($N2)), 0),
       MATCH(TRIM(G$1), TRIM(INDIRECT($O2)), 0))</f>
        <v>616</v>
      </c>
      <c r="H2" s="9" cm="1">
        <f t="array" aca="1" ref="H2" ca="1">INDEX(INDIRECT($M2),
       MATCH(TRIM($C2), TRIM(INDIRECT($N2)), 0),
       MATCH(TRIM(H$1), TRIM(INDIRECT($O2)), 0))</f>
        <v>6962482085.25</v>
      </c>
      <c r="I2" s="7" cm="1">
        <f t="array" aca="1" ref="I2" ca="1">INDEX(INDIRECT($M2),
       MATCH(TRIM($C2), TRIM(INDIRECT($N2)), 0),
       MATCH(TRIM(I$1), TRIM(INDIRECT($O2)), 0))</f>
        <v>6962.4820852499997</v>
      </c>
      <c r="J2" s="7" t="e" cm="1">
        <f t="array" aca="1" ref="J2" ca="1">INDEX(INDIRECT($M2),
       MATCH(TRIM($C2), TRIM(INDIRECT($N2)), 0),
       MATCH(TRIM(J$1), TRIM(INDIRECT($O2)), 0))</f>
        <v>#N/A</v>
      </c>
      <c r="K2" s="7" t="e" cm="1">
        <f t="array" aca="1" ref="K2" ca="1">INDEX(INDIRECT($M2),
       MATCH(TRIM($C2), TRIM(INDIRECT($N2)), 0),
       MATCH(TRIM(K$1), TRIM(INDIRECT($O2)), 0))</f>
        <v>#N/A</v>
      </c>
      <c r="L2" s="7" cm="1">
        <f t="array" aca="1" ref="L2" ca="1">INDEX(INDIRECT($M2),
       MATCH(TRIM($C2), TRIM(INDIRECT($N2)), 0),
       MATCH(TRIM(L$1), TRIM(INDIRECT($O2)), 0))</f>
        <v>16428.766667249998</v>
      </c>
      <c r="M2" s="5" t="str">
        <f>_xlfn.CONCAT("'",$B2,"'","!","$C$3:$K$23")</f>
        <v>'2015'!$C$3:$K$23</v>
      </c>
      <c r="N2" s="5" t="str">
        <f>_xlfn.CONCAT("'",$B2,"'","!","$B$3:$B$22")</f>
        <v>'2015'!$B$3:$B$22</v>
      </c>
      <c r="O2" s="5" t="str">
        <f>_xlfn.CONCAT("'",$B2,"'","!","$C$2:$K$2")</f>
        <v>'2015'!$C$2:$K$2</v>
      </c>
      <c r="V2" s="2"/>
    </row>
    <row r="3" spans="1:25" x14ac:dyDescent="0.3">
      <c r="A3">
        <v>2</v>
      </c>
      <c r="B3">
        <v>2015</v>
      </c>
      <c r="C3" t="s">
        <v>79</v>
      </c>
      <c r="D3" s="7" cm="1">
        <f t="array" aca="1" ref="D3" ca="1">INDEX(INDIRECT($M3),
       MATCH(TRIM($C3), TRIM(INDIRECT($N3)), 0),
       MATCH(TRIM(D$1), TRIM(INDIRECT($O3)), 0))</f>
        <v>10</v>
      </c>
      <c r="E3" s="9" cm="1">
        <f t="array" aca="1" ref="E3" ca="1">INDEX(INDIRECT($M3),
       MATCH(TRIM($C3), TRIM(INDIRECT($N3)), 0),
       MATCH(TRIM(E$1), TRIM(INDIRECT($O3)), 0))</f>
        <v>2859591155</v>
      </c>
      <c r="F3" s="7" cm="1">
        <f t="array" aca="1" ref="F3" ca="1">INDEX(INDIRECT($M3),
       MATCH(TRIM($C3), TRIM(INDIRECT($N3)), 0),
       MATCH(TRIM(F$1), TRIM(INDIRECT($O3)), 0))</f>
        <v>2859.5911550000001</v>
      </c>
      <c r="G3" s="7" cm="1">
        <f t="array" aca="1" ref="G3" ca="1">INDEX(INDIRECT($M3),
       MATCH(TRIM($C3), TRIM(INDIRECT($N3)), 0),
       MATCH(TRIM(G$1), TRIM(INDIRECT($O3)), 0))</f>
        <v>11</v>
      </c>
      <c r="H3" s="9" cm="1">
        <f t="array" aca="1" ref="H3" ca="1">INDEX(INDIRECT($M3),
       MATCH(TRIM($C3), TRIM(INDIRECT($N3)), 0),
       MATCH(TRIM(H$1), TRIM(INDIRECT($O3)), 0))</f>
        <v>-60160477</v>
      </c>
      <c r="I3" s="7" cm="1">
        <f t="array" aca="1" ref="I3" ca="1">INDEX(INDIRECT($M3),
       MATCH(TRIM($C3), TRIM(INDIRECT($N3)), 0),
       MATCH(TRIM(I$1), TRIM(INDIRECT($O3)), 0))</f>
        <v>60.160477</v>
      </c>
      <c r="J3" s="7" t="e" cm="1">
        <f t="array" aca="1" ref="J3" ca="1">INDEX(INDIRECT($M3),
       MATCH(TRIM($C3), TRIM(INDIRECT($N3)), 0),
       MATCH(TRIM(J$1), TRIM(INDIRECT($O3)), 0))</f>
        <v>#N/A</v>
      </c>
      <c r="K3" s="7" t="e" cm="1">
        <f t="array" aca="1" ref="K3" ca="1">INDEX(INDIRECT($M3),
       MATCH(TRIM($C3), TRIM(INDIRECT($N3)), 0),
       MATCH(TRIM(K$1), TRIM(INDIRECT($O3)), 0))</f>
        <v>#N/A</v>
      </c>
      <c r="L3" s="7" cm="1">
        <f t="array" aca="1" ref="L3" ca="1">INDEX(INDIRECT($M3),
       MATCH(TRIM($C3), TRIM(INDIRECT($N3)), 0),
       MATCH(TRIM(L$1), TRIM(INDIRECT($O3)), 0))</f>
        <v>2919.751632</v>
      </c>
      <c r="M3" s="5" t="str">
        <f>_xlfn.CONCAT("'",$B3,"'","!","$C$3:$K$23")</f>
        <v>'2015'!$C$3:$K$23</v>
      </c>
      <c r="N3" s="5" t="str">
        <f>_xlfn.CONCAT("'",$B3,"'","!","$B$3:$B$22")</f>
        <v>'2015'!$B$3:$B$22</v>
      </c>
      <c r="O3" s="5" t="str">
        <f>_xlfn.CONCAT("'",$B3,"'","!","$C$2:$K$2")</f>
        <v>'2015'!$C$2:$K$2</v>
      </c>
      <c r="V3" s="3"/>
    </row>
    <row r="4" spans="1:25" x14ac:dyDescent="0.3">
      <c r="A4">
        <v>3</v>
      </c>
      <c r="B4">
        <v>2015</v>
      </c>
      <c r="C4" t="s">
        <v>80</v>
      </c>
      <c r="D4" s="7" cm="1">
        <f t="array" aca="1" ref="D4" ca="1">INDEX(INDIRECT($M4),
       MATCH(TRIM($C4), TRIM(INDIRECT($N4)), 0),
       MATCH(TRIM(D$1), TRIM(INDIRECT($O4)), 0))</f>
        <v>34</v>
      </c>
      <c r="E4" s="9" cm="1">
        <f t="array" aca="1" ref="E4" ca="1">INDEX(INDIRECT($M4),
       MATCH(TRIM($C4), TRIM(INDIRECT($N4)), 0),
       MATCH(TRIM(E$1), TRIM(INDIRECT($O4)), 0))</f>
        <v>2146413268</v>
      </c>
      <c r="F4" s="7" cm="1">
        <f t="array" aca="1" ref="F4" ca="1">INDEX(INDIRECT($M4),
       MATCH(TRIM($C4), TRIM(INDIRECT($N4)), 0),
       MATCH(TRIM(F$1), TRIM(INDIRECT($O4)), 0))</f>
        <v>2146.4132679999998</v>
      </c>
      <c r="G4" s="7" cm="1">
        <f t="array" aca="1" ref="G4" ca="1">INDEX(INDIRECT($M4),
       MATCH(TRIM($C4), TRIM(INDIRECT($N4)), 0),
       MATCH(TRIM(G$1), TRIM(INDIRECT($O4)), 0))</f>
        <v>14</v>
      </c>
      <c r="H4" s="9" cm="1">
        <f t="array" aca="1" ref="H4" ca="1">INDEX(INDIRECT($M4),
       MATCH(TRIM($C4), TRIM(INDIRECT($N4)), 0),
       MATCH(TRIM(H$1), TRIM(INDIRECT($O4)), 0))</f>
        <v>248289212</v>
      </c>
      <c r="I4" s="7" cm="1">
        <f t="array" aca="1" ref="I4" ca="1">INDEX(INDIRECT($M4),
       MATCH(TRIM($C4), TRIM(INDIRECT($N4)), 0),
       MATCH(TRIM(I$1), TRIM(INDIRECT($O4)), 0))</f>
        <v>248.28921199999999</v>
      </c>
      <c r="J4" s="7" t="e" cm="1">
        <f t="array" aca="1" ref="J4" ca="1">INDEX(INDIRECT($M4),
       MATCH(TRIM($C4), TRIM(INDIRECT($N4)), 0),
       MATCH(TRIM(J$1), TRIM(INDIRECT($O4)), 0))</f>
        <v>#N/A</v>
      </c>
      <c r="K4" s="7" t="e" cm="1">
        <f t="array" aca="1" ref="K4" ca="1">INDEX(INDIRECT($M4),
       MATCH(TRIM($C4), TRIM(INDIRECT($N4)), 0),
       MATCH(TRIM(K$1), TRIM(INDIRECT($O4)), 0))</f>
        <v>#N/A</v>
      </c>
      <c r="L4" s="7" cm="1">
        <f t="array" aca="1" ref="L4" ca="1">INDEX(INDIRECT($M4),
       MATCH(TRIM($C4), TRIM(INDIRECT($N4)), 0),
       MATCH(TRIM(L$1), TRIM(INDIRECT($O4)), 0))</f>
        <v>2394.7024799999999</v>
      </c>
      <c r="M4" s="5" t="str">
        <f>_xlfn.CONCAT("'",$B4,"'","!","$C$3:$K$23")</f>
        <v>'2015'!$C$3:$K$23</v>
      </c>
      <c r="N4" s="5" t="str">
        <f>_xlfn.CONCAT("'",$B4,"'","!","$B$3:$B$22")</f>
        <v>'2015'!$B$3:$B$22</v>
      </c>
      <c r="O4" s="5" t="str">
        <f>_xlfn.CONCAT("'",$B4,"'","!","$C$2:$K$2")</f>
        <v>'2015'!$C$2:$K$2</v>
      </c>
      <c r="V4" s="3"/>
    </row>
    <row r="5" spans="1:25" x14ac:dyDescent="0.3">
      <c r="A5">
        <v>4</v>
      </c>
      <c r="B5">
        <v>2015</v>
      </c>
      <c r="C5" t="s">
        <v>81</v>
      </c>
      <c r="D5" s="7" cm="1">
        <f t="array" aca="1" ref="D5" ca="1">INDEX(INDIRECT($M5),
       MATCH(TRIM($C5), TRIM(INDIRECT($N5)), 0),
       MATCH(TRIM(D$1), TRIM(INDIRECT($O5)), 0))</f>
        <v>115</v>
      </c>
      <c r="E5" s="9" cm="1">
        <f t="array" aca="1" ref="E5" ca="1">INDEX(INDIRECT($M5),
       MATCH(TRIM($C5), TRIM(INDIRECT($N5)), 0),
       MATCH(TRIM(E$1), TRIM(INDIRECT($O5)), 0))</f>
        <v>575129332</v>
      </c>
      <c r="F5" s="7" cm="1">
        <f t="array" aca="1" ref="F5" ca="1">INDEX(INDIRECT($M5),
       MATCH(TRIM($C5), TRIM(INDIRECT($N5)), 0),
       MATCH(TRIM(F$1), TRIM(INDIRECT($O5)), 0))</f>
        <v>575.12933199999998</v>
      </c>
      <c r="G5" s="7" cm="1">
        <f t="array" aca="1" ref="G5" ca="1">INDEX(INDIRECT($M5),
       MATCH(TRIM($C5), TRIM(INDIRECT($N5)), 0),
       MATCH(TRIM(G$1), TRIM(INDIRECT($O5)), 0))</f>
        <v>30</v>
      </c>
      <c r="H5" s="9" cm="1">
        <f t="array" aca="1" ref="H5" ca="1">INDEX(INDIRECT($M5),
       MATCH(TRIM($C5), TRIM(INDIRECT($N5)), 0),
       MATCH(TRIM(H$1), TRIM(INDIRECT($O5)), 0))</f>
        <v>163437685</v>
      </c>
      <c r="I5" s="7" cm="1">
        <f t="array" aca="1" ref="I5" ca="1">INDEX(INDIRECT($M5),
       MATCH(TRIM($C5), TRIM(INDIRECT($N5)), 0),
       MATCH(TRIM(I$1), TRIM(INDIRECT($O5)), 0))</f>
        <v>163.43768499999999</v>
      </c>
      <c r="J5" s="7" t="e" cm="1">
        <f t="array" aca="1" ref="J5" ca="1">INDEX(INDIRECT($M5),
       MATCH(TRIM($C5), TRIM(INDIRECT($N5)), 0),
       MATCH(TRIM(J$1), TRIM(INDIRECT($O5)), 0))</f>
        <v>#N/A</v>
      </c>
      <c r="K5" s="7" t="e" cm="1">
        <f t="array" aca="1" ref="K5" ca="1">INDEX(INDIRECT($M5),
       MATCH(TRIM($C5), TRIM(INDIRECT($N5)), 0),
       MATCH(TRIM(K$1), TRIM(INDIRECT($O5)), 0))</f>
        <v>#N/A</v>
      </c>
      <c r="L5" s="7" cm="1">
        <f t="array" aca="1" ref="L5" ca="1">INDEX(INDIRECT($M5),
       MATCH(TRIM($C5), TRIM(INDIRECT($N5)), 0),
       MATCH(TRIM(L$1), TRIM(INDIRECT($O5)), 0))</f>
        <v>738.56701699999996</v>
      </c>
      <c r="M5" s="5" t="str">
        <f>_xlfn.CONCAT("'",$B5,"'","!","$C$3:$K$23")</f>
        <v>'2015'!$C$3:$K$23</v>
      </c>
      <c r="N5" s="5" t="str">
        <f>_xlfn.CONCAT("'",$B5,"'","!","$B$3:$B$22")</f>
        <v>'2015'!$B$3:$B$22</v>
      </c>
      <c r="O5" s="5" t="str">
        <f>_xlfn.CONCAT("'",$B5,"'","!","$C$2:$K$2")</f>
        <v>'2015'!$C$2:$K$2</v>
      </c>
      <c r="V5" s="3"/>
    </row>
    <row r="6" spans="1:25" x14ac:dyDescent="0.3">
      <c r="A6">
        <v>5</v>
      </c>
      <c r="B6">
        <v>2015</v>
      </c>
      <c r="C6" t="s">
        <v>82</v>
      </c>
      <c r="D6" s="7" cm="1">
        <f t="array" aca="1" ref="D6" ca="1">INDEX(INDIRECT($M6),
       MATCH(TRIM($C6), TRIM(INDIRECT($N6)), 0),
       MATCH(TRIM(D$1), TRIM(INDIRECT($O6)), 0))</f>
        <v>328</v>
      </c>
      <c r="E6" s="9" cm="1">
        <f t="array" aca="1" ref="E6" ca="1">INDEX(INDIRECT($M6),
       MATCH(TRIM($C6), TRIM(INDIRECT($N6)), 0),
       MATCH(TRIM(E$1), TRIM(INDIRECT($O6)), 0))</f>
        <v>516079367.24000001</v>
      </c>
      <c r="F6" s="7" cm="1">
        <f t="array" aca="1" ref="F6" ca="1">INDEX(INDIRECT($M6),
       MATCH(TRIM($C6), TRIM(INDIRECT($N6)), 0),
       MATCH(TRIM(F$1), TRIM(INDIRECT($O6)), 0))</f>
        <v>516.07936724000001</v>
      </c>
      <c r="G6" s="7" cm="1">
        <f t="array" aca="1" ref="G6" ca="1">INDEX(INDIRECT($M6),
       MATCH(TRIM($C6), TRIM(INDIRECT($N6)), 0),
       MATCH(TRIM(G$1), TRIM(INDIRECT($O6)), 0))</f>
        <v>67</v>
      </c>
      <c r="H6" s="9" cm="1">
        <f t="array" aca="1" ref="H6" ca="1">INDEX(INDIRECT($M6),
       MATCH(TRIM($C6), TRIM(INDIRECT($N6)), 0),
       MATCH(TRIM(H$1), TRIM(INDIRECT($O6)), 0))</f>
        <v>168351429.16999999</v>
      </c>
      <c r="I6" s="7" cm="1">
        <f t="array" aca="1" ref="I6" ca="1">INDEX(INDIRECT($M6),
       MATCH(TRIM($C6), TRIM(INDIRECT($N6)), 0),
       MATCH(TRIM(I$1), TRIM(INDIRECT($O6)), 0))</f>
        <v>168.35142916999999</v>
      </c>
      <c r="J6" s="7" t="e" cm="1">
        <f t="array" aca="1" ref="J6" ca="1">INDEX(INDIRECT($M6),
       MATCH(TRIM($C6), TRIM(INDIRECT($N6)), 0),
       MATCH(TRIM(J$1), TRIM(INDIRECT($O6)), 0))</f>
        <v>#N/A</v>
      </c>
      <c r="K6" s="7" t="e" cm="1">
        <f t="array" aca="1" ref="K6" ca="1">INDEX(INDIRECT($M6),
       MATCH(TRIM($C6), TRIM(INDIRECT($N6)), 0),
       MATCH(TRIM(K$1), TRIM(INDIRECT($O6)), 0))</f>
        <v>#N/A</v>
      </c>
      <c r="L6" s="7" cm="1">
        <f t="array" aca="1" ref="L6" ca="1">INDEX(INDIRECT($M6),
       MATCH(TRIM($C6), TRIM(INDIRECT($N6)), 0),
       MATCH(TRIM(L$1), TRIM(INDIRECT($O6)), 0))</f>
        <v>684.43079640999997</v>
      </c>
      <c r="M6" s="5" t="str">
        <f>_xlfn.CONCAT("'",$B6,"'","!","$C$3:$K$23")</f>
        <v>'2015'!$C$3:$K$23</v>
      </c>
      <c r="N6" s="5" t="str">
        <f>_xlfn.CONCAT("'",$B6,"'","!","$B$3:$B$22")</f>
        <v>'2015'!$B$3:$B$22</v>
      </c>
      <c r="O6" s="5" t="str">
        <f>_xlfn.CONCAT("'",$B6,"'","!","$C$2:$K$2")</f>
        <v>'2015'!$C$2:$K$2</v>
      </c>
    </row>
    <row r="7" spans="1:25" x14ac:dyDescent="0.3">
      <c r="A7">
        <v>6</v>
      </c>
      <c r="B7">
        <v>2015</v>
      </c>
      <c r="C7" t="s">
        <v>83</v>
      </c>
      <c r="D7" s="7" cm="1">
        <f t="array" aca="1" ref="D7" ca="1">INDEX(INDIRECT($M7),
       MATCH(TRIM($C7), TRIM(INDIRECT($N7)), 0),
       MATCH(TRIM(D$1), TRIM(INDIRECT($O7)), 0))</f>
        <v>17</v>
      </c>
      <c r="E7" s="9" cm="1">
        <f t="array" aca="1" ref="E7" ca="1">INDEX(INDIRECT($M7),
       MATCH(TRIM($C7), TRIM(INDIRECT($N7)), 0),
       MATCH(TRIM(E$1), TRIM(INDIRECT($O7)), 0))</f>
        <v>149018873</v>
      </c>
      <c r="F7" s="7" cm="1">
        <f t="array" aca="1" ref="F7" ca="1">INDEX(INDIRECT($M7),
       MATCH(TRIM($C7), TRIM(INDIRECT($N7)), 0),
       MATCH(TRIM(F$1), TRIM(INDIRECT($O7)), 0))</f>
        <v>149.01887300000001</v>
      </c>
      <c r="G7" s="7" cm="1">
        <f t="array" aca="1" ref="G7" ca="1">INDEX(INDIRECT($M7),
       MATCH(TRIM($C7), TRIM(INDIRECT($N7)), 0),
       MATCH(TRIM(G$1), TRIM(INDIRECT($O7)), 0))</f>
        <v>16</v>
      </c>
      <c r="H7" s="9" cm="1">
        <f t="array" aca="1" ref="H7" ca="1">INDEX(INDIRECT($M7),
       MATCH(TRIM($C7), TRIM(INDIRECT($N7)), 0),
       MATCH(TRIM(H$1), TRIM(INDIRECT($O7)), 0))</f>
        <v>108987838</v>
      </c>
      <c r="I7" s="7" cm="1">
        <f t="array" aca="1" ref="I7" ca="1">INDEX(INDIRECT($M7),
       MATCH(TRIM($C7), TRIM(INDIRECT($N7)), 0),
       MATCH(TRIM(I$1), TRIM(INDIRECT($O7)), 0))</f>
        <v>108.987838</v>
      </c>
      <c r="J7" s="7" t="e" cm="1">
        <f t="array" aca="1" ref="J7" ca="1">INDEX(INDIRECT($M7),
       MATCH(TRIM($C7), TRIM(INDIRECT($N7)), 0),
       MATCH(TRIM(J$1), TRIM(INDIRECT($O7)), 0))</f>
        <v>#N/A</v>
      </c>
      <c r="K7" s="7" t="e" cm="1">
        <f t="array" aca="1" ref="K7" ca="1">INDEX(INDIRECT($M7),
       MATCH(TRIM($C7), TRIM(INDIRECT($N7)), 0),
       MATCH(TRIM(K$1), TRIM(INDIRECT($O7)), 0))</f>
        <v>#N/A</v>
      </c>
      <c r="L7" s="7" cm="1">
        <f t="array" aca="1" ref="L7" ca="1">INDEX(INDIRECT($M7),
       MATCH(TRIM($C7), TRIM(INDIRECT($N7)), 0),
       MATCH(TRIM(L$1), TRIM(INDIRECT($O7)), 0))</f>
        <v>258.006711</v>
      </c>
      <c r="M7" s="5" t="str">
        <f>_xlfn.CONCAT("'",$B7,"'","!","$C$3:$K$23")</f>
        <v>'2015'!$C$3:$K$23</v>
      </c>
      <c r="N7" s="5" t="str">
        <f>_xlfn.CONCAT("'",$B7,"'","!","$B$3:$B$22")</f>
        <v>'2015'!$B$3:$B$22</v>
      </c>
      <c r="O7" s="5" t="str">
        <f>_xlfn.CONCAT("'",$B7,"'","!","$C$2:$K$2")</f>
        <v>'2015'!$C$2:$K$2</v>
      </c>
    </row>
    <row r="8" spans="1:25" x14ac:dyDescent="0.3">
      <c r="A8">
        <v>7</v>
      </c>
      <c r="B8">
        <v>2015</v>
      </c>
      <c r="C8" t="s">
        <v>84</v>
      </c>
      <c r="D8" s="7" cm="1">
        <f t="array" aca="1" ref="D8" ca="1">INDEX(INDIRECT($M8),
       MATCH(TRIM($C8), TRIM(INDIRECT($N8)), 0),
       MATCH(TRIM(D$1), TRIM(INDIRECT($O8)), 0))</f>
        <v>215</v>
      </c>
      <c r="E8" s="9" cm="1">
        <f t="array" aca="1" ref="E8" ca="1">INDEX(INDIRECT($M8),
       MATCH(TRIM($C8), TRIM(INDIRECT($N8)), 0),
       MATCH(TRIM(E$1), TRIM(INDIRECT($O8)), 0))</f>
        <v>223986627</v>
      </c>
      <c r="F8" s="7" cm="1">
        <f t="array" aca="1" ref="F8" ca="1">INDEX(INDIRECT($M8),
       MATCH(TRIM($C8), TRIM(INDIRECT($N8)), 0),
       MATCH(TRIM(F$1), TRIM(INDIRECT($O8)), 0))</f>
        <v>223.986627</v>
      </c>
      <c r="G8" s="7" cm="1">
        <f t="array" aca="1" ref="G8" ca="1">INDEX(INDIRECT($M8),
       MATCH(TRIM($C8), TRIM(INDIRECT($N8)), 0),
       MATCH(TRIM(G$1), TRIM(INDIRECT($O8)), 0))</f>
        <v>57</v>
      </c>
      <c r="H8" s="9" cm="1">
        <f t="array" aca="1" ref="H8" ca="1">INDEX(INDIRECT($M8),
       MATCH(TRIM($C8), TRIM(INDIRECT($N8)), 0),
       MATCH(TRIM(H$1), TRIM(INDIRECT($O8)), 0))</f>
        <v>26150600</v>
      </c>
      <c r="I8" s="7" cm="1">
        <f t="array" aca="1" ref="I8" ca="1">INDEX(INDIRECT($M8),
       MATCH(TRIM($C8), TRIM(INDIRECT($N8)), 0),
       MATCH(TRIM(I$1), TRIM(INDIRECT($O8)), 0))</f>
        <v>26.150600000000001</v>
      </c>
      <c r="J8" s="7" t="e" cm="1">
        <f t="array" aca="1" ref="J8" ca="1">INDEX(INDIRECT($M8),
       MATCH(TRIM($C8), TRIM(INDIRECT($N8)), 0),
       MATCH(TRIM(J$1), TRIM(INDIRECT($O8)), 0))</f>
        <v>#N/A</v>
      </c>
      <c r="K8" s="7" t="e" cm="1">
        <f t="array" aca="1" ref="K8" ca="1">INDEX(INDIRECT($M8),
       MATCH(TRIM($C8), TRIM(INDIRECT($N8)), 0),
       MATCH(TRIM(K$1), TRIM(INDIRECT($O8)), 0))</f>
        <v>#N/A</v>
      </c>
      <c r="L8" s="7" cm="1">
        <f t="array" aca="1" ref="L8" ca="1">INDEX(INDIRECT($M8),
       MATCH(TRIM($C8), TRIM(INDIRECT($N8)), 0),
       MATCH(TRIM(L$1), TRIM(INDIRECT($O8)), 0))</f>
        <v>250.137227</v>
      </c>
      <c r="M8" s="5" t="str">
        <f>_xlfn.CONCAT("'",$B8,"'","!","$C$3:$K$23")</f>
        <v>'2015'!$C$3:$K$23</v>
      </c>
      <c r="N8" s="5" t="str">
        <f>_xlfn.CONCAT("'",$B8,"'","!","$B$3:$B$22")</f>
        <v>'2015'!$B$3:$B$22</v>
      </c>
      <c r="O8" s="5" t="str">
        <f>_xlfn.CONCAT("'",$B8,"'","!","$C$2:$K$2")</f>
        <v>'2015'!$C$2:$K$2</v>
      </c>
    </row>
    <row r="9" spans="1:25" x14ac:dyDescent="0.3">
      <c r="A9">
        <v>8</v>
      </c>
      <c r="B9">
        <v>2015</v>
      </c>
      <c r="C9" t="s">
        <v>85</v>
      </c>
      <c r="D9" s="7" cm="1">
        <f t="array" aca="1" ref="D9" ca="1">INDEX(INDIRECT($M9),
       MATCH(TRIM($C9), TRIM(INDIRECT($N9)), 0),
       MATCH(TRIM(D$1), TRIM(INDIRECT($O9)), 0))</f>
        <v>55</v>
      </c>
      <c r="E9" s="9" cm="1">
        <f t="array" aca="1" ref="E9" ca="1">INDEX(INDIRECT($M9),
       MATCH(TRIM($C9), TRIM(INDIRECT($N9)), 0),
       MATCH(TRIM(E$1), TRIM(INDIRECT($O9)), 0))</f>
        <v>72635827</v>
      </c>
      <c r="F9" s="7" cm="1">
        <f t="array" aca="1" ref="F9" ca="1">INDEX(INDIRECT($M9),
       MATCH(TRIM($C9), TRIM(INDIRECT($N9)), 0),
       MATCH(TRIM(F$1), TRIM(INDIRECT($O9)), 0))</f>
        <v>72.635827000000006</v>
      </c>
      <c r="G9" s="7" cm="1">
        <f t="array" aca="1" ref="G9" ca="1">INDEX(INDIRECT($M9),
       MATCH(TRIM($C9), TRIM(INDIRECT($N9)), 0),
       MATCH(TRIM(G$1), TRIM(INDIRECT($O9)), 0))</f>
        <v>25</v>
      </c>
      <c r="H9" s="9" cm="1">
        <f t="array" aca="1" ref="H9" ca="1">INDEX(INDIRECT($M9),
       MATCH(TRIM($C9), TRIM(INDIRECT($N9)), 0),
       MATCH(TRIM(H$1), TRIM(INDIRECT($O9)), 0))</f>
        <v>72394649</v>
      </c>
      <c r="I9" s="7" cm="1">
        <f t="array" aca="1" ref="I9" ca="1">INDEX(INDIRECT($M9),
       MATCH(TRIM($C9), TRIM(INDIRECT($N9)), 0),
       MATCH(TRIM(I$1), TRIM(INDIRECT($O9)), 0))</f>
        <v>72.394649000000001</v>
      </c>
      <c r="J9" s="7" t="e" cm="1">
        <f t="array" aca="1" ref="J9" ca="1">INDEX(INDIRECT($M9),
       MATCH(TRIM($C9), TRIM(INDIRECT($N9)), 0),
       MATCH(TRIM(J$1), TRIM(INDIRECT($O9)), 0))</f>
        <v>#N/A</v>
      </c>
      <c r="K9" s="7" t="e" cm="1">
        <f t="array" aca="1" ref="K9" ca="1">INDEX(INDIRECT($M9),
       MATCH(TRIM($C9), TRIM(INDIRECT($N9)), 0),
       MATCH(TRIM(K$1), TRIM(INDIRECT($O9)), 0))</f>
        <v>#N/A</v>
      </c>
      <c r="L9" s="7" cm="1">
        <f t="array" aca="1" ref="L9" ca="1">INDEX(INDIRECT($M9),
       MATCH(TRIM($C9), TRIM(INDIRECT($N9)), 0),
       MATCH(TRIM(L$1), TRIM(INDIRECT($O9)), 0))</f>
        <v>145.03047600000002</v>
      </c>
      <c r="M9" s="5" t="str">
        <f>_xlfn.CONCAT("'",$B9,"'","!","$C$3:$K$23")</f>
        <v>'2015'!$C$3:$K$23</v>
      </c>
      <c r="N9" s="5" t="str">
        <f>_xlfn.CONCAT("'",$B9,"'","!","$B$3:$B$22")</f>
        <v>'2015'!$B$3:$B$22</v>
      </c>
      <c r="O9" s="5" t="str">
        <f>_xlfn.CONCAT("'",$B9,"'","!","$C$2:$K$2")</f>
        <v>'2015'!$C$2:$K$2</v>
      </c>
    </row>
    <row r="10" spans="1:25" x14ac:dyDescent="0.3">
      <c r="A10">
        <v>9</v>
      </c>
      <c r="B10">
        <v>2015</v>
      </c>
      <c r="C10" t="s">
        <v>86</v>
      </c>
      <c r="D10" s="7" cm="1">
        <f t="array" aca="1" ref="D10" ca="1">INDEX(INDIRECT($M10),
       MATCH(TRIM($C10), TRIM(INDIRECT($N10)), 0),
       MATCH(TRIM(D$1), TRIM(INDIRECT($O10)), 0))</f>
        <v>65</v>
      </c>
      <c r="E10" s="9" cm="1">
        <f t="array" aca="1" ref="E10" ca="1">INDEX(INDIRECT($M10),
       MATCH(TRIM($C10), TRIM(INDIRECT($N10)), 0),
       MATCH(TRIM(E$1), TRIM(INDIRECT($O10)), 0))</f>
        <v>110304869</v>
      </c>
      <c r="F10" s="7" cm="1">
        <f t="array" aca="1" ref="F10" ca="1">INDEX(INDIRECT($M10),
       MATCH(TRIM($C10), TRIM(INDIRECT($N10)), 0),
       MATCH(TRIM(F$1), TRIM(INDIRECT($O10)), 0))</f>
        <v>110.304869</v>
      </c>
      <c r="G10" s="7" cm="1">
        <f t="array" aca="1" ref="G10" ca="1">INDEX(INDIRECT($M10),
       MATCH(TRIM($C10), TRIM(INDIRECT($N10)), 0),
       MATCH(TRIM(G$1), TRIM(INDIRECT($O10)), 0))</f>
        <v>13</v>
      </c>
      <c r="H10" s="9" cm="1">
        <f t="array" aca="1" ref="H10" ca="1">INDEX(INDIRECT($M10),
       MATCH(TRIM($C10), TRIM(INDIRECT($N10)), 0),
       MATCH(TRIM(H$1), TRIM(INDIRECT($O10)), 0))</f>
        <v>29129961</v>
      </c>
      <c r="I10" s="7" cm="1">
        <f t="array" aca="1" ref="I10" ca="1">INDEX(INDIRECT($M10),
       MATCH(TRIM($C10), TRIM(INDIRECT($N10)), 0),
       MATCH(TRIM(I$1), TRIM(INDIRECT($O10)), 0))</f>
        <v>29.129961000000002</v>
      </c>
      <c r="J10" s="7" t="e" cm="1">
        <f t="array" aca="1" ref="J10" ca="1">INDEX(INDIRECT($M10),
       MATCH(TRIM($C10), TRIM(INDIRECT($N10)), 0),
       MATCH(TRIM(J$1), TRIM(INDIRECT($O10)), 0))</f>
        <v>#N/A</v>
      </c>
      <c r="K10" s="7" t="e" cm="1">
        <f t="array" aca="1" ref="K10" ca="1">INDEX(INDIRECT($M10),
       MATCH(TRIM($C10), TRIM(INDIRECT($N10)), 0),
       MATCH(TRIM(K$1), TRIM(INDIRECT($O10)), 0))</f>
        <v>#N/A</v>
      </c>
      <c r="L10" s="7" cm="1">
        <f t="array" aca="1" ref="L10" ca="1">INDEX(INDIRECT($M10),
       MATCH(TRIM($C10), TRIM(INDIRECT($N10)), 0),
       MATCH(TRIM(L$1), TRIM(INDIRECT($O10)), 0))</f>
        <v>139.43483000000001</v>
      </c>
      <c r="M10" s="5" t="str">
        <f>_xlfn.CONCAT("'",$B10,"'","!","$C$3:$K$23")</f>
        <v>'2015'!$C$3:$K$23</v>
      </c>
      <c r="N10" s="5" t="str">
        <f>_xlfn.CONCAT("'",$B10,"'","!","$B$3:$B$22")</f>
        <v>'2015'!$B$3:$B$22</v>
      </c>
      <c r="O10" s="5" t="str">
        <f>_xlfn.CONCAT("'",$B10,"'","!","$C$2:$K$2")</f>
        <v>'2015'!$C$2:$K$2</v>
      </c>
    </row>
    <row r="11" spans="1:25" x14ac:dyDescent="0.3">
      <c r="A11">
        <v>10</v>
      </c>
      <c r="B11">
        <v>2015</v>
      </c>
      <c r="C11" t="s">
        <v>87</v>
      </c>
      <c r="D11" s="7" cm="1">
        <f t="array" aca="1" ref="D11" ca="1">INDEX(INDIRECT($M11),
       MATCH(TRIM($C11), TRIM(INDIRECT($N11)), 0),
       MATCH(TRIM(D$1), TRIM(INDIRECT($O11)), 0))</f>
        <v>171</v>
      </c>
      <c r="E11" s="9" cm="1">
        <f t="array" aca="1" ref="E11" ca="1">INDEX(INDIRECT($M11),
       MATCH(TRIM($C11), TRIM(INDIRECT($N11)), 0),
       MATCH(TRIM(E$1), TRIM(INDIRECT($O11)), 0))</f>
        <v>66065998</v>
      </c>
      <c r="F11" s="7" cm="1">
        <f t="array" aca="1" ref="F11" ca="1">INDEX(INDIRECT($M11),
       MATCH(TRIM($C11), TRIM(INDIRECT($N11)), 0),
       MATCH(TRIM(F$1), TRIM(INDIRECT($O11)), 0))</f>
        <v>66.065997999999993</v>
      </c>
      <c r="G11" s="7" cm="1">
        <f t="array" aca="1" ref="G11" ca="1">INDEX(INDIRECT($M11),
       MATCH(TRIM($C11), TRIM(INDIRECT($N11)), 0),
       MATCH(TRIM(G$1), TRIM(INDIRECT($O11)), 0))</f>
        <v>43</v>
      </c>
      <c r="H11" s="9" cm="1">
        <f t="array" aca="1" ref="H11" ca="1">INDEX(INDIRECT($M11),
       MATCH(TRIM($C11), TRIM(INDIRECT($N11)), 0),
       MATCH(TRIM(H$1), TRIM(INDIRECT($O11)), 0))</f>
        <v>30838715</v>
      </c>
      <c r="I11" s="7" cm="1">
        <f t="array" aca="1" ref="I11" ca="1">INDEX(INDIRECT($M11),
       MATCH(TRIM($C11), TRIM(INDIRECT($N11)), 0),
       MATCH(TRIM(I$1), TRIM(INDIRECT($O11)), 0))</f>
        <v>30.838715000000001</v>
      </c>
      <c r="J11" s="7" t="e" cm="1">
        <f t="array" aca="1" ref="J11" ca="1">INDEX(INDIRECT($M11),
       MATCH(TRIM($C11), TRIM(INDIRECT($N11)), 0),
       MATCH(TRIM(J$1), TRIM(INDIRECT($O11)), 0))</f>
        <v>#N/A</v>
      </c>
      <c r="K11" s="7" t="e" cm="1">
        <f t="array" aca="1" ref="K11" ca="1">INDEX(INDIRECT($M11),
       MATCH(TRIM($C11), TRIM(INDIRECT($N11)), 0),
       MATCH(TRIM(K$1), TRIM(INDIRECT($O11)), 0))</f>
        <v>#N/A</v>
      </c>
      <c r="L11" s="7" cm="1">
        <f t="array" aca="1" ref="L11" ca="1">INDEX(INDIRECT($M11),
       MATCH(TRIM($C11), TRIM(INDIRECT($N11)), 0),
       MATCH(TRIM(L$1), TRIM(INDIRECT($O11)), 0))</f>
        <v>96.904712999999987</v>
      </c>
      <c r="M11" s="5" t="str">
        <f>_xlfn.CONCAT("'",$B11,"'","!","$C$3:$K$23")</f>
        <v>'2015'!$C$3:$K$23</v>
      </c>
      <c r="N11" s="5" t="str">
        <f>_xlfn.CONCAT("'",$B11,"'","!","$B$3:$B$22")</f>
        <v>'2015'!$B$3:$B$22</v>
      </c>
      <c r="O11" s="5" t="str">
        <f>_xlfn.CONCAT("'",$B11,"'","!","$C$2:$K$2")</f>
        <v>'2015'!$C$2:$K$2</v>
      </c>
    </row>
    <row r="12" spans="1:25" x14ac:dyDescent="0.3">
      <c r="A12">
        <v>11</v>
      </c>
      <c r="B12">
        <v>2015</v>
      </c>
      <c r="C12" t="s">
        <v>88</v>
      </c>
      <c r="D12" s="7" cm="1">
        <f t="array" aca="1" ref="D12" ca="1">INDEX(INDIRECT($M12),
       MATCH(TRIM($C12), TRIM(INDIRECT($N12)), 0),
       MATCH(TRIM(D$1), TRIM(INDIRECT($O12)), 0))</f>
        <v>25</v>
      </c>
      <c r="E12" s="9" cm="1">
        <f t="array" aca="1" ref="E12" ca="1">INDEX(INDIRECT($M12),
       MATCH(TRIM($C12), TRIM(INDIRECT($N12)), 0),
       MATCH(TRIM(E$1), TRIM(INDIRECT($O12)), 0))</f>
        <v>57345769</v>
      </c>
      <c r="F12" s="7" cm="1">
        <f t="array" aca="1" ref="F12" ca="1">INDEX(INDIRECT($M12),
       MATCH(TRIM($C12), TRIM(INDIRECT($N12)), 0),
       MATCH(TRIM(F$1), TRIM(INDIRECT($O12)), 0))</f>
        <v>57.345768999999997</v>
      </c>
      <c r="G12" s="7" cm="1">
        <f t="array" aca="1" ref="G12" ca="1">INDEX(INDIRECT($M12),
       MATCH(TRIM($C12), TRIM(INDIRECT($N12)), 0),
       MATCH(TRIM(G$1), TRIM(INDIRECT($O12)), 0))</f>
        <v>5</v>
      </c>
      <c r="H12" s="9" cm="1">
        <f t="array" aca="1" ref="H12" ca="1">INDEX(INDIRECT($M12),
       MATCH(TRIM($C12), TRIM(INDIRECT($N12)), 0),
       MATCH(TRIM(H$1), TRIM(INDIRECT($O12)), 0))</f>
        <v>-5500000</v>
      </c>
      <c r="I12" s="7" cm="1">
        <f t="array" aca="1" ref="I12" ca="1">INDEX(INDIRECT($M12),
       MATCH(TRIM($C12), TRIM(INDIRECT($N12)), 0),
       MATCH(TRIM(I$1), TRIM(INDIRECT($O12)), 0))</f>
        <v>-5.5</v>
      </c>
      <c r="J12" s="7" t="e" cm="1">
        <f t="array" aca="1" ref="J12" ca="1">INDEX(INDIRECT($M12),
       MATCH(TRIM($C12), TRIM(INDIRECT($N12)), 0),
       MATCH(TRIM(J$1), TRIM(INDIRECT($O12)), 0))</f>
        <v>#N/A</v>
      </c>
      <c r="K12" s="7" t="e" cm="1">
        <f t="array" aca="1" ref="K12" ca="1">INDEX(INDIRECT($M12),
       MATCH(TRIM($C12), TRIM(INDIRECT($N12)), 0),
       MATCH(TRIM(K$1), TRIM(INDIRECT($O12)), 0))</f>
        <v>#N/A</v>
      </c>
      <c r="L12" s="7" cm="1">
        <f t="array" aca="1" ref="L12" ca="1">INDEX(INDIRECT($M12),
       MATCH(TRIM($C12), TRIM(INDIRECT($N12)), 0),
       MATCH(TRIM(L$1), TRIM(INDIRECT($O12)), 0))</f>
        <v>51.845768999999997</v>
      </c>
      <c r="M12" s="5" t="str">
        <f>_xlfn.CONCAT("'",$B12,"'","!","$C$3:$K$23")</f>
        <v>'2015'!$C$3:$K$23</v>
      </c>
      <c r="N12" s="5" t="str">
        <f>_xlfn.CONCAT("'",$B12,"'","!","$B$3:$B$22")</f>
        <v>'2015'!$B$3:$B$22</v>
      </c>
      <c r="O12" s="5" t="str">
        <f>_xlfn.CONCAT("'",$B12,"'","!","$C$2:$K$2")</f>
        <v>'2015'!$C$2:$K$2</v>
      </c>
      <c r="V12" s="2"/>
      <c r="W12" s="3"/>
      <c r="X12" s="3"/>
      <c r="Y12" s="3"/>
    </row>
    <row r="13" spans="1:25" x14ac:dyDescent="0.3">
      <c r="A13">
        <v>12</v>
      </c>
      <c r="B13">
        <v>2015</v>
      </c>
      <c r="C13" t="s">
        <v>89</v>
      </c>
      <c r="D13" s="7" cm="1">
        <f t="array" aca="1" ref="D13" ca="1">INDEX(INDIRECT($M13),
       MATCH(TRIM($C13), TRIM(INDIRECT($N13)), 0),
       MATCH(TRIM(D$1), TRIM(INDIRECT($O13)), 0))</f>
        <v>15</v>
      </c>
      <c r="E13" s="9" cm="1">
        <f t="array" aca="1" ref="E13" ca="1">INDEX(INDIRECT($M13),
       MATCH(TRIM($C13), TRIM(INDIRECT($N13)), 0),
       MATCH(TRIM(E$1), TRIM(INDIRECT($O13)), 0))</f>
        <v>27662500</v>
      </c>
      <c r="F13" s="7" cm="1">
        <f t="array" aca="1" ref="F13" ca="1">INDEX(INDIRECT($M13),
       MATCH(TRIM($C13), TRIM(INDIRECT($N13)), 0),
       MATCH(TRIM(F$1), TRIM(INDIRECT($O13)), 0))</f>
        <v>27.662500000000001</v>
      </c>
      <c r="G13" s="7" cm="1">
        <f t="array" aca="1" ref="G13" ca="1">INDEX(INDIRECT($M13),
       MATCH(TRIM($C13), TRIM(INDIRECT($N13)), 0),
       MATCH(TRIM(G$1), TRIM(INDIRECT($O13)), 0))</f>
        <v>5</v>
      </c>
      <c r="H13" s="9" cm="1">
        <f t="array" aca="1" ref="H13" ca="1">INDEX(INDIRECT($M13),
       MATCH(TRIM($C13), TRIM(INDIRECT($N13)), 0),
       MATCH(TRIM(H$1), TRIM(INDIRECT($O13)), 0))</f>
        <v>10350000</v>
      </c>
      <c r="I13" s="7" cm="1">
        <f t="array" aca="1" ref="I13" ca="1">INDEX(INDIRECT($M13),
       MATCH(TRIM($C13), TRIM(INDIRECT($N13)), 0),
       MATCH(TRIM(I$1), TRIM(INDIRECT($O13)), 0))</f>
        <v>10.35</v>
      </c>
      <c r="J13" s="7" t="e" cm="1">
        <f t="array" aca="1" ref="J13" ca="1">INDEX(INDIRECT($M13),
       MATCH(TRIM($C13), TRIM(INDIRECT($N13)), 0),
       MATCH(TRIM(J$1), TRIM(INDIRECT($O13)), 0))</f>
        <v>#N/A</v>
      </c>
      <c r="K13" s="7" t="e" cm="1">
        <f t="array" aca="1" ref="K13" ca="1">INDEX(INDIRECT($M13),
       MATCH(TRIM($C13), TRIM(INDIRECT($N13)), 0),
       MATCH(TRIM(K$1), TRIM(INDIRECT($O13)), 0))</f>
        <v>#N/A</v>
      </c>
      <c r="L13" s="7" cm="1">
        <f t="array" aca="1" ref="L13" ca="1">INDEX(INDIRECT($M13),
       MATCH(TRIM($C13), TRIM(INDIRECT($N13)), 0),
       MATCH(TRIM(L$1), TRIM(INDIRECT($O13)), 0))</f>
        <v>38.012500000000003</v>
      </c>
      <c r="M13" s="5" t="str">
        <f>_xlfn.CONCAT("'",$B13,"'","!","$C$3:$K$23")</f>
        <v>'2015'!$C$3:$K$23</v>
      </c>
      <c r="N13" s="5" t="str">
        <f>_xlfn.CONCAT("'",$B13,"'","!","$B$3:$B$22")</f>
        <v>'2015'!$B$3:$B$22</v>
      </c>
      <c r="O13" s="5" t="str">
        <f>_xlfn.CONCAT("'",$B13,"'","!","$C$2:$K$2")</f>
        <v>'2015'!$C$2:$K$2</v>
      </c>
    </row>
    <row r="14" spans="1:25" x14ac:dyDescent="0.3">
      <c r="A14">
        <v>13</v>
      </c>
      <c r="B14">
        <v>2015</v>
      </c>
      <c r="C14" t="s">
        <v>90</v>
      </c>
      <c r="D14" s="7" cm="1">
        <f t="array" aca="1" ref="D14" ca="1">INDEX(INDIRECT($M14),
       MATCH(TRIM($C14), TRIM(INDIRECT($N14)), 0),
       MATCH(TRIM(D$1), TRIM(INDIRECT($O14)), 0))</f>
        <v>40</v>
      </c>
      <c r="E14" s="9" cm="1">
        <f t="array" aca="1" ref="E14" ca="1">INDEX(INDIRECT($M14),
       MATCH(TRIM($C14), TRIM(INDIRECT($N14)), 0),
       MATCH(TRIM(E$1), TRIM(INDIRECT($O14)), 0))</f>
        <v>28842652</v>
      </c>
      <c r="F14" s="7" cm="1">
        <f t="array" aca="1" ref="F14" ca="1">INDEX(INDIRECT($M14),
       MATCH(TRIM($C14), TRIM(INDIRECT($N14)), 0),
       MATCH(TRIM(F$1), TRIM(INDIRECT($O14)), 0))</f>
        <v>28.842652000000001</v>
      </c>
      <c r="G14" s="7" cm="1">
        <f t="array" aca="1" ref="G14" ca="1">INDEX(INDIRECT($M14),
       MATCH(TRIM($C14), TRIM(INDIRECT($N14)), 0),
       MATCH(TRIM(G$1), TRIM(INDIRECT($O14)), 0))</f>
        <v>7</v>
      </c>
      <c r="H14" s="9" cm="1">
        <f t="array" aca="1" ref="H14" ca="1">INDEX(INDIRECT($M14),
       MATCH(TRIM($C14), TRIM(INDIRECT($N14)), 0),
       MATCH(TRIM(H$1), TRIM(INDIRECT($O14)), 0))</f>
        <v>361154</v>
      </c>
      <c r="I14" s="7" cm="1">
        <f t="array" aca="1" ref="I14" ca="1">INDEX(INDIRECT($M14),
       MATCH(TRIM($C14), TRIM(INDIRECT($N14)), 0),
       MATCH(TRIM(I$1), TRIM(INDIRECT($O14)), 0))</f>
        <v>0.36115399999999998</v>
      </c>
      <c r="J14" s="7" t="e" cm="1">
        <f t="array" aca="1" ref="J14" ca="1">INDEX(INDIRECT($M14),
       MATCH(TRIM($C14), TRIM(INDIRECT($N14)), 0),
       MATCH(TRIM(J$1), TRIM(INDIRECT($O14)), 0))</f>
        <v>#N/A</v>
      </c>
      <c r="K14" s="7" t="e" cm="1">
        <f t="array" aca="1" ref="K14" ca="1">INDEX(INDIRECT($M14),
       MATCH(TRIM($C14), TRIM(INDIRECT($N14)), 0),
       MATCH(TRIM(K$1), TRIM(INDIRECT($O14)), 0))</f>
        <v>#N/A</v>
      </c>
      <c r="L14" s="7" cm="1">
        <f t="array" aca="1" ref="L14" ca="1">INDEX(INDIRECT($M14),
       MATCH(TRIM($C14), TRIM(INDIRECT($N14)), 0),
       MATCH(TRIM(L$1), TRIM(INDIRECT($O14)), 0))</f>
        <v>29.203806</v>
      </c>
      <c r="M14" s="5" t="str">
        <f>_xlfn.CONCAT("'",$B14,"'","!","$C$3:$K$23")</f>
        <v>'2015'!$C$3:$K$23</v>
      </c>
      <c r="N14" s="5" t="str">
        <f>_xlfn.CONCAT("'",$B14,"'","!","$B$3:$B$22")</f>
        <v>'2015'!$B$3:$B$22</v>
      </c>
      <c r="O14" s="5" t="str">
        <f>_xlfn.CONCAT("'",$B14,"'","!","$C$2:$K$2")</f>
        <v>'2015'!$C$2:$K$2</v>
      </c>
    </row>
    <row r="15" spans="1:25" x14ac:dyDescent="0.3">
      <c r="A15">
        <v>14</v>
      </c>
      <c r="B15">
        <v>2015</v>
      </c>
      <c r="C15" t="s">
        <v>91</v>
      </c>
      <c r="D15" s="7" cm="1">
        <f t="array" aca="1" ref="D15" ca="1">INDEX(INDIRECT($M15),
       MATCH(TRIM($C15), TRIM(INDIRECT($N15)), 0),
       MATCH(TRIM(D$1), TRIM(INDIRECT($O15)), 0))</f>
        <v>3</v>
      </c>
      <c r="E15" s="9" cm="1">
        <f t="array" aca="1" ref="E15" ca="1">INDEX(INDIRECT($M15),
       MATCH(TRIM($C15), TRIM(INDIRECT($N15)), 0),
       MATCH(TRIM(E$1), TRIM(INDIRECT($O15)), 0))</f>
        <v>2200000</v>
      </c>
      <c r="F15" s="7" cm="1">
        <f t="array" aca="1" ref="F15" ca="1">INDEX(INDIRECT($M15),
       MATCH(TRIM($C15), TRIM(INDIRECT($N15)), 0),
       MATCH(TRIM(F$1), TRIM(INDIRECT($O15)), 0))</f>
        <v>2.2000000000000002</v>
      </c>
      <c r="G15" s="7" cm="1">
        <f t="array" aca="1" ref="G15" ca="1">INDEX(INDIRECT($M15),
       MATCH(TRIM($C15), TRIM(INDIRECT($N15)), 0),
       MATCH(TRIM(G$1), TRIM(INDIRECT($O15)), 0))</f>
        <v>3</v>
      </c>
      <c r="H15" s="9" cm="1">
        <f t="array" aca="1" ref="H15" ca="1">INDEX(INDIRECT($M15),
       MATCH(TRIM($C15), TRIM(INDIRECT($N15)), 0),
       MATCH(TRIM(H$1), TRIM(INDIRECT($O15)), 0))</f>
        <v>15377541</v>
      </c>
      <c r="I15" s="7" cm="1">
        <f t="array" aca="1" ref="I15" ca="1">INDEX(INDIRECT($M15),
       MATCH(TRIM($C15), TRIM(INDIRECT($N15)), 0),
       MATCH(TRIM(I$1), TRIM(INDIRECT($O15)), 0))</f>
        <v>15.377541000000001</v>
      </c>
      <c r="J15" s="7" t="e" cm="1">
        <f t="array" aca="1" ref="J15" ca="1">INDEX(INDIRECT($M15),
       MATCH(TRIM($C15), TRIM(INDIRECT($N15)), 0),
       MATCH(TRIM(J$1), TRIM(INDIRECT($O15)), 0))</f>
        <v>#N/A</v>
      </c>
      <c r="K15" s="7" t="e" cm="1">
        <f t="array" aca="1" ref="K15" ca="1">INDEX(INDIRECT($M15),
       MATCH(TRIM($C15), TRIM(INDIRECT($N15)), 0),
       MATCH(TRIM(K$1), TRIM(INDIRECT($O15)), 0))</f>
        <v>#N/A</v>
      </c>
      <c r="L15" s="7" cm="1">
        <f t="array" aca="1" ref="L15" ca="1">INDEX(INDIRECT($M15),
       MATCH(TRIM($C15), TRIM(INDIRECT($N15)), 0),
       MATCH(TRIM(L$1), TRIM(INDIRECT($O15)), 0))</f>
        <v>17.577541</v>
      </c>
      <c r="M15" s="5" t="str">
        <f>_xlfn.CONCAT("'",$B15,"'","!","$C$3:$K$23")</f>
        <v>'2015'!$C$3:$K$23</v>
      </c>
      <c r="N15" s="5" t="str">
        <f>_xlfn.CONCAT("'",$B15,"'","!","$B$3:$B$22")</f>
        <v>'2015'!$B$3:$B$22</v>
      </c>
      <c r="O15" s="5" t="str">
        <f>_xlfn.CONCAT("'",$B15,"'","!","$C$2:$K$2")</f>
        <v>'2015'!$C$2:$K$2</v>
      </c>
    </row>
    <row r="16" spans="1:25" x14ac:dyDescent="0.3">
      <c r="A16">
        <v>15</v>
      </c>
      <c r="B16">
        <v>2015</v>
      </c>
      <c r="C16" t="s">
        <v>92</v>
      </c>
      <c r="D16" s="7" cm="1">
        <f t="array" aca="1" ref="D16" ca="1">INDEX(INDIRECT($M16),
       MATCH(TRIM($C16), TRIM(INDIRECT($N16)), 0),
       MATCH(TRIM(D$1), TRIM(INDIRECT($O16)), 0))</f>
        <v>10</v>
      </c>
      <c r="E16" s="9" cm="1">
        <f t="array" aca="1" ref="E16" ca="1">INDEX(INDIRECT($M16),
       MATCH(TRIM($C16), TRIM(INDIRECT($N16)), 0),
       MATCH(TRIM(E$1), TRIM(INDIRECT($O16)), 0))</f>
        <v>11320908</v>
      </c>
      <c r="F16" s="7" cm="1">
        <f t="array" aca="1" ref="F16" ca="1">INDEX(INDIRECT($M16),
       MATCH(TRIM($C16), TRIM(INDIRECT($N16)), 0),
       MATCH(TRIM(F$1), TRIM(INDIRECT($O16)), 0))</f>
        <v>11.320907999999999</v>
      </c>
      <c r="G16" s="7" cm="1">
        <f t="array" aca="1" ref="G16" ca="1">INDEX(INDIRECT($M16),
       MATCH(TRIM($C16), TRIM(INDIRECT($N16)), 0),
       MATCH(TRIM(G$1), TRIM(INDIRECT($O16)), 0))</f>
        <v>3</v>
      </c>
      <c r="H16" s="9" cm="1">
        <f t="array" aca="1" ref="H16" ca="1">INDEX(INDIRECT($M16),
       MATCH(TRIM($C16), TRIM(INDIRECT($N16)), 0),
       MATCH(TRIM(H$1), TRIM(INDIRECT($O16)), 0))</f>
        <v>2000000</v>
      </c>
      <c r="I16" s="7" cm="1">
        <f t="array" aca="1" ref="I16" ca="1">INDEX(INDIRECT($M16),
       MATCH(TRIM($C16), TRIM(INDIRECT($N16)), 0),
       MATCH(TRIM(I$1), TRIM(INDIRECT($O16)), 0))</f>
        <v>2</v>
      </c>
      <c r="J16" s="7" t="e" cm="1">
        <f t="array" aca="1" ref="J16" ca="1">INDEX(INDIRECT($M16),
       MATCH(TRIM($C16), TRIM(INDIRECT($N16)), 0),
       MATCH(TRIM(J$1), TRIM(INDIRECT($O16)), 0))</f>
        <v>#N/A</v>
      </c>
      <c r="K16" s="7" t="e" cm="1">
        <f t="array" aca="1" ref="K16" ca="1">INDEX(INDIRECT($M16),
       MATCH(TRIM($C16), TRIM(INDIRECT($N16)), 0),
       MATCH(TRIM(K$1), TRIM(INDIRECT($O16)), 0))</f>
        <v>#N/A</v>
      </c>
      <c r="L16" s="7" cm="1">
        <f t="array" aca="1" ref="L16" ca="1">INDEX(INDIRECT($M16),
       MATCH(TRIM($C16), TRIM(INDIRECT($N16)), 0),
       MATCH(TRIM(L$1), TRIM(INDIRECT($O16)), 0))</f>
        <v>13.320907999999999</v>
      </c>
      <c r="M16" s="5" t="str">
        <f>_xlfn.CONCAT("'",$B16,"'","!","$C$3:$K$23")</f>
        <v>'2015'!$C$3:$K$23</v>
      </c>
      <c r="N16" s="5" t="str">
        <f>_xlfn.CONCAT("'",$B16,"'","!","$B$3:$B$22")</f>
        <v>'2015'!$B$3:$B$22</v>
      </c>
      <c r="O16" s="5" t="str">
        <f>_xlfn.CONCAT("'",$B16,"'","!","$C$2:$K$2")</f>
        <v>'2015'!$C$2:$K$2</v>
      </c>
    </row>
    <row r="17" spans="1:15" x14ac:dyDescent="0.3">
      <c r="A17">
        <v>16</v>
      </c>
      <c r="B17">
        <v>2015</v>
      </c>
      <c r="C17" t="s">
        <v>93</v>
      </c>
      <c r="D17" s="7" cm="1">
        <f t="array" aca="1" ref="D17" ca="1">INDEX(INDIRECT($M17),
       MATCH(TRIM($C17), TRIM(INDIRECT($N17)), 0),
       MATCH(TRIM(D$1), TRIM(INDIRECT($O17)), 0))</f>
        <v>3</v>
      </c>
      <c r="E17" s="9" cm="1">
        <f t="array" aca="1" ref="E17" ca="1">INDEX(INDIRECT($M17),
       MATCH(TRIM($C17), TRIM(INDIRECT($N17)), 0),
       MATCH(TRIM(E$1), TRIM(INDIRECT($O17)), 0))</f>
        <v>25370476</v>
      </c>
      <c r="F17" s="7" cm="1">
        <f t="array" aca="1" ref="F17" ca="1">INDEX(INDIRECT($M17),
       MATCH(TRIM($C17), TRIM(INDIRECT($N17)), 0),
       MATCH(TRIM(F$1), TRIM(INDIRECT($O17)), 0))</f>
        <v>25.370476</v>
      </c>
      <c r="G17" s="7" cm="1">
        <f t="array" aca="1" ref="G17" ca="1">INDEX(INDIRECT($M17),
       MATCH(TRIM($C17), TRIM(INDIRECT($N17)), 0),
       MATCH(TRIM(G$1), TRIM(INDIRECT($O17)), 0))</f>
        <v>0</v>
      </c>
      <c r="H17" s="9" cm="1">
        <f t="array" aca="1" ref="H17" ca="1">INDEX(INDIRECT($M17),
       MATCH(TRIM($C17), TRIM(INDIRECT($N17)), 0),
       MATCH(TRIM(H$1), TRIM(INDIRECT($O17)), 0))</f>
        <v>0</v>
      </c>
      <c r="I17" s="7" cm="1">
        <f t="array" aca="1" ref="I17" ca="1">INDEX(INDIRECT($M17),
       MATCH(TRIM($C17), TRIM(INDIRECT($N17)), 0),
       MATCH(TRIM(I$1), TRIM(INDIRECT($O17)), 0))</f>
        <v>0</v>
      </c>
      <c r="J17" s="7" t="e" cm="1">
        <f t="array" aca="1" ref="J17" ca="1">INDEX(INDIRECT($M17),
       MATCH(TRIM($C17), TRIM(INDIRECT($N17)), 0),
       MATCH(TRIM(J$1), TRIM(INDIRECT($O17)), 0))</f>
        <v>#N/A</v>
      </c>
      <c r="K17" s="7" t="e" cm="1">
        <f t="array" aca="1" ref="K17" ca="1">INDEX(INDIRECT($M17),
       MATCH(TRIM($C17), TRIM(INDIRECT($N17)), 0),
       MATCH(TRIM(K$1), TRIM(INDIRECT($O17)), 0))</f>
        <v>#N/A</v>
      </c>
      <c r="L17" s="7" cm="1">
        <f t="array" aca="1" ref="L17" ca="1">INDEX(INDIRECT($M17),
       MATCH(TRIM($C17), TRIM(INDIRECT($N17)), 0),
       MATCH(TRIM(L$1), TRIM(INDIRECT($O17)), 0))</f>
        <v>25.370476</v>
      </c>
      <c r="M17" s="5" t="str">
        <f>_xlfn.CONCAT("'",$B17,"'","!","$C$3:$K$23")</f>
        <v>'2015'!$C$3:$K$23</v>
      </c>
      <c r="N17" s="5" t="str">
        <f>_xlfn.CONCAT("'",$B17,"'","!","$B$3:$B$22")</f>
        <v>'2015'!$B$3:$B$22</v>
      </c>
      <c r="O17" s="5" t="str">
        <f>_xlfn.CONCAT("'",$B17,"'","!","$C$2:$K$2")</f>
        <v>'2015'!$C$2:$K$2</v>
      </c>
    </row>
    <row r="18" spans="1:15" x14ac:dyDescent="0.3">
      <c r="A18">
        <v>17</v>
      </c>
      <c r="B18">
        <v>2015</v>
      </c>
      <c r="C18" t="s">
        <v>94</v>
      </c>
      <c r="D18" s="7" cm="1">
        <f t="array" aca="1" ref="D18" ca="1">INDEX(INDIRECT($M18),
       MATCH(TRIM($C18), TRIM(INDIRECT($N18)), 0),
       MATCH(TRIM(D$1), TRIM(INDIRECT($O18)), 0))</f>
        <v>1</v>
      </c>
      <c r="E18" s="9" cm="1">
        <f t="array" aca="1" ref="E18" ca="1">INDEX(INDIRECT($M18),
       MATCH(TRIM($C18), TRIM(INDIRECT($N18)), 0),
       MATCH(TRIM(E$1), TRIM(INDIRECT($O18)), 0))</f>
        <v>2500000</v>
      </c>
      <c r="F18" s="7" cm="1">
        <f t="array" aca="1" ref="F18" ca="1">INDEX(INDIRECT($M18),
       MATCH(TRIM($C18), TRIM(INDIRECT($N18)), 0),
       MATCH(TRIM(F$1), TRIM(INDIRECT($O18)), 0))</f>
        <v>2.5</v>
      </c>
      <c r="G18" s="7" cm="1">
        <f t="array" aca="1" ref="G18" ca="1">INDEX(INDIRECT($M18),
       MATCH(TRIM($C18), TRIM(INDIRECT($N18)), 0),
       MATCH(TRIM(G$1), TRIM(INDIRECT($O18)), 0))</f>
        <v>2</v>
      </c>
      <c r="H18" s="9" cm="1">
        <f t="array" aca="1" ref="H18" ca="1">INDEX(INDIRECT($M18),
       MATCH(TRIM($C18), TRIM(INDIRECT($N18)), 0),
       MATCH(TRIM(H$1), TRIM(INDIRECT($O18)), 0))</f>
        <v>350000</v>
      </c>
      <c r="I18" s="7" cm="1">
        <f t="array" aca="1" ref="I18" ca="1">INDEX(INDIRECT($M18),
       MATCH(TRIM($C18), TRIM(INDIRECT($N18)), 0),
       MATCH(TRIM(I$1), TRIM(INDIRECT($O18)), 0))</f>
        <v>0.35</v>
      </c>
      <c r="J18" s="7" t="e" cm="1">
        <f t="array" aca="1" ref="J18" ca="1">INDEX(INDIRECT($M18),
       MATCH(TRIM($C18), TRIM(INDIRECT($N18)), 0),
       MATCH(TRIM(J$1), TRIM(INDIRECT($O18)), 0))</f>
        <v>#N/A</v>
      </c>
      <c r="K18" s="7" t="e" cm="1">
        <f t="array" aca="1" ref="K18" ca="1">INDEX(INDIRECT($M18),
       MATCH(TRIM($C18), TRIM(INDIRECT($N18)), 0),
       MATCH(TRIM(K$1), TRIM(INDIRECT($O18)), 0))</f>
        <v>#N/A</v>
      </c>
      <c r="L18" s="7" cm="1">
        <f t="array" aca="1" ref="L18" ca="1">INDEX(INDIRECT($M18),
       MATCH(TRIM($C18), TRIM(INDIRECT($N18)), 0),
       MATCH(TRIM(L$1), TRIM(INDIRECT($O18)), 0))</f>
        <v>2.85</v>
      </c>
      <c r="M18" s="5" t="str">
        <f>_xlfn.CONCAT("'",$B18,"'","!","$C$3:$K$23")</f>
        <v>'2015'!$C$3:$K$23</v>
      </c>
      <c r="N18" s="5" t="str">
        <f>_xlfn.CONCAT("'",$B18,"'","!","$B$3:$B$22")</f>
        <v>'2015'!$B$3:$B$22</v>
      </c>
      <c r="O18" s="5" t="str">
        <f>_xlfn.CONCAT("'",$B18,"'","!","$C$2:$K$2")</f>
        <v>'2015'!$C$2:$K$2</v>
      </c>
    </row>
    <row r="19" spans="1:15" x14ac:dyDescent="0.3">
      <c r="A19">
        <v>18</v>
      </c>
      <c r="B19">
        <v>2015</v>
      </c>
      <c r="C19" t="s">
        <v>95</v>
      </c>
      <c r="D19" s="7" cm="1">
        <f t="array" aca="1" ref="D19" ca="1">INDEX(INDIRECT($M19),
       MATCH(TRIM($C19), TRIM(INDIRECT($N19)), 0),
       MATCH(TRIM(D$1), TRIM(INDIRECT($O19)), 0))</f>
        <v>0</v>
      </c>
      <c r="E19" s="9" cm="1">
        <f t="array" aca="1" ref="E19" ca="1">INDEX(INDIRECT($M19),
       MATCH(TRIM($C19), TRIM(INDIRECT($N19)), 0),
       MATCH(TRIM(E$1), TRIM(INDIRECT($O19)), 0))</f>
        <v>0</v>
      </c>
      <c r="F19" s="7" cm="1">
        <f t="array" aca="1" ref="F19" ca="1">INDEX(INDIRECT($M19),
       MATCH(TRIM($C19), TRIM(INDIRECT($N19)), 0),
       MATCH(TRIM(F$1), TRIM(INDIRECT($O19)), 0))</f>
        <v>0</v>
      </c>
      <c r="G19" s="7" cm="1">
        <f t="array" aca="1" ref="G19" ca="1">INDEX(INDIRECT($M19),
       MATCH(TRIM($C19), TRIM(INDIRECT($N19)), 0),
       MATCH(TRIM(G$1), TRIM(INDIRECT($O19)), 0))</f>
        <v>1</v>
      </c>
      <c r="H19" s="9" cm="1">
        <f t="array" aca="1" ref="H19" ca="1">INDEX(INDIRECT($M19),
       MATCH(TRIM($C19), TRIM(INDIRECT($N19)), 0),
       MATCH(TRIM(H$1), TRIM(INDIRECT($O19)), 0))</f>
        <v>1122581</v>
      </c>
      <c r="I19" s="7" cm="1">
        <f t="array" aca="1" ref="I19" ca="1">INDEX(INDIRECT($M19),
       MATCH(TRIM($C19), TRIM(INDIRECT($N19)), 0),
       MATCH(TRIM(I$1), TRIM(INDIRECT($O19)), 0))</f>
        <v>1.1225810000000001</v>
      </c>
      <c r="J19" s="7" t="e" cm="1">
        <f t="array" aca="1" ref="J19" ca="1">INDEX(INDIRECT($M19),
       MATCH(TRIM($C19), TRIM(INDIRECT($N19)), 0),
       MATCH(TRIM(J$1), TRIM(INDIRECT($O19)), 0))</f>
        <v>#N/A</v>
      </c>
      <c r="K19" s="7" t="e" cm="1">
        <f t="array" aca="1" ref="K19" ca="1">INDEX(INDIRECT($M19),
       MATCH(TRIM($C19), TRIM(INDIRECT($N19)), 0),
       MATCH(TRIM(K$1), TRIM(INDIRECT($O19)), 0))</f>
        <v>#N/A</v>
      </c>
      <c r="L19" s="7" cm="1">
        <f t="array" aca="1" ref="L19" ca="1">INDEX(INDIRECT($M19),
       MATCH(TRIM($C19), TRIM(INDIRECT($N19)), 0),
       MATCH(TRIM(L$1), TRIM(INDIRECT($O19)), 0))</f>
        <v>1.1225810000000001</v>
      </c>
      <c r="M19" s="5" t="str">
        <f>_xlfn.CONCAT("'",$B19,"'","!","$C$3:$K$23")</f>
        <v>'2015'!$C$3:$K$23</v>
      </c>
      <c r="N19" s="5" t="str">
        <f>_xlfn.CONCAT("'",$B19,"'","!","$B$3:$B$22")</f>
        <v>'2015'!$B$3:$B$22</v>
      </c>
      <c r="O19" s="5" t="str">
        <f>_xlfn.CONCAT("'",$B19,"'","!","$C$2:$K$2")</f>
        <v>'2015'!$C$2:$K$2</v>
      </c>
    </row>
    <row r="20" spans="1:15" x14ac:dyDescent="0.3">
      <c r="A20">
        <v>19</v>
      </c>
      <c r="B20">
        <v>2015</v>
      </c>
      <c r="C20" t="s">
        <v>96</v>
      </c>
      <c r="D20" s="7" cm="1">
        <f t="array" aca="1" ref="D20" ca="1">INDEX(INDIRECT($M20),
       MATCH(TRIM($C20), TRIM(INDIRECT($N20)), 0),
       MATCH(TRIM(D$1), TRIM(INDIRECT($O20)), 0))</f>
        <v>1</v>
      </c>
      <c r="E20" s="9" cm="1">
        <f t="array" aca="1" ref="E20" ca="1">INDEX(INDIRECT($M20),
       MATCH(TRIM($C20), TRIM(INDIRECT($N20)), 0),
       MATCH(TRIM(E$1), TRIM(INDIRECT($O20)), 0))</f>
        <v>290000</v>
      </c>
      <c r="F20" s="7" cm="1">
        <f t="array" aca="1" ref="F20" ca="1">INDEX(INDIRECT($M20),
       MATCH(TRIM($C20), TRIM(INDIRECT($N20)), 0),
       MATCH(TRIM(F$1), TRIM(INDIRECT($O20)), 0))</f>
        <v>0.28999999999999998</v>
      </c>
      <c r="G20" s="7" cm="1">
        <f t="array" aca="1" ref="G20" ca="1">INDEX(INDIRECT($M20),
       MATCH(TRIM($C20), TRIM(INDIRECT($N20)), 0),
       MATCH(TRIM(G$1), TRIM(INDIRECT($O20)), 0))</f>
        <v>0</v>
      </c>
      <c r="H20" s="9" cm="1">
        <f t="array" aca="1" ref="H20" ca="1">INDEX(INDIRECT($M20),
       MATCH(TRIM($C20), TRIM(INDIRECT($N20)), 0),
       MATCH(TRIM(H$1), TRIM(INDIRECT($O20)), 0))</f>
        <v>0</v>
      </c>
      <c r="I20" s="7" cm="1">
        <f t="array" aca="1" ref="I20" ca="1">INDEX(INDIRECT($M20),
       MATCH(TRIM($C20), TRIM(INDIRECT($N20)), 0),
       MATCH(TRIM(I$1), TRIM(INDIRECT($O20)), 0))</f>
        <v>0</v>
      </c>
      <c r="J20" s="7" t="e" cm="1">
        <f t="array" aca="1" ref="J20" ca="1">INDEX(INDIRECT($M20),
       MATCH(TRIM($C20), TRIM(INDIRECT($N20)), 0),
       MATCH(TRIM(J$1), TRIM(INDIRECT($O20)), 0))</f>
        <v>#N/A</v>
      </c>
      <c r="K20" s="7" t="e" cm="1">
        <f t="array" aca="1" ref="K20" ca="1">INDEX(INDIRECT($M20),
       MATCH(TRIM($C20), TRIM(INDIRECT($N20)), 0),
       MATCH(TRIM(K$1), TRIM(INDIRECT($O20)), 0))</f>
        <v>#N/A</v>
      </c>
      <c r="L20" s="7" cm="1">
        <f t="array" aca="1" ref="L20" ca="1">INDEX(INDIRECT($M20),
       MATCH(TRIM($C20), TRIM(INDIRECT($N20)), 0),
       MATCH(TRIM(L$1), TRIM(INDIRECT($O20)), 0))</f>
        <v>0.28999999999999998</v>
      </c>
      <c r="M20" s="5" t="str">
        <f>_xlfn.CONCAT("'",$B20,"'","!","$C$3:$K$23")</f>
        <v>'2015'!$C$3:$K$23</v>
      </c>
      <c r="N20" s="5" t="str">
        <f>_xlfn.CONCAT("'",$B20,"'","!","$B$3:$B$22")</f>
        <v>'2015'!$B$3:$B$22</v>
      </c>
      <c r="O20" s="5" t="str">
        <f>_xlfn.CONCAT("'",$B20,"'","!","$C$2:$K$2")</f>
        <v>'2015'!$C$2:$K$2</v>
      </c>
    </row>
    <row r="21" spans="1:15" x14ac:dyDescent="0.3">
      <c r="A21">
        <v>1</v>
      </c>
      <c r="B21">
        <v>2016</v>
      </c>
      <c r="C21" t="s">
        <v>78</v>
      </c>
      <c r="D21" s="7" cm="1">
        <f t="array" aca="1" ref="D21" ca="1">INDEX(INDIRECT($M21),
       MATCH(TRIM($C21), TRIM(INDIRECT($N21)), 0),
       MATCH(TRIM(D$1), TRIM(INDIRECT($O21)), 0))</f>
        <v>1020</v>
      </c>
      <c r="E21" s="9" cm="1">
        <f t="array" aca="1" ref="E21" ca="1">INDEX(INDIRECT($M21),
       MATCH(TRIM($C21), TRIM(INDIRECT($N21)), 0),
       MATCH(TRIM(E$1), TRIM(INDIRECT($O21)), 0))</f>
        <v>9812574442.4599991</v>
      </c>
      <c r="F21" s="7" cm="1">
        <f t="array" aca="1" ref="F21" ca="1">INDEX(INDIRECT($M21),
       MATCH(TRIM($C21), TRIM(INDIRECT($N21)), 0),
       MATCH(TRIM(F$1), TRIM(INDIRECT($O21)), 0))</f>
        <v>9812.5744424599998</v>
      </c>
      <c r="G21" s="7" cm="1">
        <f t="array" aca="1" ref="G21" ca="1">INDEX(INDIRECT($M21),
       MATCH(TRIM($C21), TRIM(INDIRECT($N21)), 0),
       MATCH(TRIM(G$1), TRIM(INDIRECT($O21)), 0))</f>
        <v>861</v>
      </c>
      <c r="H21" s="9" cm="1">
        <f t="array" aca="1" ref="H21" ca="1">INDEX(INDIRECT($M21),
       MATCH(TRIM($C21), TRIM(INDIRECT($N21)), 0),
       MATCH(TRIM(H$1), TRIM(INDIRECT($O21)), 0))</f>
        <v>5132552895.4974222</v>
      </c>
      <c r="I21" s="7" cm="1">
        <f t="array" aca="1" ref="I21" ca="1">INDEX(INDIRECT($M21),
       MATCH(TRIM($C21), TRIM(INDIRECT($N21)), 0),
       MATCH(TRIM(I$1), TRIM(INDIRECT($O21)), 0))</f>
        <v>5132.5528954974225</v>
      </c>
      <c r="J21" s="7" cm="1">
        <f t="array" aca="1" ref="J21" ca="1">INDEX(INDIRECT($M21),
       MATCH(TRIM($C21), TRIM(INDIRECT($N21)), 0),
       MATCH(TRIM(J$1), TRIM(INDIRECT($O21)), 0))</f>
        <v>290</v>
      </c>
      <c r="K21" s="7" cm="1">
        <f t="array" aca="1" ref="K21" ca="1">INDEX(INDIRECT($M21),
       MATCH(TRIM($C21), TRIM(INDIRECT($N21)), 0),
       MATCH(TRIM(K$1), TRIM(INDIRECT($O21)), 0))</f>
        <v>593.51127417754572</v>
      </c>
      <c r="L21" s="7" cm="1">
        <f t="array" aca="1" ref="L21" ca="1">INDEX(INDIRECT($M21),
       MATCH(TRIM($C21), TRIM(INDIRECT($N21)), 0),
       MATCH(TRIM(L$1), TRIM(INDIRECT($O21)), 0))</f>
        <v>15538.63861213497</v>
      </c>
      <c r="M21" s="5" t="str">
        <f>_xlfn.CONCAT("'",$B21,"'","!","$C$3:$K$23")</f>
        <v>'2016'!$C$3:$K$23</v>
      </c>
      <c r="N21" s="5" t="str">
        <f>_xlfn.CONCAT("'",$B21,"'","!","$B$3:$B$22")</f>
        <v>'2016'!$B$3:$B$22</v>
      </c>
      <c r="O21" s="5" t="str">
        <f>_xlfn.CONCAT("'",$B21,"'","!","$C$2:$K$2")</f>
        <v>'2016'!$C$2:$K$2</v>
      </c>
    </row>
    <row r="22" spans="1:15" x14ac:dyDescent="0.3">
      <c r="A22">
        <v>2</v>
      </c>
      <c r="B22">
        <v>2016</v>
      </c>
      <c r="C22" t="s">
        <v>79</v>
      </c>
      <c r="D22" s="7" cm="1">
        <f t="array" aca="1" ref="D22" ca="1">INDEX(INDIRECT($M22),
       MATCH(TRIM($C22), TRIM(INDIRECT($N22)), 0),
       MATCH(TRIM(D$1), TRIM(INDIRECT($O22)), 0))</f>
        <v>2</v>
      </c>
      <c r="E22" s="9" cm="1">
        <f t="array" aca="1" ref="E22" ca="1">INDEX(INDIRECT($M22),
       MATCH(TRIM($C22), TRIM(INDIRECT($N22)), 0),
       MATCH(TRIM(E$1), TRIM(INDIRECT($O22)), 0))</f>
        <v>127226755</v>
      </c>
      <c r="F22" s="7" cm="1">
        <f t="array" aca="1" ref="F22" ca="1">INDEX(INDIRECT($M22),
       MATCH(TRIM($C22), TRIM(INDIRECT($N22)), 0),
       MATCH(TRIM(F$1), TRIM(INDIRECT($O22)), 0))</f>
        <v>127.226755</v>
      </c>
      <c r="G22" s="7" cm="1">
        <f t="array" aca="1" ref="G22" ca="1">INDEX(INDIRECT($M22),
       MATCH(TRIM($C22), TRIM(INDIRECT($N22)), 0),
       MATCH(TRIM(G$1), TRIM(INDIRECT($O22)), 0))</f>
        <v>3</v>
      </c>
      <c r="H22" s="9" cm="1">
        <f t="array" aca="1" ref="H22" ca="1">INDEX(INDIRECT($M22),
       MATCH(TRIM($C22), TRIM(INDIRECT($N22)), 0),
       MATCH(TRIM(H$1), TRIM(INDIRECT($O22)), 0))</f>
        <v>3021188</v>
      </c>
      <c r="I22" s="7" cm="1">
        <f t="array" aca="1" ref="I22" ca="1">INDEX(INDIRECT($M22),
       MATCH(TRIM($C22), TRIM(INDIRECT($N22)), 0),
       MATCH(TRIM(I$1), TRIM(INDIRECT($O22)), 0))</f>
        <v>3.021188</v>
      </c>
      <c r="J22" s="7" cm="1">
        <f t="array" aca="1" ref="J22" ca="1">INDEX(INDIRECT($M22),
       MATCH(TRIM($C22), TRIM(INDIRECT($N22)), 0),
       MATCH(TRIM(J$1), TRIM(INDIRECT($O22)), 0))</f>
        <v>1</v>
      </c>
      <c r="K22" s="7" cm="1">
        <f t="array" aca="1" ref="K22" ca="1">INDEX(INDIRECT($M22),
       MATCH(TRIM($C22), TRIM(INDIRECT($N22)), 0),
       MATCH(TRIM(K$1), TRIM(INDIRECT($O22)), 0))</f>
        <v>2.177777777777778</v>
      </c>
      <c r="L22" s="7" cm="1">
        <f t="array" aca="1" ref="L22" ca="1">INDEX(INDIRECT($M22),
       MATCH(TRIM($C22), TRIM(INDIRECT($N22)), 0),
       MATCH(TRIM(L$1), TRIM(INDIRECT($O22)), 0))</f>
        <v>132.42572077777777</v>
      </c>
      <c r="M22" s="5" t="str">
        <f>_xlfn.CONCAT("'",$B22,"'","!","$C$3:$K$23")</f>
        <v>'2016'!$C$3:$K$23</v>
      </c>
      <c r="N22" s="5" t="str">
        <f>_xlfn.CONCAT("'",$B22,"'","!","$B$3:$B$22")</f>
        <v>'2016'!$B$3:$B$22</v>
      </c>
      <c r="O22" s="5" t="str">
        <f>_xlfn.CONCAT("'",$B22,"'","!","$C$2:$K$2")</f>
        <v>'2016'!$C$2:$K$2</v>
      </c>
    </row>
    <row r="23" spans="1:15" x14ac:dyDescent="0.3">
      <c r="A23">
        <v>3</v>
      </c>
      <c r="B23">
        <v>2016</v>
      </c>
      <c r="C23" t="s">
        <v>80</v>
      </c>
      <c r="D23" s="7" cm="1">
        <f t="array" aca="1" ref="D23" ca="1">INDEX(INDIRECT($M23),
       MATCH(TRIM($C23), TRIM(INDIRECT($N23)), 0),
       MATCH(TRIM(D$1), TRIM(INDIRECT($O23)), 0))</f>
        <v>59</v>
      </c>
      <c r="E23" s="9" cm="1">
        <f t="array" aca="1" ref="E23" ca="1">INDEX(INDIRECT($M23),
       MATCH(TRIM($C23), TRIM(INDIRECT($N23)), 0),
       MATCH(TRIM(E$1), TRIM(INDIRECT($O23)), 0))</f>
        <v>1522667121</v>
      </c>
      <c r="F23" s="7" cm="1">
        <f t="array" aca="1" ref="F23" ca="1">INDEX(INDIRECT($M23),
       MATCH(TRIM($C23), TRIM(INDIRECT($N23)), 0),
       MATCH(TRIM(F$1), TRIM(INDIRECT($O23)), 0))</f>
        <v>1522.667121</v>
      </c>
      <c r="G23" s="7" cm="1">
        <f t="array" aca="1" ref="G23" ca="1">INDEX(INDIRECT($M23),
       MATCH(TRIM($C23), TRIM(INDIRECT($N23)), 0),
       MATCH(TRIM(G$1), TRIM(INDIRECT($O23)), 0))</f>
        <v>12</v>
      </c>
      <c r="H23" s="9" cm="1">
        <f t="array" aca="1" ref="H23" ca="1">INDEX(INDIRECT($M23),
       MATCH(TRIM($C23), TRIM(INDIRECT($N23)), 0),
       MATCH(TRIM(H$1), TRIM(INDIRECT($O23)), 0))</f>
        <v>-559051055</v>
      </c>
      <c r="I23" s="7" cm="1">
        <f t="array" aca="1" ref="I23" ca="1">INDEX(INDIRECT($M23),
       MATCH(TRIM($C23), TRIM(INDIRECT($N23)), 0),
       MATCH(TRIM(I$1), TRIM(INDIRECT($O23)), 0))</f>
        <v>-559.05105500000002</v>
      </c>
      <c r="J23" s="7" cm="1">
        <f t="array" aca="1" ref="J23" ca="1">INDEX(INDIRECT($M23),
       MATCH(TRIM($C23), TRIM(INDIRECT($N23)), 0),
       MATCH(TRIM(J$1), TRIM(INDIRECT($O23)), 0))</f>
        <v>80</v>
      </c>
      <c r="K23" s="7" cm="1">
        <f t="array" aca="1" ref="K23" ca="1">INDEX(INDIRECT($M23),
       MATCH(TRIM($C23), TRIM(INDIRECT($N23)), 0),
       MATCH(TRIM(K$1), TRIM(INDIRECT($O23)), 0))</f>
        <v>722.54828649613296</v>
      </c>
      <c r="L23" s="7" cm="1">
        <f t="array" aca="1" ref="L23" ca="1">INDEX(INDIRECT($M23),
       MATCH(TRIM($C23), TRIM(INDIRECT($N23)), 0),
       MATCH(TRIM(L$1), TRIM(INDIRECT($O23)), 0))</f>
        <v>1686.1643524961328</v>
      </c>
      <c r="M23" s="5" t="str">
        <f>_xlfn.CONCAT("'",$B23,"'","!","$C$3:$K$23")</f>
        <v>'2016'!$C$3:$K$23</v>
      </c>
      <c r="N23" s="5" t="str">
        <f>_xlfn.CONCAT("'",$B23,"'","!","$B$3:$B$22")</f>
        <v>'2016'!$B$3:$B$22</v>
      </c>
      <c r="O23" s="5" t="str">
        <f>_xlfn.CONCAT("'",$B23,"'","!","$C$2:$K$2")</f>
        <v>'2016'!$C$2:$K$2</v>
      </c>
    </row>
    <row r="24" spans="1:15" x14ac:dyDescent="0.3">
      <c r="A24">
        <v>4</v>
      </c>
      <c r="B24">
        <v>2016</v>
      </c>
      <c r="C24" t="s">
        <v>81</v>
      </c>
      <c r="D24" s="7" cm="1">
        <f t="array" aca="1" ref="D24" ca="1">INDEX(INDIRECT($M24),
       MATCH(TRIM($C24), TRIM(INDIRECT($N24)), 0),
       MATCH(TRIM(D$1), TRIM(INDIRECT($O24)), 0))</f>
        <v>124</v>
      </c>
      <c r="E24" s="9" cm="1">
        <f t="array" aca="1" ref="E24" ca="1">INDEX(INDIRECT($M24),
       MATCH(TRIM($C24), TRIM(INDIRECT($N24)), 0),
       MATCH(TRIM(E$1), TRIM(INDIRECT($O24)), 0))</f>
        <v>388508822</v>
      </c>
      <c r="F24" s="7" cm="1">
        <f t="array" aca="1" ref="F24" ca="1">INDEX(INDIRECT($M24),
       MATCH(TRIM($C24), TRIM(INDIRECT($N24)), 0),
       MATCH(TRIM(F$1), TRIM(INDIRECT($O24)), 0))</f>
        <v>388.50882200000001</v>
      </c>
      <c r="G24" s="7" cm="1">
        <f t="array" aca="1" ref="G24" ca="1">INDEX(INDIRECT($M24),
       MATCH(TRIM($C24), TRIM(INDIRECT($N24)), 0),
       MATCH(TRIM(G$1), TRIM(INDIRECT($O24)), 0))</f>
        <v>47</v>
      </c>
      <c r="H24" s="9" cm="1">
        <f t="array" aca="1" ref="H24" ca="1">INDEX(INDIRECT($M24),
       MATCH(TRIM($C24), TRIM(INDIRECT($N24)), 0),
       MATCH(TRIM(H$1), TRIM(INDIRECT($O24)), 0))</f>
        <v>56214006</v>
      </c>
      <c r="I24" s="7" cm="1">
        <f t="array" aca="1" ref="I24" ca="1">INDEX(INDIRECT($M24),
       MATCH(TRIM($C24), TRIM(INDIRECT($N24)), 0),
       MATCH(TRIM(I$1), TRIM(INDIRECT($O24)), 0))</f>
        <v>56.214005999999998</v>
      </c>
      <c r="J24" s="7" cm="1">
        <f t="array" aca="1" ref="J24" ca="1">INDEX(INDIRECT($M24),
       MATCH(TRIM($C24), TRIM(INDIRECT($N24)), 0),
       MATCH(TRIM(J$1), TRIM(INDIRECT($O24)), 0))</f>
        <v>131</v>
      </c>
      <c r="K24" s="7" cm="1">
        <f t="array" aca="1" ref="K24" ca="1">INDEX(INDIRECT($M24),
       MATCH(TRIM($C24), TRIM(INDIRECT($N24)), 0),
       MATCH(TRIM(K$1), TRIM(INDIRECT($O24)), 0))</f>
        <v>165.68352099044458</v>
      </c>
      <c r="L24" s="7" cm="1">
        <f t="array" aca="1" ref="L24" ca="1">INDEX(INDIRECT($M24),
       MATCH(TRIM($C24), TRIM(INDIRECT($N24)), 0),
       MATCH(TRIM(L$1), TRIM(INDIRECT($O24)), 0))</f>
        <v>610.4063489904446</v>
      </c>
      <c r="M24" s="5" t="str">
        <f>_xlfn.CONCAT("'",$B24,"'","!","$C$3:$K$23")</f>
        <v>'2016'!$C$3:$K$23</v>
      </c>
      <c r="N24" s="5" t="str">
        <f>_xlfn.CONCAT("'",$B24,"'","!","$B$3:$B$22")</f>
        <v>'2016'!$B$3:$B$22</v>
      </c>
      <c r="O24" s="5" t="str">
        <f>_xlfn.CONCAT("'",$B24,"'","!","$C$2:$K$2")</f>
        <v>'2016'!$C$2:$K$2</v>
      </c>
    </row>
    <row r="25" spans="1:15" x14ac:dyDescent="0.3">
      <c r="A25">
        <v>5</v>
      </c>
      <c r="B25">
        <v>2016</v>
      </c>
      <c r="C25" t="s">
        <v>82</v>
      </c>
      <c r="D25" s="7" cm="1">
        <f t="array" aca="1" ref="D25" ca="1">INDEX(INDIRECT($M25),
       MATCH(TRIM($C25), TRIM(INDIRECT($N25)), 0),
       MATCH(TRIM(D$1), TRIM(INDIRECT($O25)), 0))</f>
        <v>505</v>
      </c>
      <c r="E25" s="9" cm="1">
        <f t="array" aca="1" ref="E25" ca="1">INDEX(INDIRECT($M25),
       MATCH(TRIM($C25), TRIM(INDIRECT($N25)), 0),
       MATCH(TRIM(E$1), TRIM(INDIRECT($O25)), 0))</f>
        <v>367036754</v>
      </c>
      <c r="F25" s="7" cm="1">
        <f t="array" aca="1" ref="F25" ca="1">INDEX(INDIRECT($M25),
       MATCH(TRIM($C25), TRIM(INDIRECT($N25)), 0),
       MATCH(TRIM(F$1), TRIM(INDIRECT($O25)), 0))</f>
        <v>367.03675399999997</v>
      </c>
      <c r="G25" s="7" cm="1">
        <f t="array" aca="1" ref="G25" ca="1">INDEX(INDIRECT($M25),
       MATCH(TRIM($C25), TRIM(INDIRECT($N25)), 0),
       MATCH(TRIM(G$1), TRIM(INDIRECT($O25)), 0))</f>
        <v>99</v>
      </c>
      <c r="H25" s="9" cm="1">
        <f t="array" aca="1" ref="H25" ca="1">INDEX(INDIRECT($M25),
       MATCH(TRIM($C25), TRIM(INDIRECT($N25)), 0),
       MATCH(TRIM(H$1), TRIM(INDIRECT($O25)), 0))</f>
        <v>320722418</v>
      </c>
      <c r="I25" s="7" cm="1">
        <f t="array" aca="1" ref="I25" ca="1">INDEX(INDIRECT($M25),
       MATCH(TRIM($C25), TRIM(INDIRECT($N25)), 0),
       MATCH(TRIM(I$1), TRIM(INDIRECT($O25)), 0))</f>
        <v>320.722418</v>
      </c>
      <c r="J25" s="7" cm="1">
        <f t="array" aca="1" ref="J25" ca="1">INDEX(INDIRECT($M25),
       MATCH(TRIM($C25), TRIM(INDIRECT($N25)), 0),
       MATCH(TRIM(J$1), TRIM(INDIRECT($O25)), 0))</f>
        <v>1269</v>
      </c>
      <c r="K25" s="7" cm="1">
        <f t="array" aca="1" ref="K25" ca="1">INDEX(INDIRECT($M25),
       MATCH(TRIM($C25), TRIM(INDIRECT($N25)), 0),
       MATCH(TRIM(K$1), TRIM(INDIRECT($O25)), 0))</f>
        <v>1211.4524106815938</v>
      </c>
      <c r="L25" s="7" cm="1">
        <f t="array" aca="1" ref="L25" ca="1">INDEX(INDIRECT($M25),
       MATCH(TRIM($C25), TRIM(INDIRECT($N25)), 0),
       MATCH(TRIM(L$1), TRIM(INDIRECT($O25)), 0))</f>
        <v>1899.2115826815939</v>
      </c>
      <c r="M25" s="5" t="str">
        <f>_xlfn.CONCAT("'",$B25,"'","!","$C$3:$K$23")</f>
        <v>'2016'!$C$3:$K$23</v>
      </c>
      <c r="N25" s="5" t="str">
        <f>_xlfn.CONCAT("'",$B25,"'","!","$B$3:$B$22")</f>
        <v>'2016'!$B$3:$B$22</v>
      </c>
      <c r="O25" s="5" t="str">
        <f>_xlfn.CONCAT("'",$B25,"'","!","$C$2:$K$2")</f>
        <v>'2016'!$C$2:$K$2</v>
      </c>
    </row>
    <row r="26" spans="1:15" x14ac:dyDescent="0.3">
      <c r="A26">
        <v>6</v>
      </c>
      <c r="B26">
        <v>2016</v>
      </c>
      <c r="C26" t="s">
        <v>83</v>
      </c>
      <c r="D26" s="7" cm="1">
        <f t="array" aca="1" ref="D26" ca="1">INDEX(INDIRECT($M26),
       MATCH(TRIM($C26), TRIM(INDIRECT($N26)), 0),
       MATCH(TRIM(D$1), TRIM(INDIRECT($O26)), 0))</f>
        <v>12</v>
      </c>
      <c r="E26" s="9" cm="1">
        <f t="array" aca="1" ref="E26" ca="1">INDEX(INDIRECT($M26),
       MATCH(TRIM($C26), TRIM(INDIRECT($N26)), 0),
       MATCH(TRIM(E$1), TRIM(INDIRECT($O26)), 0))</f>
        <v>44397064</v>
      </c>
      <c r="F26" s="7" cm="1">
        <f t="array" aca="1" ref="F26" ca="1">INDEX(INDIRECT($M26),
       MATCH(TRIM($C26), TRIM(INDIRECT($N26)), 0),
       MATCH(TRIM(F$1), TRIM(INDIRECT($O26)), 0))</f>
        <v>44.397064</v>
      </c>
      <c r="G26" s="7" cm="1">
        <f t="array" aca="1" ref="G26" ca="1">INDEX(INDIRECT($M26),
       MATCH(TRIM($C26), TRIM(INDIRECT($N26)), 0),
       MATCH(TRIM(G$1), TRIM(INDIRECT($O26)), 0))</f>
        <v>14</v>
      </c>
      <c r="H26" s="9" cm="1">
        <f t="array" aca="1" ref="H26" ca="1">INDEX(INDIRECT($M26),
       MATCH(TRIM($C26), TRIM(INDIRECT($N26)), 0),
       MATCH(TRIM(H$1), TRIM(INDIRECT($O26)), 0))</f>
        <v>34905580</v>
      </c>
      <c r="I26" s="7" cm="1">
        <f t="array" aca="1" ref="I26" ca="1">INDEX(INDIRECT($M26),
       MATCH(TRIM($C26), TRIM(INDIRECT($N26)), 0),
       MATCH(TRIM(I$1), TRIM(INDIRECT($O26)), 0))</f>
        <v>34.90558</v>
      </c>
      <c r="J26" s="7" cm="1">
        <f t="array" aca="1" ref="J26" ca="1">INDEX(INDIRECT($M26),
       MATCH(TRIM($C26), TRIM(INDIRECT($N26)), 0),
       MATCH(TRIM(J$1), TRIM(INDIRECT($O26)), 0))</f>
        <v>9</v>
      </c>
      <c r="K26" s="7" cm="1">
        <f t="array" aca="1" ref="K26" ca="1">INDEX(INDIRECT($M26),
       MATCH(TRIM($C26), TRIM(INDIRECT($N26)), 0),
       MATCH(TRIM(K$1), TRIM(INDIRECT($O26)), 0))</f>
        <v>20.16729252266666</v>
      </c>
      <c r="L26" s="7" cm="1">
        <f t="array" aca="1" ref="L26" ca="1">INDEX(INDIRECT($M26),
       MATCH(TRIM($C26), TRIM(INDIRECT($N26)), 0),
       MATCH(TRIM(L$1), TRIM(INDIRECT($O26)), 0))</f>
        <v>99.469936522666657</v>
      </c>
      <c r="M26" s="5" t="str">
        <f>_xlfn.CONCAT("'",$B26,"'","!","$C$3:$K$23")</f>
        <v>'2016'!$C$3:$K$23</v>
      </c>
      <c r="N26" s="5" t="str">
        <f>_xlfn.CONCAT("'",$B26,"'","!","$B$3:$B$22")</f>
        <v>'2016'!$B$3:$B$22</v>
      </c>
      <c r="O26" s="5" t="str">
        <f>_xlfn.CONCAT("'",$B26,"'","!","$C$2:$K$2")</f>
        <v>'2016'!$C$2:$K$2</v>
      </c>
    </row>
    <row r="27" spans="1:15" x14ac:dyDescent="0.3">
      <c r="A27">
        <v>7</v>
      </c>
      <c r="B27">
        <v>2016</v>
      </c>
      <c r="C27" t="s">
        <v>84</v>
      </c>
      <c r="D27" s="7" cm="1">
        <f t="array" aca="1" ref="D27" ca="1">INDEX(INDIRECT($M27),
       MATCH(TRIM($C27), TRIM(INDIRECT($N27)), 0),
       MATCH(TRIM(D$1), TRIM(INDIRECT($O27)), 0))</f>
        <v>282</v>
      </c>
      <c r="E27" s="9" cm="1">
        <f t="array" aca="1" ref="E27" ca="1">INDEX(INDIRECT($M27),
       MATCH(TRIM($C27), TRIM(INDIRECT($N27)), 0),
       MATCH(TRIM(E$1), TRIM(INDIRECT($O27)), 0))</f>
        <v>436452791</v>
      </c>
      <c r="F27" s="7" cm="1">
        <f t="array" aca="1" ref="F27" ca="1">INDEX(INDIRECT($M27),
       MATCH(TRIM($C27), TRIM(INDIRECT($N27)), 0),
       MATCH(TRIM(F$1), TRIM(INDIRECT($O27)), 0))</f>
        <v>436.45279099999999</v>
      </c>
      <c r="G27" s="7" cm="1">
        <f t="array" aca="1" ref="G27" ca="1">INDEX(INDIRECT($M27),
       MATCH(TRIM($C27), TRIM(INDIRECT($N27)), 0),
       MATCH(TRIM(G$1), TRIM(INDIRECT($O27)), 0))</f>
        <v>65</v>
      </c>
      <c r="H27" s="9" cm="1">
        <f t="array" aca="1" ref="H27" ca="1">INDEX(INDIRECT($M27),
       MATCH(TRIM($C27), TRIM(INDIRECT($N27)), 0),
       MATCH(TRIM(H$1), TRIM(INDIRECT($O27)), 0))</f>
        <v>316949270</v>
      </c>
      <c r="I27" s="7" cm="1">
        <f t="array" aca="1" ref="I27" ca="1">INDEX(INDIRECT($M27),
       MATCH(TRIM($C27), TRIM(INDIRECT($N27)), 0),
       MATCH(TRIM(I$1), TRIM(INDIRECT($O27)), 0))</f>
        <v>316.94927000000001</v>
      </c>
      <c r="J27" s="7" cm="1">
        <f t="array" aca="1" ref="J27" ca="1">INDEX(INDIRECT($M27),
       MATCH(TRIM($C27), TRIM(INDIRECT($N27)), 0),
       MATCH(TRIM(J$1), TRIM(INDIRECT($O27)), 0))</f>
        <v>212</v>
      </c>
      <c r="K27" s="7" cm="1">
        <f t="array" aca="1" ref="K27" ca="1">INDEX(INDIRECT($M27),
       MATCH(TRIM($C27), TRIM(INDIRECT($N27)), 0),
       MATCH(TRIM(K$1), TRIM(INDIRECT($O27)), 0))</f>
        <v>179.67632271688893</v>
      </c>
      <c r="L27" s="7" cm="1">
        <f t="array" aca="1" ref="L27" ca="1">INDEX(INDIRECT($M27),
       MATCH(TRIM($C27), TRIM(INDIRECT($N27)), 0),
       MATCH(TRIM(L$1), TRIM(INDIRECT($O27)), 0))</f>
        <v>933.07838371688899</v>
      </c>
      <c r="M27" s="5" t="str">
        <f>_xlfn.CONCAT("'",$B27,"'","!","$C$3:$K$23")</f>
        <v>'2016'!$C$3:$K$23</v>
      </c>
      <c r="N27" s="5" t="str">
        <f>_xlfn.CONCAT("'",$B27,"'","!","$B$3:$B$22")</f>
        <v>'2016'!$B$3:$B$22</v>
      </c>
      <c r="O27" s="5" t="str">
        <f>_xlfn.CONCAT("'",$B27,"'","!","$C$2:$K$2")</f>
        <v>'2016'!$C$2:$K$2</v>
      </c>
    </row>
    <row r="28" spans="1:15" x14ac:dyDescent="0.3">
      <c r="A28">
        <v>8</v>
      </c>
      <c r="B28">
        <v>2016</v>
      </c>
      <c r="C28" t="s">
        <v>85</v>
      </c>
      <c r="D28" s="7" cm="1">
        <f t="array" aca="1" ref="D28" ca="1">INDEX(INDIRECT($M28),
       MATCH(TRIM($C28), TRIM(INDIRECT($N28)), 0),
       MATCH(TRIM(D$1), TRIM(INDIRECT($O28)), 0))</f>
        <v>88</v>
      </c>
      <c r="E28" s="9" cm="1">
        <f t="array" aca="1" ref="E28" ca="1">INDEX(INDIRECT($M28),
       MATCH(TRIM($C28), TRIM(INDIRECT($N28)), 0),
       MATCH(TRIM(E$1), TRIM(INDIRECT($O28)), 0))</f>
        <v>703938422</v>
      </c>
      <c r="F28" s="7" cm="1">
        <f t="array" aca="1" ref="F28" ca="1">INDEX(INDIRECT($M28),
       MATCH(TRIM($C28), TRIM(INDIRECT($N28)), 0),
       MATCH(TRIM(F$1), TRIM(INDIRECT($O28)), 0))</f>
        <v>703.93842199999995</v>
      </c>
      <c r="G28" s="7" cm="1">
        <f t="array" aca="1" ref="G28" ca="1">INDEX(INDIRECT($M28),
       MATCH(TRIM($C28), TRIM(INDIRECT($N28)), 0),
       MATCH(TRIM(G$1), TRIM(INDIRECT($O28)), 0))</f>
        <v>22</v>
      </c>
      <c r="H28" s="9" cm="1">
        <f t="array" aca="1" ref="H28" ca="1">INDEX(INDIRECT($M28),
       MATCH(TRIM($C28), TRIM(INDIRECT($N28)), 0),
       MATCH(TRIM(H$1), TRIM(INDIRECT($O28)), 0))</f>
        <v>-28997718</v>
      </c>
      <c r="I28" s="7" cm="1">
        <f t="array" aca="1" ref="I28" ca="1">INDEX(INDIRECT($M28),
       MATCH(TRIM($C28), TRIM(INDIRECT($N28)), 0),
       MATCH(TRIM(I$1), TRIM(INDIRECT($O28)), 0))</f>
        <v>-28.997717999999999</v>
      </c>
      <c r="J28" s="7" cm="1">
        <f t="array" aca="1" ref="J28" ca="1">INDEX(INDIRECT($M28),
       MATCH(TRIM($C28), TRIM(INDIRECT($N28)), 0),
       MATCH(TRIM(J$1), TRIM(INDIRECT($O28)), 0))</f>
        <v>119</v>
      </c>
      <c r="K28" s="7" cm="1">
        <f t="array" aca="1" ref="K28" ca="1">INDEX(INDIRECT($M28),
       MATCH(TRIM($C28), TRIM(INDIRECT($N28)), 0),
       MATCH(TRIM(K$1), TRIM(INDIRECT($O28)), 0))</f>
        <v>207.19296205493336</v>
      </c>
      <c r="L28" s="7" cm="1">
        <f t="array" aca="1" ref="L28" ca="1">INDEX(INDIRECT($M28),
       MATCH(TRIM($C28), TRIM(INDIRECT($N28)), 0),
       MATCH(TRIM(L$1), TRIM(INDIRECT($O28)), 0))</f>
        <v>882.13366605493331</v>
      </c>
      <c r="M28" s="5" t="str">
        <f>_xlfn.CONCAT("'",$B28,"'","!","$C$3:$K$23")</f>
        <v>'2016'!$C$3:$K$23</v>
      </c>
      <c r="N28" s="5" t="str">
        <f>_xlfn.CONCAT("'",$B28,"'","!","$B$3:$B$22")</f>
        <v>'2016'!$B$3:$B$22</v>
      </c>
      <c r="O28" s="5" t="str">
        <f>_xlfn.CONCAT("'",$B28,"'","!","$C$2:$K$2")</f>
        <v>'2016'!$C$2:$K$2</v>
      </c>
    </row>
    <row r="29" spans="1:15" x14ac:dyDescent="0.3">
      <c r="A29">
        <v>9</v>
      </c>
      <c r="B29">
        <v>2016</v>
      </c>
      <c r="C29" t="s">
        <v>86</v>
      </c>
      <c r="D29" s="7" cm="1">
        <f t="array" aca="1" ref="D29" ca="1">INDEX(INDIRECT($M29),
       MATCH(TRIM($C29), TRIM(INDIRECT($N29)), 0),
       MATCH(TRIM(D$1), TRIM(INDIRECT($O29)), 0))</f>
        <v>97</v>
      </c>
      <c r="E29" s="9" cm="1">
        <f t="array" aca="1" ref="E29" ca="1">INDEX(INDIRECT($M29),
       MATCH(TRIM($C29), TRIM(INDIRECT($N29)), 0),
       MATCH(TRIM(E$1), TRIM(INDIRECT($O29)), 0))</f>
        <v>278142327</v>
      </c>
      <c r="F29" s="7" cm="1">
        <f t="array" aca="1" ref="F29" ca="1">INDEX(INDIRECT($M29),
       MATCH(TRIM($C29), TRIM(INDIRECT($N29)), 0),
       MATCH(TRIM(F$1), TRIM(INDIRECT($O29)), 0))</f>
        <v>278.14232700000002</v>
      </c>
      <c r="G29" s="7" cm="1">
        <f t="array" aca="1" ref="G29" ca="1">INDEX(INDIRECT($M29),
       MATCH(TRIM($C29), TRIM(INDIRECT($N29)), 0),
       MATCH(TRIM(G$1), TRIM(INDIRECT($O29)), 0))</f>
        <v>11</v>
      </c>
      <c r="H29" s="9" cm="1">
        <f t="array" aca="1" ref="H29" ca="1">INDEX(INDIRECT($M29),
       MATCH(TRIM($C29), TRIM(INDIRECT($N29)), 0),
       MATCH(TRIM(H$1), TRIM(INDIRECT($O29)), 0))</f>
        <v>58022597</v>
      </c>
      <c r="I29" s="7" cm="1">
        <f t="array" aca="1" ref="I29" ca="1">INDEX(INDIRECT($M29),
       MATCH(TRIM($C29), TRIM(INDIRECT($N29)), 0),
       MATCH(TRIM(I$1), TRIM(INDIRECT($O29)), 0))</f>
        <v>58.022596999999998</v>
      </c>
      <c r="J29" s="7" cm="1">
        <f t="array" aca="1" ref="J29" ca="1">INDEX(INDIRECT($M29),
       MATCH(TRIM($C29), TRIM(INDIRECT($N29)), 0),
       MATCH(TRIM(J$1), TRIM(INDIRECT($O29)), 0))</f>
        <v>135</v>
      </c>
      <c r="K29" s="7" cm="1">
        <f t="array" aca="1" ref="K29" ca="1">INDEX(INDIRECT($M29),
       MATCH(TRIM($C29), TRIM(INDIRECT($N29)), 0),
       MATCH(TRIM(K$1), TRIM(INDIRECT($O29)), 0))</f>
        <v>70.527602163288947</v>
      </c>
      <c r="L29" s="7" cm="1">
        <f t="array" aca="1" ref="L29" ca="1">INDEX(INDIRECT($M29),
       MATCH(TRIM($C29), TRIM(INDIRECT($N29)), 0),
       MATCH(TRIM(L$1), TRIM(INDIRECT($O29)), 0))</f>
        <v>406.69252616328902</v>
      </c>
      <c r="M29" s="5" t="str">
        <f>_xlfn.CONCAT("'",$B29,"'","!","$C$3:$K$23")</f>
        <v>'2016'!$C$3:$K$23</v>
      </c>
      <c r="N29" s="5" t="str">
        <f>_xlfn.CONCAT("'",$B29,"'","!","$B$3:$B$22")</f>
        <v>'2016'!$B$3:$B$22</v>
      </c>
      <c r="O29" s="5" t="str">
        <f>_xlfn.CONCAT("'",$B29,"'","!","$C$2:$K$2")</f>
        <v>'2016'!$C$2:$K$2</v>
      </c>
    </row>
    <row r="30" spans="1:15" x14ac:dyDescent="0.3">
      <c r="A30">
        <v>10</v>
      </c>
      <c r="B30">
        <v>2016</v>
      </c>
      <c r="C30" t="s">
        <v>87</v>
      </c>
      <c r="D30" s="7" cm="1">
        <f t="array" aca="1" ref="D30" ca="1">INDEX(INDIRECT($M30),
       MATCH(TRIM($C30), TRIM(INDIRECT($N30)), 0),
       MATCH(TRIM(D$1), TRIM(INDIRECT($O30)), 0))</f>
        <v>195</v>
      </c>
      <c r="E30" s="9" cm="1">
        <f t="array" aca="1" ref="E30" ca="1">INDEX(INDIRECT($M30),
       MATCH(TRIM($C30), TRIM(INDIRECT($N30)), 0),
       MATCH(TRIM(E$1), TRIM(INDIRECT($O30)), 0))</f>
        <v>103117113</v>
      </c>
      <c r="F30" s="7" cm="1">
        <f t="array" aca="1" ref="F30" ca="1">INDEX(INDIRECT($M30),
       MATCH(TRIM($C30), TRIM(INDIRECT($N30)), 0),
       MATCH(TRIM(F$1), TRIM(INDIRECT($O30)), 0))</f>
        <v>103.117113</v>
      </c>
      <c r="G30" s="7" cm="1">
        <f t="array" aca="1" ref="G30" ca="1">INDEX(INDIRECT($M30),
       MATCH(TRIM($C30), TRIM(INDIRECT($N30)), 0),
       MATCH(TRIM(G$1), TRIM(INDIRECT($O30)), 0))</f>
        <v>46</v>
      </c>
      <c r="H30" s="9" cm="1">
        <f t="array" aca="1" ref="H30" ca="1">INDEX(INDIRECT($M30),
       MATCH(TRIM($C30), TRIM(INDIRECT($N30)), 0),
       MATCH(TRIM(H$1), TRIM(INDIRECT($O30)), 0))</f>
        <v>233215651</v>
      </c>
      <c r="I30" s="7" cm="1">
        <f t="array" aca="1" ref="I30" ca="1">INDEX(INDIRECT($M30),
       MATCH(TRIM($C30), TRIM(INDIRECT($N30)), 0),
       MATCH(TRIM(I$1), TRIM(INDIRECT($O30)), 0))</f>
        <v>233.21565100000001</v>
      </c>
      <c r="J30" s="7" cm="1">
        <f t="array" aca="1" ref="J30" ca="1">INDEX(INDIRECT($M30),
       MATCH(TRIM($C30), TRIM(INDIRECT($N30)), 0),
       MATCH(TRIM(J$1), TRIM(INDIRECT($O30)), 0))</f>
        <v>120</v>
      </c>
      <c r="K30" s="7" cm="1">
        <f t="array" aca="1" ref="K30" ca="1">INDEX(INDIRECT($M30),
       MATCH(TRIM($C30), TRIM(INDIRECT($N30)), 0),
       MATCH(TRIM(K$1), TRIM(INDIRECT($O30)), 0))</f>
        <v>32.937145097555565</v>
      </c>
      <c r="L30" s="7" cm="1">
        <f t="array" aca="1" ref="L30" ca="1">INDEX(INDIRECT($M30),
       MATCH(TRIM($C30), TRIM(INDIRECT($N30)), 0),
       MATCH(TRIM(L$1), TRIM(INDIRECT($O30)), 0))</f>
        <v>369.26990909755557</v>
      </c>
      <c r="M30" s="5" t="str">
        <f>_xlfn.CONCAT("'",$B30,"'","!","$C$3:$K$23")</f>
        <v>'2016'!$C$3:$K$23</v>
      </c>
      <c r="N30" s="5" t="str">
        <f>_xlfn.CONCAT("'",$B30,"'","!","$B$3:$B$22")</f>
        <v>'2016'!$B$3:$B$22</v>
      </c>
      <c r="O30" s="5" t="str">
        <f>_xlfn.CONCAT("'",$B30,"'","!","$C$2:$K$2")</f>
        <v>'2016'!$C$2:$K$2</v>
      </c>
    </row>
    <row r="31" spans="1:15" x14ac:dyDescent="0.3">
      <c r="A31">
        <v>11</v>
      </c>
      <c r="B31">
        <v>2016</v>
      </c>
      <c r="C31" t="s">
        <v>88</v>
      </c>
      <c r="D31" s="7" cm="1">
        <f t="array" aca="1" ref="D31" ca="1">INDEX(INDIRECT($M31),
       MATCH(TRIM($C31), TRIM(INDIRECT($N31)), 0),
       MATCH(TRIM(D$1), TRIM(INDIRECT($O31)), 0))</f>
        <v>58</v>
      </c>
      <c r="E31" s="9" cm="1">
        <f t="array" aca="1" ref="E31" ca="1">INDEX(INDIRECT($M31),
       MATCH(TRIM($C31), TRIM(INDIRECT($N31)), 0),
       MATCH(TRIM(E$1), TRIM(INDIRECT($O31)), 0))</f>
        <v>45507586</v>
      </c>
      <c r="F31" s="7" cm="1">
        <f t="array" aca="1" ref="F31" ca="1">INDEX(INDIRECT($M31),
       MATCH(TRIM($C31), TRIM(INDIRECT($N31)), 0),
       MATCH(TRIM(F$1), TRIM(INDIRECT($O31)), 0))</f>
        <v>45.507586000000003</v>
      </c>
      <c r="G31" s="7" cm="1">
        <f t="array" aca="1" ref="G31" ca="1">INDEX(INDIRECT($M31),
       MATCH(TRIM($C31), TRIM(INDIRECT($N31)), 0),
       MATCH(TRIM(G$1), TRIM(INDIRECT($O31)), 0))</f>
        <v>12</v>
      </c>
      <c r="H31" s="9" cm="1">
        <f t="array" aca="1" ref="H31" ca="1">INDEX(INDIRECT($M31),
       MATCH(TRIM($C31), TRIM(INDIRECT($N31)), 0),
       MATCH(TRIM(H$1), TRIM(INDIRECT($O31)), 0))</f>
        <v>23828707</v>
      </c>
      <c r="I31" s="7" cm="1">
        <f t="array" aca="1" ref="I31" ca="1">INDEX(INDIRECT($M31),
       MATCH(TRIM($C31), TRIM(INDIRECT($N31)), 0),
       MATCH(TRIM(I$1), TRIM(INDIRECT($O31)), 0))</f>
        <v>23.828707000000001</v>
      </c>
      <c r="J31" s="7" cm="1">
        <f t="array" aca="1" ref="J31" ca="1">INDEX(INDIRECT($M31),
       MATCH(TRIM($C31), TRIM(INDIRECT($N31)), 0),
       MATCH(TRIM(J$1), TRIM(INDIRECT($O31)), 0))</f>
        <v>68</v>
      </c>
      <c r="K31" s="7" cm="1">
        <f t="array" aca="1" ref="K31" ca="1">INDEX(INDIRECT($M31),
       MATCH(TRIM($C31), TRIM(INDIRECT($N31)), 0),
       MATCH(TRIM(K$1), TRIM(INDIRECT($O31)), 0))</f>
        <v>91.016793494977847</v>
      </c>
      <c r="L31" s="7" cm="1">
        <f t="array" aca="1" ref="L31" ca="1">INDEX(INDIRECT($M31),
       MATCH(TRIM($C31), TRIM(INDIRECT($N31)), 0),
       MATCH(TRIM(L$1), TRIM(INDIRECT($O31)), 0))</f>
        <v>160.35308649497784</v>
      </c>
      <c r="M31" s="5" t="str">
        <f>_xlfn.CONCAT("'",$B31,"'","!","$C$3:$K$23")</f>
        <v>'2016'!$C$3:$K$23</v>
      </c>
      <c r="N31" s="5" t="str">
        <f>_xlfn.CONCAT("'",$B31,"'","!","$B$3:$B$22")</f>
        <v>'2016'!$B$3:$B$22</v>
      </c>
      <c r="O31" s="5" t="str">
        <f>_xlfn.CONCAT("'",$B31,"'","!","$C$2:$K$2")</f>
        <v>'2016'!$C$2:$K$2</v>
      </c>
    </row>
    <row r="32" spans="1:15" x14ac:dyDescent="0.3">
      <c r="A32">
        <v>12</v>
      </c>
      <c r="B32">
        <v>2016</v>
      </c>
      <c r="C32" t="s">
        <v>89</v>
      </c>
      <c r="D32" s="7" cm="1">
        <f t="array" aca="1" ref="D32" ca="1">INDEX(INDIRECT($M32),
       MATCH(TRIM($C32), TRIM(INDIRECT($N32)), 0),
       MATCH(TRIM(D$1), TRIM(INDIRECT($O32)), 0))</f>
        <v>5</v>
      </c>
      <c r="E32" s="9" cm="1">
        <f t="array" aca="1" ref="E32" ca="1">INDEX(INDIRECT($M32),
       MATCH(TRIM($C32), TRIM(INDIRECT($N32)), 0),
       MATCH(TRIM(E$1), TRIM(INDIRECT($O32)), 0))</f>
        <v>55760000</v>
      </c>
      <c r="F32" s="7" cm="1">
        <f t="array" aca="1" ref="F32" ca="1">INDEX(INDIRECT($M32),
       MATCH(TRIM($C32), TRIM(INDIRECT($N32)), 0),
       MATCH(TRIM(F$1), TRIM(INDIRECT($O32)), 0))</f>
        <v>55.76</v>
      </c>
      <c r="G32" s="7" cm="1">
        <f t="array" aca="1" ref="G32" ca="1">INDEX(INDIRECT($M32),
       MATCH(TRIM($C32), TRIM(INDIRECT($N32)), 0),
       MATCH(TRIM(G$1), TRIM(INDIRECT($O32)), 0))</f>
        <v>7</v>
      </c>
      <c r="H32" s="9" cm="1">
        <f t="array" aca="1" ref="H32" ca="1">INDEX(INDIRECT($M32),
       MATCH(TRIM($C32), TRIM(INDIRECT($N32)), 0),
       MATCH(TRIM(H$1), TRIM(INDIRECT($O32)), 0))</f>
        <v>9765018</v>
      </c>
      <c r="I32" s="7" cm="1">
        <f t="array" aca="1" ref="I32" ca="1">INDEX(INDIRECT($M32),
       MATCH(TRIM($C32), TRIM(INDIRECT($N32)), 0),
       MATCH(TRIM(I$1), TRIM(INDIRECT($O32)), 0))</f>
        <v>9.7650179999999995</v>
      </c>
      <c r="J32" s="7" cm="1">
        <f t="array" aca="1" ref="J32" ca="1">INDEX(INDIRECT($M32),
       MATCH(TRIM($C32), TRIM(INDIRECT($N32)), 0),
       MATCH(TRIM(J$1), TRIM(INDIRECT($O32)), 0))</f>
        <v>6</v>
      </c>
      <c r="K32" s="7" cm="1">
        <f t="array" aca="1" ref="K32" ca="1">INDEX(INDIRECT($M32),
       MATCH(TRIM($C32), TRIM(INDIRECT($N32)), 0),
       MATCH(TRIM(K$1), TRIM(INDIRECT($O32)), 0))</f>
        <v>2.2262146793777773</v>
      </c>
      <c r="L32" s="7" cm="1">
        <f t="array" aca="1" ref="L32" ca="1">INDEX(INDIRECT($M32),
       MATCH(TRIM($C32), TRIM(INDIRECT($N32)), 0),
       MATCH(TRIM(L$1), TRIM(INDIRECT($O32)), 0))</f>
        <v>67.751232679377779</v>
      </c>
      <c r="M32" s="5" t="str">
        <f>_xlfn.CONCAT("'",$B32,"'","!","$C$3:$K$23")</f>
        <v>'2016'!$C$3:$K$23</v>
      </c>
      <c r="N32" s="5" t="str">
        <f>_xlfn.CONCAT("'",$B32,"'","!","$B$3:$B$22")</f>
        <v>'2016'!$B$3:$B$22</v>
      </c>
      <c r="O32" s="5" t="str">
        <f>_xlfn.CONCAT("'",$B32,"'","!","$C$2:$K$2")</f>
        <v>'2016'!$C$2:$K$2</v>
      </c>
    </row>
    <row r="33" spans="1:15" x14ac:dyDescent="0.3">
      <c r="A33">
        <v>13</v>
      </c>
      <c r="B33">
        <v>2016</v>
      </c>
      <c r="C33" t="s">
        <v>90</v>
      </c>
      <c r="D33" s="7" cm="1">
        <f t="array" aca="1" ref="D33" ca="1">INDEX(INDIRECT($M33),
       MATCH(TRIM($C33), TRIM(INDIRECT($N33)), 0),
       MATCH(TRIM(D$1), TRIM(INDIRECT($O33)), 0))</f>
        <v>70</v>
      </c>
      <c r="E33" s="9" cm="1">
        <f t="array" aca="1" ref="E33" ca="1">INDEX(INDIRECT($M33),
       MATCH(TRIM($C33), TRIM(INDIRECT($N33)), 0),
       MATCH(TRIM(E$1), TRIM(INDIRECT($O33)), 0))</f>
        <v>47322737</v>
      </c>
      <c r="F33" s="7" cm="1">
        <f t="array" aca="1" ref="F33" ca="1">INDEX(INDIRECT($M33),
       MATCH(TRIM($C33), TRIM(INDIRECT($N33)), 0),
       MATCH(TRIM(F$1), TRIM(INDIRECT($O33)), 0))</f>
        <v>47.322736999999996</v>
      </c>
      <c r="G33" s="7" cm="1">
        <f t="array" aca="1" ref="G33" ca="1">INDEX(INDIRECT($M33),
       MATCH(TRIM($C33), TRIM(INDIRECT($N33)), 0),
       MATCH(TRIM(G$1), TRIM(INDIRECT($O33)), 0))</f>
        <v>9</v>
      </c>
      <c r="H33" s="9" cm="1">
        <f t="array" aca="1" ref="H33" ca="1">INDEX(INDIRECT($M33),
       MATCH(TRIM($C33), TRIM(INDIRECT($N33)), 0),
       MATCH(TRIM(H$1), TRIM(INDIRECT($O33)), 0))</f>
        <v>-215128</v>
      </c>
      <c r="I33" s="7" cm="1">
        <f t="array" aca="1" ref="I33" ca="1">INDEX(INDIRECT($M33),
       MATCH(TRIM($C33), TRIM(INDIRECT($N33)), 0),
       MATCH(TRIM(I$1), TRIM(INDIRECT($O33)), 0))</f>
        <v>-0.21512800000000001</v>
      </c>
      <c r="J33" s="7" cm="1">
        <f t="array" aca="1" ref="J33" ca="1">INDEX(INDIRECT($M33),
       MATCH(TRIM($C33), TRIM(INDIRECT($N33)), 0),
       MATCH(TRIM(J$1), TRIM(INDIRECT($O33)), 0))</f>
        <v>56</v>
      </c>
      <c r="K33" s="7" cm="1">
        <f t="array" aca="1" ref="K33" ca="1">INDEX(INDIRECT($M33),
       MATCH(TRIM($C33), TRIM(INDIRECT($N33)), 0),
       MATCH(TRIM(K$1), TRIM(INDIRECT($O33)), 0))</f>
        <v>13.34687989133333</v>
      </c>
      <c r="L33" s="7" cm="1">
        <f t="array" aca="1" ref="L33" ca="1">INDEX(INDIRECT($M33),
       MATCH(TRIM($C33), TRIM(INDIRECT($N33)), 0),
       MATCH(TRIM(L$1), TRIM(INDIRECT($O33)), 0))</f>
        <v>60.454488891333327</v>
      </c>
      <c r="M33" s="5" t="str">
        <f>_xlfn.CONCAT("'",$B33,"'","!","$C$3:$K$23")</f>
        <v>'2016'!$C$3:$K$23</v>
      </c>
      <c r="N33" s="5" t="str">
        <f>_xlfn.CONCAT("'",$B33,"'","!","$B$3:$B$22")</f>
        <v>'2016'!$B$3:$B$22</v>
      </c>
      <c r="O33" s="5" t="str">
        <f>_xlfn.CONCAT("'",$B33,"'","!","$C$2:$K$2")</f>
        <v>'2016'!$C$2:$K$2</v>
      </c>
    </row>
    <row r="34" spans="1:15" x14ac:dyDescent="0.3">
      <c r="A34">
        <v>14</v>
      </c>
      <c r="B34">
        <v>2016</v>
      </c>
      <c r="C34" t="s">
        <v>91</v>
      </c>
      <c r="D34" s="7" cm="1">
        <f t="array" aca="1" ref="D34" ca="1">INDEX(INDIRECT($M34),
       MATCH(TRIM($C34), TRIM(INDIRECT($N34)), 0),
       MATCH(TRIM(D$1), TRIM(INDIRECT($O34)), 0))</f>
        <v>13</v>
      </c>
      <c r="E34" s="9" cm="1">
        <f t="array" aca="1" ref="E34" ca="1">INDEX(INDIRECT($M34),
       MATCH(TRIM($C34), TRIM(INDIRECT($N34)), 0),
       MATCH(TRIM(E$1), TRIM(INDIRECT($O34)), 0))</f>
        <v>485094024</v>
      </c>
      <c r="F34" s="7" cm="1">
        <f t="array" aca="1" ref="F34" ca="1">INDEX(INDIRECT($M34),
       MATCH(TRIM($C34), TRIM(INDIRECT($N34)), 0),
       MATCH(TRIM(F$1), TRIM(INDIRECT($O34)), 0))</f>
        <v>485.09402399999999</v>
      </c>
      <c r="G34" s="7" cm="1">
        <f t="array" aca="1" ref="G34" ca="1">INDEX(INDIRECT($M34),
       MATCH(TRIM($C34), TRIM(INDIRECT($N34)), 0),
       MATCH(TRIM(G$1), TRIM(INDIRECT($O34)), 0))</f>
        <v>5</v>
      </c>
      <c r="H34" s="9" cm="1">
        <f t="array" aca="1" ref="H34" ca="1">INDEX(INDIRECT($M34),
       MATCH(TRIM($C34), TRIM(INDIRECT($N34)), 0),
       MATCH(TRIM(H$1), TRIM(INDIRECT($O34)), 0))</f>
        <v>2305000</v>
      </c>
      <c r="I34" s="7" cm="1">
        <f t="array" aca="1" ref="I34" ca="1">INDEX(INDIRECT($M34),
       MATCH(TRIM($C34), TRIM(INDIRECT($N34)), 0),
       MATCH(TRIM(I$1), TRIM(INDIRECT($O34)), 0))</f>
        <v>2.3050000000000002</v>
      </c>
      <c r="J34" s="7" cm="1">
        <f t="array" aca="1" ref="J34" ca="1">INDEX(INDIRECT($M34),
       MATCH(TRIM($C34), TRIM(INDIRECT($N34)), 0),
       MATCH(TRIM(J$1), TRIM(INDIRECT($O34)), 0))</f>
        <v>4</v>
      </c>
      <c r="K34" s="7" cm="1">
        <f t="array" aca="1" ref="K34" ca="1">INDEX(INDIRECT($M34),
       MATCH(TRIM($C34), TRIM(INDIRECT($N34)), 0),
       MATCH(TRIM(K$1), TRIM(INDIRECT($O34)), 0))</f>
        <v>0.86304444444444428</v>
      </c>
      <c r="L34" s="7" cm="1">
        <f t="array" aca="1" ref="L34" ca="1">INDEX(INDIRECT($M34),
       MATCH(TRIM($C34), TRIM(INDIRECT($N34)), 0),
       MATCH(TRIM(L$1), TRIM(INDIRECT($O34)), 0))</f>
        <v>488.26206844444442</v>
      </c>
      <c r="M34" s="5" t="str">
        <f>_xlfn.CONCAT("'",$B34,"'","!","$C$3:$K$23")</f>
        <v>'2016'!$C$3:$K$23</v>
      </c>
      <c r="N34" s="5" t="str">
        <f>_xlfn.CONCAT("'",$B34,"'","!","$B$3:$B$22")</f>
        <v>'2016'!$B$3:$B$22</v>
      </c>
      <c r="O34" s="5" t="str">
        <f>_xlfn.CONCAT("'",$B34,"'","!","$C$2:$K$2")</f>
        <v>'2016'!$C$2:$K$2</v>
      </c>
    </row>
    <row r="35" spans="1:15" x14ac:dyDescent="0.3">
      <c r="A35">
        <v>15</v>
      </c>
      <c r="B35">
        <v>2016</v>
      </c>
      <c r="C35" t="s">
        <v>92</v>
      </c>
      <c r="D35" s="7" cm="1">
        <f t="array" aca="1" ref="D35" ca="1">INDEX(INDIRECT($M35),
       MATCH(TRIM($C35), TRIM(INDIRECT($N35)), 0),
       MATCH(TRIM(D$1), TRIM(INDIRECT($O35)), 0))</f>
        <v>10</v>
      </c>
      <c r="E35" s="9" cm="1">
        <f t="array" aca="1" ref="E35" ca="1">INDEX(INDIRECT($M35),
       MATCH(TRIM($C35), TRIM(INDIRECT($N35)), 0),
       MATCH(TRIM(E$1), TRIM(INDIRECT($O35)), 0))</f>
        <v>11237391</v>
      </c>
      <c r="F35" s="7" cm="1">
        <f t="array" aca="1" ref="F35" ca="1">INDEX(INDIRECT($M35),
       MATCH(TRIM($C35), TRIM(INDIRECT($N35)), 0),
       MATCH(TRIM(F$1), TRIM(INDIRECT($O35)), 0))</f>
        <v>11.237391000000001</v>
      </c>
      <c r="G35" s="7" cm="1">
        <f t="array" aca="1" ref="G35" ca="1">INDEX(INDIRECT($M35),
       MATCH(TRIM($C35), TRIM(INDIRECT($N35)), 0),
       MATCH(TRIM(G$1), TRIM(INDIRECT($O35)), 0))</f>
        <v>3</v>
      </c>
      <c r="H35" s="9" cm="1">
        <f t="array" aca="1" ref="H35" ca="1">INDEX(INDIRECT($M35),
       MATCH(TRIM($C35), TRIM(INDIRECT($N35)), 0),
       MATCH(TRIM(H$1), TRIM(INDIRECT($O35)), 0))</f>
        <v>2670000</v>
      </c>
      <c r="I35" s="7" cm="1">
        <f t="array" aca="1" ref="I35" ca="1">INDEX(INDIRECT($M35),
       MATCH(TRIM($C35), TRIM(INDIRECT($N35)), 0),
       MATCH(TRIM(I$1), TRIM(INDIRECT($O35)), 0))</f>
        <v>2.67</v>
      </c>
      <c r="J35" s="7" cm="1">
        <f t="array" aca="1" ref="J35" ca="1">INDEX(INDIRECT($M35),
       MATCH(TRIM($C35), TRIM(INDIRECT($N35)), 0),
       MATCH(TRIM(J$1), TRIM(INDIRECT($O35)), 0))</f>
        <v>9</v>
      </c>
      <c r="K35" s="7" cm="1">
        <f t="array" aca="1" ref="K35" ca="1">INDEX(INDIRECT($M35),
       MATCH(TRIM($C35), TRIM(INDIRECT($N35)), 0),
       MATCH(TRIM(K$1), TRIM(INDIRECT($O35)), 0))</f>
        <v>38.166753869111105</v>
      </c>
      <c r="L35" s="7" cm="1">
        <f t="array" aca="1" ref="L35" ca="1">INDEX(INDIRECT($M35),
       MATCH(TRIM($C35), TRIM(INDIRECT($N35)), 0),
       MATCH(TRIM(L$1), TRIM(INDIRECT($O35)), 0))</f>
        <v>52.074144869111109</v>
      </c>
      <c r="M35" s="5" t="str">
        <f>_xlfn.CONCAT("'",$B35,"'","!","$C$3:$K$23")</f>
        <v>'2016'!$C$3:$K$23</v>
      </c>
      <c r="N35" s="5" t="str">
        <f>_xlfn.CONCAT("'",$B35,"'","!","$B$3:$B$22")</f>
        <v>'2016'!$B$3:$B$22</v>
      </c>
      <c r="O35" s="5" t="str">
        <f>_xlfn.CONCAT("'",$B35,"'","!","$C$2:$K$2")</f>
        <v>'2016'!$C$2:$K$2</v>
      </c>
    </row>
    <row r="36" spans="1:15" x14ac:dyDescent="0.3">
      <c r="A36">
        <v>16</v>
      </c>
      <c r="B36">
        <v>2016</v>
      </c>
      <c r="C36" t="s">
        <v>93</v>
      </c>
      <c r="D36" s="7" cm="1">
        <f t="array" aca="1" ref="D36" ca="1">INDEX(INDIRECT($M36),
       MATCH(TRIM($C36), TRIM(INDIRECT($N36)), 0),
       MATCH(TRIM(D$1), TRIM(INDIRECT($O36)), 0))</f>
        <v>1</v>
      </c>
      <c r="E36" s="9" cm="1">
        <f t="array" aca="1" ref="E36" ca="1">INDEX(INDIRECT($M36),
       MATCH(TRIM($C36), TRIM(INDIRECT($N36)), 0),
       MATCH(TRIM(E$1), TRIM(INDIRECT($O36)), 0))</f>
        <v>31500000</v>
      </c>
      <c r="F36" s="7" cm="1">
        <f t="array" aca="1" ref="F36" ca="1">INDEX(INDIRECT($M36),
       MATCH(TRIM($C36), TRIM(INDIRECT($N36)), 0),
       MATCH(TRIM(F$1), TRIM(INDIRECT($O36)), 0))</f>
        <v>31.5</v>
      </c>
      <c r="G36" s="7" cm="1">
        <f t="array" aca="1" ref="G36" ca="1">INDEX(INDIRECT($M36),
       MATCH(TRIM($C36), TRIM(INDIRECT($N36)), 0),
       MATCH(TRIM(G$1), TRIM(INDIRECT($O36)), 0))</f>
        <v>1</v>
      </c>
      <c r="H36" s="9" cm="1">
        <f t="array" aca="1" ref="H36" ca="1">INDEX(INDIRECT($M36),
       MATCH(TRIM($C36), TRIM(INDIRECT($N36)), 0),
       MATCH(TRIM(H$1), TRIM(INDIRECT($O36)), 0))</f>
        <v>37153552</v>
      </c>
      <c r="I36" s="7" cm="1">
        <f t="array" aca="1" ref="I36" ca="1">INDEX(INDIRECT($M36),
       MATCH(TRIM($C36), TRIM(INDIRECT($N36)), 0),
       MATCH(TRIM(I$1), TRIM(INDIRECT($O36)), 0))</f>
        <v>37.153551999999998</v>
      </c>
      <c r="J36" s="7" cm="1">
        <f t="array" aca="1" ref="J36" ca="1">INDEX(INDIRECT($M36),
       MATCH(TRIM($C36), TRIM(INDIRECT($N36)), 0),
       MATCH(TRIM(J$1), TRIM(INDIRECT($O36)), 0))</f>
        <v>2</v>
      </c>
      <c r="K36" s="7" cm="1">
        <f t="array" aca="1" ref="K36" ca="1">INDEX(INDIRECT($M36),
       MATCH(TRIM($C36), TRIM(INDIRECT($N36)), 0),
       MATCH(TRIM(K$1), TRIM(INDIRECT($O36)), 0))</f>
        <v>1.3688933333333335</v>
      </c>
      <c r="L36" s="7" cm="1">
        <f t="array" aca="1" ref="L36" ca="1">INDEX(INDIRECT($M36),
       MATCH(TRIM($C36), TRIM(INDIRECT($N36)), 0),
       MATCH(TRIM(L$1), TRIM(INDIRECT($O36)), 0))</f>
        <v>70.022445333333323</v>
      </c>
      <c r="M36" s="5" t="str">
        <f>_xlfn.CONCAT("'",$B36,"'","!","$C$3:$K$23")</f>
        <v>'2016'!$C$3:$K$23</v>
      </c>
      <c r="N36" s="5" t="str">
        <f>_xlfn.CONCAT("'",$B36,"'","!","$B$3:$B$22")</f>
        <v>'2016'!$B$3:$B$22</v>
      </c>
      <c r="O36" s="5" t="str">
        <f>_xlfn.CONCAT("'",$B36,"'","!","$C$2:$K$2")</f>
        <v>'2016'!$C$2:$K$2</v>
      </c>
    </row>
    <row r="37" spans="1:15" x14ac:dyDescent="0.3">
      <c r="A37">
        <v>17</v>
      </c>
      <c r="B37">
        <v>2016</v>
      </c>
      <c r="C37" t="s">
        <v>94</v>
      </c>
      <c r="D37" s="7" cm="1">
        <f t="array" aca="1" ref="D37" ca="1">INDEX(INDIRECT($M37),
       MATCH(TRIM($C37), TRIM(INDIRECT($N37)), 0),
       MATCH(TRIM(D$1), TRIM(INDIRECT($O37)), 0))</f>
        <v>2</v>
      </c>
      <c r="E37" s="9" cm="1">
        <f t="array" aca="1" ref="E37" ca="1">INDEX(INDIRECT($M37),
       MATCH(TRIM($C37), TRIM(INDIRECT($N37)), 0),
       MATCH(TRIM(E$1), TRIM(INDIRECT($O37)), 0))</f>
        <v>210588503</v>
      </c>
      <c r="F37" s="7" cm="1">
        <f t="array" aca="1" ref="F37" ca="1">INDEX(INDIRECT($M37),
       MATCH(TRIM($C37), TRIM(INDIRECT($N37)), 0),
       MATCH(TRIM(F$1), TRIM(INDIRECT($O37)), 0))</f>
        <v>210.588503</v>
      </c>
      <c r="G37" s="7" cm="1">
        <f t="array" aca="1" ref="G37" ca="1">INDEX(INDIRECT($M37),
       MATCH(TRIM($C37), TRIM(INDIRECT($N37)), 0),
       MATCH(TRIM(G$1), TRIM(INDIRECT($O37)), 0))</f>
        <v>6</v>
      </c>
      <c r="H37" s="9" cm="1">
        <f t="array" aca="1" ref="H37" ca="1">INDEX(INDIRECT($M37),
       MATCH(TRIM($C37), TRIM(INDIRECT($N37)), 0),
       MATCH(TRIM(H$1), TRIM(INDIRECT($O37)), 0))</f>
        <v>118129908</v>
      </c>
      <c r="I37" s="7" cm="1">
        <f t="array" aca="1" ref="I37" ca="1">INDEX(INDIRECT($M37),
       MATCH(TRIM($C37), TRIM(INDIRECT($N37)), 0),
       MATCH(TRIM(I$1), TRIM(INDIRECT($O37)), 0))</f>
        <v>118.129908</v>
      </c>
      <c r="J37" s="7" cm="1">
        <f t="array" aca="1" ref="J37" ca="1">INDEX(INDIRECT($M37),
       MATCH(TRIM($C37), TRIM(INDIRECT($N37)), 0),
       MATCH(TRIM(J$1), TRIM(INDIRECT($O37)), 0))</f>
        <v>4</v>
      </c>
      <c r="K37" s="7" cm="1">
        <f t="array" aca="1" ref="K37" ca="1">INDEX(INDIRECT($M37),
       MATCH(TRIM($C37), TRIM(INDIRECT($N37)), 0),
       MATCH(TRIM(K$1), TRIM(INDIRECT($O37)), 0))</f>
        <v>1.0816888888888887</v>
      </c>
      <c r="L37" s="7" cm="1">
        <f t="array" aca="1" ref="L37" ca="1">INDEX(INDIRECT($M37),
       MATCH(TRIM($C37), TRIM(INDIRECT($N37)), 0),
       MATCH(TRIM(L$1), TRIM(INDIRECT($O37)), 0))</f>
        <v>329.80009988888889</v>
      </c>
      <c r="M37" s="5" t="str">
        <f>_xlfn.CONCAT("'",$B37,"'","!","$C$3:$K$23")</f>
        <v>'2016'!$C$3:$K$23</v>
      </c>
      <c r="N37" s="5" t="str">
        <f>_xlfn.CONCAT("'",$B37,"'","!","$B$3:$B$22")</f>
        <v>'2016'!$B$3:$B$22</v>
      </c>
      <c r="O37" s="5" t="str">
        <f>_xlfn.CONCAT("'",$B37,"'","!","$C$2:$K$2")</f>
        <v>'2016'!$C$2:$K$2</v>
      </c>
    </row>
    <row r="38" spans="1:15" x14ac:dyDescent="0.3">
      <c r="A38">
        <v>18</v>
      </c>
      <c r="B38">
        <v>2016</v>
      </c>
      <c r="C38" t="s">
        <v>95</v>
      </c>
      <c r="D38" s="7" cm="1">
        <f t="array" aca="1" ref="D38" ca="1">INDEX(INDIRECT($M38),
       MATCH(TRIM($C38), TRIM(INDIRECT($N38)), 0),
       MATCH(TRIM(D$1), TRIM(INDIRECT($O38)), 0))</f>
        <v>12</v>
      </c>
      <c r="E38" s="9" cm="1">
        <f t="array" aca="1" ref="E38" ca="1">INDEX(INDIRECT($M38),
       MATCH(TRIM($C38), TRIM(INDIRECT($N38)), 0),
       MATCH(TRIM(E$1), TRIM(INDIRECT($O38)), 0))</f>
        <v>511023497.88888884</v>
      </c>
      <c r="F38" s="7" cm="1">
        <f t="array" aca="1" ref="F38" ca="1">INDEX(INDIRECT($M38),
       MATCH(TRIM($C38), TRIM(INDIRECT($N38)), 0),
       MATCH(TRIM(F$1), TRIM(INDIRECT($O38)), 0))</f>
        <v>511.02349788888881</v>
      </c>
      <c r="G38" s="7" cm="1">
        <f t="array" aca="1" ref="G38" ca="1">INDEX(INDIRECT($M38),
       MATCH(TRIM($C38), TRIM(INDIRECT($N38)), 0),
       MATCH(TRIM(G$1), TRIM(INDIRECT($O38)), 0))</f>
        <v>1</v>
      </c>
      <c r="H38" s="9" cm="1">
        <f t="array" aca="1" ref="H38" ca="1">INDEX(INDIRECT($M38),
       MATCH(TRIM($C38), TRIM(INDIRECT($N38)), 0),
       MATCH(TRIM(H$1), TRIM(INDIRECT($O38)), 0))</f>
        <v>8980</v>
      </c>
      <c r="I38" s="7" cm="1">
        <f t="array" aca="1" ref="I38" ca="1">INDEX(INDIRECT($M38),
       MATCH(TRIM($C38), TRIM(INDIRECT($N38)), 0),
       MATCH(TRIM(I$1), TRIM(INDIRECT($O38)), 0))</f>
        <v>8.9800000000000001E-3</v>
      </c>
      <c r="J38" s="7" cm="1">
        <f t="array" aca="1" ref="J38" ca="1">INDEX(INDIRECT($M38),
       MATCH(TRIM($C38), TRIM(INDIRECT($N38)), 0),
       MATCH(TRIM(J$1), TRIM(INDIRECT($O38)), 0))</f>
        <v>32</v>
      </c>
      <c r="K38" s="7" cm="1">
        <f t="array" aca="1" ref="K38" ca="1">INDEX(INDIRECT($M38),
       MATCH(TRIM($C38), TRIM(INDIRECT($N38)), 0),
       MATCH(TRIM(K$1), TRIM(INDIRECT($O38)), 0))</f>
        <v>71.377951467555548</v>
      </c>
      <c r="L38" s="7" cm="1">
        <f t="array" aca="1" ref="L38" ca="1">INDEX(INDIRECT($M38),
       MATCH(TRIM($C38), TRIM(INDIRECT($N38)), 0),
       MATCH(TRIM(L$1), TRIM(INDIRECT($O38)), 0))</f>
        <v>582.41042935644441</v>
      </c>
      <c r="M38" s="5" t="str">
        <f>_xlfn.CONCAT("'",$B38,"'","!","$C$3:$K$23")</f>
        <v>'2016'!$C$3:$K$23</v>
      </c>
      <c r="N38" s="5" t="str">
        <f>_xlfn.CONCAT("'",$B38,"'","!","$B$3:$B$22")</f>
        <v>'2016'!$B$3:$B$22</v>
      </c>
      <c r="O38" s="5" t="str">
        <f>_xlfn.CONCAT("'",$B38,"'","!","$C$2:$K$2")</f>
        <v>'2016'!$C$2:$K$2</v>
      </c>
    </row>
    <row r="39" spans="1:15" x14ac:dyDescent="0.3">
      <c r="A39">
        <v>19</v>
      </c>
      <c r="B39">
        <v>2016</v>
      </c>
      <c r="C39" t="s">
        <v>96</v>
      </c>
      <c r="D39" s="7" cm="1">
        <f t="array" aca="1" ref="D39" ca="1">INDEX(INDIRECT($M39),
       MATCH(TRIM($C39), TRIM(INDIRECT($N39)), 0),
       MATCH(TRIM(D$1), TRIM(INDIRECT($O39)), 0))</f>
        <v>1</v>
      </c>
      <c r="E39" s="9" cm="1">
        <f t="array" aca="1" ref="E39" ca="1">INDEX(INDIRECT($M39),
       MATCH(TRIM($C39), TRIM(INDIRECT($N39)), 0),
       MATCH(TRIM(E$1), TRIM(INDIRECT($O39)), 0))</f>
        <v>150000</v>
      </c>
      <c r="F39" s="7" cm="1">
        <f t="array" aca="1" ref="F39" ca="1">INDEX(INDIRECT($M39),
       MATCH(TRIM($C39), TRIM(INDIRECT($N39)), 0),
       MATCH(TRIM(F$1), TRIM(INDIRECT($O39)), 0))</f>
        <v>0.15</v>
      </c>
      <c r="G39" s="7" cm="1">
        <f t="array" aca="1" ref="G39" ca="1">INDEX(INDIRECT($M39),
       MATCH(TRIM($C39), TRIM(INDIRECT($N39)), 0),
       MATCH(TRIM(G$1), TRIM(INDIRECT($O39)), 0))</f>
        <v>1</v>
      </c>
      <c r="H39" s="9" cm="1">
        <f t="array" aca="1" ref="H39" ca="1">INDEX(INDIRECT($M39),
       MATCH(TRIM($C39), TRIM(INDIRECT($N39)), 0),
       MATCH(TRIM(H$1), TRIM(INDIRECT($O39)), 0))</f>
        <v>3900000</v>
      </c>
      <c r="I39" s="7" cm="1">
        <f t="array" aca="1" ref="I39" ca="1">INDEX(INDIRECT($M39),
       MATCH(TRIM($C39), TRIM(INDIRECT($N39)), 0),
       MATCH(TRIM(I$1), TRIM(INDIRECT($O39)), 0))</f>
        <v>3.9</v>
      </c>
      <c r="J39" s="7" cm="1">
        <f t="array" aca="1" ref="J39" ca="1">INDEX(INDIRECT($M39),
       MATCH(TRIM($C39), TRIM(INDIRECT($N39)), 0),
       MATCH(TRIM(J$1), TRIM(INDIRECT($O39)), 0))</f>
        <v>0</v>
      </c>
      <c r="K39" s="7" cm="1">
        <f t="array" aca="1" ref="K39" ca="1">INDEX(INDIRECT($M39),
       MATCH(TRIM($C39), TRIM(INDIRECT($N39)), 0),
       MATCH(TRIM(K$1), TRIM(INDIRECT($O39)), 0))</f>
        <v>0</v>
      </c>
      <c r="L39" s="7" cm="1">
        <f t="array" aca="1" ref="L39" ca="1">INDEX(INDIRECT($M39),
       MATCH(TRIM($C39), TRIM(INDIRECT($N39)), 0),
       MATCH(TRIM(L$1), TRIM(INDIRECT($O39)), 0))</f>
        <v>4.05</v>
      </c>
      <c r="M39" s="5" t="str">
        <f>_xlfn.CONCAT("'",$B39,"'","!","$C$3:$K$23")</f>
        <v>'2016'!$C$3:$K$23</v>
      </c>
      <c r="N39" s="5" t="str">
        <f>_xlfn.CONCAT("'",$B39,"'","!","$B$3:$B$22")</f>
        <v>'2016'!$B$3:$B$22</v>
      </c>
      <c r="O39" s="5" t="str">
        <f>_xlfn.CONCAT("'",$B39,"'","!","$C$2:$K$2")</f>
        <v>'2016'!$C$2:$K$2</v>
      </c>
    </row>
    <row r="40" spans="1:15" x14ac:dyDescent="0.3">
      <c r="A40">
        <v>1</v>
      </c>
      <c r="B40">
        <v>2017</v>
      </c>
      <c r="C40" t="s">
        <v>78</v>
      </c>
      <c r="D40" s="7" cm="1">
        <f t="array" aca="1" ref="D40" ca="1">INDEX(INDIRECT($M40),
       MATCH(TRIM($C40), TRIM(INDIRECT($N40)), 0),
       MATCH(TRIM(D$1), TRIM(INDIRECT($O40)), 0))</f>
        <v>932</v>
      </c>
      <c r="E40" s="9" cm="1">
        <f t="array" aca="1" ref="E40" ca="1">INDEX(INDIRECT($M40),
       MATCH(TRIM($C40), TRIM(INDIRECT($N40)), 0),
       MATCH(TRIM(E$1), TRIM(INDIRECT($O40)), 0))</f>
        <v>6860360754.4200001</v>
      </c>
      <c r="F40" s="7" cm="1">
        <f t="array" aca="1" ref="F40" ca="1">INDEX(INDIRECT($M40),
       MATCH(TRIM($C40), TRIM(INDIRECT($N40)), 0),
       MATCH(TRIM(F$1), TRIM(INDIRECT($O40)), 0))</f>
        <v>6860.3607544200004</v>
      </c>
      <c r="G40" s="7" cm="1">
        <f t="array" aca="1" ref="G40" ca="1">INDEX(INDIRECT($M40),
       MATCH(TRIM($C40), TRIM(INDIRECT($N40)), 0),
       MATCH(TRIM(G$1), TRIM(INDIRECT($O40)), 0))</f>
        <v>761</v>
      </c>
      <c r="H40" s="9" cm="1">
        <f t="array" aca="1" ref="H40" ca="1">INDEX(INDIRECT($M40),
       MATCH(TRIM($C40), TRIM(INDIRECT($N40)), 0),
       MATCH(TRIM(H$1), TRIM(INDIRECT($O40)), 0))</f>
        <v>7271266055.4125004</v>
      </c>
      <c r="I40" s="7" cm="1">
        <f t="array" aca="1" ref="I40" ca="1">INDEX(INDIRECT($M40),
       MATCH(TRIM($C40), TRIM(INDIRECT($N40)), 0),
       MATCH(TRIM(I$1), TRIM(INDIRECT($O40)), 0))</f>
        <v>7271.2660554125005</v>
      </c>
      <c r="J40" s="7" cm="1">
        <f t="array" aca="1" ref="J40" ca="1">INDEX(INDIRECT($M40),
       MATCH(TRIM($C40), TRIM(INDIRECT($N40)), 0),
       MATCH(TRIM(J$1), TRIM(INDIRECT($O40)), 0))</f>
        <v>1365</v>
      </c>
      <c r="K40" s="7" cm="1">
        <f t="array" aca="1" ref="K40" ca="1">INDEX(INDIRECT($M40),
       MATCH(TRIM($C40), TRIM(INDIRECT($N40)), 0),
       MATCH(TRIM(K$1), TRIM(INDIRECT($O40)), 0))</f>
        <v>1744.3586046300925</v>
      </c>
      <c r="L40" s="7" cm="1">
        <f t="array" aca="1" ref="L40" ca="1">INDEX(INDIRECT($M40),
       MATCH(TRIM($C40), TRIM(INDIRECT($N40)), 0),
       MATCH(TRIM(L$1), TRIM(INDIRECT($O40)), 0))</f>
        <v>15875.985414462593</v>
      </c>
      <c r="M40" s="5" t="str">
        <f>_xlfn.CONCAT("'",$B40,"'","!","$C$3:$K$23")</f>
        <v>'2017'!$C$3:$K$23</v>
      </c>
      <c r="N40" s="5" t="str">
        <f>_xlfn.CONCAT("'",$B40,"'","!","$B$3:$B$22")</f>
        <v>'2017'!$B$3:$B$22</v>
      </c>
      <c r="O40" s="5" t="str">
        <f>_xlfn.CONCAT("'",$B40,"'","!","$C$2:$K$2")</f>
        <v>'2017'!$C$2:$K$2</v>
      </c>
    </row>
    <row r="41" spans="1:15" x14ac:dyDescent="0.3">
      <c r="A41">
        <v>2</v>
      </c>
      <c r="B41">
        <v>2017</v>
      </c>
      <c r="C41" t="s">
        <v>79</v>
      </c>
      <c r="D41" s="7" cm="1">
        <f t="array" aca="1" ref="D41" ca="1">INDEX(INDIRECT($M41),
       MATCH(TRIM($C41), TRIM(INDIRECT($N41)), 0),
       MATCH(TRIM(D$1), TRIM(INDIRECT($O41)), 0))</f>
        <v>13</v>
      </c>
      <c r="E41" s="9" cm="1">
        <f t="array" aca="1" ref="E41" ca="1">INDEX(INDIRECT($M41),
       MATCH(TRIM($C41), TRIM(INDIRECT($N41)), 0),
       MATCH(TRIM(E$1), TRIM(INDIRECT($O41)), 0))</f>
        <v>8369300518</v>
      </c>
      <c r="F41" s="7" cm="1">
        <f t="array" aca="1" ref="F41" ca="1">INDEX(INDIRECT($M41),
       MATCH(TRIM($C41), TRIM(INDIRECT($N41)), 0),
       MATCH(TRIM(F$1), TRIM(INDIRECT($O41)), 0))</f>
        <v>8369.300518</v>
      </c>
      <c r="G41" s="7" cm="1">
        <f t="array" aca="1" ref="G41" ca="1">INDEX(INDIRECT($M41),
       MATCH(TRIM($C41), TRIM(INDIRECT($N41)), 0),
       MATCH(TRIM(G$1), TRIM(INDIRECT($O41)), 0))</f>
        <v>5</v>
      </c>
      <c r="H41" s="9" cm="1">
        <f t="array" aca="1" ref="H41" ca="1">INDEX(INDIRECT($M41),
       MATCH(TRIM($C41), TRIM(INDIRECT($N41)), 0),
       MATCH(TRIM(H$1), TRIM(INDIRECT($O41)), 0))</f>
        <v>4765167</v>
      </c>
      <c r="I41" s="7" cm="1">
        <f t="array" aca="1" ref="I41" ca="1">INDEX(INDIRECT($M41),
       MATCH(TRIM($C41), TRIM(INDIRECT($N41)), 0),
       MATCH(TRIM(I$1), TRIM(INDIRECT($O41)), 0))</f>
        <v>4.7651669999999999</v>
      </c>
      <c r="J41" s="7" cm="1">
        <f t="array" aca="1" ref="J41" ca="1">INDEX(INDIRECT($M41),
       MATCH(TRIM($C41), TRIM(INDIRECT($N41)), 0),
       MATCH(TRIM(J$1), TRIM(INDIRECT($O41)), 0))</f>
        <v>0</v>
      </c>
      <c r="K41" s="7" cm="1">
        <f t="array" aca="1" ref="K41" ca="1">INDEX(INDIRECT($M41),
       MATCH(TRIM($C41), TRIM(INDIRECT($N41)), 0),
       MATCH(TRIM(K$1), TRIM(INDIRECT($O41)), 0))</f>
        <v>0</v>
      </c>
      <c r="L41" s="7" cm="1">
        <f t="array" aca="1" ref="L41" ca="1">INDEX(INDIRECT($M41),
       MATCH(TRIM($C41), TRIM(INDIRECT($N41)), 0),
       MATCH(TRIM(L$1), TRIM(INDIRECT($O41)), 0))</f>
        <v>8374.0656849999996</v>
      </c>
      <c r="M41" s="5" t="str">
        <f>_xlfn.CONCAT("'",$B41,"'","!","$C$3:$K$23")</f>
        <v>'2017'!$C$3:$K$23</v>
      </c>
      <c r="N41" s="5" t="str">
        <f>_xlfn.CONCAT("'",$B41,"'","!","$B$3:$B$22")</f>
        <v>'2017'!$B$3:$B$22</v>
      </c>
      <c r="O41" s="5" t="str">
        <f>_xlfn.CONCAT("'",$B41,"'","!","$C$2:$K$2")</f>
        <v>'2017'!$C$2:$K$2</v>
      </c>
    </row>
    <row r="42" spans="1:15" x14ac:dyDescent="0.3">
      <c r="A42">
        <v>3</v>
      </c>
      <c r="B42">
        <v>2017</v>
      </c>
      <c r="C42" t="s">
        <v>80</v>
      </c>
      <c r="D42" s="7" cm="1">
        <f t="array" aca="1" ref="D42" ca="1">INDEX(INDIRECT($M42),
       MATCH(TRIM($C42), TRIM(INDIRECT($N42)), 0),
       MATCH(TRIM(D$1), TRIM(INDIRECT($O42)), 0))</f>
        <v>65</v>
      </c>
      <c r="E42" s="9" cm="1">
        <f t="array" aca="1" ref="E42" ca="1">INDEX(INDIRECT($M42),
       MATCH(TRIM($C42), TRIM(INDIRECT($N42)), 0),
       MATCH(TRIM(E$1), TRIM(INDIRECT($O42)), 0))</f>
        <v>2238927782</v>
      </c>
      <c r="F42" s="7" cm="1">
        <f t="array" aca="1" ref="F42" ca="1">INDEX(INDIRECT($M42),
       MATCH(TRIM($C42), TRIM(INDIRECT($N42)), 0),
       MATCH(TRIM(F$1), TRIM(INDIRECT($O42)), 0))</f>
        <v>2238.9277820000002</v>
      </c>
      <c r="G42" s="7" cm="1">
        <f t="array" aca="1" ref="G42" ca="1">INDEX(INDIRECT($M42),
       MATCH(TRIM($C42), TRIM(INDIRECT($N42)), 0),
       MATCH(TRIM(G$1), TRIM(INDIRECT($O42)), 0))</f>
        <v>23</v>
      </c>
      <c r="H42" s="9" cm="1">
        <f t="array" aca="1" ref="H42" ca="1">INDEX(INDIRECT($M42),
       MATCH(TRIM($C42), TRIM(INDIRECT($N42)), 0),
       MATCH(TRIM(H$1), TRIM(INDIRECT($O42)), 0))</f>
        <v>281335282</v>
      </c>
      <c r="I42" s="7" cm="1">
        <f t="array" aca="1" ref="I42" ca="1">INDEX(INDIRECT($M42),
       MATCH(TRIM($C42), TRIM(INDIRECT($N42)), 0),
       MATCH(TRIM(I$1), TRIM(INDIRECT($O42)), 0))</f>
        <v>281.33528200000001</v>
      </c>
      <c r="J42" s="7" cm="1">
        <f t="array" aca="1" ref="J42" ca="1">INDEX(INDIRECT($M42),
       MATCH(TRIM($C42), TRIM(INDIRECT($N42)), 0),
       MATCH(TRIM(J$1), TRIM(INDIRECT($O42)), 0))</f>
        <v>107</v>
      </c>
      <c r="K42" s="7" cm="1">
        <f t="array" aca="1" ref="K42" ca="1">INDEX(INDIRECT($M42),
       MATCH(TRIM($C42), TRIM(INDIRECT($N42)), 0),
       MATCH(TRIM(K$1), TRIM(INDIRECT($O42)), 0))</f>
        <v>533.35920129964438</v>
      </c>
      <c r="L42" s="7" cm="1">
        <f t="array" aca="1" ref="L42" ca="1">INDEX(INDIRECT($M42),
       MATCH(TRIM($C42), TRIM(INDIRECT($N42)), 0),
       MATCH(TRIM(L$1), TRIM(INDIRECT($O42)), 0))</f>
        <v>3053.6222652996448</v>
      </c>
      <c r="M42" s="5" t="str">
        <f>_xlfn.CONCAT("'",$B42,"'","!","$C$3:$K$23")</f>
        <v>'2017'!$C$3:$K$23</v>
      </c>
      <c r="N42" s="5" t="str">
        <f>_xlfn.CONCAT("'",$B42,"'","!","$B$3:$B$22")</f>
        <v>'2017'!$B$3:$B$22</v>
      </c>
      <c r="O42" s="5" t="str">
        <f>_xlfn.CONCAT("'",$B42,"'","!","$C$2:$K$2")</f>
        <v>'2017'!$C$2:$K$2</v>
      </c>
    </row>
    <row r="43" spans="1:15" x14ac:dyDescent="0.3">
      <c r="A43">
        <v>4</v>
      </c>
      <c r="B43">
        <v>2017</v>
      </c>
      <c r="C43" t="s">
        <v>81</v>
      </c>
      <c r="D43" s="7" cm="1">
        <f t="array" aca="1" ref="D43" ca="1">INDEX(INDIRECT($M43),
       MATCH(TRIM($C43), TRIM(INDIRECT($N43)), 0),
       MATCH(TRIM(D$1), TRIM(INDIRECT($O43)), 0))</f>
        <v>122</v>
      </c>
      <c r="E43" s="9" cm="1">
        <f t="array" aca="1" ref="E43" ca="1">INDEX(INDIRECT($M43),
       MATCH(TRIM($C43), TRIM(INDIRECT($N43)), 0),
       MATCH(TRIM(E$1), TRIM(INDIRECT($O43)), 0))</f>
        <v>171747621</v>
      </c>
      <c r="F43" s="7" cm="1">
        <f t="array" aca="1" ref="F43" ca="1">INDEX(INDIRECT($M43),
       MATCH(TRIM($C43), TRIM(INDIRECT($N43)), 0),
       MATCH(TRIM(F$1), TRIM(INDIRECT($O43)), 0))</f>
        <v>171.74762100000001</v>
      </c>
      <c r="G43" s="7" cm="1">
        <f t="array" aca="1" ref="G43" ca="1">INDEX(INDIRECT($M43),
       MATCH(TRIM($C43), TRIM(INDIRECT($N43)), 0),
       MATCH(TRIM(G$1), TRIM(INDIRECT($O43)), 0))</f>
        <v>48</v>
      </c>
      <c r="H43" s="9" cm="1">
        <f t="array" aca="1" ref="H43" ca="1">INDEX(INDIRECT($M43),
       MATCH(TRIM($C43), TRIM(INDIRECT($N43)), 0),
       MATCH(TRIM(H$1), TRIM(INDIRECT($O43)), 0))</f>
        <v>102508873</v>
      </c>
      <c r="I43" s="7" cm="1">
        <f t="array" aca="1" ref="I43" ca="1">INDEX(INDIRECT($M43),
       MATCH(TRIM($C43), TRIM(INDIRECT($N43)), 0),
       MATCH(TRIM(I$1), TRIM(INDIRECT($O43)), 0))</f>
        <v>102.50887299999999</v>
      </c>
      <c r="J43" s="7" cm="1">
        <f t="array" aca="1" ref="J43" ca="1">INDEX(INDIRECT($M43),
       MATCH(TRIM($C43), TRIM(INDIRECT($N43)), 0),
       MATCH(TRIM(J$1), TRIM(INDIRECT($O43)), 0))</f>
        <v>224</v>
      </c>
      <c r="K43" s="7" cm="1">
        <f t="array" aca="1" ref="K43" ca="1">INDEX(INDIRECT($M43),
       MATCH(TRIM($C43), TRIM(INDIRECT($N43)), 0),
       MATCH(TRIM(K$1), TRIM(INDIRECT($O43)), 0))</f>
        <v>858.78513767526067</v>
      </c>
      <c r="L43" s="7" cm="1">
        <f t="array" aca="1" ref="L43" ca="1">INDEX(INDIRECT($M43),
       MATCH(TRIM($C43), TRIM(INDIRECT($N43)), 0),
       MATCH(TRIM(L$1), TRIM(INDIRECT($O43)), 0))</f>
        <v>1133.0416316752608</v>
      </c>
      <c r="M43" s="5" t="str">
        <f>_xlfn.CONCAT("'",$B43,"'","!","$C$3:$K$23")</f>
        <v>'2017'!$C$3:$K$23</v>
      </c>
      <c r="N43" s="5" t="str">
        <f>_xlfn.CONCAT("'",$B43,"'","!","$B$3:$B$22")</f>
        <v>'2017'!$B$3:$B$22</v>
      </c>
      <c r="O43" s="5" t="str">
        <f>_xlfn.CONCAT("'",$B43,"'","!","$C$2:$K$2")</f>
        <v>'2017'!$C$2:$K$2</v>
      </c>
    </row>
    <row r="44" spans="1:15" x14ac:dyDescent="0.3">
      <c r="A44">
        <v>5</v>
      </c>
      <c r="B44">
        <v>2017</v>
      </c>
      <c r="C44" t="s">
        <v>82</v>
      </c>
      <c r="D44" s="7" cm="1">
        <f t="array" aca="1" ref="D44" ca="1">INDEX(INDIRECT($M44),
       MATCH(TRIM($C44), TRIM(INDIRECT($N44)), 0),
       MATCH(TRIM(D$1), TRIM(INDIRECT($O44)), 0))</f>
        <v>585</v>
      </c>
      <c r="E44" s="9" cm="1">
        <f t="array" aca="1" ref="E44" ca="1">INDEX(INDIRECT($M44),
       MATCH(TRIM($C44), TRIM(INDIRECT($N44)), 0),
       MATCH(TRIM(E$1), TRIM(INDIRECT($O44)), 0))</f>
        <v>492997756</v>
      </c>
      <c r="F44" s="7" cm="1">
        <f t="array" aca="1" ref="F44" ca="1">INDEX(INDIRECT($M44),
       MATCH(TRIM($C44), TRIM(INDIRECT($N44)), 0),
       MATCH(TRIM(F$1), TRIM(INDIRECT($O44)), 0))</f>
        <v>492.99775599999998</v>
      </c>
      <c r="G44" s="7" cm="1">
        <f t="array" aca="1" ref="G44" ca="1">INDEX(INDIRECT($M44),
       MATCH(TRIM($C44), TRIM(INDIRECT($N44)), 0),
       MATCH(TRIM(G$1), TRIM(INDIRECT($O44)), 0))</f>
        <v>111</v>
      </c>
      <c r="H44" s="9" cm="1">
        <f t="array" aca="1" ref="H44" ca="1">INDEX(INDIRECT($M44),
       MATCH(TRIM($C44), TRIM(INDIRECT($N44)), 0),
       MATCH(TRIM(H$1), TRIM(INDIRECT($O44)), 0))</f>
        <v>114845192.875</v>
      </c>
      <c r="I44" s="7" cm="1">
        <f t="array" aca="1" ref="I44" ca="1">INDEX(INDIRECT($M44),
       MATCH(TRIM($C44), TRIM(INDIRECT($N44)), 0),
       MATCH(TRIM(I$1), TRIM(INDIRECT($O44)), 0))</f>
        <v>114.845192875</v>
      </c>
      <c r="J44" s="7" cm="1">
        <f t="array" aca="1" ref="J44" ca="1">INDEX(INDIRECT($M44),
       MATCH(TRIM($C44), TRIM(INDIRECT($N44)), 0),
       MATCH(TRIM(J$1), TRIM(INDIRECT($O44)), 0))</f>
        <v>1945</v>
      </c>
      <c r="K44" s="7" cm="1">
        <f t="array" aca="1" ref="K44" ca="1">INDEX(INDIRECT($M44),
       MATCH(TRIM($C44), TRIM(INDIRECT($N44)), 0),
       MATCH(TRIM(K$1), TRIM(INDIRECT($O44)), 0))</f>
        <v>1837.8362789198191</v>
      </c>
      <c r="L44" s="7" cm="1">
        <f t="array" aca="1" ref="L44" ca="1">INDEX(INDIRECT($M44),
       MATCH(TRIM($C44), TRIM(INDIRECT($N44)), 0),
       MATCH(TRIM(L$1), TRIM(INDIRECT($O44)), 0))</f>
        <v>2445.6792277948189</v>
      </c>
      <c r="M44" s="5" t="str">
        <f>_xlfn.CONCAT("'",$B44,"'","!","$C$3:$K$23")</f>
        <v>'2017'!$C$3:$K$23</v>
      </c>
      <c r="N44" s="5" t="str">
        <f>_xlfn.CONCAT("'",$B44,"'","!","$B$3:$B$22")</f>
        <v>'2017'!$B$3:$B$22</v>
      </c>
      <c r="O44" s="5" t="str">
        <f>_xlfn.CONCAT("'",$B44,"'","!","$C$2:$K$2")</f>
        <v>'2017'!$C$2:$K$2</v>
      </c>
    </row>
    <row r="45" spans="1:15" x14ac:dyDescent="0.3">
      <c r="A45">
        <v>6</v>
      </c>
      <c r="B45">
        <v>2017</v>
      </c>
      <c r="C45" t="s">
        <v>83</v>
      </c>
      <c r="D45" s="7" cm="1">
        <f t="array" aca="1" ref="D45" ca="1">INDEX(INDIRECT($M45),
       MATCH(TRIM($C45), TRIM(INDIRECT($N45)), 0),
       MATCH(TRIM(D$1), TRIM(INDIRECT($O45)), 0))</f>
        <v>17</v>
      </c>
      <c r="E45" s="9" cm="1">
        <f t="array" aca="1" ref="E45" ca="1">INDEX(INDIRECT($M45),
       MATCH(TRIM($C45), TRIM(INDIRECT($N45)), 0),
       MATCH(TRIM(E$1), TRIM(INDIRECT($O45)), 0))</f>
        <v>179311750</v>
      </c>
      <c r="F45" s="7" cm="1">
        <f t="array" aca="1" ref="F45" ca="1">INDEX(INDIRECT($M45),
       MATCH(TRIM($C45), TRIM(INDIRECT($N45)), 0),
       MATCH(TRIM(F$1), TRIM(INDIRECT($O45)), 0))</f>
        <v>179.31174999999999</v>
      </c>
      <c r="G45" s="7" cm="1">
        <f t="array" aca="1" ref="G45" ca="1">INDEX(INDIRECT($M45),
       MATCH(TRIM($C45), TRIM(INDIRECT($N45)), 0),
       MATCH(TRIM(G$1), TRIM(INDIRECT($O45)), 0))</f>
        <v>14</v>
      </c>
      <c r="H45" s="9" cm="1">
        <f t="array" aca="1" ref="H45" ca="1">INDEX(INDIRECT($M45),
       MATCH(TRIM($C45), TRIM(INDIRECT($N45)), 0),
       MATCH(TRIM(H$1), TRIM(INDIRECT($O45)), 0))</f>
        <v>2585778</v>
      </c>
      <c r="I45" s="7" cm="1">
        <f t="array" aca="1" ref="I45" ca="1">INDEX(INDIRECT($M45),
       MATCH(TRIM($C45), TRIM(INDIRECT($N45)), 0),
       MATCH(TRIM(I$1), TRIM(INDIRECT($O45)), 0))</f>
        <v>2.5857779999999999</v>
      </c>
      <c r="J45" s="7" cm="1">
        <f t="array" aca="1" ref="J45" ca="1">INDEX(INDIRECT($M45),
       MATCH(TRIM($C45), TRIM(INDIRECT($N45)), 0),
       MATCH(TRIM(J$1), TRIM(INDIRECT($O45)), 0))</f>
        <v>29</v>
      </c>
      <c r="K45" s="7" cm="1">
        <f t="array" aca="1" ref="K45" ca="1">INDEX(INDIRECT($M45),
       MATCH(TRIM($C45), TRIM(INDIRECT($N45)), 0),
       MATCH(TRIM(K$1), TRIM(INDIRECT($O45)), 0))</f>
        <v>9.6498348203555562</v>
      </c>
      <c r="L45" s="7" cm="1">
        <f t="array" aca="1" ref="L45" ca="1">INDEX(INDIRECT($M45),
       MATCH(TRIM($C45), TRIM(INDIRECT($N45)), 0),
       MATCH(TRIM(L$1), TRIM(INDIRECT($O45)), 0))</f>
        <v>191.54736282035554</v>
      </c>
      <c r="M45" s="5" t="str">
        <f>_xlfn.CONCAT("'",$B45,"'","!","$C$3:$K$23")</f>
        <v>'2017'!$C$3:$K$23</v>
      </c>
      <c r="N45" s="5" t="str">
        <f>_xlfn.CONCAT("'",$B45,"'","!","$B$3:$B$22")</f>
        <v>'2017'!$B$3:$B$22</v>
      </c>
      <c r="O45" s="5" t="str">
        <f>_xlfn.CONCAT("'",$B45,"'","!","$C$2:$K$2")</f>
        <v>'2017'!$C$2:$K$2</v>
      </c>
    </row>
    <row r="46" spans="1:15" x14ac:dyDescent="0.3">
      <c r="A46">
        <v>7</v>
      </c>
      <c r="B46">
        <v>2017</v>
      </c>
      <c r="C46" t="s">
        <v>84</v>
      </c>
      <c r="D46" s="7" cm="1">
        <f t="array" aca="1" ref="D46" ca="1">INDEX(INDIRECT($M46),
       MATCH(TRIM($C46), TRIM(INDIRECT($N46)), 0),
       MATCH(TRIM(D$1), TRIM(INDIRECT($O46)), 0))</f>
        <v>324</v>
      </c>
      <c r="E46" s="9" cm="1">
        <f t="array" aca="1" ref="E46" ca="1">INDEX(INDIRECT($M46),
       MATCH(TRIM($C46), TRIM(INDIRECT($N46)), 0),
       MATCH(TRIM(E$1), TRIM(INDIRECT($O46)), 0))</f>
        <v>390258682</v>
      </c>
      <c r="F46" s="7" cm="1">
        <f t="array" aca="1" ref="F46" ca="1">INDEX(INDIRECT($M46),
       MATCH(TRIM($C46), TRIM(INDIRECT($N46)), 0),
       MATCH(TRIM(F$1), TRIM(INDIRECT($O46)), 0))</f>
        <v>390.25868200000002</v>
      </c>
      <c r="G46" s="7" cm="1">
        <f t="array" aca="1" ref="G46" ca="1">INDEX(INDIRECT($M46),
       MATCH(TRIM($C46), TRIM(INDIRECT($N46)), 0),
       MATCH(TRIM(G$1), TRIM(INDIRECT($O46)), 0))</f>
        <v>71</v>
      </c>
      <c r="H46" s="9" cm="1">
        <f t="array" aca="1" ref="H46" ca="1">INDEX(INDIRECT($M46),
       MATCH(TRIM($C46), TRIM(INDIRECT($N46)), 0),
       MATCH(TRIM(H$1), TRIM(INDIRECT($O46)), 0))</f>
        <v>138465459.75390625</v>
      </c>
      <c r="I46" s="7" cm="1">
        <f t="array" aca="1" ref="I46" ca="1">INDEX(INDIRECT($M46),
       MATCH(TRIM($C46), TRIM(INDIRECT($N46)), 0),
       MATCH(TRIM(I$1), TRIM(INDIRECT($O46)), 0))</f>
        <v>138.46545975390626</v>
      </c>
      <c r="J46" s="7" cm="1">
        <f t="array" aca="1" ref="J46" ca="1">INDEX(INDIRECT($M46),
       MATCH(TRIM($C46), TRIM(INDIRECT($N46)), 0),
       MATCH(TRIM(J$1), TRIM(INDIRECT($O46)), 0))</f>
        <v>428</v>
      </c>
      <c r="K46" s="7" cm="1">
        <f t="array" aca="1" ref="K46" ca="1">INDEX(INDIRECT($M46),
       MATCH(TRIM($C46), TRIM(INDIRECT($N46)), 0),
       MATCH(TRIM(K$1), TRIM(INDIRECT($O46)), 0))</f>
        <v>499.34308206081437</v>
      </c>
      <c r="L46" s="7" cm="1">
        <f t="array" aca="1" ref="L46" ca="1">INDEX(INDIRECT($M46),
       MATCH(TRIM($C46), TRIM(INDIRECT($N46)), 0),
       MATCH(TRIM(L$1), TRIM(INDIRECT($O46)), 0))</f>
        <v>1028.0672238147206</v>
      </c>
      <c r="M46" s="5" t="str">
        <f>_xlfn.CONCAT("'",$B46,"'","!","$C$3:$K$23")</f>
        <v>'2017'!$C$3:$K$23</v>
      </c>
      <c r="N46" s="5" t="str">
        <f>_xlfn.CONCAT("'",$B46,"'","!","$B$3:$B$22")</f>
        <v>'2017'!$B$3:$B$22</v>
      </c>
      <c r="O46" s="5" t="str">
        <f>_xlfn.CONCAT("'",$B46,"'","!","$C$2:$K$2")</f>
        <v>'2017'!$C$2:$K$2</v>
      </c>
    </row>
    <row r="47" spans="1:15" x14ac:dyDescent="0.3">
      <c r="A47">
        <v>8</v>
      </c>
      <c r="B47">
        <v>2017</v>
      </c>
      <c r="C47" t="s">
        <v>85</v>
      </c>
      <c r="D47" s="7" cm="1">
        <f t="array" aca="1" ref="D47" ca="1">INDEX(INDIRECT($M47),
       MATCH(TRIM($C47), TRIM(INDIRECT($N47)), 0),
       MATCH(TRIM(D$1), TRIM(INDIRECT($O47)), 0))</f>
        <v>74</v>
      </c>
      <c r="E47" s="9" cm="1">
        <f t="array" aca="1" ref="E47" ca="1">INDEX(INDIRECT($M47),
       MATCH(TRIM($C47), TRIM(INDIRECT($N47)), 0),
       MATCH(TRIM(E$1), TRIM(INDIRECT($O47)), 0))</f>
        <v>173167584</v>
      </c>
      <c r="F47" s="7" cm="1">
        <f t="array" aca="1" ref="F47" ca="1">INDEX(INDIRECT($M47),
       MATCH(TRIM($C47), TRIM(INDIRECT($N47)), 0),
       MATCH(TRIM(F$1), TRIM(INDIRECT($O47)), 0))</f>
        <v>173.16758400000001</v>
      </c>
      <c r="G47" s="7" cm="1">
        <f t="array" aca="1" ref="G47" ca="1">INDEX(INDIRECT($M47),
       MATCH(TRIM($C47), TRIM(INDIRECT($N47)), 0),
       MATCH(TRIM(G$1), TRIM(INDIRECT($O47)), 0))</f>
        <v>29</v>
      </c>
      <c r="H47" s="9" cm="1">
        <f t="array" aca="1" ref="H47" ca="1">INDEX(INDIRECT($M47),
       MATCH(TRIM($C47), TRIM(INDIRECT($N47)), 0),
       MATCH(TRIM(H$1), TRIM(INDIRECT($O47)), 0))</f>
        <v>143289019</v>
      </c>
      <c r="I47" s="7" cm="1">
        <f t="array" aca="1" ref="I47" ca="1">INDEX(INDIRECT($M47),
       MATCH(TRIM($C47), TRIM(INDIRECT($N47)), 0),
       MATCH(TRIM(I$1), TRIM(INDIRECT($O47)), 0))</f>
        <v>143.289019</v>
      </c>
      <c r="J47" s="7" cm="1">
        <f t="array" aca="1" ref="J47" ca="1">INDEX(INDIRECT($M47),
       MATCH(TRIM($C47), TRIM(INDIRECT($N47)), 0),
       MATCH(TRIM(J$1), TRIM(INDIRECT($O47)), 0))</f>
        <v>137</v>
      </c>
      <c r="K47" s="7" cm="1">
        <f t="array" aca="1" ref="K47" ca="1">INDEX(INDIRECT($M47),
       MATCH(TRIM($C47), TRIM(INDIRECT($N47)), 0),
       MATCH(TRIM(K$1), TRIM(INDIRECT($O47)), 0))</f>
        <v>70.116303256800009</v>
      </c>
      <c r="L47" s="7" cm="1">
        <f t="array" aca="1" ref="L47" ca="1">INDEX(INDIRECT($M47),
       MATCH(TRIM($C47), TRIM(INDIRECT($N47)), 0),
       MATCH(TRIM(L$1), TRIM(INDIRECT($O47)), 0))</f>
        <v>386.57290625679997</v>
      </c>
      <c r="M47" s="5" t="str">
        <f>_xlfn.CONCAT("'",$B47,"'","!","$C$3:$K$23")</f>
        <v>'2017'!$C$3:$K$23</v>
      </c>
      <c r="N47" s="5" t="str">
        <f>_xlfn.CONCAT("'",$B47,"'","!","$B$3:$B$22")</f>
        <v>'2017'!$B$3:$B$22</v>
      </c>
      <c r="O47" s="5" t="str">
        <f>_xlfn.CONCAT("'",$B47,"'","!","$C$2:$K$2")</f>
        <v>'2017'!$C$2:$K$2</v>
      </c>
    </row>
    <row r="48" spans="1:15" x14ac:dyDescent="0.3">
      <c r="A48">
        <v>9</v>
      </c>
      <c r="B48">
        <v>2017</v>
      </c>
      <c r="C48" t="s">
        <v>86</v>
      </c>
      <c r="D48" s="7" cm="1">
        <f t="array" aca="1" ref="D48" ca="1">INDEX(INDIRECT($M48),
       MATCH(TRIM($C48), TRIM(INDIRECT($N48)), 0),
       MATCH(TRIM(D$1), TRIM(INDIRECT($O48)), 0))</f>
        <v>106</v>
      </c>
      <c r="E48" s="9" cm="1">
        <f t="array" aca="1" ref="E48" ca="1">INDEX(INDIRECT($M48),
       MATCH(TRIM($C48), TRIM(INDIRECT($N48)), 0),
       MATCH(TRIM(E$1), TRIM(INDIRECT($O48)), 0))</f>
        <v>122495264</v>
      </c>
      <c r="F48" s="7" cm="1">
        <f t="array" aca="1" ref="F48" ca="1">INDEX(INDIRECT($M48),
       MATCH(TRIM($C48), TRIM(INDIRECT($N48)), 0),
       MATCH(TRIM(F$1), TRIM(INDIRECT($O48)), 0))</f>
        <v>122.49526400000001</v>
      </c>
      <c r="G48" s="7" cm="1">
        <f t="array" aca="1" ref="G48" ca="1">INDEX(INDIRECT($M48),
       MATCH(TRIM($C48), TRIM(INDIRECT($N48)), 0),
       MATCH(TRIM(G$1), TRIM(INDIRECT($O48)), 0))</f>
        <v>29</v>
      </c>
      <c r="H48" s="9" cm="1">
        <f t="array" aca="1" ref="H48" ca="1">INDEX(INDIRECT($M48),
       MATCH(TRIM($C48), TRIM(INDIRECT($N48)), 0),
       MATCH(TRIM(H$1), TRIM(INDIRECT($O48)), 0))</f>
        <v>110483147</v>
      </c>
      <c r="I48" s="7" cm="1">
        <f t="array" aca="1" ref="I48" ca="1">INDEX(INDIRECT($M48),
       MATCH(TRIM($C48), TRIM(INDIRECT($N48)), 0),
       MATCH(TRIM(I$1), TRIM(INDIRECT($O48)), 0))</f>
        <v>110.483147</v>
      </c>
      <c r="J48" s="7" cm="1">
        <f t="array" aca="1" ref="J48" ca="1">INDEX(INDIRECT($M48),
       MATCH(TRIM($C48), TRIM(INDIRECT($N48)), 0),
       MATCH(TRIM(J$1), TRIM(INDIRECT($O48)), 0))</f>
        <v>222</v>
      </c>
      <c r="K48" s="7" cm="1">
        <f t="array" aca="1" ref="K48" ca="1">INDEX(INDIRECT($M48),
       MATCH(TRIM($C48), TRIM(INDIRECT($N48)), 0),
       MATCH(TRIM(K$1), TRIM(INDIRECT($O48)), 0))</f>
        <v>280.21662452973356</v>
      </c>
      <c r="L48" s="7" cm="1">
        <f t="array" aca="1" ref="L48" ca="1">INDEX(INDIRECT($M48),
       MATCH(TRIM($C48), TRIM(INDIRECT($N48)), 0),
       MATCH(TRIM(L$1), TRIM(INDIRECT($O48)), 0))</f>
        <v>513.19503552973356</v>
      </c>
      <c r="M48" s="5" t="str">
        <f>_xlfn.CONCAT("'",$B48,"'","!","$C$3:$K$23")</f>
        <v>'2017'!$C$3:$K$23</v>
      </c>
      <c r="N48" s="5" t="str">
        <f>_xlfn.CONCAT("'",$B48,"'","!","$B$3:$B$22")</f>
        <v>'2017'!$B$3:$B$22</v>
      </c>
      <c r="O48" s="5" t="str">
        <f>_xlfn.CONCAT("'",$B48,"'","!","$C$2:$K$2")</f>
        <v>'2017'!$C$2:$K$2</v>
      </c>
    </row>
    <row r="49" spans="1:15" x14ac:dyDescent="0.3">
      <c r="A49">
        <v>10</v>
      </c>
      <c r="B49">
        <v>2017</v>
      </c>
      <c r="C49" t="s">
        <v>87</v>
      </c>
      <c r="D49" s="7" cm="1">
        <f t="array" aca="1" ref="D49" ca="1">INDEX(INDIRECT($M49),
       MATCH(TRIM($C49), TRIM(INDIRECT($N49)), 0),
       MATCH(TRIM(D$1), TRIM(INDIRECT($O49)), 0))</f>
        <v>182</v>
      </c>
      <c r="E49" s="9" cm="1">
        <f t="array" aca="1" ref="E49" ca="1">INDEX(INDIRECT($M49),
       MATCH(TRIM($C49), TRIM(INDIRECT($N49)), 0),
       MATCH(TRIM(E$1), TRIM(INDIRECT($O49)), 0))</f>
        <v>140778447</v>
      </c>
      <c r="F49" s="7" cm="1">
        <f t="array" aca="1" ref="F49" ca="1">INDEX(INDIRECT($M49),
       MATCH(TRIM($C49), TRIM(INDIRECT($N49)), 0),
       MATCH(TRIM(F$1), TRIM(INDIRECT($O49)), 0))</f>
        <v>140.778447</v>
      </c>
      <c r="G49" s="7" cm="1">
        <f t="array" aca="1" ref="G49" ca="1">INDEX(INDIRECT($M49),
       MATCH(TRIM($C49), TRIM(INDIRECT($N49)), 0),
       MATCH(TRIM(G$1), TRIM(INDIRECT($O49)), 0))</f>
        <v>52</v>
      </c>
      <c r="H49" s="9" cm="1">
        <f t="array" aca="1" ref="H49" ca="1">INDEX(INDIRECT($M49),
       MATCH(TRIM($C49), TRIM(INDIRECT($N49)), 0),
       MATCH(TRIM(H$1), TRIM(INDIRECT($O49)), 0))</f>
        <v>45400725.296875</v>
      </c>
      <c r="I49" s="7" cm="1">
        <f t="array" aca="1" ref="I49" ca="1">INDEX(INDIRECT($M49),
       MATCH(TRIM($C49), TRIM(INDIRECT($N49)), 0),
       MATCH(TRIM(I$1), TRIM(INDIRECT($O49)), 0))</f>
        <v>45.400725296875002</v>
      </c>
      <c r="J49" s="7" cm="1">
        <f t="array" aca="1" ref="J49" ca="1">INDEX(INDIRECT($M49),
       MATCH(TRIM($C49), TRIM(INDIRECT($N49)), 0),
       MATCH(TRIM(J$1), TRIM(INDIRECT($O49)), 0))</f>
        <v>246</v>
      </c>
      <c r="K49" s="7" cm="1">
        <f t="array" aca="1" ref="K49" ca="1">INDEX(INDIRECT($M49),
       MATCH(TRIM($C49), TRIM(INDIRECT($N49)), 0),
       MATCH(TRIM(K$1), TRIM(INDIRECT($O49)), 0))</f>
        <v>50.511319523392885</v>
      </c>
      <c r="L49" s="7" cm="1">
        <f t="array" aca="1" ref="L49" ca="1">INDEX(INDIRECT($M49),
       MATCH(TRIM($C49), TRIM(INDIRECT($N49)), 0),
       MATCH(TRIM(L$1), TRIM(INDIRECT($O49)), 0))</f>
        <v>236.69049182026788</v>
      </c>
      <c r="M49" s="5" t="str">
        <f>_xlfn.CONCAT("'",$B49,"'","!","$C$3:$K$23")</f>
        <v>'2017'!$C$3:$K$23</v>
      </c>
      <c r="N49" s="5" t="str">
        <f>_xlfn.CONCAT("'",$B49,"'","!","$B$3:$B$22")</f>
        <v>'2017'!$B$3:$B$22</v>
      </c>
      <c r="O49" s="5" t="str">
        <f>_xlfn.CONCAT("'",$B49,"'","!","$C$2:$K$2")</f>
        <v>'2017'!$C$2:$K$2</v>
      </c>
    </row>
    <row r="50" spans="1:15" x14ac:dyDescent="0.3">
      <c r="A50">
        <v>11</v>
      </c>
      <c r="B50">
        <v>2017</v>
      </c>
      <c r="C50" t="s">
        <v>88</v>
      </c>
      <c r="D50" s="7" cm="1">
        <f t="array" aca="1" ref="D50" ca="1">INDEX(INDIRECT($M50),
       MATCH(TRIM($C50), TRIM(INDIRECT($N50)), 0),
       MATCH(TRIM(D$1), TRIM(INDIRECT($O50)), 0))</f>
        <v>66</v>
      </c>
      <c r="E50" s="9" cm="1">
        <f t="array" aca="1" ref="E50" ca="1">INDEX(INDIRECT($M50),
       MATCH(TRIM($C50), TRIM(INDIRECT($N50)), 0),
       MATCH(TRIM(E$1), TRIM(INDIRECT($O50)), 0))</f>
        <v>24105858</v>
      </c>
      <c r="F50" s="7" cm="1">
        <f t="array" aca="1" ref="F50" ca="1">INDEX(INDIRECT($M50),
       MATCH(TRIM($C50), TRIM(INDIRECT($N50)), 0),
       MATCH(TRIM(F$1), TRIM(INDIRECT($O50)), 0))</f>
        <v>24.105858000000001</v>
      </c>
      <c r="G50" s="7" cm="1">
        <f t="array" aca="1" ref="G50" ca="1">INDEX(INDIRECT($M50),
       MATCH(TRIM($C50), TRIM(INDIRECT($N50)), 0),
       MATCH(TRIM(G$1), TRIM(INDIRECT($O50)), 0))</f>
        <v>11</v>
      </c>
      <c r="H50" s="9" cm="1">
        <f t="array" aca="1" ref="H50" ca="1">INDEX(INDIRECT($M50),
       MATCH(TRIM($C50), TRIM(INDIRECT($N50)), 0),
       MATCH(TRIM(H$1), TRIM(INDIRECT($O50)), 0))</f>
        <v>10888233</v>
      </c>
      <c r="I50" s="7" cm="1">
        <f t="array" aca="1" ref="I50" ca="1">INDEX(INDIRECT($M50),
       MATCH(TRIM($C50), TRIM(INDIRECT($N50)), 0),
       MATCH(TRIM(I$1), TRIM(INDIRECT($O50)), 0))</f>
        <v>10.888233</v>
      </c>
      <c r="J50" s="7" cm="1">
        <f t="array" aca="1" ref="J50" ca="1">INDEX(INDIRECT($M50),
       MATCH(TRIM($C50), TRIM(INDIRECT($N50)), 0),
       MATCH(TRIM(J$1), TRIM(INDIRECT($O50)), 0))</f>
        <v>139</v>
      </c>
      <c r="K50" s="7" cm="1">
        <f t="array" aca="1" ref="K50" ca="1">INDEX(INDIRECT($M50),
       MATCH(TRIM($C50), TRIM(INDIRECT($N50)), 0),
       MATCH(TRIM(K$1), TRIM(INDIRECT($O50)), 0))</f>
        <v>74.03411390422221</v>
      </c>
      <c r="L50" s="7" cm="1">
        <f t="array" aca="1" ref="L50" ca="1">INDEX(INDIRECT($M50),
       MATCH(TRIM($C50), TRIM(INDIRECT($N50)), 0),
       MATCH(TRIM(L$1), TRIM(INDIRECT($O50)), 0))</f>
        <v>109.02820490422221</v>
      </c>
      <c r="M50" s="5" t="str">
        <f>_xlfn.CONCAT("'",$B50,"'","!","$C$3:$K$23")</f>
        <v>'2017'!$C$3:$K$23</v>
      </c>
      <c r="N50" s="5" t="str">
        <f>_xlfn.CONCAT("'",$B50,"'","!","$B$3:$B$22")</f>
        <v>'2017'!$B$3:$B$22</v>
      </c>
      <c r="O50" s="5" t="str">
        <f>_xlfn.CONCAT("'",$B50,"'","!","$C$2:$K$2")</f>
        <v>'2017'!$C$2:$K$2</v>
      </c>
    </row>
    <row r="51" spans="1:15" x14ac:dyDescent="0.3">
      <c r="A51">
        <v>12</v>
      </c>
      <c r="B51">
        <v>2017</v>
      </c>
      <c r="C51" t="s">
        <v>89</v>
      </c>
      <c r="D51" s="7" cm="1">
        <f t="array" aca="1" ref="D51" ca="1">INDEX(INDIRECT($M51),
       MATCH(TRIM($C51), TRIM(INDIRECT($N51)), 0),
       MATCH(TRIM(D$1), TRIM(INDIRECT($O51)), 0))</f>
        <v>8</v>
      </c>
      <c r="E51" s="9" cm="1">
        <f t="array" aca="1" ref="E51" ca="1">INDEX(INDIRECT($M51),
       MATCH(TRIM($C51), TRIM(INDIRECT($N51)), 0),
       MATCH(TRIM(E$1), TRIM(INDIRECT($O51)), 0))</f>
        <v>24829000</v>
      </c>
      <c r="F51" s="7" cm="1">
        <f t="array" aca="1" ref="F51" ca="1">INDEX(INDIRECT($M51),
       MATCH(TRIM($C51), TRIM(INDIRECT($N51)), 0),
       MATCH(TRIM(F$1), TRIM(INDIRECT($O51)), 0))</f>
        <v>24.829000000000001</v>
      </c>
      <c r="G51" s="7" cm="1">
        <f t="array" aca="1" ref="G51" ca="1">INDEX(INDIRECT($M51),
       MATCH(TRIM($C51), TRIM(INDIRECT($N51)), 0),
       MATCH(TRIM(G$1), TRIM(INDIRECT($O51)), 0))</f>
        <v>5</v>
      </c>
      <c r="H51" s="9" cm="1">
        <f t="array" aca="1" ref="H51" ca="1">INDEX(INDIRECT($M51),
       MATCH(TRIM($C51), TRIM(INDIRECT($N51)), 0),
       MATCH(TRIM(H$1), TRIM(INDIRECT($O51)), 0))</f>
        <v>1069500</v>
      </c>
      <c r="I51" s="7" cm="1">
        <f t="array" aca="1" ref="I51" ca="1">INDEX(INDIRECT($M51),
       MATCH(TRIM($C51), TRIM(INDIRECT($N51)), 0),
       MATCH(TRIM(I$1), TRIM(INDIRECT($O51)), 0))</f>
        <v>1.0694999999999999</v>
      </c>
      <c r="J51" s="7" cm="1">
        <f t="array" aca="1" ref="J51" ca="1">INDEX(INDIRECT($M51),
       MATCH(TRIM($C51), TRIM(INDIRECT($N51)), 0),
       MATCH(TRIM(J$1), TRIM(INDIRECT($O51)), 0))</f>
        <v>20</v>
      </c>
      <c r="K51" s="7" cm="1">
        <f t="array" aca="1" ref="K51" ca="1">INDEX(INDIRECT($M51),
       MATCH(TRIM($C51), TRIM(INDIRECT($N51)), 0),
       MATCH(TRIM(K$1), TRIM(INDIRECT($O51)), 0))</f>
        <v>22.837555517155554</v>
      </c>
      <c r="L51" s="7" cm="1">
        <f t="array" aca="1" ref="L51" ca="1">INDEX(INDIRECT($M51),
       MATCH(TRIM($C51), TRIM(INDIRECT($N51)), 0),
       MATCH(TRIM(L$1), TRIM(INDIRECT($O51)), 0))</f>
        <v>48.736055517155556</v>
      </c>
      <c r="M51" s="5" t="str">
        <f>_xlfn.CONCAT("'",$B51,"'","!","$C$3:$K$23")</f>
        <v>'2017'!$C$3:$K$23</v>
      </c>
      <c r="N51" s="5" t="str">
        <f>_xlfn.CONCAT("'",$B51,"'","!","$B$3:$B$22")</f>
        <v>'2017'!$B$3:$B$22</v>
      </c>
      <c r="O51" s="5" t="str">
        <f>_xlfn.CONCAT("'",$B51,"'","!","$C$2:$K$2")</f>
        <v>'2017'!$C$2:$K$2</v>
      </c>
    </row>
    <row r="52" spans="1:15" x14ac:dyDescent="0.3">
      <c r="A52">
        <v>13</v>
      </c>
      <c r="B52">
        <v>2017</v>
      </c>
      <c r="C52" t="s">
        <v>90</v>
      </c>
      <c r="D52" s="7" cm="1">
        <f t="array" aca="1" ref="D52" ca="1">INDEX(INDIRECT($M52),
       MATCH(TRIM($C52), TRIM(INDIRECT($N52)), 0),
       MATCH(TRIM(D$1), TRIM(INDIRECT($O52)), 0))</f>
        <v>59</v>
      </c>
      <c r="E52" s="9" cm="1">
        <f t="array" aca="1" ref="E52" ca="1">INDEX(INDIRECT($M52),
       MATCH(TRIM($C52), TRIM(INDIRECT($N52)), 0),
       MATCH(TRIM(E$1), TRIM(INDIRECT($O52)), 0))</f>
        <v>60404872</v>
      </c>
      <c r="F52" s="7" cm="1">
        <f t="array" aca="1" ref="F52" ca="1">INDEX(INDIRECT($M52),
       MATCH(TRIM($C52), TRIM(INDIRECT($N52)), 0),
       MATCH(TRIM(F$1), TRIM(INDIRECT($O52)), 0))</f>
        <v>60.404871999999997</v>
      </c>
      <c r="G52" s="7" cm="1">
        <f t="array" aca="1" ref="G52" ca="1">INDEX(INDIRECT($M52),
       MATCH(TRIM($C52), TRIM(INDIRECT($N52)), 0),
       MATCH(TRIM(G$1), TRIM(INDIRECT($O52)), 0))</f>
        <v>11</v>
      </c>
      <c r="H52" s="9" cm="1">
        <f t="array" aca="1" ref="H52" ca="1">INDEX(INDIRECT($M52),
       MATCH(TRIM($C52), TRIM(INDIRECT($N52)), 0),
       MATCH(TRIM(H$1), TRIM(INDIRECT($O52)), 0))</f>
        <v>-3223392</v>
      </c>
      <c r="I52" s="7" cm="1">
        <f t="array" aca="1" ref="I52" ca="1">INDEX(INDIRECT($M52),
       MATCH(TRIM($C52), TRIM(INDIRECT($N52)), 0),
       MATCH(TRIM(I$1), TRIM(INDIRECT($O52)), 0))</f>
        <v>-3.223392</v>
      </c>
      <c r="J52" s="7" cm="1">
        <f t="array" aca="1" ref="J52" ca="1">INDEX(INDIRECT($M52),
       MATCH(TRIM($C52), TRIM(INDIRECT($N52)), 0),
       MATCH(TRIM(J$1), TRIM(INDIRECT($O52)), 0))</f>
        <v>77</v>
      </c>
      <c r="K52" s="7" cm="1">
        <f t="array" aca="1" ref="K52" ca="1">INDEX(INDIRECT($M52),
       MATCH(TRIM($C52), TRIM(INDIRECT($N52)), 0),
       MATCH(TRIM(K$1), TRIM(INDIRECT($O52)), 0))</f>
        <v>59.572779077333323</v>
      </c>
      <c r="L52" s="7" cm="1">
        <f t="array" aca="1" ref="L52" ca="1">INDEX(INDIRECT($M52),
       MATCH(TRIM($C52), TRIM(INDIRECT($N52)), 0),
       MATCH(TRIM(L$1), TRIM(INDIRECT($O52)), 0))</f>
        <v>116.75425907733333</v>
      </c>
      <c r="M52" s="5" t="str">
        <f>_xlfn.CONCAT("'",$B52,"'","!","$C$3:$K$23")</f>
        <v>'2017'!$C$3:$K$23</v>
      </c>
      <c r="N52" s="5" t="str">
        <f>_xlfn.CONCAT("'",$B52,"'","!","$B$3:$B$22")</f>
        <v>'2017'!$B$3:$B$22</v>
      </c>
      <c r="O52" s="5" t="str">
        <f>_xlfn.CONCAT("'",$B52,"'","!","$C$2:$K$2")</f>
        <v>'2017'!$C$2:$K$2</v>
      </c>
    </row>
    <row r="53" spans="1:15" x14ac:dyDescent="0.3">
      <c r="A53">
        <v>14</v>
      </c>
      <c r="B53">
        <v>2017</v>
      </c>
      <c r="C53" t="s">
        <v>91</v>
      </c>
      <c r="D53" s="7" cm="1">
        <f t="array" aca="1" ref="D53" ca="1">INDEX(INDIRECT($M53),
       MATCH(TRIM($C53), TRIM(INDIRECT($N53)), 0),
       MATCH(TRIM(D$1), TRIM(INDIRECT($O53)), 0))</f>
        <v>12</v>
      </c>
      <c r="E53" s="9" cm="1">
        <f t="array" aca="1" ref="E53" ca="1">INDEX(INDIRECT($M53),
       MATCH(TRIM($C53), TRIM(INDIRECT($N53)), 0),
       MATCH(TRIM(E$1), TRIM(INDIRECT($O53)), 0))</f>
        <v>566696325</v>
      </c>
      <c r="F53" s="7" cm="1">
        <f t="array" aca="1" ref="F53" ca="1">INDEX(INDIRECT($M53),
       MATCH(TRIM($C53), TRIM(INDIRECT($N53)), 0),
       MATCH(TRIM(F$1), TRIM(INDIRECT($O53)), 0))</f>
        <v>566.696325</v>
      </c>
      <c r="G53" s="7" cm="1">
        <f t="array" aca="1" ref="G53" ca="1">INDEX(INDIRECT($M53),
       MATCH(TRIM($C53), TRIM(INDIRECT($N53)), 0),
       MATCH(TRIM(G$1), TRIM(INDIRECT($O53)), 0))</f>
        <v>2</v>
      </c>
      <c r="H53" s="9" cm="1">
        <f t="array" aca="1" ref="H53" ca="1">INDEX(INDIRECT($M53),
       MATCH(TRIM($C53), TRIM(INDIRECT($N53)), 0),
       MATCH(TRIM(H$1), TRIM(INDIRECT($O53)), 0))</f>
        <v>1300000</v>
      </c>
      <c r="I53" s="7" cm="1">
        <f t="array" aca="1" ref="I53" ca="1">INDEX(INDIRECT($M53),
       MATCH(TRIM($C53), TRIM(INDIRECT($N53)), 0),
       MATCH(TRIM(I$1), TRIM(INDIRECT($O53)), 0))</f>
        <v>1.3</v>
      </c>
      <c r="J53" s="7" cm="1">
        <f t="array" aca="1" ref="J53" ca="1">INDEX(INDIRECT($M53),
       MATCH(TRIM($C53), TRIM(INDIRECT($N53)), 0),
       MATCH(TRIM(J$1), TRIM(INDIRECT($O53)), 0))</f>
        <v>0</v>
      </c>
      <c r="K53" s="7" cm="1">
        <f t="array" aca="1" ref="K53" ca="1">INDEX(INDIRECT($M53),
       MATCH(TRIM($C53), TRIM(INDIRECT($N53)), 0),
       MATCH(TRIM(K$1), TRIM(INDIRECT($O53)), 0))</f>
        <v>0</v>
      </c>
      <c r="L53" s="7" cm="1">
        <f t="array" aca="1" ref="L53" ca="1">INDEX(INDIRECT($M53),
       MATCH(TRIM($C53), TRIM(INDIRECT($N53)), 0),
       MATCH(TRIM(L$1), TRIM(INDIRECT($O53)), 0))</f>
        <v>567.99632499999996</v>
      </c>
      <c r="M53" s="5" t="str">
        <f>_xlfn.CONCAT("'",$B53,"'","!","$C$3:$K$23")</f>
        <v>'2017'!$C$3:$K$23</v>
      </c>
      <c r="N53" s="5" t="str">
        <f>_xlfn.CONCAT("'",$B53,"'","!","$B$3:$B$22")</f>
        <v>'2017'!$B$3:$B$22</v>
      </c>
      <c r="O53" s="5" t="str">
        <f>_xlfn.CONCAT("'",$B53,"'","!","$C$2:$K$2")</f>
        <v>'2017'!$C$2:$K$2</v>
      </c>
    </row>
    <row r="54" spans="1:15" x14ac:dyDescent="0.3">
      <c r="A54">
        <v>15</v>
      </c>
      <c r="B54">
        <v>2017</v>
      </c>
      <c r="C54" t="s">
        <v>92</v>
      </c>
      <c r="D54" s="7" cm="1">
        <f t="array" aca="1" ref="D54" ca="1">INDEX(INDIRECT($M54),
       MATCH(TRIM($C54), TRIM(INDIRECT($N54)), 0),
       MATCH(TRIM(D$1), TRIM(INDIRECT($O54)), 0))</f>
        <v>14</v>
      </c>
      <c r="E54" s="9" cm="1">
        <f t="array" aca="1" ref="E54" ca="1">INDEX(INDIRECT($M54),
       MATCH(TRIM($C54), TRIM(INDIRECT($N54)), 0),
       MATCH(TRIM(E$1), TRIM(INDIRECT($O54)), 0))</f>
        <v>162313798</v>
      </c>
      <c r="F54" s="7" cm="1">
        <f t="array" aca="1" ref="F54" ca="1">INDEX(INDIRECT($M54),
       MATCH(TRIM($C54), TRIM(INDIRECT($N54)), 0),
       MATCH(TRIM(F$1), TRIM(INDIRECT($O54)), 0))</f>
        <v>162.31379799999999</v>
      </c>
      <c r="G54" s="7" cm="1">
        <f t="array" aca="1" ref="G54" ca="1">INDEX(INDIRECT($M54),
       MATCH(TRIM($C54), TRIM(INDIRECT($N54)), 0),
       MATCH(TRIM(G$1), TRIM(INDIRECT($O54)), 0))</f>
        <v>10</v>
      </c>
      <c r="H54" s="9" cm="1">
        <f t="array" aca="1" ref="H54" ca="1">INDEX(INDIRECT($M54),
       MATCH(TRIM($C54), TRIM(INDIRECT($N54)), 0),
       MATCH(TRIM(H$1), TRIM(INDIRECT($O54)), 0))</f>
        <v>106587979</v>
      </c>
      <c r="I54" s="7" cm="1">
        <f t="array" aca="1" ref="I54" ca="1">INDEX(INDIRECT($M54),
       MATCH(TRIM($C54), TRIM(INDIRECT($N54)), 0),
       MATCH(TRIM(I$1), TRIM(INDIRECT($O54)), 0))</f>
        <v>106.587979</v>
      </c>
      <c r="J54" s="7" cm="1">
        <f t="array" aca="1" ref="J54" ca="1">INDEX(INDIRECT($M54),
       MATCH(TRIM($C54), TRIM(INDIRECT($N54)), 0),
       MATCH(TRIM(J$1), TRIM(INDIRECT($O54)), 0))</f>
        <v>21</v>
      </c>
      <c r="K54" s="7" cm="1">
        <f t="array" aca="1" ref="K54" ca="1">INDEX(INDIRECT($M54),
       MATCH(TRIM($C54), TRIM(INDIRECT($N54)), 0),
       MATCH(TRIM(K$1), TRIM(INDIRECT($O54)), 0))</f>
        <v>118.63081956266663</v>
      </c>
      <c r="L54" s="7" cm="1">
        <f t="array" aca="1" ref="L54" ca="1">INDEX(INDIRECT($M54),
       MATCH(TRIM($C54), TRIM(INDIRECT($N54)), 0),
       MATCH(TRIM(L$1), TRIM(INDIRECT($O54)), 0))</f>
        <v>387.53259656266664</v>
      </c>
      <c r="M54" s="5" t="str">
        <f>_xlfn.CONCAT("'",$B54,"'","!","$C$3:$K$23")</f>
        <v>'2017'!$C$3:$K$23</v>
      </c>
      <c r="N54" s="5" t="str">
        <f>_xlfn.CONCAT("'",$B54,"'","!","$B$3:$B$22")</f>
        <v>'2017'!$B$3:$B$22</v>
      </c>
      <c r="O54" s="5" t="str">
        <f>_xlfn.CONCAT("'",$B54,"'","!","$C$2:$K$2")</f>
        <v>'2017'!$C$2:$K$2</v>
      </c>
    </row>
    <row r="55" spans="1:15" x14ac:dyDescent="0.3">
      <c r="A55">
        <v>16</v>
      </c>
      <c r="B55">
        <v>2017</v>
      </c>
      <c r="C55" t="s">
        <v>93</v>
      </c>
      <c r="D55" s="7" cm="1">
        <f t="array" aca="1" ref="D55" ca="1">INDEX(INDIRECT($M55),
       MATCH(TRIM($C55), TRIM(INDIRECT($N55)), 0),
       MATCH(TRIM(D$1), TRIM(INDIRECT($O55)), 0))</f>
        <v>2</v>
      </c>
      <c r="E55" s="9" cm="1">
        <f t="array" aca="1" ref="E55" ca="1">INDEX(INDIRECT($M55),
       MATCH(TRIM($C55), TRIM(INDIRECT($N55)), 0),
       MATCH(TRIM(E$1), TRIM(INDIRECT($O55)), 0))</f>
        <v>1279016043</v>
      </c>
      <c r="F55" s="7" cm="1">
        <f t="array" aca="1" ref="F55" ca="1">INDEX(INDIRECT($M55),
       MATCH(TRIM($C55), TRIM(INDIRECT($N55)), 0),
       MATCH(TRIM(F$1), TRIM(INDIRECT($O55)), 0))</f>
        <v>1279.0160430000001</v>
      </c>
      <c r="G55" s="7" cm="1">
        <f t="array" aca="1" ref="G55" ca="1">INDEX(INDIRECT($M55),
       MATCH(TRIM($C55), TRIM(INDIRECT($N55)), 0),
       MATCH(TRIM(G$1), TRIM(INDIRECT($O55)), 0))</f>
        <v>0</v>
      </c>
      <c r="H55" s="9" cm="1">
        <f t="array" aca="1" ref="H55" ca="1">INDEX(INDIRECT($M55),
       MATCH(TRIM($C55), TRIM(INDIRECT($N55)), 0),
       MATCH(TRIM(H$1), TRIM(INDIRECT($O55)), 0))</f>
        <v>0</v>
      </c>
      <c r="I55" s="7" cm="1">
        <f t="array" aca="1" ref="I55" ca="1">INDEX(INDIRECT($M55),
       MATCH(TRIM($C55), TRIM(INDIRECT($N55)), 0),
       MATCH(TRIM(I$1), TRIM(INDIRECT($O55)), 0))</f>
        <v>0</v>
      </c>
      <c r="J55" s="7" cm="1">
        <f t="array" aca="1" ref="J55" ca="1">INDEX(INDIRECT($M55),
       MATCH(TRIM($C55), TRIM(INDIRECT($N55)), 0),
       MATCH(TRIM(J$1), TRIM(INDIRECT($O55)), 0))</f>
        <v>4</v>
      </c>
      <c r="K55" s="7" cm="1">
        <f t="array" aca="1" ref="K55" ca="1">INDEX(INDIRECT($M55),
       MATCH(TRIM($C55), TRIM(INDIRECT($N55)), 0),
       MATCH(TRIM(K$1), TRIM(INDIRECT($O55)), 0))</f>
        <v>9.8836134992000009</v>
      </c>
      <c r="L55" s="7" cm="1">
        <f t="array" aca="1" ref="L55" ca="1">INDEX(INDIRECT($M55),
       MATCH(TRIM($C55), TRIM(INDIRECT($N55)), 0),
       MATCH(TRIM(L$1), TRIM(INDIRECT($O55)), 0))</f>
        <v>1288.8996564992001</v>
      </c>
      <c r="M55" s="5" t="str">
        <f>_xlfn.CONCAT("'",$B55,"'","!","$C$3:$K$23")</f>
        <v>'2017'!$C$3:$K$23</v>
      </c>
      <c r="N55" s="5" t="str">
        <f>_xlfn.CONCAT("'",$B55,"'","!","$B$3:$B$22")</f>
        <v>'2017'!$B$3:$B$22</v>
      </c>
      <c r="O55" s="5" t="str">
        <f>_xlfn.CONCAT("'",$B55,"'","!","$C$2:$K$2")</f>
        <v>'2017'!$C$2:$K$2</v>
      </c>
    </row>
    <row r="56" spans="1:15" x14ac:dyDescent="0.3">
      <c r="A56">
        <v>17</v>
      </c>
      <c r="B56">
        <v>2017</v>
      </c>
      <c r="C56" t="s">
        <v>94</v>
      </c>
      <c r="D56" s="7" cm="1">
        <f t="array" aca="1" ref="D56" ca="1">INDEX(INDIRECT($M56),
       MATCH(TRIM($C56), TRIM(INDIRECT($N56)), 0),
       MATCH(TRIM(D$1), TRIM(INDIRECT($O56)), 0))</f>
        <v>6</v>
      </c>
      <c r="E56" s="9" cm="1">
        <f t="array" aca="1" ref="E56" ca="1">INDEX(INDIRECT($M56),
       MATCH(TRIM($C56), TRIM(INDIRECT($N56)), 0),
       MATCH(TRIM(E$1), TRIM(INDIRECT($O56)), 0))</f>
        <v>18504747</v>
      </c>
      <c r="F56" s="7" cm="1">
        <f t="array" aca="1" ref="F56" ca="1">INDEX(INDIRECT($M56),
       MATCH(TRIM($C56), TRIM(INDIRECT($N56)), 0),
       MATCH(TRIM(F$1), TRIM(INDIRECT($O56)), 0))</f>
        <v>18.504746999999998</v>
      </c>
      <c r="G56" s="7" cm="1">
        <f t="array" aca="1" ref="G56" ca="1">INDEX(INDIRECT($M56),
       MATCH(TRIM($C56), TRIM(INDIRECT($N56)), 0),
       MATCH(TRIM(G$1), TRIM(INDIRECT($O56)), 0))</f>
        <v>4</v>
      </c>
      <c r="H56" s="9" cm="1">
        <f t="array" aca="1" ref="H56" ca="1">INDEX(INDIRECT($M56),
       MATCH(TRIM($C56), TRIM(INDIRECT($N56)), 0),
       MATCH(TRIM(H$1), TRIM(INDIRECT($O56)), 0))</f>
        <v>15407480</v>
      </c>
      <c r="I56" s="7" cm="1">
        <f t="array" aca="1" ref="I56" ca="1">INDEX(INDIRECT($M56),
       MATCH(TRIM($C56), TRIM(INDIRECT($N56)), 0),
       MATCH(TRIM(I$1), TRIM(INDIRECT($O56)), 0))</f>
        <v>15.40748</v>
      </c>
      <c r="J56" s="7" cm="1">
        <f t="array" aca="1" ref="J56" ca="1">INDEX(INDIRECT($M56),
       MATCH(TRIM($C56), TRIM(INDIRECT($N56)), 0),
       MATCH(TRIM(J$1), TRIM(INDIRECT($O56)), 0))</f>
        <v>6</v>
      </c>
      <c r="K56" s="7" cm="1">
        <f t="array" aca="1" ref="K56" ca="1">INDEX(INDIRECT($M56),
       MATCH(TRIM($C56), TRIM(INDIRECT($N56)), 0),
       MATCH(TRIM(K$1), TRIM(INDIRECT($O56)), 0))</f>
        <v>3.812133333333334</v>
      </c>
      <c r="L56" s="7" cm="1">
        <f t="array" aca="1" ref="L56" ca="1">INDEX(INDIRECT($M56),
       MATCH(TRIM($C56), TRIM(INDIRECT($N56)), 0),
       MATCH(TRIM(L$1), TRIM(INDIRECT($O56)), 0))</f>
        <v>37.724360333333337</v>
      </c>
      <c r="M56" s="5" t="str">
        <f>_xlfn.CONCAT("'",$B56,"'","!","$C$3:$K$23")</f>
        <v>'2017'!$C$3:$K$23</v>
      </c>
      <c r="N56" s="5" t="str">
        <f>_xlfn.CONCAT("'",$B56,"'","!","$B$3:$B$22")</f>
        <v>'2017'!$B$3:$B$22</v>
      </c>
      <c r="O56" s="5" t="str">
        <f>_xlfn.CONCAT("'",$B56,"'","!","$C$2:$K$2")</f>
        <v>'2017'!$C$2:$K$2</v>
      </c>
    </row>
    <row r="57" spans="1:15" x14ac:dyDescent="0.3">
      <c r="A57">
        <v>18</v>
      </c>
      <c r="B57">
        <v>2017</v>
      </c>
      <c r="C57" t="s">
        <v>95</v>
      </c>
      <c r="D57" s="7" cm="1">
        <f t="array" aca="1" ref="D57" ca="1">INDEX(INDIRECT($M57),
       MATCH(TRIM($C57), TRIM(INDIRECT($N57)), 0),
       MATCH(TRIM(D$1), TRIM(INDIRECT($O57)), 0))</f>
        <v>3</v>
      </c>
      <c r="E57" s="9" cm="1">
        <f t="array" aca="1" ref="E57" ca="1">INDEX(INDIRECT($M57),
       MATCH(TRIM($C57), TRIM(INDIRECT($N57)), 0),
       MATCH(TRIM(E$1), TRIM(INDIRECT($O57)), 0))</f>
        <v>176500</v>
      </c>
      <c r="F57" s="7" cm="1">
        <f t="array" aca="1" ref="F57" ca="1">INDEX(INDIRECT($M57),
       MATCH(TRIM($C57), TRIM(INDIRECT($N57)), 0),
       MATCH(TRIM(F$1), TRIM(INDIRECT($O57)), 0))</f>
        <v>0.17649999999999999</v>
      </c>
      <c r="G57" s="7" cm="1">
        <f t="array" aca="1" ref="G57" ca="1">INDEX(INDIRECT($M57),
       MATCH(TRIM($C57), TRIM(INDIRECT($N57)), 0),
       MATCH(TRIM(G$1), TRIM(INDIRECT($O57)), 0))</f>
        <v>2</v>
      </c>
      <c r="H57" s="9" cm="1">
        <f t="array" aca="1" ref="H57" ca="1">INDEX(INDIRECT($M57),
       MATCH(TRIM($C57), TRIM(INDIRECT($N57)), 0),
       MATCH(TRIM(H$1), TRIM(INDIRECT($O57)), 0))</f>
        <v>69867550</v>
      </c>
      <c r="I57" s="7" cm="1">
        <f t="array" aca="1" ref="I57" ca="1">INDEX(INDIRECT($M57),
       MATCH(TRIM($C57), TRIM(INDIRECT($N57)), 0),
       MATCH(TRIM(I$1), TRIM(INDIRECT($O57)), 0))</f>
        <v>69.867549999999994</v>
      </c>
      <c r="J57" s="7" cm="1">
        <f t="array" aca="1" ref="J57" ca="1">INDEX(INDIRECT($M57),
       MATCH(TRIM($C57), TRIM(INDIRECT($N57)), 0),
       MATCH(TRIM(J$1), TRIM(INDIRECT($O57)), 0))</f>
        <v>32</v>
      </c>
      <c r="K57" s="7" cm="1">
        <f t="array" aca="1" ref="K57" ca="1">INDEX(INDIRECT($M57),
       MATCH(TRIM($C57), TRIM(INDIRECT($N57)), 0),
       MATCH(TRIM(K$1), TRIM(INDIRECT($O57)), 0))</f>
        <v>18.167150813111117</v>
      </c>
      <c r="L57" s="7" cm="1">
        <f t="array" aca="1" ref="L57" ca="1">INDEX(INDIRECT($M57),
       MATCH(TRIM($C57), TRIM(INDIRECT($N57)), 0),
       MATCH(TRIM(L$1), TRIM(INDIRECT($O57)), 0))</f>
        <v>88.21120081311112</v>
      </c>
      <c r="M57" s="5" t="str">
        <f>_xlfn.CONCAT("'",$B57,"'","!","$C$3:$K$23")</f>
        <v>'2017'!$C$3:$K$23</v>
      </c>
      <c r="N57" s="5" t="str">
        <f>_xlfn.CONCAT("'",$B57,"'","!","$B$3:$B$22")</f>
        <v>'2017'!$B$3:$B$22</v>
      </c>
      <c r="O57" s="5" t="str">
        <f>_xlfn.CONCAT("'",$B57,"'","!","$C$2:$K$2")</f>
        <v>'2017'!$C$2:$K$2</v>
      </c>
    </row>
    <row r="58" spans="1:15" x14ac:dyDescent="0.3">
      <c r="A58">
        <v>19</v>
      </c>
      <c r="B58">
        <v>2017</v>
      </c>
      <c r="C58" t="s">
        <v>96</v>
      </c>
      <c r="D58" s="7" cm="1">
        <f t="array" aca="1" ref="D58" ca="1">INDEX(INDIRECT($M58),
       MATCH(TRIM($C58), TRIM(INDIRECT($N58)), 0),
       MATCH(TRIM(D$1), TRIM(INDIRECT($O58)), 0))</f>
        <v>1</v>
      </c>
      <c r="E58" s="9" cm="1">
        <f t="array" aca="1" ref="E58" ca="1">INDEX(INDIRECT($M58),
       MATCH(TRIM($C58), TRIM(INDIRECT($N58)), 0),
       MATCH(TRIM(E$1), TRIM(INDIRECT($O58)), 0))</f>
        <v>500000</v>
      </c>
      <c r="F58" s="7" cm="1">
        <f t="array" aca="1" ref="F58" ca="1">INDEX(INDIRECT($M58),
       MATCH(TRIM($C58), TRIM(INDIRECT($N58)), 0),
       MATCH(TRIM(F$1), TRIM(INDIRECT($O58)), 0))</f>
        <v>0.5</v>
      </c>
      <c r="G58" s="7" cm="1">
        <f t="array" aca="1" ref="G58" ca="1">INDEX(INDIRECT($M58),
       MATCH(TRIM($C58), TRIM(INDIRECT($N58)), 0),
       MATCH(TRIM(G$1), TRIM(INDIRECT($O58)), 0))</f>
        <v>0</v>
      </c>
      <c r="H58" s="9" cm="1">
        <f t="array" aca="1" ref="H58" ca="1">INDEX(INDIRECT($M58),
       MATCH(TRIM($C58), TRIM(INDIRECT($N58)), 0),
       MATCH(TRIM(H$1), TRIM(INDIRECT($O58)), 0))</f>
        <v>0</v>
      </c>
      <c r="I58" s="7" cm="1">
        <f t="array" aca="1" ref="I58" ca="1">INDEX(INDIRECT($M58),
       MATCH(TRIM($C58), TRIM(INDIRECT($N58)), 0),
       MATCH(TRIM(I$1), TRIM(INDIRECT($O58)), 0))</f>
        <v>0</v>
      </c>
      <c r="J58" s="7" cm="1">
        <f t="array" aca="1" ref="J58" ca="1">INDEX(INDIRECT($M58),
       MATCH(TRIM($C58), TRIM(INDIRECT($N58)), 0),
       MATCH(TRIM(J$1), TRIM(INDIRECT($O58)), 0))</f>
        <v>0</v>
      </c>
      <c r="K58" s="7" cm="1">
        <f t="array" aca="1" ref="K58" ca="1">INDEX(INDIRECT($M58),
       MATCH(TRIM($C58), TRIM(INDIRECT($N58)), 0),
       MATCH(TRIM(K$1), TRIM(INDIRECT($O58)), 0))</f>
        <v>0</v>
      </c>
      <c r="L58" s="7" cm="1">
        <f t="array" aca="1" ref="L58" ca="1">INDEX(INDIRECT($M58),
       MATCH(TRIM($C58), TRIM(INDIRECT($N58)), 0),
       MATCH(TRIM(L$1), TRIM(INDIRECT($O58)), 0))</f>
        <v>0.5</v>
      </c>
      <c r="M58" s="5" t="str">
        <f>_xlfn.CONCAT("'",$B58,"'","!","$C$3:$K$23")</f>
        <v>'2017'!$C$3:$K$23</v>
      </c>
      <c r="N58" s="5" t="str">
        <f>_xlfn.CONCAT("'",$B58,"'","!","$B$3:$B$22")</f>
        <v>'2017'!$B$3:$B$22</v>
      </c>
      <c r="O58" s="5" t="str">
        <f>_xlfn.CONCAT("'",$B58,"'","!","$C$2:$K$2")</f>
        <v>'2017'!$C$2:$K$2</v>
      </c>
    </row>
    <row r="59" spans="1:15" x14ac:dyDescent="0.3">
      <c r="A59">
        <v>1</v>
      </c>
      <c r="B59">
        <v>2018</v>
      </c>
      <c r="C59" t="s">
        <v>78</v>
      </c>
      <c r="D59" s="7" cm="1">
        <f t="array" aca="1" ref="D59" ca="1">INDEX(INDIRECT($M59),
       MATCH(TRIM($C59), TRIM(INDIRECT($N59)), 0),
       MATCH(TRIM(D$1), TRIM(INDIRECT($O59)), 0))</f>
        <v>1065</v>
      </c>
      <c r="E59" s="9" cm="1">
        <f t="array" aca="1" ref="E59" ca="1">INDEX(INDIRECT($M59),
       MATCH(TRIM($C59), TRIM(INDIRECT($N59)), 0),
       MATCH(TRIM(E$1), TRIM(INDIRECT($O59)), 0))</f>
        <v>9067458901.3600006</v>
      </c>
      <c r="F59" s="7" cm="1">
        <f t="array" aca="1" ref="F59" ca="1">INDEX(INDIRECT($M59),
       MATCH(TRIM($C59), TRIM(INDIRECT($N59)), 0),
       MATCH(TRIM(F$1), TRIM(INDIRECT($O59)), 0))</f>
        <v>9067.4589013599998</v>
      </c>
      <c r="G59" s="7" cm="1">
        <f t="array" aca="1" ref="G59" ca="1">INDEX(INDIRECT($M59),
       MATCH(TRIM($C59), TRIM(INDIRECT($N59)), 0),
       MATCH(TRIM(G$1), TRIM(INDIRECT($O59)), 0))</f>
        <v>743</v>
      </c>
      <c r="H59" s="9" cm="1">
        <f t="array" aca="1" ref="H59" ca="1">INDEX(INDIRECT($M59),
       MATCH(TRIM($C59), TRIM(INDIRECT($N59)), 0),
       MATCH(TRIM(H$1), TRIM(INDIRECT($O59)), 0))</f>
        <v>5093781230.5610552</v>
      </c>
      <c r="I59" s="7" cm="1">
        <f t="array" aca="1" ref="I59" ca="1">INDEX(INDIRECT($M59),
       MATCH(TRIM($C59), TRIM(INDIRECT($N59)), 0),
       MATCH(TRIM(I$1), TRIM(INDIRECT($O59)), 0))</f>
        <v>5093.7812305610551</v>
      </c>
      <c r="J59" s="7" cm="1">
        <f t="array" aca="1" ref="J59" ca="1">INDEX(INDIRECT($M59),
       MATCH(TRIM($C59), TRIM(INDIRECT($N59)), 0),
       MATCH(TRIM(J$1), TRIM(INDIRECT($O59)), 0))</f>
        <v>1528</v>
      </c>
      <c r="K59" s="7" cm="1">
        <f t="array" aca="1" ref="K59" ca="1">INDEX(INDIRECT($M59),
       MATCH(TRIM($C59), TRIM(INDIRECT($N59)), 0),
       MATCH(TRIM(K$1), TRIM(INDIRECT($O59)), 0))</f>
        <v>2426.7983857663912</v>
      </c>
      <c r="L59" s="7" cm="1">
        <f t="array" aca="1" ref="L59" ca="1">INDEX(INDIRECT($M59),
       MATCH(TRIM($C59), TRIM(INDIRECT($N59)), 0),
       MATCH(TRIM(L$1), TRIM(INDIRECT($O59)), 0))</f>
        <v>16588.038517687448</v>
      </c>
      <c r="M59" s="5" t="str">
        <f>_xlfn.CONCAT("'",$B59,"'","!","$C$3:$K$23")</f>
        <v>'2018'!$C$3:$K$23</v>
      </c>
      <c r="N59" s="5" t="str">
        <f>_xlfn.CONCAT("'",$B59,"'","!","$B$3:$B$22")</f>
        <v>'2018'!$B$3:$B$22</v>
      </c>
      <c r="O59" s="5" t="str">
        <f>_xlfn.CONCAT("'",$B59,"'","!","$C$2:$K$2")</f>
        <v>'2018'!$C$2:$K$2</v>
      </c>
    </row>
    <row r="60" spans="1:15" x14ac:dyDescent="0.3">
      <c r="A60">
        <v>2</v>
      </c>
      <c r="B60">
        <v>2018</v>
      </c>
      <c r="C60" t="s">
        <v>79</v>
      </c>
      <c r="D60" s="7" cm="1">
        <f t="array" aca="1" ref="D60" ca="1">INDEX(INDIRECT($M60),
       MATCH(TRIM($C60), TRIM(INDIRECT($N60)), 0),
       MATCH(TRIM(D$1), TRIM(INDIRECT($O60)), 0))</f>
        <v>19</v>
      </c>
      <c r="E60" s="9" cm="1">
        <f t="array" aca="1" ref="E60" ca="1">INDEX(INDIRECT($M60),
       MATCH(TRIM($C60), TRIM(INDIRECT($N60)), 0),
       MATCH(TRIM(E$1), TRIM(INDIRECT($O60)), 0))</f>
        <v>1631330648</v>
      </c>
      <c r="F60" s="7" cm="1">
        <f t="array" aca="1" ref="F60" ca="1">INDEX(INDIRECT($M60),
       MATCH(TRIM($C60), TRIM(INDIRECT($N60)), 0),
       MATCH(TRIM(F$1), TRIM(INDIRECT($O60)), 0))</f>
        <v>1631.3306480000001</v>
      </c>
      <c r="G60" s="7" cm="1">
        <f t="array" aca="1" ref="G60" ca="1">INDEX(INDIRECT($M60),
       MATCH(TRIM($C60), TRIM(INDIRECT($N60)), 0),
       MATCH(TRIM(G$1), TRIM(INDIRECT($O60)), 0))</f>
        <v>2</v>
      </c>
      <c r="H60" s="9" cm="1">
        <f t="array" aca="1" ref="H60" ca="1">INDEX(INDIRECT($M60),
       MATCH(TRIM($C60), TRIM(INDIRECT($N60)), 0),
       MATCH(TRIM(H$1), TRIM(INDIRECT($O60)), 0))</f>
        <v>-3651078</v>
      </c>
      <c r="I60" s="7" cm="1">
        <f t="array" aca="1" ref="I60" ca="1">INDEX(INDIRECT($M60),
       MATCH(TRIM($C60), TRIM(INDIRECT($N60)), 0),
       MATCH(TRIM(I$1), TRIM(INDIRECT($O60)), 0))</f>
        <v>-3.651078</v>
      </c>
      <c r="J60" s="7" cm="1">
        <f t="array" aca="1" ref="J60" ca="1">INDEX(INDIRECT($M60),
       MATCH(TRIM($C60), TRIM(INDIRECT($N60)), 0),
       MATCH(TRIM(J$1), TRIM(INDIRECT($O60)), 0))</f>
        <v>0</v>
      </c>
      <c r="K60" s="7" cm="1">
        <f t="array" aca="1" ref="K60" ca="1">INDEX(INDIRECT($M60),
       MATCH(TRIM($C60), TRIM(INDIRECT($N60)), 0),
       MATCH(TRIM(K$1), TRIM(INDIRECT($O60)), 0))</f>
        <v>0</v>
      </c>
      <c r="L60" s="7" cm="1">
        <f t="array" aca="1" ref="L60" ca="1">INDEX(INDIRECT($M60),
       MATCH(TRIM($C60), TRIM(INDIRECT($N60)), 0),
       MATCH(TRIM(L$1), TRIM(INDIRECT($O60)), 0))</f>
        <v>1627.67957</v>
      </c>
      <c r="M60" s="5" t="str">
        <f>_xlfn.CONCAT("'",$B60,"'","!","$C$3:$K$23")</f>
        <v>'2018'!$C$3:$K$23</v>
      </c>
      <c r="N60" s="5" t="str">
        <f>_xlfn.CONCAT("'",$B60,"'","!","$B$3:$B$22")</f>
        <v>'2018'!$B$3:$B$22</v>
      </c>
      <c r="O60" s="5" t="str">
        <f>_xlfn.CONCAT("'",$B60,"'","!","$C$2:$K$2")</f>
        <v>'2018'!$C$2:$K$2</v>
      </c>
    </row>
    <row r="61" spans="1:15" x14ac:dyDescent="0.3">
      <c r="A61">
        <v>3</v>
      </c>
      <c r="B61">
        <v>2018</v>
      </c>
      <c r="C61" t="s">
        <v>80</v>
      </c>
      <c r="D61" s="7" cm="1">
        <f t="array" aca="1" ref="D61" ca="1">INDEX(INDIRECT($M61),
       MATCH(TRIM($C61), TRIM(INDIRECT($N61)), 0),
       MATCH(TRIM(D$1), TRIM(INDIRECT($O61)), 0))</f>
        <v>92</v>
      </c>
      <c r="E61" s="9" cm="1">
        <f t="array" aca="1" ref="E61" ca="1">INDEX(INDIRECT($M61),
       MATCH(TRIM($C61), TRIM(INDIRECT($N61)), 0),
       MATCH(TRIM(E$1), TRIM(INDIRECT($O61)), 0))</f>
        <v>5216777980</v>
      </c>
      <c r="F61" s="7" cm="1">
        <f t="array" aca="1" ref="F61" ca="1">INDEX(INDIRECT($M61),
       MATCH(TRIM($C61), TRIM(INDIRECT($N61)), 0),
       MATCH(TRIM(F$1), TRIM(INDIRECT($O61)), 0))</f>
        <v>5216.7779799999998</v>
      </c>
      <c r="G61" s="7" cm="1">
        <f t="array" aca="1" ref="G61" ca="1">INDEX(INDIRECT($M61),
       MATCH(TRIM($C61), TRIM(INDIRECT($N61)), 0),
       MATCH(TRIM(G$1), TRIM(INDIRECT($O61)), 0))</f>
        <v>31</v>
      </c>
      <c r="H61" s="9" cm="1">
        <f t="array" aca="1" ref="H61" ca="1">INDEX(INDIRECT($M61),
       MATCH(TRIM($C61), TRIM(INDIRECT($N61)), 0),
       MATCH(TRIM(H$1), TRIM(INDIRECT($O61)), 0))</f>
        <v>727437252</v>
      </c>
      <c r="I61" s="7" cm="1">
        <f t="array" aca="1" ref="I61" ca="1">INDEX(INDIRECT($M61),
       MATCH(TRIM($C61), TRIM(INDIRECT($N61)), 0),
       MATCH(TRIM(I$1), TRIM(INDIRECT($O61)), 0))</f>
        <v>727.43725199999994</v>
      </c>
      <c r="J61" s="7" cm="1">
        <f t="array" aca="1" ref="J61" ca="1">INDEX(INDIRECT($M61),
       MATCH(TRIM($C61), TRIM(INDIRECT($N61)), 0),
       MATCH(TRIM(J$1), TRIM(INDIRECT($O61)), 0))</f>
        <v>147</v>
      </c>
      <c r="K61" s="7" cm="1">
        <f t="array" aca="1" ref="K61" ca="1">INDEX(INDIRECT($M61),
       MATCH(TRIM($C61), TRIM(INDIRECT($N61)), 0),
       MATCH(TRIM(K$1), TRIM(INDIRECT($O61)), 0))</f>
        <v>671.10970676258262</v>
      </c>
      <c r="L61" s="7" cm="1">
        <f t="array" aca="1" ref="L61" ca="1">INDEX(INDIRECT($M61),
       MATCH(TRIM($C61), TRIM(INDIRECT($N61)), 0),
       MATCH(TRIM(L$1), TRIM(INDIRECT($O61)), 0))</f>
        <v>6615.324938762582</v>
      </c>
      <c r="M61" s="5" t="str">
        <f>_xlfn.CONCAT("'",$B61,"'","!","$C$3:$K$23")</f>
        <v>'2018'!$C$3:$K$23</v>
      </c>
      <c r="N61" s="5" t="str">
        <f>_xlfn.CONCAT("'",$B61,"'","!","$B$3:$B$22")</f>
        <v>'2018'!$B$3:$B$22</v>
      </c>
      <c r="O61" s="5" t="str">
        <f>_xlfn.CONCAT("'",$B61,"'","!","$C$2:$K$2")</f>
        <v>'2018'!$C$2:$K$2</v>
      </c>
    </row>
    <row r="62" spans="1:15" x14ac:dyDescent="0.3">
      <c r="A62">
        <v>4</v>
      </c>
      <c r="B62">
        <v>2018</v>
      </c>
      <c r="C62" t="s">
        <v>81</v>
      </c>
      <c r="D62" s="7" cm="1">
        <f t="array" aca="1" ref="D62" ca="1">INDEX(INDIRECT($M62),
       MATCH(TRIM($C62), TRIM(INDIRECT($N62)), 0),
       MATCH(TRIM(D$1), TRIM(INDIRECT($O62)), 0))</f>
        <v>114</v>
      </c>
      <c r="E62" s="9" cm="1">
        <f t="array" aca="1" ref="E62" ca="1">INDEX(INDIRECT($M62),
       MATCH(TRIM($C62), TRIM(INDIRECT($N62)), 0),
       MATCH(TRIM(E$1), TRIM(INDIRECT($O62)), 0))</f>
        <v>217669265</v>
      </c>
      <c r="F62" s="7" cm="1">
        <f t="array" aca="1" ref="F62" ca="1">INDEX(INDIRECT($M62),
       MATCH(TRIM($C62), TRIM(INDIRECT($N62)), 0),
       MATCH(TRIM(F$1), TRIM(INDIRECT($O62)), 0))</f>
        <v>217.669265</v>
      </c>
      <c r="G62" s="7" cm="1">
        <f t="array" aca="1" ref="G62" ca="1">INDEX(INDIRECT($M62),
       MATCH(TRIM($C62), TRIM(INDIRECT($N62)), 0),
       MATCH(TRIM(G$1), TRIM(INDIRECT($O62)), 0))</f>
        <v>38</v>
      </c>
      <c r="H62" s="9" cm="1">
        <f t="array" aca="1" ref="H62" ca="1">INDEX(INDIRECT($M62),
       MATCH(TRIM($C62), TRIM(INDIRECT($N62)), 0),
       MATCH(TRIM(H$1), TRIM(INDIRECT($O62)), 0))</f>
        <v>26743485</v>
      </c>
      <c r="I62" s="7" cm="1">
        <f t="array" aca="1" ref="I62" ca="1">INDEX(INDIRECT($M62),
       MATCH(TRIM($C62), TRIM(INDIRECT($N62)), 0),
       MATCH(TRIM(I$1), TRIM(INDIRECT($O62)), 0))</f>
        <v>26.743485</v>
      </c>
      <c r="J62" s="7" cm="1">
        <f t="array" aca="1" ref="J62" ca="1">INDEX(INDIRECT($M62),
       MATCH(TRIM($C62), TRIM(INDIRECT($N62)), 0),
       MATCH(TRIM(J$1), TRIM(INDIRECT($O62)), 0))</f>
        <v>255</v>
      </c>
      <c r="K62" s="7" cm="1">
        <f t="array" aca="1" ref="K62" ca="1">INDEX(INDIRECT($M62),
       MATCH(TRIM($C62), TRIM(INDIRECT($N62)), 0),
       MATCH(TRIM(K$1), TRIM(INDIRECT($O62)), 0))</f>
        <v>938.66062011893166</v>
      </c>
      <c r="L62" s="7" cm="1">
        <f t="array" aca="1" ref="L62" ca="1">INDEX(INDIRECT($M62),
       MATCH(TRIM($C62), TRIM(INDIRECT($N62)), 0),
       MATCH(TRIM(L$1), TRIM(INDIRECT($O62)), 0))</f>
        <v>1183.0733701189317</v>
      </c>
      <c r="M62" s="5" t="str">
        <f>_xlfn.CONCAT("'",$B62,"'","!","$C$3:$K$23")</f>
        <v>'2018'!$C$3:$K$23</v>
      </c>
      <c r="N62" s="5" t="str">
        <f>_xlfn.CONCAT("'",$B62,"'","!","$B$3:$B$22")</f>
        <v>'2018'!$B$3:$B$22</v>
      </c>
      <c r="O62" s="5" t="str">
        <f>_xlfn.CONCAT("'",$B62,"'","!","$C$2:$K$2")</f>
        <v>'2018'!$C$2:$K$2</v>
      </c>
    </row>
    <row r="63" spans="1:15" x14ac:dyDescent="0.3">
      <c r="A63">
        <v>5</v>
      </c>
      <c r="B63">
        <v>2018</v>
      </c>
      <c r="C63" t="s">
        <v>82</v>
      </c>
      <c r="D63" s="7" cm="1">
        <f t="array" aca="1" ref="D63" ca="1">INDEX(INDIRECT($M63),
       MATCH(TRIM($C63), TRIM(INDIRECT($N63)), 0),
       MATCH(TRIM(D$1), TRIM(INDIRECT($O63)), 0))</f>
        <v>757</v>
      </c>
      <c r="E63" s="9" cm="1">
        <f t="array" aca="1" ref="E63" ca="1">INDEX(INDIRECT($M63),
       MATCH(TRIM($C63), TRIM(INDIRECT($N63)), 0),
       MATCH(TRIM(E$1), TRIM(INDIRECT($O63)), 0))</f>
        <v>704533419</v>
      </c>
      <c r="F63" s="7" cm="1">
        <f t="array" aca="1" ref="F63" ca="1">INDEX(INDIRECT($M63),
       MATCH(TRIM($C63), TRIM(INDIRECT($N63)), 0),
       MATCH(TRIM(F$1), TRIM(INDIRECT($O63)), 0))</f>
        <v>704.53341899999998</v>
      </c>
      <c r="G63" s="7" cm="1">
        <f t="array" aca="1" ref="G63" ca="1">INDEX(INDIRECT($M63),
       MATCH(TRIM($C63), TRIM(INDIRECT($N63)), 0),
       MATCH(TRIM(G$1), TRIM(INDIRECT($O63)), 0))</f>
        <v>119</v>
      </c>
      <c r="H63" s="9" cm="1">
        <f t="array" aca="1" ref="H63" ca="1">INDEX(INDIRECT($M63),
       MATCH(TRIM($C63), TRIM(INDIRECT($N63)), 0),
       MATCH(TRIM(H$1), TRIM(INDIRECT($O63)), 0))</f>
        <v>105263028</v>
      </c>
      <c r="I63" s="7" cm="1">
        <f t="array" aca="1" ref="I63" ca="1">INDEX(INDIRECT($M63),
       MATCH(TRIM($C63), TRIM(INDIRECT($N63)), 0),
       MATCH(TRIM(I$1), TRIM(INDIRECT($O63)), 0))</f>
        <v>105.26302800000001</v>
      </c>
      <c r="J63" s="7" cm="1">
        <f t="array" aca="1" ref="J63" ca="1">INDEX(INDIRECT($M63),
       MATCH(TRIM($C63), TRIM(INDIRECT($N63)), 0),
       MATCH(TRIM(J$1), TRIM(INDIRECT($O63)), 0))</f>
        <v>2829</v>
      </c>
      <c r="K63" s="7" cm="1">
        <f t="array" aca="1" ref="K63" ca="1">INDEX(INDIRECT($M63),
       MATCH(TRIM($C63), TRIM(INDIRECT($N63)), 0),
       MATCH(TRIM(K$1), TRIM(INDIRECT($O63)), 0))</f>
        <v>2863.1118280000023</v>
      </c>
      <c r="L63" s="7" cm="1">
        <f t="array" aca="1" ref="L63" ca="1">INDEX(INDIRECT($M63),
       MATCH(TRIM($C63), TRIM(INDIRECT($N63)), 0),
       MATCH(TRIM(L$1), TRIM(INDIRECT($O63)), 0))</f>
        <v>3672.9082750000025</v>
      </c>
      <c r="M63" s="5" t="str">
        <f>_xlfn.CONCAT("'",$B63,"'","!","$C$3:$K$23")</f>
        <v>'2018'!$C$3:$K$23</v>
      </c>
      <c r="N63" s="5" t="str">
        <f>_xlfn.CONCAT("'",$B63,"'","!","$B$3:$B$22")</f>
        <v>'2018'!$B$3:$B$22</v>
      </c>
      <c r="O63" s="5" t="str">
        <f>_xlfn.CONCAT("'",$B63,"'","!","$C$2:$K$2")</f>
        <v>'2018'!$C$2:$K$2</v>
      </c>
    </row>
    <row r="64" spans="1:15" x14ac:dyDescent="0.3">
      <c r="A64">
        <v>6</v>
      </c>
      <c r="B64">
        <v>2018</v>
      </c>
      <c r="C64" t="s">
        <v>83</v>
      </c>
      <c r="D64" s="7" cm="1">
        <f t="array" aca="1" ref="D64" ca="1">INDEX(INDIRECT($M64),
       MATCH(TRIM($C64), TRIM(INDIRECT($N64)), 0),
       MATCH(TRIM(D$1), TRIM(INDIRECT($O64)), 0))</f>
        <v>11</v>
      </c>
      <c r="E64" s="9" cm="1">
        <f t="array" aca="1" ref="E64" ca="1">INDEX(INDIRECT($M64),
       MATCH(TRIM($C64), TRIM(INDIRECT($N64)), 0),
       MATCH(TRIM(E$1), TRIM(INDIRECT($O64)), 0))</f>
        <v>71154916</v>
      </c>
      <c r="F64" s="7" cm="1">
        <f t="array" aca="1" ref="F64" ca="1">INDEX(INDIRECT($M64),
       MATCH(TRIM($C64), TRIM(INDIRECT($N64)), 0),
       MATCH(TRIM(F$1), TRIM(INDIRECT($O64)), 0))</f>
        <v>71.154916</v>
      </c>
      <c r="G64" s="7" cm="1">
        <f t="array" aca="1" ref="G64" ca="1">INDEX(INDIRECT($M64),
       MATCH(TRIM($C64), TRIM(INDIRECT($N64)), 0),
       MATCH(TRIM(G$1), TRIM(INDIRECT($O64)), 0))</f>
        <v>14</v>
      </c>
      <c r="H64" s="9" cm="1">
        <f t="array" aca="1" ref="H64" ca="1">INDEX(INDIRECT($M64),
       MATCH(TRIM($C64), TRIM(INDIRECT($N64)), 0),
       MATCH(TRIM(H$1), TRIM(INDIRECT($O64)), 0))</f>
        <v>61160616</v>
      </c>
      <c r="I64" s="7" cm="1">
        <f t="array" aca="1" ref="I64" ca="1">INDEX(INDIRECT($M64),
       MATCH(TRIM($C64), TRIM(INDIRECT($N64)), 0),
       MATCH(TRIM(I$1), TRIM(INDIRECT($O64)), 0))</f>
        <v>61.160615999999997</v>
      </c>
      <c r="J64" s="7" cm="1">
        <f t="array" aca="1" ref="J64" ca="1">INDEX(INDIRECT($M64),
       MATCH(TRIM($C64), TRIM(INDIRECT($N64)), 0),
       MATCH(TRIM(J$1), TRIM(INDIRECT($O64)), 0))</f>
        <v>28</v>
      </c>
      <c r="K64" s="7" cm="1">
        <f t="array" aca="1" ref="K64" ca="1">INDEX(INDIRECT($M64),
       MATCH(TRIM($C64), TRIM(INDIRECT($N64)), 0),
       MATCH(TRIM(K$1), TRIM(INDIRECT($O64)), 0))</f>
        <v>8.5322779675047862</v>
      </c>
      <c r="L64" s="7" cm="1">
        <f t="array" aca="1" ref="L64" ca="1">INDEX(INDIRECT($M64),
       MATCH(TRIM($C64), TRIM(INDIRECT($N64)), 0),
       MATCH(TRIM(L$1), TRIM(INDIRECT($O64)), 0))</f>
        <v>140.84780996750479</v>
      </c>
      <c r="M64" s="5" t="str">
        <f>_xlfn.CONCAT("'",$B64,"'","!","$C$3:$K$23")</f>
        <v>'2018'!$C$3:$K$23</v>
      </c>
      <c r="N64" s="5" t="str">
        <f>_xlfn.CONCAT("'",$B64,"'","!","$B$3:$B$22")</f>
        <v>'2018'!$B$3:$B$22</v>
      </c>
      <c r="O64" s="5" t="str">
        <f>_xlfn.CONCAT("'",$B64,"'","!","$C$2:$K$2")</f>
        <v>'2018'!$C$2:$K$2</v>
      </c>
    </row>
    <row r="65" spans="1:15" x14ac:dyDescent="0.3">
      <c r="A65">
        <v>7</v>
      </c>
      <c r="B65">
        <v>2018</v>
      </c>
      <c r="C65" t="s">
        <v>84</v>
      </c>
      <c r="D65" s="7" cm="1">
        <f t="array" aca="1" ref="D65" ca="1">INDEX(INDIRECT($M65),
       MATCH(TRIM($C65), TRIM(INDIRECT($N65)), 0),
       MATCH(TRIM(D$1), TRIM(INDIRECT($O65)), 0))</f>
        <v>386</v>
      </c>
      <c r="E65" s="9" cm="1">
        <f t="array" aca="1" ref="E65" ca="1">INDEX(INDIRECT($M65),
       MATCH(TRIM($C65), TRIM(INDIRECT($N65)), 0),
       MATCH(TRIM(E$1), TRIM(INDIRECT($O65)), 0))</f>
        <v>183365170</v>
      </c>
      <c r="F65" s="7" cm="1">
        <f t="array" aca="1" ref="F65" ca="1">INDEX(INDIRECT($M65),
       MATCH(TRIM($C65), TRIM(INDIRECT($N65)), 0),
       MATCH(TRIM(F$1), TRIM(INDIRECT($O65)), 0))</f>
        <v>183.36517000000001</v>
      </c>
      <c r="G65" s="7" cm="1">
        <f t="array" aca="1" ref="G65" ca="1">INDEX(INDIRECT($M65),
       MATCH(TRIM($C65), TRIM(INDIRECT($N65)), 0),
       MATCH(TRIM(G$1), TRIM(INDIRECT($O65)), 0))</f>
        <v>88</v>
      </c>
      <c r="H65" s="9" cm="1">
        <f t="array" aca="1" ref="H65" ca="1">INDEX(INDIRECT($M65),
       MATCH(TRIM($C65), TRIM(INDIRECT($N65)), 0),
       MATCH(TRIM(H$1), TRIM(INDIRECT($O65)), 0))</f>
        <v>144045329</v>
      </c>
      <c r="I65" s="7" cm="1">
        <f t="array" aca="1" ref="I65" ca="1">INDEX(INDIRECT($M65),
       MATCH(TRIM($C65), TRIM(INDIRECT($N65)), 0),
       MATCH(TRIM(I$1), TRIM(INDIRECT($O65)), 0))</f>
        <v>144.04532900000001</v>
      </c>
      <c r="J65" s="7" cm="1">
        <f t="array" aca="1" ref="J65" ca="1">INDEX(INDIRECT($M65),
       MATCH(TRIM($C65), TRIM(INDIRECT($N65)), 0),
       MATCH(TRIM(J$1), TRIM(INDIRECT($O65)), 0))</f>
        <v>584</v>
      </c>
      <c r="K65" s="7" cm="1">
        <f t="array" aca="1" ref="K65" ca="1">INDEX(INDIRECT($M65),
       MATCH(TRIM($C65), TRIM(INDIRECT($N65)), 0),
       MATCH(TRIM(K$1), TRIM(INDIRECT($O65)), 0))</f>
        <v>1820.0035041070746</v>
      </c>
      <c r="L65" s="7" cm="1">
        <f t="array" aca="1" ref="L65" ca="1">INDEX(INDIRECT($M65),
       MATCH(TRIM($C65), TRIM(INDIRECT($N65)), 0),
       MATCH(TRIM(L$1), TRIM(INDIRECT($O65)), 0))</f>
        <v>2147.4140031070747</v>
      </c>
      <c r="M65" s="5" t="str">
        <f>_xlfn.CONCAT("'",$B65,"'","!","$C$3:$K$23")</f>
        <v>'2018'!$C$3:$K$23</v>
      </c>
      <c r="N65" s="5" t="str">
        <f>_xlfn.CONCAT("'",$B65,"'","!","$B$3:$B$22")</f>
        <v>'2018'!$B$3:$B$22</v>
      </c>
      <c r="O65" s="5" t="str">
        <f>_xlfn.CONCAT("'",$B65,"'","!","$C$2:$K$2")</f>
        <v>'2018'!$C$2:$K$2</v>
      </c>
    </row>
    <row r="66" spans="1:15" x14ac:dyDescent="0.3">
      <c r="A66">
        <v>8</v>
      </c>
      <c r="B66">
        <v>2018</v>
      </c>
      <c r="C66" t="s">
        <v>85</v>
      </c>
      <c r="D66" s="7" cm="1">
        <f t="array" aca="1" ref="D66" ca="1">INDEX(INDIRECT($M66),
       MATCH(TRIM($C66), TRIM(INDIRECT($N66)), 0),
       MATCH(TRIM(D$1), TRIM(INDIRECT($O66)), 0))</f>
        <v>73</v>
      </c>
      <c r="E66" s="9" cm="1">
        <f t="array" aca="1" ref="E66" ca="1">INDEX(INDIRECT($M66),
       MATCH(TRIM($C66), TRIM(INDIRECT($N66)), 0),
       MATCH(TRIM(E$1), TRIM(INDIRECT($O66)), 0))</f>
        <v>206470370</v>
      </c>
      <c r="F66" s="7" cm="1">
        <f t="array" aca="1" ref="F66" ca="1">INDEX(INDIRECT($M66),
       MATCH(TRIM($C66), TRIM(INDIRECT($N66)), 0),
       MATCH(TRIM(F$1), TRIM(INDIRECT($O66)), 0))</f>
        <v>206.47037</v>
      </c>
      <c r="G66" s="7" cm="1">
        <f t="array" aca="1" ref="G66" ca="1">INDEX(INDIRECT($M66),
       MATCH(TRIM($C66), TRIM(INDIRECT($N66)), 0),
       MATCH(TRIM(G$1), TRIM(INDIRECT($O66)), 0))</f>
        <v>24</v>
      </c>
      <c r="H66" s="9" cm="1">
        <f t="array" aca="1" ref="H66" ca="1">INDEX(INDIRECT($M66),
       MATCH(TRIM($C66), TRIM(INDIRECT($N66)), 0),
       MATCH(TRIM(H$1), TRIM(INDIRECT($O66)), 0))</f>
        <v>52898810</v>
      </c>
      <c r="I66" s="7" cm="1">
        <f t="array" aca="1" ref="I66" ca="1">INDEX(INDIRECT($M66),
       MATCH(TRIM($C66), TRIM(INDIRECT($N66)), 0),
       MATCH(TRIM(I$1), TRIM(INDIRECT($O66)), 0))</f>
        <v>52.898809999999997</v>
      </c>
      <c r="J66" s="7" cm="1">
        <f t="array" aca="1" ref="J66" ca="1">INDEX(INDIRECT($M66),
       MATCH(TRIM($C66), TRIM(INDIRECT($N66)), 0),
       MATCH(TRIM(J$1), TRIM(INDIRECT($O66)), 0))</f>
        <v>131</v>
      </c>
      <c r="K66" s="7" cm="1">
        <f t="array" aca="1" ref="K66" ca="1">INDEX(INDIRECT($M66),
       MATCH(TRIM($C66), TRIM(INDIRECT($N66)), 0),
       MATCH(TRIM(K$1), TRIM(INDIRECT($O66)), 0))</f>
        <v>146.16498301128743</v>
      </c>
      <c r="L66" s="7" cm="1">
        <f t="array" aca="1" ref="L66" ca="1">INDEX(INDIRECT($M66),
       MATCH(TRIM($C66), TRIM(INDIRECT($N66)), 0),
       MATCH(TRIM(L$1), TRIM(INDIRECT($O66)), 0))</f>
        <v>405.53416301128743</v>
      </c>
      <c r="M66" s="5" t="str">
        <f>_xlfn.CONCAT("'",$B66,"'","!","$C$3:$K$23")</f>
        <v>'2018'!$C$3:$K$23</v>
      </c>
      <c r="N66" s="5" t="str">
        <f>_xlfn.CONCAT("'",$B66,"'","!","$B$3:$B$22")</f>
        <v>'2018'!$B$3:$B$22</v>
      </c>
      <c r="O66" s="5" t="str">
        <f>_xlfn.CONCAT("'",$B66,"'","!","$C$2:$K$2")</f>
        <v>'2018'!$C$2:$K$2</v>
      </c>
    </row>
    <row r="67" spans="1:15" x14ac:dyDescent="0.3">
      <c r="A67">
        <v>9</v>
      </c>
      <c r="B67">
        <v>2018</v>
      </c>
      <c r="C67" t="s">
        <v>86</v>
      </c>
      <c r="D67" s="7" cm="1">
        <f t="array" aca="1" ref="D67" ca="1">INDEX(INDIRECT($M67),
       MATCH(TRIM($C67), TRIM(INDIRECT($N67)), 0),
       MATCH(TRIM(D$1), TRIM(INDIRECT($O67)), 0))</f>
        <v>102</v>
      </c>
      <c r="E67" s="9" cm="1">
        <f t="array" aca="1" ref="E67" ca="1">INDEX(INDIRECT($M67),
       MATCH(TRIM($C67), TRIM(INDIRECT($N67)), 0),
       MATCH(TRIM(E$1), TRIM(INDIRECT($O67)), 0))</f>
        <v>27363603</v>
      </c>
      <c r="F67" s="7" cm="1">
        <f t="array" aca="1" ref="F67" ca="1">INDEX(INDIRECT($M67),
       MATCH(TRIM($C67), TRIM(INDIRECT($N67)), 0),
       MATCH(TRIM(F$1), TRIM(INDIRECT($O67)), 0))</f>
        <v>27.363603000000001</v>
      </c>
      <c r="G67" s="7" cm="1">
        <f t="array" aca="1" ref="G67" ca="1">INDEX(INDIRECT($M67),
       MATCH(TRIM($C67), TRIM(INDIRECT($N67)), 0),
       MATCH(TRIM(G$1), TRIM(INDIRECT($O67)), 0))</f>
        <v>21</v>
      </c>
      <c r="H67" s="9" cm="1">
        <f t="array" aca="1" ref="H67" ca="1">INDEX(INDIRECT($M67),
       MATCH(TRIM($C67), TRIM(INDIRECT($N67)), 0),
       MATCH(TRIM(H$1), TRIM(INDIRECT($O67)), 0))</f>
        <v>59820955</v>
      </c>
      <c r="I67" s="7" cm="1">
        <f t="array" aca="1" ref="I67" ca="1">INDEX(INDIRECT($M67),
       MATCH(TRIM($C67), TRIM(INDIRECT($N67)), 0),
       MATCH(TRIM(I$1), TRIM(INDIRECT($O67)), 0))</f>
        <v>59.820954999999998</v>
      </c>
      <c r="J67" s="7" cm="1">
        <f t="array" aca="1" ref="J67" ca="1">INDEX(INDIRECT($M67),
       MATCH(TRIM($C67), TRIM(INDIRECT($N67)), 0),
       MATCH(TRIM(J$1), TRIM(INDIRECT($O67)), 0))</f>
        <v>311</v>
      </c>
      <c r="K67" s="7" cm="1">
        <f t="array" aca="1" ref="K67" ca="1">INDEX(INDIRECT($M67),
       MATCH(TRIM($C67), TRIM(INDIRECT($N67)), 0),
       MATCH(TRIM(K$1), TRIM(INDIRECT($O67)), 0))</f>
        <v>491.34076173368044</v>
      </c>
      <c r="L67" s="7" cm="1">
        <f t="array" aca="1" ref="L67" ca="1">INDEX(INDIRECT($M67),
       MATCH(TRIM($C67), TRIM(INDIRECT($N67)), 0),
       MATCH(TRIM(L$1), TRIM(INDIRECT($O67)), 0))</f>
        <v>578.52531973368048</v>
      </c>
      <c r="M67" s="5" t="str">
        <f>_xlfn.CONCAT("'",$B67,"'","!","$C$3:$K$23")</f>
        <v>'2018'!$C$3:$K$23</v>
      </c>
      <c r="N67" s="5" t="str">
        <f>_xlfn.CONCAT("'",$B67,"'","!","$B$3:$B$22")</f>
        <v>'2018'!$B$3:$B$22</v>
      </c>
      <c r="O67" s="5" t="str">
        <f>_xlfn.CONCAT("'",$B67,"'","!","$C$2:$K$2")</f>
        <v>'2018'!$C$2:$K$2</v>
      </c>
    </row>
    <row r="68" spans="1:15" x14ac:dyDescent="0.3">
      <c r="A68">
        <v>10</v>
      </c>
      <c r="B68">
        <v>2018</v>
      </c>
      <c r="C68" t="s">
        <v>87</v>
      </c>
      <c r="D68" s="7" cm="1">
        <f t="array" aca="1" ref="D68" ca="1">INDEX(INDIRECT($M68),
       MATCH(TRIM($C68), TRIM(INDIRECT($N68)), 0),
       MATCH(TRIM(D$1), TRIM(INDIRECT($O68)), 0))</f>
        <v>243</v>
      </c>
      <c r="E68" s="9" cm="1">
        <f t="array" aca="1" ref="E68" ca="1">INDEX(INDIRECT($M68),
       MATCH(TRIM($C68), TRIM(INDIRECT($N68)), 0),
       MATCH(TRIM(E$1), TRIM(INDIRECT($O68)), 0))</f>
        <v>273715241</v>
      </c>
      <c r="F68" s="7" cm="1">
        <f t="array" aca="1" ref="F68" ca="1">INDEX(INDIRECT($M68),
       MATCH(TRIM($C68), TRIM(INDIRECT($N68)), 0),
       MATCH(TRIM(F$1), TRIM(INDIRECT($O68)), 0))</f>
        <v>273.71524099999999</v>
      </c>
      <c r="G68" s="7" cm="1">
        <f t="array" aca="1" ref="G68" ca="1">INDEX(INDIRECT($M68),
       MATCH(TRIM($C68), TRIM(INDIRECT($N68)), 0),
       MATCH(TRIM(G$1), TRIM(INDIRECT($O68)), 0))</f>
        <v>47</v>
      </c>
      <c r="H68" s="9" cm="1">
        <f t="array" aca="1" ref="H68" ca="1">INDEX(INDIRECT($M68),
       MATCH(TRIM($C68), TRIM(INDIRECT($N68)), 0),
       MATCH(TRIM(H$1), TRIM(INDIRECT($O68)), 0))</f>
        <v>90798181</v>
      </c>
      <c r="I68" s="7" cm="1">
        <f t="array" aca="1" ref="I68" ca="1">INDEX(INDIRECT($M68),
       MATCH(TRIM($C68), TRIM(INDIRECT($N68)), 0),
       MATCH(TRIM(I$1), TRIM(INDIRECT($O68)), 0))</f>
        <v>90.798181</v>
      </c>
      <c r="J68" s="7" cm="1">
        <f t="array" aca="1" ref="J68" ca="1">INDEX(INDIRECT($M68),
       MATCH(TRIM($C68), TRIM(INDIRECT($N68)), 0),
       MATCH(TRIM(J$1), TRIM(INDIRECT($O68)), 0))</f>
        <v>321</v>
      </c>
      <c r="K68" s="7" cm="1">
        <f t="array" aca="1" ref="K68" ca="1">INDEX(INDIRECT($M68),
       MATCH(TRIM($C68), TRIM(INDIRECT($N68)), 0),
       MATCH(TRIM(K$1), TRIM(INDIRECT($O68)), 0))</f>
        <v>196.35722740521683</v>
      </c>
      <c r="L68" s="7" cm="1">
        <f t="array" aca="1" ref="L68" ca="1">INDEX(INDIRECT($M68),
       MATCH(TRIM($C68), TRIM(INDIRECT($N68)), 0),
       MATCH(TRIM(L$1), TRIM(INDIRECT($O68)), 0))</f>
        <v>560.8706494052168</v>
      </c>
      <c r="M68" s="5" t="str">
        <f>_xlfn.CONCAT("'",$B68,"'","!","$C$3:$K$23")</f>
        <v>'2018'!$C$3:$K$23</v>
      </c>
      <c r="N68" s="5" t="str">
        <f>_xlfn.CONCAT("'",$B68,"'","!","$B$3:$B$22")</f>
        <v>'2018'!$B$3:$B$22</v>
      </c>
      <c r="O68" s="5" t="str">
        <f>_xlfn.CONCAT("'",$B68,"'","!","$C$2:$K$2")</f>
        <v>'2018'!$C$2:$K$2</v>
      </c>
    </row>
    <row r="69" spans="1:15" x14ac:dyDescent="0.3">
      <c r="A69">
        <v>11</v>
      </c>
      <c r="B69">
        <v>2018</v>
      </c>
      <c r="C69" t="s">
        <v>88</v>
      </c>
      <c r="D69" s="7" cm="1">
        <f t="array" aca="1" ref="D69" ca="1">INDEX(INDIRECT($M69),
       MATCH(TRIM($C69), TRIM(INDIRECT($N69)), 0),
       MATCH(TRIM(D$1), TRIM(INDIRECT($O69)), 0))</f>
        <v>77</v>
      </c>
      <c r="E69" s="9" cm="1">
        <f t="array" aca="1" ref="E69" ca="1">INDEX(INDIRECT($M69),
       MATCH(TRIM($C69), TRIM(INDIRECT($N69)), 0),
       MATCH(TRIM(E$1), TRIM(INDIRECT($O69)), 0))</f>
        <v>52956787</v>
      </c>
      <c r="F69" s="7" cm="1">
        <f t="array" aca="1" ref="F69" ca="1">INDEX(INDIRECT($M69),
       MATCH(TRIM($C69), TRIM(INDIRECT($N69)), 0),
       MATCH(TRIM(F$1), TRIM(INDIRECT($O69)), 0))</f>
        <v>52.956786999999998</v>
      </c>
      <c r="G69" s="7" cm="1">
        <f t="array" aca="1" ref="G69" ca="1">INDEX(INDIRECT($M69),
       MATCH(TRIM($C69), TRIM(INDIRECT($N69)), 0),
       MATCH(TRIM(G$1), TRIM(INDIRECT($O69)), 0))</f>
        <v>13</v>
      </c>
      <c r="H69" s="9" cm="1">
        <f t="array" aca="1" ref="H69" ca="1">INDEX(INDIRECT($M69),
       MATCH(TRIM($C69), TRIM(INDIRECT($N69)), 0),
       MATCH(TRIM(H$1), TRIM(INDIRECT($O69)), 0))</f>
        <v>64570304</v>
      </c>
      <c r="I69" s="7" cm="1">
        <f t="array" aca="1" ref="I69" ca="1">INDEX(INDIRECT($M69),
       MATCH(TRIM($C69), TRIM(INDIRECT($N69)), 0),
       MATCH(TRIM(I$1), TRIM(INDIRECT($O69)), 0))</f>
        <v>64.570303999999993</v>
      </c>
      <c r="J69" s="7" cm="1">
        <f t="array" aca="1" ref="J69" ca="1">INDEX(INDIRECT($M69),
       MATCH(TRIM($C69), TRIM(INDIRECT($N69)), 0),
       MATCH(TRIM(J$1), TRIM(INDIRECT($O69)), 0))</f>
        <v>170</v>
      </c>
      <c r="K69" s="7" cm="1">
        <f t="array" aca="1" ref="K69" ca="1">INDEX(INDIRECT($M69),
       MATCH(TRIM($C69), TRIM(INDIRECT($N69)), 0),
       MATCH(TRIM(K$1), TRIM(INDIRECT($O69)), 0))</f>
        <v>96.441131219535293</v>
      </c>
      <c r="L69" s="7" cm="1">
        <f t="array" aca="1" ref="L69" ca="1">INDEX(INDIRECT($M69),
       MATCH(TRIM($C69), TRIM(INDIRECT($N69)), 0),
       MATCH(TRIM(L$1), TRIM(INDIRECT($O69)), 0))</f>
        <v>213.96822221953528</v>
      </c>
      <c r="M69" s="5" t="str">
        <f>_xlfn.CONCAT("'",$B69,"'","!","$C$3:$K$23")</f>
        <v>'2018'!$C$3:$K$23</v>
      </c>
      <c r="N69" s="5" t="str">
        <f>_xlfn.CONCAT("'",$B69,"'","!","$B$3:$B$22")</f>
        <v>'2018'!$B$3:$B$22</v>
      </c>
      <c r="O69" s="5" t="str">
        <f>_xlfn.CONCAT("'",$B69,"'","!","$C$2:$K$2")</f>
        <v>'2018'!$C$2:$K$2</v>
      </c>
    </row>
    <row r="70" spans="1:15" x14ac:dyDescent="0.3">
      <c r="A70">
        <v>12</v>
      </c>
      <c r="B70">
        <v>2018</v>
      </c>
      <c r="C70" t="s">
        <v>89</v>
      </c>
      <c r="D70" s="7" cm="1">
        <f t="array" aca="1" ref="D70" ca="1">INDEX(INDIRECT($M70),
       MATCH(TRIM($C70), TRIM(INDIRECT($N70)), 0),
       MATCH(TRIM(D$1), TRIM(INDIRECT($O70)), 0))</f>
        <v>9</v>
      </c>
      <c r="E70" s="9" cm="1">
        <f t="array" aca="1" ref="E70" ca="1">INDEX(INDIRECT($M70),
       MATCH(TRIM($C70), TRIM(INDIRECT($N70)), 0),
       MATCH(TRIM(E$1), TRIM(INDIRECT($O70)), 0))</f>
        <v>3953647</v>
      </c>
      <c r="F70" s="7" cm="1">
        <f t="array" aca="1" ref="F70" ca="1">INDEX(INDIRECT($M70),
       MATCH(TRIM($C70), TRIM(INDIRECT($N70)), 0),
       MATCH(TRIM(F$1), TRIM(INDIRECT($O70)), 0))</f>
        <v>3.9536470000000001</v>
      </c>
      <c r="G70" s="7" cm="1">
        <f t="array" aca="1" ref="G70" ca="1">INDEX(INDIRECT($M70),
       MATCH(TRIM($C70), TRIM(INDIRECT($N70)), 0),
       MATCH(TRIM(G$1), TRIM(INDIRECT($O70)), 0))</f>
        <v>3</v>
      </c>
      <c r="H70" s="9" cm="1">
        <f t="array" aca="1" ref="H70" ca="1">INDEX(INDIRECT($M70),
       MATCH(TRIM($C70), TRIM(INDIRECT($N70)), 0),
       MATCH(TRIM(H$1), TRIM(INDIRECT($O70)), 0))</f>
        <v>377400</v>
      </c>
      <c r="I70" s="7" cm="1">
        <f t="array" aca="1" ref="I70" ca="1">INDEX(INDIRECT($M70),
       MATCH(TRIM($C70), TRIM(INDIRECT($N70)), 0),
       MATCH(TRIM(I$1), TRIM(INDIRECT($O70)), 0))</f>
        <v>0.37740000000000001</v>
      </c>
      <c r="J70" s="7" cm="1">
        <f t="array" aca="1" ref="J70" ca="1">INDEX(INDIRECT($M70),
       MATCH(TRIM($C70), TRIM(INDIRECT($N70)), 0),
       MATCH(TRIM(J$1), TRIM(INDIRECT($O70)), 0))</f>
        <v>18</v>
      </c>
      <c r="K70" s="7" cm="1">
        <f t="array" aca="1" ref="K70" ca="1">INDEX(INDIRECT($M70),
       MATCH(TRIM($C70), TRIM(INDIRECT($N70)), 0),
       MATCH(TRIM(K$1), TRIM(INDIRECT($O70)), 0))</f>
        <v>3.4347732448880004</v>
      </c>
      <c r="L70" s="7" cm="1">
        <f t="array" aca="1" ref="L70" ca="1">INDEX(INDIRECT($M70),
       MATCH(TRIM($C70), TRIM(INDIRECT($N70)), 0),
       MATCH(TRIM(L$1), TRIM(INDIRECT($O70)), 0))</f>
        <v>7.7658202448880003</v>
      </c>
      <c r="M70" s="5" t="str">
        <f>_xlfn.CONCAT("'",$B70,"'","!","$C$3:$K$23")</f>
        <v>'2018'!$C$3:$K$23</v>
      </c>
      <c r="N70" s="5" t="str">
        <f>_xlfn.CONCAT("'",$B70,"'","!","$B$3:$B$22")</f>
        <v>'2018'!$B$3:$B$22</v>
      </c>
      <c r="O70" s="5" t="str">
        <f>_xlfn.CONCAT("'",$B70,"'","!","$C$2:$K$2")</f>
        <v>'2018'!$C$2:$K$2</v>
      </c>
    </row>
    <row r="71" spans="1:15" x14ac:dyDescent="0.3">
      <c r="A71">
        <v>13</v>
      </c>
      <c r="B71">
        <v>2018</v>
      </c>
      <c r="C71" t="s">
        <v>90</v>
      </c>
      <c r="D71" s="7" cm="1">
        <f t="array" aca="1" ref="D71" ca="1">INDEX(INDIRECT($M71),
       MATCH(TRIM($C71), TRIM(INDIRECT($N71)), 0),
       MATCH(TRIM(D$1), TRIM(INDIRECT($O71)), 0))</f>
        <v>70</v>
      </c>
      <c r="E71" s="9" cm="1">
        <f t="array" aca="1" ref="E71" ca="1">INDEX(INDIRECT($M71),
       MATCH(TRIM($C71), TRIM(INDIRECT($N71)), 0),
       MATCH(TRIM(E$1), TRIM(INDIRECT($O71)), 0))</f>
        <v>30969474</v>
      </c>
      <c r="F71" s="7" cm="1">
        <f t="array" aca="1" ref="F71" ca="1">INDEX(INDIRECT($M71),
       MATCH(TRIM($C71), TRIM(INDIRECT($N71)), 0),
       MATCH(TRIM(F$1), TRIM(INDIRECT($O71)), 0))</f>
        <v>30.969474000000002</v>
      </c>
      <c r="G71" s="7" cm="1">
        <f t="array" aca="1" ref="G71" ca="1">INDEX(INDIRECT($M71),
       MATCH(TRIM($C71), TRIM(INDIRECT($N71)), 0),
       MATCH(TRIM(G$1), TRIM(INDIRECT($O71)), 0))</f>
        <v>14</v>
      </c>
      <c r="H71" s="9" cm="1">
        <f t="array" aca="1" ref="H71" ca="1">INDEX(INDIRECT($M71),
       MATCH(TRIM($C71), TRIM(INDIRECT($N71)), 0),
       MATCH(TRIM(H$1), TRIM(INDIRECT($O71)), 0))</f>
        <v>30884192</v>
      </c>
      <c r="I71" s="7" cm="1">
        <f t="array" aca="1" ref="I71" ca="1">INDEX(INDIRECT($M71),
       MATCH(TRIM($C71), TRIM(INDIRECT($N71)), 0),
       MATCH(TRIM(I$1), TRIM(INDIRECT($O71)), 0))</f>
        <v>30.884191999999999</v>
      </c>
      <c r="J71" s="7" cm="1">
        <f t="array" aca="1" ref="J71" ca="1">INDEX(INDIRECT($M71),
       MATCH(TRIM($C71), TRIM(INDIRECT($N71)), 0),
       MATCH(TRIM(J$1), TRIM(INDIRECT($O71)), 0))</f>
        <v>92</v>
      </c>
      <c r="K71" s="7" cm="1">
        <f t="array" aca="1" ref="K71" ca="1">INDEX(INDIRECT($M71),
       MATCH(TRIM($C71), TRIM(INDIRECT($N71)), 0),
       MATCH(TRIM(K$1), TRIM(INDIRECT($O71)), 0))</f>
        <v>28.866062511456995</v>
      </c>
      <c r="L71" s="7" cm="1">
        <f t="array" aca="1" ref="L71" ca="1">INDEX(INDIRECT($M71),
       MATCH(TRIM($C71), TRIM(INDIRECT($N71)), 0),
       MATCH(TRIM(L$1), TRIM(INDIRECT($O71)), 0))</f>
        <v>90.719728511456992</v>
      </c>
      <c r="M71" s="5" t="str">
        <f>_xlfn.CONCAT("'",$B71,"'","!","$C$3:$K$23")</f>
        <v>'2018'!$C$3:$K$23</v>
      </c>
      <c r="N71" s="5" t="str">
        <f>_xlfn.CONCAT("'",$B71,"'","!","$B$3:$B$22")</f>
        <v>'2018'!$B$3:$B$22</v>
      </c>
      <c r="O71" s="5" t="str">
        <f>_xlfn.CONCAT("'",$B71,"'","!","$C$2:$K$2")</f>
        <v>'2018'!$C$2:$K$2</v>
      </c>
    </row>
    <row r="72" spans="1:15" x14ac:dyDescent="0.3">
      <c r="A72">
        <v>14</v>
      </c>
      <c r="B72">
        <v>2018</v>
      </c>
      <c r="C72" t="s">
        <v>91</v>
      </c>
      <c r="D72" s="7" cm="1">
        <f t="array" aca="1" ref="D72" ca="1">INDEX(INDIRECT($M72),
       MATCH(TRIM($C72), TRIM(INDIRECT($N72)), 0),
       MATCH(TRIM(D$1), TRIM(INDIRECT($O72)), 0))</f>
        <v>7</v>
      </c>
      <c r="E72" s="9" cm="1">
        <f t="array" aca="1" ref="E72" ca="1">INDEX(INDIRECT($M72),
       MATCH(TRIM($C72), TRIM(INDIRECT($N72)), 0),
       MATCH(TRIM(E$1), TRIM(INDIRECT($O72)), 0))</f>
        <v>232391990</v>
      </c>
      <c r="F72" s="7" cm="1">
        <f t="array" aca="1" ref="F72" ca="1">INDEX(INDIRECT($M72),
       MATCH(TRIM($C72), TRIM(INDIRECT($N72)), 0),
       MATCH(TRIM(F$1), TRIM(INDIRECT($O72)), 0))</f>
        <v>232.39198999999999</v>
      </c>
      <c r="G72" s="7" cm="1">
        <f t="array" aca="1" ref="G72" ca="1">INDEX(INDIRECT($M72),
       MATCH(TRIM($C72), TRIM(INDIRECT($N72)), 0),
       MATCH(TRIM(G$1), TRIM(INDIRECT($O72)), 0))</f>
        <v>3</v>
      </c>
      <c r="H72" s="9" cm="1">
        <f t="array" aca="1" ref="H72" ca="1">INDEX(INDIRECT($M72),
       MATCH(TRIM($C72), TRIM(INDIRECT($N72)), 0),
       MATCH(TRIM(H$1), TRIM(INDIRECT($O72)), 0))</f>
        <v>10192138</v>
      </c>
      <c r="I72" s="7" cm="1">
        <f t="array" aca="1" ref="I72" ca="1">INDEX(INDIRECT($M72),
       MATCH(TRIM($C72), TRIM(INDIRECT($N72)), 0),
       MATCH(TRIM(I$1), TRIM(INDIRECT($O72)), 0))</f>
        <v>10.192138</v>
      </c>
      <c r="J72" s="7" cm="1">
        <f t="array" aca="1" ref="J72" ca="1">INDEX(INDIRECT($M72),
       MATCH(TRIM($C72), TRIM(INDIRECT($N72)), 0),
       MATCH(TRIM(J$1), TRIM(INDIRECT($O72)), 0))</f>
        <v>9</v>
      </c>
      <c r="K72" s="7" cm="1">
        <f t="array" aca="1" ref="K72" ca="1">INDEX(INDIRECT($M72),
       MATCH(TRIM($C72), TRIM(INDIRECT($N72)), 0),
       MATCH(TRIM(K$1), TRIM(INDIRECT($O72)), 0))</f>
        <v>16.624275333300002</v>
      </c>
      <c r="L72" s="7" cm="1">
        <f t="array" aca="1" ref="L72" ca="1">INDEX(INDIRECT($M72),
       MATCH(TRIM($C72), TRIM(INDIRECT($N72)), 0),
       MATCH(TRIM(L$1), TRIM(INDIRECT($O72)), 0))</f>
        <v>259.2084033333</v>
      </c>
      <c r="M72" s="5" t="str">
        <f>_xlfn.CONCAT("'",$B72,"'","!","$C$3:$K$23")</f>
        <v>'2018'!$C$3:$K$23</v>
      </c>
      <c r="N72" s="5" t="str">
        <f>_xlfn.CONCAT("'",$B72,"'","!","$B$3:$B$22")</f>
        <v>'2018'!$B$3:$B$22</v>
      </c>
      <c r="O72" s="5" t="str">
        <f>_xlfn.CONCAT("'",$B72,"'","!","$C$2:$K$2")</f>
        <v>'2018'!$C$2:$K$2</v>
      </c>
    </row>
    <row r="73" spans="1:15" x14ac:dyDescent="0.3">
      <c r="A73">
        <v>15</v>
      </c>
      <c r="B73">
        <v>2018</v>
      </c>
      <c r="C73" t="s">
        <v>92</v>
      </c>
      <c r="D73" s="7" cm="1">
        <f t="array" aca="1" ref="D73" ca="1">INDEX(INDIRECT($M73),
       MATCH(TRIM($C73), TRIM(INDIRECT($N73)), 0),
       MATCH(TRIM(D$1), TRIM(INDIRECT($O73)), 0))</f>
        <v>7</v>
      </c>
      <c r="E73" s="9" cm="1">
        <f t="array" aca="1" ref="E73" ca="1">INDEX(INDIRECT($M73),
       MATCH(TRIM($C73), TRIM(INDIRECT($N73)), 0),
       MATCH(TRIM(E$1), TRIM(INDIRECT($O73)), 0))</f>
        <v>14170000</v>
      </c>
      <c r="F73" s="7" cm="1">
        <f t="array" aca="1" ref="F73" ca="1">INDEX(INDIRECT($M73),
       MATCH(TRIM($C73), TRIM(INDIRECT($N73)), 0),
       MATCH(TRIM(F$1), TRIM(INDIRECT($O73)), 0))</f>
        <v>14.17</v>
      </c>
      <c r="G73" s="7" cm="1">
        <f t="array" aca="1" ref="G73" ca="1">INDEX(INDIRECT($M73),
       MATCH(TRIM($C73), TRIM(INDIRECT($N73)), 0),
       MATCH(TRIM(G$1), TRIM(INDIRECT($O73)), 0))</f>
        <v>4</v>
      </c>
      <c r="H73" s="9" cm="1">
        <f t="array" aca="1" ref="H73" ca="1">INDEX(INDIRECT($M73),
       MATCH(TRIM($C73), TRIM(INDIRECT($N73)), 0),
       MATCH(TRIM(H$1), TRIM(INDIRECT($O73)), 0))</f>
        <v>3412280</v>
      </c>
      <c r="I73" s="7" cm="1">
        <f t="array" aca="1" ref="I73" ca="1">INDEX(INDIRECT($M73),
       MATCH(TRIM($C73), TRIM(INDIRECT($N73)), 0),
       MATCH(TRIM(I$1), TRIM(INDIRECT($O73)), 0))</f>
        <v>3.41228</v>
      </c>
      <c r="J73" s="7" cm="1">
        <f t="array" aca="1" ref="J73" ca="1">INDEX(INDIRECT($M73),
       MATCH(TRIM($C73), TRIM(INDIRECT($N73)), 0),
       MATCH(TRIM(J$1), TRIM(INDIRECT($O73)), 0))</f>
        <v>33</v>
      </c>
      <c r="K73" s="7" cm="1">
        <f t="array" aca="1" ref="K73" ca="1">INDEX(INDIRECT($M73),
       MATCH(TRIM($C73), TRIM(INDIRECT($N73)), 0),
       MATCH(TRIM(K$1), TRIM(INDIRECT($O73)), 0))</f>
        <v>115.226668197729</v>
      </c>
      <c r="L73" s="7" cm="1">
        <f t="array" aca="1" ref="L73" ca="1">INDEX(INDIRECT($M73),
       MATCH(TRIM($C73), TRIM(INDIRECT($N73)), 0),
       MATCH(TRIM(L$1), TRIM(INDIRECT($O73)), 0))</f>
        <v>132.80894819772899</v>
      </c>
      <c r="M73" s="5" t="str">
        <f>_xlfn.CONCAT("'",$B73,"'","!","$C$3:$K$23")</f>
        <v>'2018'!$C$3:$K$23</v>
      </c>
      <c r="N73" s="5" t="str">
        <f>_xlfn.CONCAT("'",$B73,"'","!","$B$3:$B$22")</f>
        <v>'2018'!$B$3:$B$22</v>
      </c>
      <c r="O73" s="5" t="str">
        <f>_xlfn.CONCAT("'",$B73,"'","!","$C$2:$K$2")</f>
        <v>'2018'!$C$2:$K$2</v>
      </c>
    </row>
    <row r="74" spans="1:15" x14ac:dyDescent="0.3">
      <c r="A74">
        <v>16</v>
      </c>
      <c r="B74">
        <v>2018</v>
      </c>
      <c r="C74" t="s">
        <v>93</v>
      </c>
      <c r="D74" s="7" cm="1">
        <f t="array" aca="1" ref="D74" ca="1">INDEX(INDIRECT($M74),
       MATCH(TRIM($C74), TRIM(INDIRECT($N74)), 0),
       MATCH(TRIM(D$1), TRIM(INDIRECT($O74)), 0))</f>
        <v>2</v>
      </c>
      <c r="E74" s="9" cm="1">
        <f t="array" aca="1" ref="E74" ca="1">INDEX(INDIRECT($M74),
       MATCH(TRIM($C74), TRIM(INDIRECT($N74)), 0),
       MATCH(TRIM(E$1), TRIM(INDIRECT($O74)), 0))</f>
        <v>25396887</v>
      </c>
      <c r="F74" s="7" cm="1">
        <f t="array" aca="1" ref="F74" ca="1">INDEX(INDIRECT($M74),
       MATCH(TRIM($C74), TRIM(INDIRECT($N74)), 0),
       MATCH(TRIM(F$1), TRIM(INDIRECT($O74)), 0))</f>
        <v>25.396887</v>
      </c>
      <c r="G74" s="7" cm="1">
        <f t="array" aca="1" ref="G74" ca="1">INDEX(INDIRECT($M74),
       MATCH(TRIM($C74), TRIM(INDIRECT($N74)), 0),
       MATCH(TRIM(G$1), TRIM(INDIRECT($O74)), 0))</f>
        <v>0</v>
      </c>
      <c r="H74" s="9" cm="1">
        <f t="array" aca="1" ref="H74" ca="1">INDEX(INDIRECT($M74),
       MATCH(TRIM($C74), TRIM(INDIRECT($N74)), 0),
       MATCH(TRIM(H$1), TRIM(INDIRECT($O74)), 0))</f>
        <v>0</v>
      </c>
      <c r="I74" s="7" cm="1">
        <f t="array" aca="1" ref="I74" ca="1">INDEX(INDIRECT($M74),
       MATCH(TRIM($C74), TRIM(INDIRECT($N74)), 0),
       MATCH(TRIM(I$1), TRIM(INDIRECT($O74)), 0))</f>
        <v>0</v>
      </c>
      <c r="J74" s="7" cm="1">
        <f t="array" aca="1" ref="J74" ca="1">INDEX(INDIRECT($M74),
       MATCH(TRIM($C74), TRIM(INDIRECT($N74)), 0),
       MATCH(TRIM(J$1), TRIM(INDIRECT($O74)), 0))</f>
        <v>0</v>
      </c>
      <c r="K74" s="7" cm="1">
        <f t="array" aca="1" ref="K74" ca="1">INDEX(INDIRECT($M74),
       MATCH(TRIM($C74), TRIM(INDIRECT($N74)), 0),
       MATCH(TRIM(K$1), TRIM(INDIRECT($O74)), 0))</f>
        <v>0</v>
      </c>
      <c r="L74" s="7" cm="1">
        <f t="array" aca="1" ref="L74" ca="1">INDEX(INDIRECT($M74),
       MATCH(TRIM($C74), TRIM(INDIRECT($N74)), 0),
       MATCH(TRIM(L$1), TRIM(INDIRECT($O74)), 0))</f>
        <v>25.396887</v>
      </c>
      <c r="M74" s="5" t="str">
        <f>_xlfn.CONCAT("'",$B74,"'","!","$C$3:$K$23")</f>
        <v>'2018'!$C$3:$K$23</v>
      </c>
      <c r="N74" s="5" t="str">
        <f>_xlfn.CONCAT("'",$B74,"'","!","$B$3:$B$22")</f>
        <v>'2018'!$B$3:$B$22</v>
      </c>
      <c r="O74" s="5" t="str">
        <f>_xlfn.CONCAT("'",$B74,"'","!","$C$2:$K$2")</f>
        <v>'2018'!$C$2:$K$2</v>
      </c>
    </row>
    <row r="75" spans="1:15" x14ac:dyDescent="0.3">
      <c r="A75">
        <v>17</v>
      </c>
      <c r="B75">
        <v>2018</v>
      </c>
      <c r="C75" t="s">
        <v>94</v>
      </c>
      <c r="D75" s="7" cm="1">
        <f t="array" aca="1" ref="D75" ca="1">INDEX(INDIRECT($M75),
       MATCH(TRIM($C75), TRIM(INDIRECT($N75)), 0),
       MATCH(TRIM(D$1), TRIM(INDIRECT($O75)), 0))</f>
        <v>7</v>
      </c>
      <c r="E75" s="9" cm="1">
        <f t="array" aca="1" ref="E75" ca="1">INDEX(INDIRECT($M75),
       MATCH(TRIM($C75), TRIM(INDIRECT($N75)), 0),
       MATCH(TRIM(E$1), TRIM(INDIRECT($O75)), 0))</f>
        <v>6198139</v>
      </c>
      <c r="F75" s="7" cm="1">
        <f t="array" aca="1" ref="F75" ca="1">INDEX(INDIRECT($M75),
       MATCH(TRIM($C75), TRIM(INDIRECT($N75)), 0),
       MATCH(TRIM(F$1), TRIM(INDIRECT($O75)), 0))</f>
        <v>6.1981390000000003</v>
      </c>
      <c r="G75" s="7" cm="1">
        <f t="array" aca="1" ref="G75" ca="1">INDEX(INDIRECT($M75),
       MATCH(TRIM($C75), TRIM(INDIRECT($N75)), 0),
       MATCH(TRIM(G$1), TRIM(INDIRECT($O75)), 0))</f>
        <v>1</v>
      </c>
      <c r="H75" s="9" cm="1">
        <f t="array" aca="1" ref="H75" ca="1">INDEX(INDIRECT($M75),
       MATCH(TRIM($C75), TRIM(INDIRECT($N75)), 0),
       MATCH(TRIM(H$1), TRIM(INDIRECT($O75)), 0))</f>
        <v>1124999936</v>
      </c>
      <c r="I75" s="7" cm="1">
        <f t="array" aca="1" ref="I75" ca="1">INDEX(INDIRECT($M75),
       MATCH(TRIM($C75), TRIM(INDIRECT($N75)), 0),
       MATCH(TRIM(I$1), TRIM(INDIRECT($O75)), 0))</f>
        <v>1124.9999359999999</v>
      </c>
      <c r="J75" s="7" cm="1">
        <f t="array" aca="1" ref="J75" ca="1">INDEX(INDIRECT($M75),
       MATCH(TRIM($C75), TRIM(INDIRECT($N75)), 0),
       MATCH(TRIM(J$1), TRIM(INDIRECT($O75)), 0))</f>
        <v>9</v>
      </c>
      <c r="K75" s="7" cm="1">
        <f t="array" aca="1" ref="K75" ca="1">INDEX(INDIRECT($M75),
       MATCH(TRIM($C75), TRIM(INDIRECT($N75)), 0),
       MATCH(TRIM(K$1), TRIM(INDIRECT($O75)), 0))</f>
        <v>2.4369575557500003</v>
      </c>
      <c r="L75" s="7" cm="1">
        <f t="array" aca="1" ref="L75" ca="1">INDEX(INDIRECT($M75),
       MATCH(TRIM($C75), TRIM(INDIRECT($N75)), 0),
       MATCH(TRIM(L$1), TRIM(INDIRECT($O75)), 0))</f>
        <v>1133.6350325557501</v>
      </c>
      <c r="M75" s="5" t="str">
        <f>_xlfn.CONCAT("'",$B75,"'","!","$C$3:$K$23")</f>
        <v>'2018'!$C$3:$K$23</v>
      </c>
      <c r="N75" s="5" t="str">
        <f>_xlfn.CONCAT("'",$B75,"'","!","$B$3:$B$22")</f>
        <v>'2018'!$B$3:$B$22</v>
      </c>
      <c r="O75" s="5" t="str">
        <f>_xlfn.CONCAT("'",$B75,"'","!","$C$2:$K$2")</f>
        <v>'2018'!$C$2:$K$2</v>
      </c>
    </row>
    <row r="76" spans="1:15" x14ac:dyDescent="0.3">
      <c r="A76">
        <v>18</v>
      </c>
      <c r="B76">
        <v>2018</v>
      </c>
      <c r="C76" t="s">
        <v>95</v>
      </c>
      <c r="D76" s="7" cm="1">
        <f t="array" aca="1" ref="D76" ca="1">INDEX(INDIRECT($M76),
       MATCH(TRIM($C76), TRIM(INDIRECT($N76)), 0),
       MATCH(TRIM(D$1), TRIM(INDIRECT($O76)), 0))</f>
        <v>5</v>
      </c>
      <c r="E76" s="9" cm="1">
        <f t="array" aca="1" ref="E76" ca="1">INDEX(INDIRECT($M76),
       MATCH(TRIM($C76), TRIM(INDIRECT($N76)), 0),
       MATCH(TRIM(E$1), TRIM(INDIRECT($O76)), 0))</f>
        <v>10296055</v>
      </c>
      <c r="F76" s="7" cm="1">
        <f t="array" aca="1" ref="F76" ca="1">INDEX(INDIRECT($M76),
       MATCH(TRIM($C76), TRIM(INDIRECT($N76)), 0),
       MATCH(TRIM(F$1), TRIM(INDIRECT($O76)), 0))</f>
        <v>10.296055000000001</v>
      </c>
      <c r="G76" s="7" cm="1">
        <f t="array" aca="1" ref="G76" ca="1">INDEX(INDIRECT($M76),
       MATCH(TRIM($C76), TRIM(INDIRECT($N76)), 0),
       MATCH(TRIM(G$1), TRIM(INDIRECT($O76)), 0))</f>
        <v>4</v>
      </c>
      <c r="H76" s="9" cm="1">
        <f t="array" aca="1" ref="H76" ca="1">INDEX(INDIRECT($M76),
       MATCH(TRIM($C76), TRIM(INDIRECT($N76)), 0),
       MATCH(TRIM(H$1), TRIM(INDIRECT($O76)), 0))</f>
        <v>3920849</v>
      </c>
      <c r="I76" s="7" cm="1">
        <f t="array" aca="1" ref="I76" ca="1">INDEX(INDIRECT($M76),
       MATCH(TRIM($C76), TRIM(INDIRECT($N76)), 0),
       MATCH(TRIM(I$1), TRIM(INDIRECT($O76)), 0))</f>
        <v>3.920849</v>
      </c>
      <c r="J76" s="7" cm="1">
        <f t="array" aca="1" ref="J76" ca="1">INDEX(INDIRECT($M76),
       MATCH(TRIM($C76), TRIM(INDIRECT($N76)), 0),
       MATCH(TRIM(J$1), TRIM(INDIRECT($O76)), 0))</f>
        <v>31</v>
      </c>
      <c r="K76" s="7" cm="1">
        <f t="array" aca="1" ref="K76" ca="1">INDEX(INDIRECT($M76),
       MATCH(TRIM($C76), TRIM(INDIRECT($N76)), 0),
       MATCH(TRIM(K$1), TRIM(INDIRECT($O76)), 0))</f>
        <v>67.619067331629992</v>
      </c>
      <c r="L76" s="7" cm="1">
        <f t="array" aca="1" ref="L76" ca="1">INDEX(INDIRECT($M76),
       MATCH(TRIM($C76), TRIM(INDIRECT($N76)), 0),
       MATCH(TRIM(L$1), TRIM(INDIRECT($O76)), 0))</f>
        <v>81.835971331629992</v>
      </c>
      <c r="M76" s="5" t="str">
        <f>_xlfn.CONCAT("'",$B76,"'","!","$C$3:$K$23")</f>
        <v>'2018'!$C$3:$K$23</v>
      </c>
      <c r="N76" s="5" t="str">
        <f>_xlfn.CONCAT("'",$B76,"'","!","$B$3:$B$22")</f>
        <v>'2018'!$B$3:$B$22</v>
      </c>
      <c r="O76" s="5" t="str">
        <f>_xlfn.CONCAT("'",$B76,"'","!","$C$2:$K$2")</f>
        <v>'2018'!$C$2:$K$2</v>
      </c>
    </row>
    <row r="77" spans="1:15" x14ac:dyDescent="0.3">
      <c r="A77">
        <v>19</v>
      </c>
      <c r="B77">
        <v>2018</v>
      </c>
      <c r="C77" t="s">
        <v>96</v>
      </c>
      <c r="D77" s="7" t="e" cm="1">
        <f t="array" aca="1" ref="D77" ca="1">INDEX(INDIRECT($M77),
       MATCH(TRIM($C77), TRIM(INDIRECT($N77)), 0),
       MATCH(TRIM(D$1), TRIM(INDIRECT($O77)), 0))</f>
        <v>#N/A</v>
      </c>
      <c r="E77" s="9" t="e" cm="1">
        <f t="array" aca="1" ref="E77" ca="1">INDEX(INDIRECT($M77),
       MATCH(TRIM($C77), TRIM(INDIRECT($N77)), 0),
       MATCH(TRIM(E$1), TRIM(INDIRECT($O77)), 0))</f>
        <v>#N/A</v>
      </c>
      <c r="F77" s="7" t="e" cm="1">
        <f t="array" aca="1" ref="F77" ca="1">INDEX(INDIRECT($M77),
       MATCH(TRIM($C77), TRIM(INDIRECT($N77)), 0),
       MATCH(TRIM(F$1), TRIM(INDIRECT($O77)), 0))</f>
        <v>#N/A</v>
      </c>
      <c r="G77" s="7" t="e" cm="1">
        <f t="array" aca="1" ref="G77" ca="1">INDEX(INDIRECT($M77),
       MATCH(TRIM($C77), TRIM(INDIRECT($N77)), 0),
       MATCH(TRIM(G$1), TRIM(INDIRECT($O77)), 0))</f>
        <v>#N/A</v>
      </c>
      <c r="H77" s="9" t="e" cm="1">
        <f t="array" aca="1" ref="H77" ca="1">INDEX(INDIRECT($M77),
       MATCH(TRIM($C77), TRIM(INDIRECT($N77)), 0),
       MATCH(TRIM(H$1), TRIM(INDIRECT($O77)), 0))</f>
        <v>#N/A</v>
      </c>
      <c r="I77" s="7" t="e" cm="1">
        <f t="array" aca="1" ref="I77" ca="1">INDEX(INDIRECT($M77),
       MATCH(TRIM($C77), TRIM(INDIRECT($N77)), 0),
       MATCH(TRIM(I$1), TRIM(INDIRECT($O77)), 0))</f>
        <v>#N/A</v>
      </c>
      <c r="J77" s="7" t="e" cm="1">
        <f t="array" aca="1" ref="J77" ca="1">INDEX(INDIRECT($M77),
       MATCH(TRIM($C77), TRIM(INDIRECT($N77)), 0),
       MATCH(TRIM(J$1), TRIM(INDIRECT($O77)), 0))</f>
        <v>#N/A</v>
      </c>
      <c r="K77" s="7" t="e" cm="1">
        <f t="array" aca="1" ref="K77" ca="1">INDEX(INDIRECT($M77),
       MATCH(TRIM($C77), TRIM(INDIRECT($N77)), 0),
       MATCH(TRIM(K$1), TRIM(INDIRECT($O77)), 0))</f>
        <v>#N/A</v>
      </c>
      <c r="L77" s="7" t="e" cm="1">
        <f t="array" aca="1" ref="L77" ca="1">INDEX(INDIRECT($M77),
       MATCH(TRIM($C77), TRIM(INDIRECT($N77)), 0),
       MATCH(TRIM(L$1), TRIM(INDIRECT($O77)), 0))</f>
        <v>#N/A</v>
      </c>
      <c r="M77" s="5" t="str">
        <f>_xlfn.CONCAT("'",$B77,"'","!","$C$3:$K$23")</f>
        <v>'2018'!$C$3:$K$23</v>
      </c>
      <c r="N77" s="5" t="str">
        <f>_xlfn.CONCAT("'",$B77,"'","!","$B$3:$B$22")</f>
        <v>'2018'!$B$3:$B$22</v>
      </c>
      <c r="O77" s="5" t="str">
        <f>_xlfn.CONCAT("'",$B77,"'","!","$C$2:$K$2")</f>
        <v>'2018'!$C$2:$K$2</v>
      </c>
    </row>
    <row r="78" spans="1:15" x14ac:dyDescent="0.3">
      <c r="A78">
        <v>1</v>
      </c>
      <c r="B78">
        <v>2019</v>
      </c>
      <c r="C78" t="s">
        <v>78</v>
      </c>
      <c r="D78" s="7" cm="1">
        <f t="array" aca="1" ref="D78" ca="1">INDEX(INDIRECT($M78),
       MATCH(TRIM($C78), TRIM(INDIRECT($N78)), 0),
       MATCH(TRIM(D$1), TRIM(INDIRECT($O78)), 0))</f>
        <v>1314</v>
      </c>
      <c r="E78" s="9" cm="1">
        <f t="array" aca="1" ref="E78" ca="1">INDEX(INDIRECT($M78),
       MATCH(TRIM($C78), TRIM(INDIRECT($N78)), 0),
       MATCH(TRIM(E$1), TRIM(INDIRECT($O78)), 0))</f>
        <v>12093140778.809999</v>
      </c>
      <c r="F78" s="7" cm="1">
        <f t="array" aca="1" ref="F78" ca="1">INDEX(INDIRECT($M78),
       MATCH(TRIM($C78), TRIM(INDIRECT($N78)), 0),
       MATCH(TRIM(F$1), TRIM(INDIRECT($O78)), 0))</f>
        <v>12093.140778809999</v>
      </c>
      <c r="G78" s="7" cm="1">
        <f t="array" aca="1" ref="G78" ca="1">INDEX(INDIRECT($M78),
       MATCH(TRIM($C78), TRIM(INDIRECT($N78)), 0),
       MATCH(TRIM(G$1), TRIM(INDIRECT($O78)), 0))</f>
        <v>861</v>
      </c>
      <c r="H78" s="9" cm="1">
        <f t="array" aca="1" ref="H78" ca="1">INDEX(INDIRECT($M78),
       MATCH(TRIM($C78), TRIM(INDIRECT($N78)), 0),
       MATCH(TRIM(H$1), TRIM(INDIRECT($O78)), 0))</f>
        <v>5381984527.6149998</v>
      </c>
      <c r="I78" s="7" cm="1">
        <f t="array" aca="1" ref="I78" ca="1">INDEX(INDIRECT($M78),
       MATCH(TRIM($C78), TRIM(INDIRECT($N78)), 0),
       MATCH(TRIM(I$1), TRIM(INDIRECT($O78)), 0))</f>
        <v>5381.9845276149999</v>
      </c>
      <c r="J78" s="7" cm="1">
        <f t="array" aca="1" ref="J78" ca="1">INDEX(INDIRECT($M78),
       MATCH(TRIM($C78), TRIM(INDIRECT($N78)), 0),
       MATCH(TRIM(J$1), TRIM(INDIRECT($O78)), 0))</f>
        <v>2261</v>
      </c>
      <c r="K78" s="7" cm="1">
        <f t="array" aca="1" ref="K78" ca="1">INDEX(INDIRECT($M78),
       MATCH(TRIM($C78), TRIM(INDIRECT($N78)), 0),
       MATCH(TRIM(K$1), TRIM(INDIRECT($O78)), 0))</f>
        <v>7086.6569118203215</v>
      </c>
      <c r="L78" s="7" cm="1">
        <f t="array" aca="1" ref="L78" ca="1">INDEX(INDIRECT($M78),
       MATCH(TRIM($C78), TRIM(INDIRECT($N78)), 0),
       MATCH(TRIM(L$1), TRIM(INDIRECT($O78)), 0))</f>
        <v>24561.78221824532</v>
      </c>
      <c r="M78" s="5" t="str">
        <f>_xlfn.CONCAT("'",$B78,"'","!","$C$3:$K$23")</f>
        <v>'2019'!$C$3:$K$23</v>
      </c>
      <c r="N78" s="5" t="str">
        <f>_xlfn.CONCAT("'",$B78,"'","!","$B$3:$B$22")</f>
        <v>'2019'!$B$3:$B$22</v>
      </c>
      <c r="O78" s="5" t="str">
        <f>_xlfn.CONCAT("'",$B78,"'","!","$C$2:$K$2")</f>
        <v>'2019'!$C$2:$K$2</v>
      </c>
    </row>
    <row r="79" spans="1:15" x14ac:dyDescent="0.3">
      <c r="A79">
        <v>2</v>
      </c>
      <c r="B79">
        <v>2019</v>
      </c>
      <c r="C79" t="s">
        <v>79</v>
      </c>
      <c r="D79" s="7" cm="1">
        <f t="array" aca="1" ref="D79" ca="1">INDEX(INDIRECT($M79),
       MATCH(TRIM($C79), TRIM(INDIRECT($N79)), 0),
       MATCH(TRIM(D$1), TRIM(INDIRECT($O79)), 0))</f>
        <v>15</v>
      </c>
      <c r="E79" s="9" cm="1">
        <f t="array" aca="1" ref="E79" ca="1">INDEX(INDIRECT($M79),
       MATCH(TRIM($C79), TRIM(INDIRECT($N79)), 0),
       MATCH(TRIM(E$1), TRIM(INDIRECT($O79)), 0))</f>
        <v>722595074</v>
      </c>
      <c r="F79" s="7" cm="1">
        <f t="array" aca="1" ref="F79" ca="1">INDEX(INDIRECT($M79),
       MATCH(TRIM($C79), TRIM(INDIRECT($N79)), 0),
       MATCH(TRIM(F$1), TRIM(INDIRECT($O79)), 0))</f>
        <v>722.59507399999995</v>
      </c>
      <c r="G79" s="7" cm="1">
        <f t="array" aca="1" ref="G79" ca="1">INDEX(INDIRECT($M79),
       MATCH(TRIM($C79), TRIM(INDIRECT($N79)), 0),
       MATCH(TRIM(G$1), TRIM(INDIRECT($O79)), 0))</f>
        <v>2</v>
      </c>
      <c r="H79" s="9" cm="1">
        <f t="array" aca="1" ref="H79" ca="1">INDEX(INDIRECT($M79),
       MATCH(TRIM($C79), TRIM(INDIRECT($N79)), 0),
       MATCH(TRIM(H$1), TRIM(INDIRECT($O79)), 0))</f>
        <v>-14912069</v>
      </c>
      <c r="I79" s="7" cm="1">
        <f t="array" aca="1" ref="I79" ca="1">INDEX(INDIRECT($M79),
       MATCH(TRIM($C79), TRIM(INDIRECT($N79)), 0),
       MATCH(TRIM(I$1), TRIM(INDIRECT($O79)), 0))</f>
        <v>-14.912069000000001</v>
      </c>
      <c r="J79" s="7" cm="1">
        <f t="array" aca="1" ref="J79" ca="1">INDEX(INDIRECT($M79),
       MATCH(TRIM($C79), TRIM(INDIRECT($N79)), 0),
       MATCH(TRIM(J$1), TRIM(INDIRECT($O79)), 0))</f>
        <v>62</v>
      </c>
      <c r="K79" s="7" cm="1">
        <f t="array" aca="1" ref="K79" ca="1">INDEX(INDIRECT($M79),
       MATCH(TRIM($C79), TRIM(INDIRECT($N79)), 0),
       MATCH(TRIM(K$1), TRIM(INDIRECT($O79)), 0))</f>
        <v>302.41933139761676</v>
      </c>
      <c r="L79" s="7" cm="1">
        <f t="array" aca="1" ref="L79" ca="1">INDEX(INDIRECT($M79),
       MATCH(TRIM($C79), TRIM(INDIRECT($N79)), 0),
       MATCH(TRIM(L$1), TRIM(INDIRECT($O79)), 0))</f>
        <v>1010.1023363976167</v>
      </c>
      <c r="M79" s="5" t="str">
        <f>_xlfn.CONCAT("'",$B79,"'","!","$C$3:$K$23")</f>
        <v>'2019'!$C$3:$K$23</v>
      </c>
      <c r="N79" s="5" t="str">
        <f>_xlfn.CONCAT("'",$B79,"'","!","$B$3:$B$22")</f>
        <v>'2019'!$B$3:$B$22</v>
      </c>
      <c r="O79" s="5" t="str">
        <f>_xlfn.CONCAT("'",$B79,"'","!","$C$2:$K$2")</f>
        <v>'2019'!$C$2:$K$2</v>
      </c>
    </row>
    <row r="80" spans="1:15" x14ac:dyDescent="0.3">
      <c r="A80">
        <v>3</v>
      </c>
      <c r="B80">
        <v>2019</v>
      </c>
      <c r="C80" t="s">
        <v>80</v>
      </c>
      <c r="D80" s="7" cm="1">
        <f t="array" aca="1" ref="D80" ca="1">INDEX(INDIRECT($M80),
       MATCH(TRIM($C80), TRIM(INDIRECT($N80)), 0),
       MATCH(TRIM(D$1), TRIM(INDIRECT($O80)), 0))</f>
        <v>123</v>
      </c>
      <c r="E80" s="9" cm="1">
        <f t="array" aca="1" ref="E80" ca="1">INDEX(INDIRECT($M80),
       MATCH(TRIM($C80), TRIM(INDIRECT($N80)), 0),
       MATCH(TRIM(E$1), TRIM(INDIRECT($O80)), 0))</f>
        <v>1817969227</v>
      </c>
      <c r="F80" s="7" cm="1">
        <f t="array" aca="1" ref="F80" ca="1">INDEX(INDIRECT($M80),
       MATCH(TRIM($C80), TRIM(INDIRECT($N80)), 0),
       MATCH(TRIM(F$1), TRIM(INDIRECT($O80)), 0))</f>
        <v>1817.969227</v>
      </c>
      <c r="G80" s="7" cm="1">
        <f t="array" aca="1" ref="G80" ca="1">INDEX(INDIRECT($M80),
       MATCH(TRIM($C80), TRIM(INDIRECT($N80)), 0),
       MATCH(TRIM(G$1), TRIM(INDIRECT($O80)), 0))</f>
        <v>28</v>
      </c>
      <c r="H80" s="9" cm="1">
        <f t="array" aca="1" ref="H80" ca="1">INDEX(INDIRECT($M80),
       MATCH(TRIM($C80), TRIM(INDIRECT($N80)), 0),
       MATCH(TRIM(H$1), TRIM(INDIRECT($O80)), 0))</f>
        <v>-693726840</v>
      </c>
      <c r="I80" s="7" cm="1">
        <f t="array" aca="1" ref="I80" ca="1">INDEX(INDIRECT($M80),
       MATCH(TRIM($C80), TRIM(INDIRECT($N80)), 0),
       MATCH(TRIM(I$1), TRIM(INDIRECT($O80)), 0))</f>
        <v>-693.72684000000004</v>
      </c>
      <c r="J80" s="7" cm="1">
        <f t="array" aca="1" ref="J80" ca="1">INDEX(INDIRECT($M80),
       MATCH(TRIM($C80), TRIM(INDIRECT($N80)), 0),
       MATCH(TRIM(J$1), TRIM(INDIRECT($O80)), 0))</f>
        <v>397</v>
      </c>
      <c r="K80" s="7" cm="1">
        <f t="array" aca="1" ref="K80" ca="1">INDEX(INDIRECT($M80),
       MATCH(TRIM($C80), TRIM(INDIRECT($N80)), 0),
       MATCH(TRIM(K$1), TRIM(INDIRECT($O80)), 0))</f>
        <v>2751.7861623715471</v>
      </c>
      <c r="L80" s="7" cm="1">
        <f t="array" aca="1" ref="L80" ca="1">INDEX(INDIRECT($M80),
       MATCH(TRIM($C80), TRIM(INDIRECT($N80)), 0),
       MATCH(TRIM(L$1), TRIM(INDIRECT($O80)), 0))</f>
        <v>3876.0285493715473</v>
      </c>
      <c r="M80" s="5" t="str">
        <f>_xlfn.CONCAT("'",$B80,"'","!","$C$3:$K$23")</f>
        <v>'2019'!$C$3:$K$23</v>
      </c>
      <c r="N80" s="5" t="str">
        <f>_xlfn.CONCAT("'",$B80,"'","!","$B$3:$B$22")</f>
        <v>'2019'!$B$3:$B$22</v>
      </c>
      <c r="O80" s="5" t="str">
        <f>_xlfn.CONCAT("'",$B80,"'","!","$C$2:$K$2")</f>
        <v>'2019'!$C$2:$K$2</v>
      </c>
    </row>
    <row r="81" spans="1:15" x14ac:dyDescent="0.3">
      <c r="A81">
        <v>4</v>
      </c>
      <c r="B81">
        <v>2019</v>
      </c>
      <c r="C81" t="s">
        <v>81</v>
      </c>
      <c r="D81" s="7" cm="1">
        <f t="array" aca="1" ref="D81" ca="1">INDEX(INDIRECT($M81),
       MATCH(TRIM($C81), TRIM(INDIRECT($N81)), 0),
       MATCH(TRIM(D$1), TRIM(INDIRECT($O81)), 0))</f>
        <v>134</v>
      </c>
      <c r="E81" s="9" cm="1">
        <f t="array" aca="1" ref="E81" ca="1">INDEX(INDIRECT($M81),
       MATCH(TRIM($C81), TRIM(INDIRECT($N81)), 0),
       MATCH(TRIM(E$1), TRIM(INDIRECT($O81)), 0))</f>
        <v>322432307</v>
      </c>
      <c r="F81" s="7" cm="1">
        <f t="array" aca="1" ref="F81" ca="1">INDEX(INDIRECT($M81),
       MATCH(TRIM($C81), TRIM(INDIRECT($N81)), 0),
       MATCH(TRIM(F$1), TRIM(INDIRECT($O81)), 0))</f>
        <v>322.43230699999998</v>
      </c>
      <c r="G81" s="7" cm="1">
        <f t="array" aca="1" ref="G81" ca="1">INDEX(INDIRECT($M81),
       MATCH(TRIM($C81), TRIM(INDIRECT($N81)), 0),
       MATCH(TRIM(G$1), TRIM(INDIRECT($O81)), 0))</f>
        <v>45</v>
      </c>
      <c r="H81" s="9" cm="1">
        <f t="array" aca="1" ref="H81" ca="1">INDEX(INDIRECT($M81),
       MATCH(TRIM($C81), TRIM(INDIRECT($N81)), 0),
       MATCH(TRIM(H$1), TRIM(INDIRECT($O81)), 0))</f>
        <v>81720233</v>
      </c>
      <c r="I81" s="7" cm="1">
        <f t="array" aca="1" ref="I81" ca="1">INDEX(INDIRECT($M81),
       MATCH(TRIM($C81), TRIM(INDIRECT($N81)), 0),
       MATCH(TRIM(I$1), TRIM(INDIRECT($O81)), 0))</f>
        <v>81.720232999999993</v>
      </c>
      <c r="J81" s="7" cm="1">
        <f t="array" aca="1" ref="J81" ca="1">INDEX(INDIRECT($M81),
       MATCH(TRIM($C81), TRIM(INDIRECT($N81)), 0),
       MATCH(TRIM(J$1), TRIM(INDIRECT($O81)), 0))</f>
        <v>521</v>
      </c>
      <c r="K81" s="7" cm="1">
        <f t="array" aca="1" ref="K81" ca="1">INDEX(INDIRECT($M81),
       MATCH(TRIM($C81), TRIM(INDIRECT($N81)), 0),
       MATCH(TRIM(K$1), TRIM(INDIRECT($O81)), 0))</f>
        <v>574.87779107998836</v>
      </c>
      <c r="L81" s="7" cm="1">
        <f t="array" aca="1" ref="L81" ca="1">INDEX(INDIRECT($M81),
       MATCH(TRIM($C81), TRIM(INDIRECT($N81)), 0),
       MATCH(TRIM(L$1), TRIM(INDIRECT($O81)), 0))</f>
        <v>979.0303310799884</v>
      </c>
      <c r="M81" s="5" t="str">
        <f>_xlfn.CONCAT("'",$B81,"'","!","$C$3:$K$23")</f>
        <v>'2019'!$C$3:$K$23</v>
      </c>
      <c r="N81" s="5" t="str">
        <f>_xlfn.CONCAT("'",$B81,"'","!","$B$3:$B$22")</f>
        <v>'2019'!$B$3:$B$22</v>
      </c>
      <c r="O81" s="5" t="str">
        <f>_xlfn.CONCAT("'",$B81,"'","!","$C$2:$K$2")</f>
        <v>'2019'!$C$2:$K$2</v>
      </c>
    </row>
    <row r="82" spans="1:15" x14ac:dyDescent="0.3">
      <c r="A82">
        <v>5</v>
      </c>
      <c r="B82">
        <v>2019</v>
      </c>
      <c r="C82" t="s">
        <v>82</v>
      </c>
      <c r="D82" s="7" cm="1">
        <f t="array" aca="1" ref="D82" ca="1">INDEX(INDIRECT($M82),
       MATCH(TRIM($C82), TRIM(INDIRECT($N82)), 0),
       MATCH(TRIM(D$1), TRIM(INDIRECT($O82)), 0))</f>
        <v>1105</v>
      </c>
      <c r="E82" s="9" cm="1">
        <f t="array" aca="1" ref="E82" ca="1">INDEX(INDIRECT($M82),
       MATCH(TRIM($C82), TRIM(INDIRECT($N82)), 0),
       MATCH(TRIM(E$1), TRIM(INDIRECT($O82)), 0))</f>
        <v>880798245</v>
      </c>
      <c r="F82" s="7" cm="1">
        <f t="array" aca="1" ref="F82" ca="1">INDEX(INDIRECT($M82),
       MATCH(TRIM($C82), TRIM(INDIRECT($N82)), 0),
       MATCH(TRIM(F$1), TRIM(INDIRECT($O82)), 0))</f>
        <v>880.79824499999995</v>
      </c>
      <c r="G82" s="7" cm="1">
        <f t="array" aca="1" ref="G82" ca="1">INDEX(INDIRECT($M82),
       MATCH(TRIM($C82), TRIM(INDIRECT($N82)), 0),
       MATCH(TRIM(G$1), TRIM(INDIRECT($O82)), 0))</f>
        <v>182</v>
      </c>
      <c r="H82" s="9" cm="1">
        <f t="array" aca="1" ref="H82" ca="1">INDEX(INDIRECT($M82),
       MATCH(TRIM($C82), TRIM(INDIRECT($N82)), 0),
       MATCH(TRIM(H$1), TRIM(INDIRECT($O82)), 0))</f>
        <v>279325102.75</v>
      </c>
      <c r="I82" s="7" cm="1">
        <f t="array" aca="1" ref="I82" ca="1">INDEX(INDIRECT($M82),
       MATCH(TRIM($C82), TRIM(INDIRECT($N82)), 0),
       MATCH(TRIM(I$1), TRIM(INDIRECT($O82)), 0))</f>
        <v>279.32510274999999</v>
      </c>
      <c r="J82" s="7" cm="1">
        <f t="array" aca="1" ref="J82" ca="1">INDEX(INDIRECT($M82),
       MATCH(TRIM($C82), TRIM(INDIRECT($N82)), 0),
       MATCH(TRIM(J$1), TRIM(INDIRECT($O82)), 0))</f>
        <v>3292</v>
      </c>
      <c r="K82" s="7" cm="1">
        <f t="array" aca="1" ref="K82" ca="1">INDEX(INDIRECT($M82),
       MATCH(TRIM($C82), TRIM(INDIRECT($N82)), 0),
       MATCH(TRIM(K$1), TRIM(INDIRECT($O82)), 0))</f>
        <v>1427.9764534072897</v>
      </c>
      <c r="L82" s="7" cm="1">
        <f t="array" aca="1" ref="L82" ca="1">INDEX(INDIRECT($M82),
       MATCH(TRIM($C82), TRIM(INDIRECT($N82)), 0),
       MATCH(TRIM(L$1), TRIM(INDIRECT($O82)), 0))</f>
        <v>2588.0998011572897</v>
      </c>
      <c r="M82" s="5" t="str">
        <f>_xlfn.CONCAT("'",$B82,"'","!","$C$3:$K$23")</f>
        <v>'2019'!$C$3:$K$23</v>
      </c>
      <c r="N82" s="5" t="str">
        <f>_xlfn.CONCAT("'",$B82,"'","!","$B$3:$B$22")</f>
        <v>'2019'!$B$3:$B$22</v>
      </c>
      <c r="O82" s="5" t="str">
        <f>_xlfn.CONCAT("'",$B82,"'","!","$C$2:$K$2")</f>
        <v>'2019'!$C$2:$K$2</v>
      </c>
    </row>
    <row r="83" spans="1:15" x14ac:dyDescent="0.3">
      <c r="A83">
        <v>6</v>
      </c>
      <c r="B83">
        <v>2019</v>
      </c>
      <c r="C83" t="s">
        <v>83</v>
      </c>
      <c r="D83" s="7" cm="1">
        <f t="array" aca="1" ref="D83" ca="1">INDEX(INDIRECT($M83),
       MATCH(TRIM($C83), TRIM(INDIRECT($N83)), 0),
       MATCH(TRIM(D$1), TRIM(INDIRECT($O83)), 0))</f>
        <v>16</v>
      </c>
      <c r="E83" s="9" cm="1">
        <f t="array" aca="1" ref="E83" ca="1">INDEX(INDIRECT($M83),
       MATCH(TRIM($C83), TRIM(INDIRECT($N83)), 0),
       MATCH(TRIM(E$1), TRIM(INDIRECT($O83)), 0))</f>
        <v>72956870</v>
      </c>
      <c r="F83" s="7" cm="1">
        <f t="array" aca="1" ref="F83" ca="1">INDEX(INDIRECT($M83),
       MATCH(TRIM($C83), TRIM(INDIRECT($N83)), 0),
       MATCH(TRIM(F$1), TRIM(INDIRECT($O83)), 0))</f>
        <v>72.956869999999995</v>
      </c>
      <c r="G83" s="7" cm="1">
        <f t="array" aca="1" ref="G83" ca="1">INDEX(INDIRECT($M83),
       MATCH(TRIM($C83), TRIM(INDIRECT($N83)), 0),
       MATCH(TRIM(G$1), TRIM(INDIRECT($O83)), 0))</f>
        <v>10</v>
      </c>
      <c r="H83" s="9" cm="1">
        <f t="array" aca="1" ref="H83" ca="1">INDEX(INDIRECT($M83),
       MATCH(TRIM($C83), TRIM(INDIRECT($N83)), 0),
       MATCH(TRIM(H$1), TRIM(INDIRECT($O83)), 0))</f>
        <v>7425660</v>
      </c>
      <c r="I83" s="7" cm="1">
        <f t="array" aca="1" ref="I83" ca="1">INDEX(INDIRECT($M83),
       MATCH(TRIM($C83), TRIM(INDIRECT($N83)), 0),
       MATCH(TRIM(I$1), TRIM(INDIRECT($O83)), 0))</f>
        <v>7.4256599999999997</v>
      </c>
      <c r="J83" s="7" cm="1">
        <f t="array" aca="1" ref="J83" ca="1">INDEX(INDIRECT($M83),
       MATCH(TRIM($C83), TRIM(INDIRECT($N83)), 0),
       MATCH(TRIM(J$1), TRIM(INDIRECT($O83)), 0))</f>
        <v>54</v>
      </c>
      <c r="K83" s="7" cm="1">
        <f t="array" aca="1" ref="K83" ca="1">INDEX(INDIRECT($M83),
       MATCH(TRIM($C83), TRIM(INDIRECT($N83)), 0),
       MATCH(TRIM(K$1), TRIM(INDIRECT($O83)), 0))</f>
        <v>18.932666475780504</v>
      </c>
      <c r="L83" s="7" cm="1">
        <f t="array" aca="1" ref="L83" ca="1">INDEX(INDIRECT($M83),
       MATCH(TRIM($C83), TRIM(INDIRECT($N83)), 0),
       MATCH(TRIM(L$1), TRIM(INDIRECT($O83)), 0))</f>
        <v>99.315196475780496</v>
      </c>
      <c r="M83" s="5" t="str">
        <f>_xlfn.CONCAT("'",$B83,"'","!","$C$3:$K$23")</f>
        <v>'2019'!$C$3:$K$23</v>
      </c>
      <c r="N83" s="5" t="str">
        <f>_xlfn.CONCAT("'",$B83,"'","!","$B$3:$B$22")</f>
        <v>'2019'!$B$3:$B$22</v>
      </c>
      <c r="O83" s="5" t="str">
        <f>_xlfn.CONCAT("'",$B83,"'","!","$C$2:$K$2")</f>
        <v>'2019'!$C$2:$K$2</v>
      </c>
    </row>
    <row r="84" spans="1:15" x14ac:dyDescent="0.3">
      <c r="A84">
        <v>7</v>
      </c>
      <c r="B84">
        <v>2019</v>
      </c>
      <c r="C84" t="s">
        <v>84</v>
      </c>
      <c r="D84" s="7" cm="1">
        <f t="array" aca="1" ref="D84" ca="1">INDEX(INDIRECT($M84),
       MATCH(TRIM($C84), TRIM(INDIRECT($N84)), 0),
       MATCH(TRIM(D$1), TRIM(INDIRECT($O84)), 0))</f>
        <v>493</v>
      </c>
      <c r="E84" s="9" cm="1">
        <f t="array" aca="1" ref="E84" ca="1">INDEX(INDIRECT($M84),
       MATCH(TRIM($C84), TRIM(INDIRECT($N84)), 0),
       MATCH(TRIM(E$1), TRIM(INDIRECT($O84)), 0))</f>
        <v>330262134</v>
      </c>
      <c r="F84" s="7" cm="1">
        <f t="array" aca="1" ref="F84" ca="1">INDEX(INDIRECT($M84),
       MATCH(TRIM($C84), TRIM(INDIRECT($N84)), 0),
       MATCH(TRIM(F$1), TRIM(INDIRECT($O84)), 0))</f>
        <v>330.262134</v>
      </c>
      <c r="G84" s="7" cm="1">
        <f t="array" aca="1" ref="G84" ca="1">INDEX(INDIRECT($M84),
       MATCH(TRIM($C84), TRIM(INDIRECT($N84)), 0),
       MATCH(TRIM(G$1), TRIM(INDIRECT($O84)), 0))</f>
        <v>104</v>
      </c>
      <c r="H84" s="9" cm="1">
        <f t="array" aca="1" ref="H84" ca="1">INDEX(INDIRECT($M84),
       MATCH(TRIM($C84), TRIM(INDIRECT($N84)), 0),
       MATCH(TRIM(H$1), TRIM(INDIRECT($O84)), 0))</f>
        <v>144794798</v>
      </c>
      <c r="I84" s="7" cm="1">
        <f t="array" aca="1" ref="I84" ca="1">INDEX(INDIRECT($M84),
       MATCH(TRIM($C84), TRIM(INDIRECT($N84)), 0),
       MATCH(TRIM(I$1), TRIM(INDIRECT($O84)), 0))</f>
        <v>144.79479799999999</v>
      </c>
      <c r="J84" s="7" cm="1">
        <f t="array" aca="1" ref="J84" ca="1">INDEX(INDIRECT($M84),
       MATCH(TRIM($C84), TRIM(INDIRECT($N84)), 0),
       MATCH(TRIM(J$1), TRIM(INDIRECT($O84)), 0))</f>
        <v>1129</v>
      </c>
      <c r="K84" s="7" cm="1">
        <f t="array" aca="1" ref="K84" ca="1">INDEX(INDIRECT($M84),
       MATCH(TRIM($C84), TRIM(INDIRECT($N84)), 0),
       MATCH(TRIM(K$1), TRIM(INDIRECT($O84)), 0))</f>
        <v>1091.5198734039484</v>
      </c>
      <c r="L84" s="7" cm="1">
        <f t="array" aca="1" ref="L84" ca="1">INDEX(INDIRECT($M84),
       MATCH(TRIM($C84), TRIM(INDIRECT($N84)), 0),
       MATCH(TRIM(L$1), TRIM(INDIRECT($O84)), 0))</f>
        <v>1566.5768054039484</v>
      </c>
      <c r="M84" s="5" t="str">
        <f>_xlfn.CONCAT("'",$B84,"'","!","$C$3:$K$23")</f>
        <v>'2019'!$C$3:$K$23</v>
      </c>
      <c r="N84" s="5" t="str">
        <f>_xlfn.CONCAT("'",$B84,"'","!","$B$3:$B$22")</f>
        <v>'2019'!$B$3:$B$22</v>
      </c>
      <c r="O84" s="5" t="str">
        <f>_xlfn.CONCAT("'",$B84,"'","!","$C$2:$K$2")</f>
        <v>'2019'!$C$2:$K$2</v>
      </c>
    </row>
    <row r="85" spans="1:15" x14ac:dyDescent="0.3">
      <c r="A85">
        <v>8</v>
      </c>
      <c r="B85">
        <v>2019</v>
      </c>
      <c r="C85" t="s">
        <v>85</v>
      </c>
      <c r="D85" s="7" cm="1">
        <f t="array" aca="1" ref="D85" ca="1">INDEX(INDIRECT($M85),
       MATCH(TRIM($C85), TRIM(INDIRECT($N85)), 0),
       MATCH(TRIM(D$1), TRIM(INDIRECT($O85)), 0))</f>
        <v>100</v>
      </c>
      <c r="E85" s="9" cm="1">
        <f t="array" aca="1" ref="E85" ca="1">INDEX(INDIRECT($M85),
       MATCH(TRIM($C85), TRIM(INDIRECT($N85)), 0),
       MATCH(TRIM(E$1), TRIM(INDIRECT($O85)), 0))</f>
        <v>122382873</v>
      </c>
      <c r="F85" s="7" cm="1">
        <f t="array" aca="1" ref="F85" ca="1">INDEX(INDIRECT($M85),
       MATCH(TRIM($C85), TRIM(INDIRECT($N85)), 0),
       MATCH(TRIM(F$1), TRIM(INDIRECT($O85)), 0))</f>
        <v>122.382873</v>
      </c>
      <c r="G85" s="7" cm="1">
        <f t="array" aca="1" ref="G85" ca="1">INDEX(INDIRECT($M85),
       MATCH(TRIM($C85), TRIM(INDIRECT($N85)), 0),
       MATCH(TRIM(G$1), TRIM(INDIRECT($O85)), 0))</f>
        <v>24</v>
      </c>
      <c r="H85" s="9" cm="1">
        <f t="array" aca="1" ref="H85" ca="1">INDEX(INDIRECT($M85),
       MATCH(TRIM($C85), TRIM(INDIRECT($N85)), 0),
       MATCH(TRIM(H$1), TRIM(INDIRECT($O85)), 0))</f>
        <v>56732462</v>
      </c>
      <c r="I85" s="7" cm="1">
        <f t="array" aca="1" ref="I85" ca="1">INDEX(INDIRECT($M85),
       MATCH(TRIM($C85), TRIM(INDIRECT($N85)), 0),
       MATCH(TRIM(I$1), TRIM(INDIRECT($O85)), 0))</f>
        <v>56.732461999999998</v>
      </c>
      <c r="J85" s="7" cm="1">
        <f t="array" aca="1" ref="J85" ca="1">INDEX(INDIRECT($M85),
       MATCH(TRIM($C85), TRIM(INDIRECT($N85)), 0),
       MATCH(TRIM(J$1), TRIM(INDIRECT($O85)), 0))</f>
        <v>285</v>
      </c>
      <c r="K85" s="7" cm="1">
        <f t="array" aca="1" ref="K85" ca="1">INDEX(INDIRECT($M85),
       MATCH(TRIM($C85), TRIM(INDIRECT($N85)), 0),
       MATCH(TRIM(K$1), TRIM(INDIRECT($O85)), 0))</f>
        <v>166.94645322589508</v>
      </c>
      <c r="L85" s="7" cm="1">
        <f t="array" aca="1" ref="L85" ca="1">INDEX(INDIRECT($M85),
       MATCH(TRIM($C85), TRIM(INDIRECT($N85)), 0),
       MATCH(TRIM(L$1), TRIM(INDIRECT($O85)), 0))</f>
        <v>346.0617882258951</v>
      </c>
      <c r="M85" s="5" t="str">
        <f>_xlfn.CONCAT("'",$B85,"'","!","$C$3:$K$23")</f>
        <v>'2019'!$C$3:$K$23</v>
      </c>
      <c r="N85" s="5" t="str">
        <f>_xlfn.CONCAT("'",$B85,"'","!","$B$3:$B$22")</f>
        <v>'2019'!$B$3:$B$22</v>
      </c>
      <c r="O85" s="5" t="str">
        <f>_xlfn.CONCAT("'",$B85,"'","!","$C$2:$K$2")</f>
        <v>'2019'!$C$2:$K$2</v>
      </c>
    </row>
    <row r="86" spans="1:15" x14ac:dyDescent="0.3">
      <c r="A86">
        <v>9</v>
      </c>
      <c r="B86">
        <v>2019</v>
      </c>
      <c r="C86" t="s">
        <v>86</v>
      </c>
      <c r="D86" s="7" cm="1">
        <f t="array" aca="1" ref="D86" ca="1">INDEX(INDIRECT($M86),
       MATCH(TRIM($C86), TRIM(INDIRECT($N86)), 0),
       MATCH(TRIM(D$1), TRIM(INDIRECT($O86)), 0))</f>
        <v>103</v>
      </c>
      <c r="E86" s="9" cm="1">
        <f t="array" aca="1" ref="E86" ca="1">INDEX(INDIRECT($M86),
       MATCH(TRIM($C86), TRIM(INDIRECT($N86)), 0),
       MATCH(TRIM(E$1), TRIM(INDIRECT($O86)), 0))</f>
        <v>39046531</v>
      </c>
      <c r="F86" s="7" cm="1">
        <f t="array" aca="1" ref="F86" ca="1">INDEX(INDIRECT($M86),
       MATCH(TRIM($C86), TRIM(INDIRECT($N86)), 0),
       MATCH(TRIM(F$1), TRIM(INDIRECT($O86)), 0))</f>
        <v>39.046531000000002</v>
      </c>
      <c r="G86" s="7" cm="1">
        <f t="array" aca="1" ref="G86" ca="1">INDEX(INDIRECT($M86),
       MATCH(TRIM($C86), TRIM(INDIRECT($N86)), 0),
       MATCH(TRIM(G$1), TRIM(INDIRECT($O86)), 0))</f>
        <v>23</v>
      </c>
      <c r="H86" s="9" cm="1">
        <f t="array" aca="1" ref="H86" ca="1">INDEX(INDIRECT($M86),
       MATCH(TRIM($C86), TRIM(INDIRECT($N86)), 0),
       MATCH(TRIM(H$1), TRIM(INDIRECT($O86)), 0))</f>
        <v>37994035.510009766</v>
      </c>
      <c r="I86" s="7" cm="1">
        <f t="array" aca="1" ref="I86" ca="1">INDEX(INDIRECT($M86),
       MATCH(TRIM($C86), TRIM(INDIRECT($N86)), 0),
       MATCH(TRIM(I$1), TRIM(INDIRECT($O86)), 0))</f>
        <v>37.994035510009766</v>
      </c>
      <c r="J86" s="7" cm="1">
        <f t="array" aca="1" ref="J86" ca="1">INDEX(INDIRECT($M86),
       MATCH(TRIM($C86), TRIM(INDIRECT($N86)), 0),
       MATCH(TRIM(J$1), TRIM(INDIRECT($O86)), 0))</f>
        <v>710</v>
      </c>
      <c r="K86" s="7" cm="1">
        <f t="array" aca="1" ref="K86" ca="1">INDEX(INDIRECT($M86),
       MATCH(TRIM($C86), TRIM(INDIRECT($N86)), 0),
       MATCH(TRIM(K$1), TRIM(INDIRECT($O86)), 0))</f>
        <v>411.84625273737606</v>
      </c>
      <c r="L86" s="7" cm="1">
        <f t="array" aca="1" ref="L86" ca="1">INDEX(INDIRECT($M86),
       MATCH(TRIM($C86), TRIM(INDIRECT($N86)), 0),
       MATCH(TRIM(L$1), TRIM(INDIRECT($O86)), 0))</f>
        <v>488.8868192473858</v>
      </c>
      <c r="M86" s="5" t="str">
        <f>_xlfn.CONCAT("'",$B86,"'","!","$C$3:$K$23")</f>
        <v>'2019'!$C$3:$K$23</v>
      </c>
      <c r="N86" s="5" t="str">
        <f>_xlfn.CONCAT("'",$B86,"'","!","$B$3:$B$22")</f>
        <v>'2019'!$B$3:$B$22</v>
      </c>
      <c r="O86" s="5" t="str">
        <f>_xlfn.CONCAT("'",$B86,"'","!","$C$2:$K$2")</f>
        <v>'2019'!$C$2:$K$2</v>
      </c>
    </row>
    <row r="87" spans="1:15" x14ac:dyDescent="0.3">
      <c r="A87">
        <v>10</v>
      </c>
      <c r="B87">
        <v>2019</v>
      </c>
      <c r="C87" t="s">
        <v>87</v>
      </c>
      <c r="D87" s="7" cm="1">
        <f t="array" aca="1" ref="D87" ca="1">INDEX(INDIRECT($M87),
       MATCH(TRIM($C87), TRIM(INDIRECT($N87)), 0),
       MATCH(TRIM(D$1), TRIM(INDIRECT($O87)), 0))</f>
        <v>302</v>
      </c>
      <c r="E87" s="9" cm="1">
        <f t="array" aca="1" ref="E87" ca="1">INDEX(INDIRECT($M87),
       MATCH(TRIM($C87), TRIM(INDIRECT($N87)), 0),
       MATCH(TRIM(E$1), TRIM(INDIRECT($O87)), 0))</f>
        <v>85369682</v>
      </c>
      <c r="F87" s="7" cm="1">
        <f t="array" aca="1" ref="F87" ca="1">INDEX(INDIRECT($M87),
       MATCH(TRIM($C87), TRIM(INDIRECT($N87)), 0),
       MATCH(TRIM(F$1), TRIM(INDIRECT($O87)), 0))</f>
        <v>85.369681999999997</v>
      </c>
      <c r="G87" s="7" cm="1">
        <f t="array" aca="1" ref="G87" ca="1">INDEX(INDIRECT($M87),
       MATCH(TRIM($C87), TRIM(INDIRECT($N87)), 0),
       MATCH(TRIM(G$1), TRIM(INDIRECT($O87)), 0))</f>
        <v>61</v>
      </c>
      <c r="H87" s="9" cm="1">
        <f t="array" aca="1" ref="H87" ca="1">INDEX(INDIRECT($M87),
       MATCH(TRIM($C87), TRIM(INDIRECT($N87)), 0),
       MATCH(TRIM(H$1), TRIM(INDIRECT($O87)), 0))</f>
        <v>195367240</v>
      </c>
      <c r="I87" s="7" cm="1">
        <f t="array" aca="1" ref="I87" ca="1">INDEX(INDIRECT($M87),
       MATCH(TRIM($C87), TRIM(INDIRECT($N87)), 0),
       MATCH(TRIM(I$1), TRIM(INDIRECT($O87)), 0))</f>
        <v>195.36724000000001</v>
      </c>
      <c r="J87" s="7" cm="1">
        <f t="array" aca="1" ref="J87" ca="1">INDEX(INDIRECT($M87),
       MATCH(TRIM($C87), TRIM(INDIRECT($N87)), 0),
       MATCH(TRIM(J$1), TRIM(INDIRECT($O87)), 0))</f>
        <v>557</v>
      </c>
      <c r="K87" s="7" cm="1">
        <f t="array" aca="1" ref="K87" ca="1">INDEX(INDIRECT($M87),
       MATCH(TRIM($C87), TRIM(INDIRECT($N87)), 0),
       MATCH(TRIM(K$1), TRIM(INDIRECT($O87)), 0))</f>
        <v>255.86090739917245</v>
      </c>
      <c r="L87" s="7" cm="1">
        <f t="array" aca="1" ref="L87" ca="1">INDEX(INDIRECT($M87),
       MATCH(TRIM($C87), TRIM(INDIRECT($N87)), 0),
       MATCH(TRIM(L$1), TRIM(INDIRECT($O87)), 0))</f>
        <v>536.5978293991725</v>
      </c>
      <c r="M87" s="5" t="str">
        <f>_xlfn.CONCAT("'",$B87,"'","!","$C$3:$K$23")</f>
        <v>'2019'!$C$3:$K$23</v>
      </c>
      <c r="N87" s="5" t="str">
        <f>_xlfn.CONCAT("'",$B87,"'","!","$B$3:$B$22")</f>
        <v>'2019'!$B$3:$B$22</v>
      </c>
      <c r="O87" s="5" t="str">
        <f>_xlfn.CONCAT("'",$B87,"'","!","$C$2:$K$2")</f>
        <v>'2019'!$C$2:$K$2</v>
      </c>
    </row>
    <row r="88" spans="1:15" x14ac:dyDescent="0.3">
      <c r="A88">
        <v>11</v>
      </c>
      <c r="B88">
        <v>2019</v>
      </c>
      <c r="C88" t="s">
        <v>88</v>
      </c>
      <c r="D88" s="7" cm="1">
        <f t="array" aca="1" ref="D88" ca="1">INDEX(INDIRECT($M88),
       MATCH(TRIM($C88), TRIM(INDIRECT($N88)), 0),
       MATCH(TRIM(D$1), TRIM(INDIRECT($O88)), 0))</f>
        <v>63</v>
      </c>
      <c r="E88" s="9" cm="1">
        <f t="array" aca="1" ref="E88" ca="1">INDEX(INDIRECT($M88),
       MATCH(TRIM($C88), TRIM(INDIRECT($N88)), 0),
       MATCH(TRIM(E$1), TRIM(INDIRECT($O88)), 0))</f>
        <v>32451189</v>
      </c>
      <c r="F88" s="7" cm="1">
        <f t="array" aca="1" ref="F88" ca="1">INDEX(INDIRECT($M88),
       MATCH(TRIM($C88), TRIM(INDIRECT($N88)), 0),
       MATCH(TRIM(F$1), TRIM(INDIRECT($O88)), 0))</f>
        <v>32.451188999999999</v>
      </c>
      <c r="G88" s="7" cm="1">
        <f t="array" aca="1" ref="G88" ca="1">INDEX(INDIRECT($M88),
       MATCH(TRIM($C88), TRIM(INDIRECT($N88)), 0),
       MATCH(TRIM(G$1), TRIM(INDIRECT($O88)), 0))</f>
        <v>13</v>
      </c>
      <c r="H88" s="9" cm="1">
        <f t="array" aca="1" ref="H88" ca="1">INDEX(INDIRECT($M88),
       MATCH(TRIM($C88), TRIM(INDIRECT($N88)), 0),
       MATCH(TRIM(H$1), TRIM(INDIRECT($O88)), 0))</f>
        <v>9955748</v>
      </c>
      <c r="I88" s="7" cm="1">
        <f t="array" aca="1" ref="I88" ca="1">INDEX(INDIRECT($M88),
       MATCH(TRIM($C88), TRIM(INDIRECT($N88)), 0),
       MATCH(TRIM(I$1), TRIM(INDIRECT($O88)), 0))</f>
        <v>9.9557479999999998</v>
      </c>
      <c r="J88" s="7" cm="1">
        <f t="array" aca="1" ref="J88" ca="1">INDEX(INDIRECT($M88),
       MATCH(TRIM($C88), TRIM(INDIRECT($N88)), 0),
       MATCH(TRIM(J$1), TRIM(INDIRECT($O88)), 0))</f>
        <v>238</v>
      </c>
      <c r="K88" s="7" cm="1">
        <f t="array" aca="1" ref="K88" ca="1">INDEX(INDIRECT($M88),
       MATCH(TRIM($C88), TRIM(INDIRECT($N88)), 0),
       MATCH(TRIM(K$1), TRIM(INDIRECT($O88)), 0))</f>
        <v>81.195045937913775</v>
      </c>
      <c r="L88" s="7" cm="1">
        <f t="array" aca="1" ref="L88" ca="1">INDEX(INDIRECT($M88),
       MATCH(TRIM($C88), TRIM(INDIRECT($N88)), 0),
       MATCH(TRIM(L$1), TRIM(INDIRECT($O88)), 0))</f>
        <v>123.60198293791377</v>
      </c>
      <c r="M88" s="5" t="str">
        <f>_xlfn.CONCAT("'",$B88,"'","!","$C$3:$K$23")</f>
        <v>'2019'!$C$3:$K$23</v>
      </c>
      <c r="N88" s="5" t="str">
        <f>_xlfn.CONCAT("'",$B88,"'","!","$B$3:$B$22")</f>
        <v>'2019'!$B$3:$B$22</v>
      </c>
      <c r="O88" s="5" t="str">
        <f>_xlfn.CONCAT("'",$B88,"'","!","$C$2:$K$2")</f>
        <v>'2019'!$C$2:$K$2</v>
      </c>
    </row>
    <row r="89" spans="1:15" x14ac:dyDescent="0.3">
      <c r="A89">
        <v>12</v>
      </c>
      <c r="B89">
        <v>2019</v>
      </c>
      <c r="C89" t="s">
        <v>89</v>
      </c>
      <c r="D89" s="7" cm="1">
        <f t="array" aca="1" ref="D89" ca="1">INDEX(INDIRECT($M89),
       MATCH(TRIM($C89), TRIM(INDIRECT($N89)), 0),
       MATCH(TRIM(D$1), TRIM(INDIRECT($O89)), 0))</f>
        <v>11</v>
      </c>
      <c r="E89" s="9" cm="1">
        <f t="array" aca="1" ref="E89" ca="1">INDEX(INDIRECT($M89),
       MATCH(TRIM($C89), TRIM(INDIRECT($N89)), 0),
       MATCH(TRIM(E$1), TRIM(INDIRECT($O89)), 0))</f>
        <v>36751848</v>
      </c>
      <c r="F89" s="7" cm="1">
        <f t="array" aca="1" ref="F89" ca="1">INDEX(INDIRECT($M89),
       MATCH(TRIM($C89), TRIM(INDIRECT($N89)), 0),
       MATCH(TRIM(F$1), TRIM(INDIRECT($O89)), 0))</f>
        <v>36.751848000000003</v>
      </c>
      <c r="G89" s="7" cm="1">
        <f t="array" aca="1" ref="G89" ca="1">INDEX(INDIRECT($M89),
       MATCH(TRIM($C89), TRIM(INDIRECT($N89)), 0),
       MATCH(TRIM(G$1), TRIM(INDIRECT($O89)), 0))</f>
        <v>2</v>
      </c>
      <c r="H89" s="9" cm="1">
        <f t="array" aca="1" ref="H89" ca="1">INDEX(INDIRECT($M89),
       MATCH(TRIM($C89), TRIM(INDIRECT($N89)), 0),
       MATCH(TRIM(H$1), TRIM(INDIRECT($O89)), 0))</f>
        <v>2200000</v>
      </c>
      <c r="I89" s="7" cm="1">
        <f t="array" aca="1" ref="I89" ca="1">INDEX(INDIRECT($M89),
       MATCH(TRIM($C89), TRIM(INDIRECT($N89)), 0),
       MATCH(TRIM(I$1), TRIM(INDIRECT($O89)), 0))</f>
        <v>2.2000000000000002</v>
      </c>
      <c r="J89" s="7" cm="1">
        <f t="array" aca="1" ref="J89" ca="1">INDEX(INDIRECT($M89),
       MATCH(TRIM($C89), TRIM(INDIRECT($N89)), 0),
       MATCH(TRIM(J$1), TRIM(INDIRECT($O89)), 0))</f>
        <v>31</v>
      </c>
      <c r="K89" s="7" cm="1">
        <f t="array" aca="1" ref="K89" ca="1">INDEX(INDIRECT($M89),
       MATCH(TRIM($C89), TRIM(INDIRECT($N89)), 0),
       MATCH(TRIM(K$1), TRIM(INDIRECT($O89)), 0))</f>
        <v>8.1178674580865771</v>
      </c>
      <c r="L89" s="7" cm="1">
        <f t="array" aca="1" ref="L89" ca="1">INDEX(INDIRECT($M89),
       MATCH(TRIM($C89), TRIM(INDIRECT($N89)), 0),
       MATCH(TRIM(L$1), TRIM(INDIRECT($O89)), 0))</f>
        <v>47.069715458086584</v>
      </c>
      <c r="M89" s="5" t="str">
        <f>_xlfn.CONCAT("'",$B89,"'","!","$C$3:$K$23")</f>
        <v>'2019'!$C$3:$K$23</v>
      </c>
      <c r="N89" s="5" t="str">
        <f>_xlfn.CONCAT("'",$B89,"'","!","$B$3:$B$22")</f>
        <v>'2019'!$B$3:$B$22</v>
      </c>
      <c r="O89" s="5" t="str">
        <f>_xlfn.CONCAT("'",$B89,"'","!","$C$2:$K$2")</f>
        <v>'2019'!$C$2:$K$2</v>
      </c>
    </row>
    <row r="90" spans="1:15" x14ac:dyDescent="0.3">
      <c r="A90">
        <v>13</v>
      </c>
      <c r="B90">
        <v>2019</v>
      </c>
      <c r="C90" t="s">
        <v>90</v>
      </c>
      <c r="D90" s="7" cm="1">
        <f t="array" aca="1" ref="D90" ca="1">INDEX(INDIRECT($M90),
       MATCH(TRIM($C90), TRIM(INDIRECT($N90)), 0),
       MATCH(TRIM(D$1), TRIM(INDIRECT($O90)), 0))</f>
        <v>71</v>
      </c>
      <c r="E90" s="9" cm="1">
        <f t="array" aca="1" ref="E90" ca="1">INDEX(INDIRECT($M90),
       MATCH(TRIM($C90), TRIM(INDIRECT($N90)), 0),
       MATCH(TRIM(E$1), TRIM(INDIRECT($O90)), 0))</f>
        <v>24961926</v>
      </c>
      <c r="F90" s="7" cm="1">
        <f t="array" aca="1" ref="F90" ca="1">INDEX(INDIRECT($M90),
       MATCH(TRIM($C90), TRIM(INDIRECT($N90)), 0),
       MATCH(TRIM(F$1), TRIM(INDIRECT($O90)), 0))</f>
        <v>24.961925999999998</v>
      </c>
      <c r="G90" s="7" cm="1">
        <f t="array" aca="1" ref="G90" ca="1">INDEX(INDIRECT($M90),
       MATCH(TRIM($C90), TRIM(INDIRECT($N90)), 0),
       MATCH(TRIM(G$1), TRIM(INDIRECT($O90)), 0))</f>
        <v>12</v>
      </c>
      <c r="H90" s="9" cm="1">
        <f t="array" aca="1" ref="H90" ca="1">INDEX(INDIRECT($M90),
       MATCH(TRIM($C90), TRIM(INDIRECT($N90)), 0),
       MATCH(TRIM(H$1), TRIM(INDIRECT($O90)), 0))</f>
        <v>9363256</v>
      </c>
      <c r="I90" s="7" cm="1">
        <f t="array" aca="1" ref="I90" ca="1">INDEX(INDIRECT($M90),
       MATCH(TRIM($C90), TRIM(INDIRECT($N90)), 0),
       MATCH(TRIM(I$1), TRIM(INDIRECT($O90)), 0))</f>
        <v>9.3632559999999998</v>
      </c>
      <c r="J90" s="7" cm="1">
        <f t="array" aca="1" ref="J90" ca="1">INDEX(INDIRECT($M90),
       MATCH(TRIM($C90), TRIM(INDIRECT($N90)), 0),
       MATCH(TRIM(J$1), TRIM(INDIRECT($O90)), 0))</f>
        <v>172</v>
      </c>
      <c r="K90" s="7" cm="1">
        <f t="array" aca="1" ref="K90" ca="1">INDEX(INDIRECT($M90),
       MATCH(TRIM($C90), TRIM(INDIRECT($N90)), 0),
       MATCH(TRIM(K$1), TRIM(INDIRECT($O90)), 0))</f>
        <v>30.301657034080264</v>
      </c>
      <c r="L90" s="7" cm="1">
        <f t="array" aca="1" ref="L90" ca="1">INDEX(INDIRECT($M90),
       MATCH(TRIM($C90), TRIM(INDIRECT($N90)), 0),
       MATCH(TRIM(L$1), TRIM(INDIRECT($O90)), 0))</f>
        <v>64.626839034080263</v>
      </c>
      <c r="M90" s="5" t="str">
        <f>_xlfn.CONCAT("'",$B90,"'","!","$C$3:$K$23")</f>
        <v>'2019'!$C$3:$K$23</v>
      </c>
      <c r="N90" s="5" t="str">
        <f>_xlfn.CONCAT("'",$B90,"'","!","$B$3:$B$22")</f>
        <v>'2019'!$B$3:$B$22</v>
      </c>
      <c r="O90" s="5" t="str">
        <f>_xlfn.CONCAT("'",$B90,"'","!","$C$2:$K$2")</f>
        <v>'2019'!$C$2:$K$2</v>
      </c>
    </row>
    <row r="91" spans="1:15" x14ac:dyDescent="0.3">
      <c r="A91">
        <v>14</v>
      </c>
      <c r="B91">
        <v>2019</v>
      </c>
      <c r="C91" t="s">
        <v>91</v>
      </c>
      <c r="D91" s="7" cm="1">
        <f t="array" aca="1" ref="D91" ca="1">INDEX(INDIRECT($M91),
       MATCH(TRIM($C91), TRIM(INDIRECT($N91)), 0),
       MATCH(TRIM(D$1), TRIM(INDIRECT($O91)), 0))</f>
        <v>6</v>
      </c>
      <c r="E91" s="9" cm="1">
        <f t="array" aca="1" ref="E91" ca="1">INDEX(INDIRECT($M91),
       MATCH(TRIM($C91), TRIM(INDIRECT($N91)), 0),
       MATCH(TRIM(E$1), TRIM(INDIRECT($O91)), 0))</f>
        <v>125027636</v>
      </c>
      <c r="F91" s="7" cm="1">
        <f t="array" aca="1" ref="F91" ca="1">INDEX(INDIRECT($M91),
       MATCH(TRIM($C91), TRIM(INDIRECT($N91)), 0),
       MATCH(TRIM(F$1), TRIM(INDIRECT($O91)), 0))</f>
        <v>125.027636</v>
      </c>
      <c r="G91" s="7" cm="1">
        <f t="array" aca="1" ref="G91" ca="1">INDEX(INDIRECT($M91),
       MATCH(TRIM($C91), TRIM(INDIRECT($N91)), 0),
       MATCH(TRIM(G$1), TRIM(INDIRECT($O91)), 0))</f>
        <v>6</v>
      </c>
      <c r="H91" s="9" cm="1">
        <f t="array" aca="1" ref="H91" ca="1">INDEX(INDIRECT($M91),
       MATCH(TRIM($C91), TRIM(INDIRECT($N91)), 0),
       MATCH(TRIM(H$1), TRIM(INDIRECT($O91)), 0))</f>
        <v>78222671</v>
      </c>
      <c r="I91" s="7" cm="1">
        <f t="array" aca="1" ref="I91" ca="1">INDEX(INDIRECT($M91),
       MATCH(TRIM($C91), TRIM(INDIRECT($N91)), 0),
       MATCH(TRIM(I$1), TRIM(INDIRECT($O91)), 0))</f>
        <v>78.222671000000005</v>
      </c>
      <c r="J91" s="7" cm="1">
        <f t="array" aca="1" ref="J91" ca="1">INDEX(INDIRECT($M91),
       MATCH(TRIM($C91), TRIM(INDIRECT($N91)), 0),
       MATCH(TRIM(J$1), TRIM(INDIRECT($O91)), 0))</f>
        <v>19</v>
      </c>
      <c r="K91" s="7" cm="1">
        <f t="array" aca="1" ref="K91" ca="1">INDEX(INDIRECT($M91),
       MATCH(TRIM($C91), TRIM(INDIRECT($N91)), 0),
       MATCH(TRIM(K$1), TRIM(INDIRECT($O91)), 0))</f>
        <v>46.015563153022441</v>
      </c>
      <c r="L91" s="7" cm="1">
        <f t="array" aca="1" ref="L91" ca="1">INDEX(INDIRECT($M91),
       MATCH(TRIM($C91), TRIM(INDIRECT($N91)), 0),
       MATCH(TRIM(L$1), TRIM(INDIRECT($O91)), 0))</f>
        <v>249.26587015302246</v>
      </c>
      <c r="M91" s="5" t="str">
        <f>_xlfn.CONCAT("'",$B91,"'","!","$C$3:$K$23")</f>
        <v>'2019'!$C$3:$K$23</v>
      </c>
      <c r="N91" s="5" t="str">
        <f>_xlfn.CONCAT("'",$B91,"'","!","$B$3:$B$22")</f>
        <v>'2019'!$B$3:$B$22</v>
      </c>
      <c r="O91" s="5" t="str">
        <f>_xlfn.CONCAT("'",$B91,"'","!","$C$2:$K$2")</f>
        <v>'2019'!$C$2:$K$2</v>
      </c>
    </row>
    <row r="92" spans="1:15" x14ac:dyDescent="0.3">
      <c r="A92">
        <v>15</v>
      </c>
      <c r="B92">
        <v>2019</v>
      </c>
      <c r="C92" t="s">
        <v>92</v>
      </c>
      <c r="D92" s="7" cm="1">
        <f t="array" aca="1" ref="D92" ca="1">INDEX(INDIRECT($M92),
       MATCH(TRIM($C92), TRIM(INDIRECT($N92)), 0),
       MATCH(TRIM(D$1), TRIM(INDIRECT($O92)), 0))</f>
        <v>6</v>
      </c>
      <c r="E92" s="9" cm="1">
        <f t="array" aca="1" ref="E92" ca="1">INDEX(INDIRECT($M92),
       MATCH(TRIM($C92), TRIM(INDIRECT($N92)), 0),
       MATCH(TRIM(E$1), TRIM(INDIRECT($O92)), 0))</f>
        <v>17300000</v>
      </c>
      <c r="F92" s="7" cm="1">
        <f t="array" aca="1" ref="F92" ca="1">INDEX(INDIRECT($M92),
       MATCH(TRIM($C92), TRIM(INDIRECT($N92)), 0),
       MATCH(TRIM(F$1), TRIM(INDIRECT($O92)), 0))</f>
        <v>17.3</v>
      </c>
      <c r="G92" s="7" cm="1">
        <f t="array" aca="1" ref="G92" ca="1">INDEX(INDIRECT($M92),
       MATCH(TRIM($C92), TRIM(INDIRECT($N92)), 0),
       MATCH(TRIM(G$1), TRIM(INDIRECT($O92)), 0))</f>
        <v>3</v>
      </c>
      <c r="H92" s="9" cm="1">
        <f t="array" aca="1" ref="H92" ca="1">INDEX(INDIRECT($M92),
       MATCH(TRIM($C92), TRIM(INDIRECT($N92)), 0),
       MATCH(TRIM(H$1), TRIM(INDIRECT($O92)), 0))</f>
        <v>2928883</v>
      </c>
      <c r="I92" s="7" cm="1">
        <f t="array" aca="1" ref="I92" ca="1">INDEX(INDIRECT($M92),
       MATCH(TRIM($C92), TRIM(INDIRECT($N92)), 0),
       MATCH(TRIM(I$1), TRIM(INDIRECT($O92)), 0))</f>
        <v>2.9288829999999999</v>
      </c>
      <c r="J92" s="7" cm="1">
        <f t="array" aca="1" ref="J92" ca="1">INDEX(INDIRECT($M92),
       MATCH(TRIM($C92), TRIM(INDIRECT($N92)), 0),
       MATCH(TRIM(J$1), TRIM(INDIRECT($O92)), 0))</f>
        <v>41</v>
      </c>
      <c r="K92" s="7" cm="1">
        <f t="array" aca="1" ref="K92" ca="1">INDEX(INDIRECT($M92),
       MATCH(TRIM($C92), TRIM(INDIRECT($N92)), 0),
       MATCH(TRIM(K$1), TRIM(INDIRECT($O92)), 0))</f>
        <v>191.21945574009573</v>
      </c>
      <c r="L92" s="7" cm="1">
        <f t="array" aca="1" ref="L92" ca="1">INDEX(INDIRECT($M92),
       MATCH(TRIM($C92), TRIM(INDIRECT($N92)), 0),
       MATCH(TRIM(L$1), TRIM(INDIRECT($O92)), 0))</f>
        <v>211.44833874009572</v>
      </c>
      <c r="M92" s="5" t="str">
        <f>_xlfn.CONCAT("'",$B92,"'","!","$C$3:$K$23")</f>
        <v>'2019'!$C$3:$K$23</v>
      </c>
      <c r="N92" s="5" t="str">
        <f>_xlfn.CONCAT("'",$B92,"'","!","$B$3:$B$22")</f>
        <v>'2019'!$B$3:$B$22</v>
      </c>
      <c r="O92" s="5" t="str">
        <f>_xlfn.CONCAT("'",$B92,"'","!","$C$2:$K$2")</f>
        <v>'2019'!$C$2:$K$2</v>
      </c>
    </row>
    <row r="93" spans="1:15" x14ac:dyDescent="0.3">
      <c r="A93">
        <v>16</v>
      </c>
      <c r="B93">
        <v>2019</v>
      </c>
      <c r="C93" t="s">
        <v>93</v>
      </c>
      <c r="D93" s="7" cm="1">
        <f t="array" aca="1" ref="D93" ca="1">INDEX(INDIRECT($M93),
       MATCH(TRIM($C93), TRIM(INDIRECT($N93)), 0),
       MATCH(TRIM(D$1), TRIM(INDIRECT($O93)), 0))</f>
        <v>2</v>
      </c>
      <c r="E93" s="9" cm="1">
        <f t="array" aca="1" ref="E93" ca="1">INDEX(INDIRECT($M93),
       MATCH(TRIM($C93), TRIM(INDIRECT($N93)), 0),
       MATCH(TRIM(E$1), TRIM(INDIRECT($O93)), 0))</f>
        <v>1903773</v>
      </c>
      <c r="F93" s="7" cm="1">
        <f t="array" aca="1" ref="F93" ca="1">INDEX(INDIRECT($M93),
       MATCH(TRIM($C93), TRIM(INDIRECT($N93)), 0),
       MATCH(TRIM(F$1), TRIM(INDIRECT($O93)), 0))</f>
        <v>1.9037729999999999</v>
      </c>
      <c r="G93" s="7" cm="1">
        <f t="array" aca="1" ref="G93" ca="1">INDEX(INDIRECT($M93),
       MATCH(TRIM($C93), TRIM(INDIRECT($N93)), 0),
       MATCH(TRIM(G$1), TRIM(INDIRECT($O93)), 0))</f>
        <v>2</v>
      </c>
      <c r="H93" s="9" cm="1">
        <f t="array" aca="1" ref="H93" ca="1">INDEX(INDIRECT($M93),
       MATCH(TRIM($C93), TRIM(INDIRECT($N93)), 0),
       MATCH(TRIM(H$1), TRIM(INDIRECT($O93)), 0))</f>
        <v>28025113</v>
      </c>
      <c r="I93" s="7" cm="1">
        <f t="array" aca="1" ref="I93" ca="1">INDEX(INDIRECT($M93),
       MATCH(TRIM($C93), TRIM(INDIRECT($N93)), 0),
       MATCH(TRIM(I$1), TRIM(INDIRECT($O93)), 0))</f>
        <v>28.025113000000001</v>
      </c>
      <c r="J93" s="7" cm="1">
        <f t="array" aca="1" ref="J93" ca="1">INDEX(INDIRECT($M93),
       MATCH(TRIM($C93), TRIM(INDIRECT($N93)), 0),
       MATCH(TRIM(J$1), TRIM(INDIRECT($O93)), 0))</f>
        <v>8</v>
      </c>
      <c r="K93" s="7" cm="1">
        <f t="array" aca="1" ref="K93" ca="1">INDEX(INDIRECT($M93),
       MATCH(TRIM($C93), TRIM(INDIRECT($N93)), 0),
       MATCH(TRIM(K$1), TRIM(INDIRECT($O93)), 0))</f>
        <v>5.6593194171614689</v>
      </c>
      <c r="L93" s="7" cm="1">
        <f t="array" aca="1" ref="L93" ca="1">INDEX(INDIRECT($M93),
       MATCH(TRIM($C93), TRIM(INDIRECT($N93)), 0),
       MATCH(TRIM(L$1), TRIM(INDIRECT($O93)), 0))</f>
        <v>35.588205417161468</v>
      </c>
      <c r="M93" s="5" t="str">
        <f>_xlfn.CONCAT("'",$B93,"'","!","$C$3:$K$23")</f>
        <v>'2019'!$C$3:$K$23</v>
      </c>
      <c r="N93" s="5" t="str">
        <f>_xlfn.CONCAT("'",$B93,"'","!","$B$3:$B$22")</f>
        <v>'2019'!$B$3:$B$22</v>
      </c>
      <c r="O93" s="5" t="str">
        <f>_xlfn.CONCAT("'",$B93,"'","!","$C$2:$K$2")</f>
        <v>'2019'!$C$2:$K$2</v>
      </c>
    </row>
    <row r="94" spans="1:15" x14ac:dyDescent="0.3">
      <c r="A94">
        <v>17</v>
      </c>
      <c r="B94">
        <v>2019</v>
      </c>
      <c r="C94" t="s">
        <v>94</v>
      </c>
      <c r="D94" s="7" cm="1">
        <f t="array" aca="1" ref="D94" ca="1">INDEX(INDIRECT($M94),
       MATCH(TRIM($C94), TRIM(INDIRECT($N94)), 0),
       MATCH(TRIM(D$1), TRIM(INDIRECT($O94)), 0))</f>
        <v>6</v>
      </c>
      <c r="E94" s="9" cm="1">
        <f t="array" aca="1" ref="E94" ca="1">INDEX(INDIRECT($M94),
       MATCH(TRIM($C94), TRIM(INDIRECT($N94)), 0),
       MATCH(TRIM(E$1), TRIM(INDIRECT($O94)), 0))</f>
        <v>8273202</v>
      </c>
      <c r="F94" s="7" cm="1">
        <f t="array" aca="1" ref="F94" ca="1">INDEX(INDIRECT($M94),
       MATCH(TRIM($C94), TRIM(INDIRECT($N94)), 0),
       MATCH(TRIM(F$1), TRIM(INDIRECT($O94)), 0))</f>
        <v>8.2732019999999995</v>
      </c>
      <c r="G94" s="7" cm="1">
        <f t="array" aca="1" ref="G94" ca="1">INDEX(INDIRECT($M94),
       MATCH(TRIM($C94), TRIM(INDIRECT($N94)), 0),
       MATCH(TRIM(G$1), TRIM(INDIRECT($O94)), 0))</f>
        <v>1</v>
      </c>
      <c r="H94" s="9" cm="1">
        <f t="array" aca="1" ref="H94" ca="1">INDEX(INDIRECT($M94),
       MATCH(TRIM($C94), TRIM(INDIRECT($N94)), 0),
       MATCH(TRIM(H$1), TRIM(INDIRECT($O94)), 0))</f>
        <v>2652174</v>
      </c>
      <c r="I94" s="7" cm="1">
        <f t="array" aca="1" ref="I94" ca="1">INDEX(INDIRECT($M94),
       MATCH(TRIM($C94), TRIM(INDIRECT($N94)), 0),
       MATCH(TRIM(I$1), TRIM(INDIRECT($O94)), 0))</f>
        <v>2.652174</v>
      </c>
      <c r="J94" s="7" cm="1">
        <f t="array" aca="1" ref="J94" ca="1">INDEX(INDIRECT($M94),
       MATCH(TRIM($C94), TRIM(INDIRECT($N94)), 0),
       MATCH(TRIM(J$1), TRIM(INDIRECT($O94)), 0))</f>
        <v>26</v>
      </c>
      <c r="K94" s="7" cm="1">
        <f t="array" aca="1" ref="K94" ca="1">INDEX(INDIRECT($M94),
       MATCH(TRIM($C94), TRIM(INDIRECT($N94)), 0),
       MATCH(TRIM(K$1), TRIM(INDIRECT($O94)), 0))</f>
        <v>51.812667069363577</v>
      </c>
      <c r="L94" s="7" cm="1">
        <f t="array" aca="1" ref="L94" ca="1">INDEX(INDIRECT($M94),
       MATCH(TRIM($C94), TRIM(INDIRECT($N94)), 0),
       MATCH(TRIM(L$1), TRIM(INDIRECT($O94)), 0))</f>
        <v>62.738043069363577</v>
      </c>
      <c r="M94" s="5" t="str">
        <f>_xlfn.CONCAT("'",$B94,"'","!","$C$3:$K$23")</f>
        <v>'2019'!$C$3:$K$23</v>
      </c>
      <c r="N94" s="5" t="str">
        <f>_xlfn.CONCAT("'",$B94,"'","!","$B$3:$B$22")</f>
        <v>'2019'!$B$3:$B$22</v>
      </c>
      <c r="O94" s="5" t="str">
        <f>_xlfn.CONCAT("'",$B94,"'","!","$C$2:$K$2")</f>
        <v>'2019'!$C$2:$K$2</v>
      </c>
    </row>
    <row r="95" spans="1:15" x14ac:dyDescent="0.3">
      <c r="A95">
        <v>18</v>
      </c>
      <c r="B95">
        <v>2019</v>
      </c>
      <c r="C95" t="s">
        <v>95</v>
      </c>
      <c r="D95" s="7" cm="1">
        <f t="array" aca="1" ref="D95" ca="1">INDEX(INDIRECT($M95),
       MATCH(TRIM($C95), TRIM(INDIRECT($N95)), 0),
       MATCH(TRIM(D$1), TRIM(INDIRECT($O95)), 0))</f>
        <v>12</v>
      </c>
      <c r="E95" s="9" cm="1">
        <f t="array" aca="1" ref="E95" ca="1">INDEX(INDIRECT($M95),
       MATCH(TRIM($C95), TRIM(INDIRECT($N95)), 0),
       MATCH(TRIM(E$1), TRIM(INDIRECT($O95)), 0))</f>
        <v>11548062</v>
      </c>
      <c r="F95" s="7" cm="1">
        <f t="array" aca="1" ref="F95" ca="1">INDEX(INDIRECT($M95),
       MATCH(TRIM($C95), TRIM(INDIRECT($N95)), 0),
       MATCH(TRIM(F$1), TRIM(INDIRECT($O95)), 0))</f>
        <v>11.548062</v>
      </c>
      <c r="G95" s="7" cm="1">
        <f t="array" aca="1" ref="G95" ca="1">INDEX(INDIRECT($M95),
       MATCH(TRIM($C95), TRIM(INDIRECT($N95)), 0),
       MATCH(TRIM(G$1), TRIM(INDIRECT($O95)), 0))</f>
        <v>2</v>
      </c>
      <c r="H95" s="9" cm="1">
        <f t="array" aca="1" ref="H95" ca="1">INDEX(INDIRECT($M95),
       MATCH(TRIM($C95), TRIM(INDIRECT($N95)), 0),
       MATCH(TRIM(H$1), TRIM(INDIRECT($O95)), 0))</f>
        <v>191974944</v>
      </c>
      <c r="I95" s="7" cm="1">
        <f t="array" aca="1" ref="I95" ca="1">INDEX(INDIRECT($M95),
       MATCH(TRIM($C95), TRIM(INDIRECT($N95)), 0),
       MATCH(TRIM(I$1), TRIM(INDIRECT($O95)), 0))</f>
        <v>191.97494399999999</v>
      </c>
      <c r="J95" s="7" cm="1">
        <f t="array" aca="1" ref="J95" ca="1">INDEX(INDIRECT($M95),
       MATCH(TRIM($C95), TRIM(INDIRECT($N95)), 0),
       MATCH(TRIM(J$1), TRIM(INDIRECT($O95)), 0))</f>
        <v>39</v>
      </c>
      <c r="K95" s="7" cm="1">
        <f t="array" aca="1" ref="K95" ca="1">INDEX(INDIRECT($M95),
       MATCH(TRIM($C95), TRIM(INDIRECT($N95)), 0),
       MATCH(TRIM(K$1), TRIM(INDIRECT($O95)), 0))</f>
        <v>968.33753936078949</v>
      </c>
      <c r="L95" s="7" cm="1">
        <f t="array" aca="1" ref="L95" ca="1">INDEX(INDIRECT($M95),
       MATCH(TRIM($C95), TRIM(INDIRECT($N95)), 0),
       MATCH(TRIM(L$1), TRIM(INDIRECT($O95)), 0))</f>
        <v>1171.8605453607895</v>
      </c>
      <c r="M95" s="5" t="str">
        <f>_xlfn.CONCAT("'",$B95,"'","!","$C$3:$K$23")</f>
        <v>'2019'!$C$3:$K$23</v>
      </c>
      <c r="N95" s="5" t="str">
        <f>_xlfn.CONCAT("'",$B95,"'","!","$B$3:$B$22")</f>
        <v>'2019'!$B$3:$B$22</v>
      </c>
      <c r="O95" s="5" t="str">
        <f>_xlfn.CONCAT("'",$B95,"'","!","$C$2:$K$2")</f>
        <v>'2019'!$C$2:$K$2</v>
      </c>
    </row>
    <row r="96" spans="1:15" x14ac:dyDescent="0.3">
      <c r="A96">
        <v>19</v>
      </c>
      <c r="B96">
        <v>2019</v>
      </c>
      <c r="C96" t="s">
        <v>96</v>
      </c>
      <c r="D96" s="7" cm="1">
        <f t="array" aca="1" ref="D96" ca="1">INDEX(INDIRECT($M96),
       MATCH(TRIM($C96), TRIM(INDIRECT($N96)), 0),
       MATCH(TRIM(D$1), TRIM(INDIRECT($O96)), 0))</f>
        <v>1</v>
      </c>
      <c r="E96" s="9" cm="1">
        <f t="array" aca="1" ref="E96" ca="1">INDEX(INDIRECT($M96),
       MATCH(TRIM($C96), TRIM(INDIRECT($N96)), 0),
       MATCH(TRIM(E$1), TRIM(INDIRECT($O96)), 0))</f>
        <v>431044</v>
      </c>
      <c r="F96" s="7" cm="1">
        <f t="array" aca="1" ref="F96" ca="1">INDEX(INDIRECT($M96),
       MATCH(TRIM($C96), TRIM(INDIRECT($N96)), 0),
       MATCH(TRIM(F$1), TRIM(INDIRECT($O96)), 0))</f>
        <v>0.43104399999999998</v>
      </c>
      <c r="G96" s="7" cm="1">
        <f t="array" aca="1" ref="G96" ca="1">INDEX(INDIRECT($M96),
       MATCH(TRIM($C96), TRIM(INDIRECT($N96)), 0),
       MATCH(TRIM(G$1), TRIM(INDIRECT($O96)), 0))</f>
        <v>0</v>
      </c>
      <c r="H96" s="9" cm="1">
        <f t="array" aca="1" ref="H96" ca="1">INDEX(INDIRECT($M96),
       MATCH(TRIM($C96), TRIM(INDIRECT($N96)), 0),
       MATCH(TRIM(H$1), TRIM(INDIRECT($O96)), 0))</f>
        <v>0</v>
      </c>
      <c r="I96" s="7" cm="1">
        <f t="array" aca="1" ref="I96" ca="1">INDEX(INDIRECT($M96),
       MATCH(TRIM($C96), TRIM(INDIRECT($N96)), 0),
       MATCH(TRIM(I$1), TRIM(INDIRECT($O96)), 0))</f>
        <v>0</v>
      </c>
      <c r="J96" s="7" cm="1">
        <f t="array" aca="1" ref="J96" ca="1">INDEX(INDIRECT($M96),
       MATCH(TRIM($C96), TRIM(INDIRECT($N96)), 0),
       MATCH(TRIM(J$1), TRIM(INDIRECT($O96)), 0))</f>
        <v>0</v>
      </c>
      <c r="K96" s="7" cm="1">
        <f t="array" aca="1" ref="K96" ca="1">INDEX(INDIRECT($M96),
       MATCH(TRIM($C96), TRIM(INDIRECT($N96)), 0),
       MATCH(TRIM(K$1), TRIM(INDIRECT($O96)), 0))</f>
        <v>0</v>
      </c>
      <c r="L96" s="7" cm="1">
        <f t="array" aca="1" ref="L96" ca="1">INDEX(INDIRECT($M96),
       MATCH(TRIM($C96), TRIM(INDIRECT($N96)), 0),
       MATCH(TRIM(L$1), TRIM(INDIRECT($O96)), 0))</f>
        <v>0.43104399999999998</v>
      </c>
      <c r="M96" s="5" t="str">
        <f>_xlfn.CONCAT("'",$B96,"'","!","$C$3:$K$23")</f>
        <v>'2019'!$C$3:$K$23</v>
      </c>
      <c r="N96" s="5" t="str">
        <f>_xlfn.CONCAT("'",$B96,"'","!","$B$3:$B$22")</f>
        <v>'2019'!$B$3:$B$22</v>
      </c>
      <c r="O96" s="5" t="str">
        <f>_xlfn.CONCAT("'",$B96,"'","!","$C$2:$K$2")</f>
        <v>'2019'!$C$2:$K$2</v>
      </c>
    </row>
    <row r="97" spans="1:15" x14ac:dyDescent="0.3">
      <c r="A97">
        <v>1</v>
      </c>
      <c r="B97">
        <v>2020</v>
      </c>
      <c r="C97" t="s">
        <v>78</v>
      </c>
      <c r="D97" s="7" cm="1">
        <f t="array" aca="1" ref="D97" ca="1">INDEX(INDIRECT($M97),
       MATCH(TRIM($C97), TRIM(INDIRECT($N97)), 0),
       MATCH(TRIM(D$1), TRIM(INDIRECT($O97)), 0))</f>
        <v>800</v>
      </c>
      <c r="E97" s="9" t="e" cm="1">
        <f t="array" aca="1" ref="E97" ca="1">INDEX(INDIRECT($M97),
       MATCH(TRIM($C97), TRIM(INDIRECT($N97)), 0),
       MATCH(TRIM(E$1), TRIM(INDIRECT($O97)), 0))</f>
        <v>#N/A</v>
      </c>
      <c r="F97" s="7" cm="1">
        <f t="array" aca="1" ref="F97" ca="1">INDEX(INDIRECT($M97),
       MATCH(TRIM($C97), TRIM(INDIRECT($N97)), 0),
       MATCH(TRIM(F$1), TRIM(INDIRECT($O97)), 0))</f>
        <v>7190.7741480000004</v>
      </c>
      <c r="G97" s="7" cm="1">
        <f t="array" aca="1" ref="G97" ca="1">INDEX(INDIRECT($M97),
       MATCH(TRIM($C97), TRIM(INDIRECT($N97)), 0),
       MATCH(TRIM(G$1), TRIM(INDIRECT($O97)), 0))</f>
        <v>680</v>
      </c>
      <c r="H97" s="9" t="e" cm="1">
        <f t="array" aca="1" ref="H97" ca="1">INDEX(INDIRECT($M97),
       MATCH(TRIM($C97), TRIM(INDIRECT($N97)), 0),
       MATCH(TRIM(H$1), TRIM(INDIRECT($O97)), 0))</f>
        <v>#N/A</v>
      </c>
      <c r="I97" s="7" cm="1">
        <f t="array" aca="1" ref="I97" ca="1">INDEX(INDIRECT($M97),
       MATCH(TRIM($C97), TRIM(INDIRECT($N97)), 0),
       MATCH(TRIM(I$1), TRIM(INDIRECT($O97)), 0))</f>
        <v>4593.8566406787504</v>
      </c>
      <c r="J97" s="7" cm="1">
        <f t="array" aca="1" ref="J97" ca="1">INDEX(INDIRECT($M97),
       MATCH(TRIM($C97), TRIM(INDIRECT($N97)), 0),
       MATCH(TRIM(J$1), TRIM(INDIRECT($O97)), 0))</f>
        <v>1268</v>
      </c>
      <c r="K97" s="7" cm="1">
        <f t="array" aca="1" ref="K97" ca="1">INDEX(INDIRECT($M97),
       MATCH(TRIM($C97), TRIM(INDIRECT($N97)), 0),
       MATCH(TRIM(K$1), TRIM(INDIRECT($O97)), 0))</f>
        <v>1816.4634590623748</v>
      </c>
      <c r="L97" s="7" cm="1">
        <f t="array" aca="1" ref="L97" ca="1">INDEX(INDIRECT($M97),
       MATCH(TRIM($C97), TRIM(INDIRECT($N97)), 0),
       MATCH(TRIM(L$1), TRIM(INDIRECT($O97)), 0))</f>
        <v>13601.094247741126</v>
      </c>
      <c r="M97" s="5" t="str">
        <f>_xlfn.CONCAT("'",$B97,"'","!","$C$3:$K$23")</f>
        <v>'2020'!$C$3:$K$23</v>
      </c>
      <c r="N97" s="5" t="str">
        <f>_xlfn.CONCAT("'",$B97,"'","!","$B$3:$B$22")</f>
        <v>'2020'!$B$3:$B$22</v>
      </c>
      <c r="O97" s="5" t="str">
        <f>_xlfn.CONCAT("'",$B97,"'","!","$C$2:$K$2")</f>
        <v>'2020'!$C$2:$K$2</v>
      </c>
    </row>
    <row r="98" spans="1:15" x14ac:dyDescent="0.3">
      <c r="A98">
        <v>2</v>
      </c>
      <c r="B98">
        <v>2020</v>
      </c>
      <c r="C98" t="s">
        <v>79</v>
      </c>
      <c r="D98" s="7" cm="1">
        <f t="array" aca="1" ref="D98" ca="1">INDEX(INDIRECT($M98),
       MATCH(TRIM($C98), TRIM(INDIRECT($N98)), 0),
       MATCH(TRIM(D$1), TRIM(INDIRECT($O98)), 0))</f>
        <v>20</v>
      </c>
      <c r="E98" s="9" t="e" cm="1">
        <f t="array" aca="1" ref="E98" ca="1">INDEX(INDIRECT($M98),
       MATCH(TRIM($C98), TRIM(INDIRECT($N98)), 0),
       MATCH(TRIM(E$1), TRIM(INDIRECT($O98)), 0))</f>
        <v>#N/A</v>
      </c>
      <c r="F98" s="7" cm="1">
        <f t="array" aca="1" ref="F98" ca="1">INDEX(INDIRECT($M98),
       MATCH(TRIM($C98), TRIM(INDIRECT($N98)), 0),
       MATCH(TRIM(F$1), TRIM(INDIRECT($O98)), 0))</f>
        <v>5080.8133260000004</v>
      </c>
      <c r="G98" s="7" cm="1">
        <f t="array" aca="1" ref="G98" ca="1">INDEX(INDIRECT($M98),
       MATCH(TRIM($C98), TRIM(INDIRECT($N98)), 0),
       MATCH(TRIM(G$1), TRIM(INDIRECT($O98)), 0))</f>
        <v>8</v>
      </c>
      <c r="H98" s="9" t="e" cm="1">
        <f t="array" aca="1" ref="H98" ca="1">INDEX(INDIRECT($M98),
       MATCH(TRIM($C98), TRIM(INDIRECT($N98)), 0),
       MATCH(TRIM(H$1), TRIM(INDIRECT($O98)), 0))</f>
        <v>#N/A</v>
      </c>
      <c r="I98" s="7" cm="1">
        <f t="array" aca="1" ref="I98" ca="1">INDEX(INDIRECT($M98),
       MATCH(TRIM($C98), TRIM(INDIRECT($N98)), 0),
       MATCH(TRIM(I$1), TRIM(INDIRECT($O98)), 0))</f>
        <v>-137.469289</v>
      </c>
      <c r="J98" s="7" cm="1">
        <f t="array" aca="1" ref="J98" ca="1">INDEX(INDIRECT($M98),
       MATCH(TRIM($C98), TRIM(INDIRECT($N98)), 0),
       MATCH(TRIM(J$1), TRIM(INDIRECT($O98)), 0))</f>
        <v>45</v>
      </c>
      <c r="K98" s="7" cm="1">
        <f t="array" aca="1" ref="K98" ca="1">INDEX(INDIRECT($M98),
       MATCH(TRIM($C98), TRIM(INDIRECT($N98)), 0),
       MATCH(TRIM(K$1), TRIM(INDIRECT($O98)), 0))</f>
        <v>199.22343076989497</v>
      </c>
      <c r="L98" s="7" cm="1">
        <f t="array" aca="1" ref="L98" ca="1">INDEX(INDIRECT($M98),
       MATCH(TRIM($C98), TRIM(INDIRECT($N98)), 0),
       MATCH(TRIM(L$1), TRIM(INDIRECT($O98)), 0))</f>
        <v>5142.5674677698953</v>
      </c>
      <c r="M98" s="5" t="str">
        <f>_xlfn.CONCAT("'",$B98,"'","!","$C$3:$K$23")</f>
        <v>'2020'!$C$3:$K$23</v>
      </c>
      <c r="N98" s="5" t="str">
        <f>_xlfn.CONCAT("'",$B98,"'","!","$B$3:$B$22")</f>
        <v>'2020'!$B$3:$B$22</v>
      </c>
      <c r="O98" s="5" t="str">
        <f>_xlfn.CONCAT("'",$B98,"'","!","$C$2:$K$2")</f>
        <v>'2020'!$C$2:$K$2</v>
      </c>
    </row>
    <row r="99" spans="1:15" x14ac:dyDescent="0.3">
      <c r="A99">
        <v>3</v>
      </c>
      <c r="B99">
        <v>2020</v>
      </c>
      <c r="C99" t="s">
        <v>80</v>
      </c>
      <c r="D99" s="7" cm="1">
        <f t="array" aca="1" ref="D99" ca="1">INDEX(INDIRECT($M99),
       MATCH(TRIM($C99), TRIM(INDIRECT($N99)), 0),
       MATCH(TRIM(D$1), TRIM(INDIRECT($O99)), 0))</f>
        <v>70</v>
      </c>
      <c r="E99" s="9" t="e" cm="1">
        <f t="array" aca="1" ref="E99" ca="1">INDEX(INDIRECT($M99),
       MATCH(TRIM($C99), TRIM(INDIRECT($N99)), 0),
       MATCH(TRIM(E$1), TRIM(INDIRECT($O99)), 0))</f>
        <v>#N/A</v>
      </c>
      <c r="F99" s="7" cm="1">
        <f t="array" aca="1" ref="F99" ca="1">INDEX(INDIRECT($M99),
       MATCH(TRIM($C99), TRIM(INDIRECT($N99)), 0),
       MATCH(TRIM(F$1), TRIM(INDIRECT($O99)), 0))</f>
        <v>987.412103</v>
      </c>
      <c r="G99" s="7" cm="1">
        <f t="array" aca="1" ref="G99" ca="1">INDEX(INDIRECT($M99),
       MATCH(TRIM($C99), TRIM(INDIRECT($N99)), 0),
       MATCH(TRIM(G$1), TRIM(INDIRECT($O99)), 0))</f>
        <v>32</v>
      </c>
      <c r="H99" s="9" t="e" cm="1">
        <f t="array" aca="1" ref="H99" ca="1">INDEX(INDIRECT($M99),
       MATCH(TRIM($C99), TRIM(INDIRECT($N99)), 0),
       MATCH(TRIM(H$1), TRIM(INDIRECT($O99)), 0))</f>
        <v>#N/A</v>
      </c>
      <c r="I99" s="7" cm="1">
        <f t="array" aca="1" ref="I99" ca="1">INDEX(INDIRECT($M99),
       MATCH(TRIM($C99), TRIM(INDIRECT($N99)), 0),
       MATCH(TRIM(I$1), TRIM(INDIRECT($O99)), 0))</f>
        <v>1256.075787</v>
      </c>
      <c r="J99" s="7" cm="1">
        <f t="array" aca="1" ref="J99" ca="1">INDEX(INDIRECT($M99),
       MATCH(TRIM($C99), TRIM(INDIRECT($N99)), 0),
       MATCH(TRIM(J$1), TRIM(INDIRECT($O99)), 0))</f>
        <v>229</v>
      </c>
      <c r="K99" s="7" cm="1">
        <f t="array" aca="1" ref="K99" ca="1">INDEX(INDIRECT($M99),
       MATCH(TRIM($C99), TRIM(INDIRECT($N99)), 0),
       MATCH(TRIM(K$1), TRIM(INDIRECT($O99)), 0))</f>
        <v>1941.4578675752098</v>
      </c>
      <c r="L99" s="7" cm="1">
        <f t="array" aca="1" ref="L99" ca="1">INDEX(INDIRECT($M99),
       MATCH(TRIM($C99), TRIM(INDIRECT($N99)), 0),
       MATCH(TRIM(L$1), TRIM(INDIRECT($O99)), 0))</f>
        <v>4184.9457575752094</v>
      </c>
      <c r="M99" s="5" t="str">
        <f>_xlfn.CONCAT("'",$B99,"'","!","$C$3:$K$23")</f>
        <v>'2020'!$C$3:$K$23</v>
      </c>
      <c r="N99" s="5" t="str">
        <f>_xlfn.CONCAT("'",$B99,"'","!","$B$3:$B$22")</f>
        <v>'2020'!$B$3:$B$22</v>
      </c>
      <c r="O99" s="5" t="str">
        <f>_xlfn.CONCAT("'",$B99,"'","!","$C$2:$K$2")</f>
        <v>'2020'!$C$2:$K$2</v>
      </c>
    </row>
    <row r="100" spans="1:15" x14ac:dyDescent="0.3">
      <c r="A100">
        <v>4</v>
      </c>
      <c r="B100">
        <v>2020</v>
      </c>
      <c r="C100" t="s">
        <v>81</v>
      </c>
      <c r="D100" s="7" cm="1">
        <f t="array" aca="1" ref="D100" ca="1">INDEX(INDIRECT($M100),
       MATCH(TRIM($C100), TRIM(INDIRECT($N100)), 0),
       MATCH(TRIM(D$1), TRIM(INDIRECT($O100)), 0))</f>
        <v>79</v>
      </c>
      <c r="E100" s="9" t="e" cm="1">
        <f t="array" aca="1" ref="E100" ca="1">INDEX(INDIRECT($M100),
       MATCH(TRIM($C100), TRIM(INDIRECT($N100)), 0),
       MATCH(TRIM(E$1), TRIM(INDIRECT($O100)), 0))</f>
        <v>#N/A</v>
      </c>
      <c r="F100" s="7" cm="1">
        <f t="array" aca="1" ref="F100" ca="1">INDEX(INDIRECT($M100),
       MATCH(TRIM($C100), TRIM(INDIRECT($N100)), 0),
       MATCH(TRIM(F$1), TRIM(INDIRECT($O100)), 0))</f>
        <v>237.24400800000001</v>
      </c>
      <c r="G100" s="7" cm="1">
        <f t="array" aca="1" ref="G100" ca="1">INDEX(INDIRECT($M100),
       MATCH(TRIM($C100), TRIM(INDIRECT($N100)), 0),
       MATCH(TRIM(G$1), TRIM(INDIRECT($O100)), 0))</f>
        <v>29</v>
      </c>
      <c r="H100" s="9" t="e" cm="1">
        <f t="array" aca="1" ref="H100" ca="1">INDEX(INDIRECT($M100),
       MATCH(TRIM($C100), TRIM(INDIRECT($N100)), 0),
       MATCH(TRIM(H$1), TRIM(INDIRECT($O100)), 0))</f>
        <v>#N/A</v>
      </c>
      <c r="I100" s="7" cm="1">
        <f t="array" aca="1" ref="I100" ca="1">INDEX(INDIRECT($M100),
       MATCH(TRIM($C100), TRIM(INDIRECT($N100)), 0),
       MATCH(TRIM(I$1), TRIM(INDIRECT($O100)), 0))</f>
        <v>78.886713999999998</v>
      </c>
      <c r="J100" s="7" cm="1">
        <f t="array" aca="1" ref="J100" ca="1">INDEX(INDIRECT($M100),
       MATCH(TRIM($C100), TRIM(INDIRECT($N100)), 0),
       MATCH(TRIM(J$1), TRIM(INDIRECT($O100)), 0))</f>
        <v>233</v>
      </c>
      <c r="K100" s="7" cm="1">
        <f t="array" aca="1" ref="K100" ca="1">INDEX(INDIRECT($M100),
       MATCH(TRIM($C100), TRIM(INDIRECT($N100)), 0),
       MATCH(TRIM(K$1), TRIM(INDIRECT($O100)), 0))</f>
        <v>243.71684897701022</v>
      </c>
      <c r="L100" s="7" cm="1">
        <f t="array" aca="1" ref="L100" ca="1">INDEX(INDIRECT($M100),
       MATCH(TRIM($C100), TRIM(INDIRECT($N100)), 0),
       MATCH(TRIM(L$1), TRIM(INDIRECT($O100)), 0))</f>
        <v>559.84757097701026</v>
      </c>
      <c r="M100" s="5" t="str">
        <f>_xlfn.CONCAT("'",$B100,"'","!","$C$3:$K$23")</f>
        <v>'2020'!$C$3:$K$23</v>
      </c>
      <c r="N100" s="5" t="str">
        <f>_xlfn.CONCAT("'",$B100,"'","!","$B$3:$B$22")</f>
        <v>'2020'!$B$3:$B$22</v>
      </c>
      <c r="O100" s="5" t="str">
        <f>_xlfn.CONCAT("'",$B100,"'","!","$C$2:$K$2")</f>
        <v>'2020'!$C$2:$K$2</v>
      </c>
    </row>
    <row r="101" spans="1:15" x14ac:dyDescent="0.3">
      <c r="A101">
        <v>5</v>
      </c>
      <c r="B101">
        <v>2020</v>
      </c>
      <c r="C101" t="s">
        <v>82</v>
      </c>
      <c r="D101" s="7" cm="1">
        <f t="array" aca="1" ref="D101" ca="1">INDEX(INDIRECT($M101),
       MATCH(TRIM($C101), TRIM(INDIRECT($N101)), 0),
       MATCH(TRIM(D$1), TRIM(INDIRECT($O101)), 0))</f>
        <v>704</v>
      </c>
      <c r="E101" s="9" t="e" cm="1">
        <f t="array" aca="1" ref="E101" ca="1">INDEX(INDIRECT($M101),
       MATCH(TRIM($C101), TRIM(INDIRECT($N101)), 0),
       MATCH(TRIM(E$1), TRIM(INDIRECT($O101)), 0))</f>
        <v>#N/A</v>
      </c>
      <c r="F101" s="7" cm="1">
        <f t="array" aca="1" ref="F101" ca="1">INDEX(INDIRECT($M101),
       MATCH(TRIM($C101), TRIM(INDIRECT($N101)), 0),
       MATCH(TRIM(F$1), TRIM(INDIRECT($O101)), 0))</f>
        <v>431.18400700000001</v>
      </c>
      <c r="G101" s="7" cm="1">
        <f t="array" aca="1" ref="G101" ca="1">INDEX(INDIRECT($M101),
       MATCH(TRIM($C101), TRIM(INDIRECT($N101)), 0),
       MATCH(TRIM(G$1), TRIM(INDIRECT($O101)), 0))</f>
        <v>164</v>
      </c>
      <c r="H101" s="9" t="e" cm="1">
        <f t="array" aca="1" ref="H101" ca="1">INDEX(INDIRECT($M101),
       MATCH(TRIM($C101), TRIM(INDIRECT($N101)), 0),
       MATCH(TRIM(H$1), TRIM(INDIRECT($O101)), 0))</f>
        <v>#N/A</v>
      </c>
      <c r="I101" s="7" cm="1">
        <f t="array" aca="1" ref="I101" ca="1">INDEX(INDIRECT($M101),
       MATCH(TRIM($C101), TRIM(INDIRECT($N101)), 0),
       MATCH(TRIM(I$1), TRIM(INDIRECT($O101)), 0))</f>
        <v>234.24452517968751</v>
      </c>
      <c r="J101" s="7" cm="1">
        <f t="array" aca="1" ref="J101" ca="1">INDEX(INDIRECT($M101),
       MATCH(TRIM($C101), TRIM(INDIRECT($N101)), 0),
       MATCH(TRIM(J$1), TRIM(INDIRECT($O101)), 0))</f>
        <v>2264</v>
      </c>
      <c r="K101" s="7" cm="1">
        <f t="array" aca="1" ref="K101" ca="1">INDEX(INDIRECT($M101),
       MATCH(TRIM($C101), TRIM(INDIRECT($N101)), 0),
       MATCH(TRIM(K$1), TRIM(INDIRECT($O101)), 0))</f>
        <v>980.21474146658818</v>
      </c>
      <c r="L101" s="7" cm="1">
        <f t="array" aca="1" ref="L101" ca="1">INDEX(INDIRECT($M101),
       MATCH(TRIM($C101), TRIM(INDIRECT($N101)), 0),
       MATCH(TRIM(L$1), TRIM(INDIRECT($O101)), 0))</f>
        <v>1645.6432736462757</v>
      </c>
      <c r="M101" s="5" t="str">
        <f>_xlfn.CONCAT("'",$B101,"'","!","$C$3:$K$23")</f>
        <v>'2020'!$C$3:$K$23</v>
      </c>
      <c r="N101" s="5" t="str">
        <f>_xlfn.CONCAT("'",$B101,"'","!","$B$3:$B$22")</f>
        <v>'2020'!$B$3:$B$22</v>
      </c>
      <c r="O101" s="5" t="str">
        <f>_xlfn.CONCAT("'",$B101,"'","!","$C$2:$K$2")</f>
        <v>'2020'!$C$2:$K$2</v>
      </c>
    </row>
    <row r="102" spans="1:15" x14ac:dyDescent="0.3">
      <c r="A102">
        <v>6</v>
      </c>
      <c r="B102">
        <v>2020</v>
      </c>
      <c r="C102" t="s">
        <v>83</v>
      </c>
      <c r="D102" s="7" cm="1">
        <f t="array" aca="1" ref="D102" ca="1">INDEX(INDIRECT($M102),
       MATCH(TRIM($C102), TRIM(INDIRECT($N102)), 0),
       MATCH(TRIM(D$1), TRIM(INDIRECT($O102)), 0))</f>
        <v>12</v>
      </c>
      <c r="E102" s="9" t="e" cm="1">
        <f t="array" aca="1" ref="E102" ca="1">INDEX(INDIRECT($M102),
       MATCH(TRIM($C102), TRIM(INDIRECT($N102)), 0),
       MATCH(TRIM(E$1), TRIM(INDIRECT($O102)), 0))</f>
        <v>#N/A</v>
      </c>
      <c r="F102" s="7" cm="1">
        <f t="array" aca="1" ref="F102" ca="1">INDEX(INDIRECT($M102),
       MATCH(TRIM($C102), TRIM(INDIRECT($N102)), 0),
       MATCH(TRIM(F$1), TRIM(INDIRECT($O102)), 0))</f>
        <v>103.087824</v>
      </c>
      <c r="G102" s="7" cm="1">
        <f t="array" aca="1" ref="G102" ca="1">INDEX(INDIRECT($M102),
       MATCH(TRIM($C102), TRIM(INDIRECT($N102)), 0),
       MATCH(TRIM(G$1), TRIM(INDIRECT($O102)), 0))</f>
        <v>16</v>
      </c>
      <c r="H102" s="9" t="e" cm="1">
        <f t="array" aca="1" ref="H102" ca="1">INDEX(INDIRECT($M102),
       MATCH(TRIM($C102), TRIM(INDIRECT($N102)), 0),
       MATCH(TRIM(H$1), TRIM(INDIRECT($O102)), 0))</f>
        <v>#N/A</v>
      </c>
      <c r="I102" s="7" cm="1">
        <f t="array" aca="1" ref="I102" ca="1">INDEX(INDIRECT($M102),
       MATCH(TRIM($C102), TRIM(INDIRECT($N102)), 0),
       MATCH(TRIM(I$1), TRIM(INDIRECT($O102)), 0))</f>
        <v>79.645726999999994</v>
      </c>
      <c r="J102" s="7" cm="1">
        <f t="array" aca="1" ref="J102" ca="1">INDEX(INDIRECT($M102),
       MATCH(TRIM($C102), TRIM(INDIRECT($N102)), 0),
       MATCH(TRIM(J$1), TRIM(INDIRECT($O102)), 0))</f>
        <v>29</v>
      </c>
      <c r="K102" s="7" cm="1">
        <f t="array" aca="1" ref="K102" ca="1">INDEX(INDIRECT($M102),
       MATCH(TRIM($C102), TRIM(INDIRECT($N102)), 0),
       MATCH(TRIM(K$1), TRIM(INDIRECT($O102)), 0))</f>
        <v>27.901327174916069</v>
      </c>
      <c r="L102" s="7" cm="1">
        <f t="array" aca="1" ref="L102" ca="1">INDEX(INDIRECT($M102),
       MATCH(TRIM($C102), TRIM(INDIRECT($N102)), 0),
       MATCH(TRIM(L$1), TRIM(INDIRECT($O102)), 0))</f>
        <v>210.63487817491605</v>
      </c>
      <c r="M102" s="5" t="str">
        <f>_xlfn.CONCAT("'",$B102,"'","!","$C$3:$K$23")</f>
        <v>'2020'!$C$3:$K$23</v>
      </c>
      <c r="N102" s="5" t="str">
        <f>_xlfn.CONCAT("'",$B102,"'","!","$B$3:$B$22")</f>
        <v>'2020'!$B$3:$B$22</v>
      </c>
      <c r="O102" s="5" t="str">
        <f>_xlfn.CONCAT("'",$B102,"'","!","$C$2:$K$2")</f>
        <v>'2020'!$C$2:$K$2</v>
      </c>
    </row>
    <row r="103" spans="1:15" x14ac:dyDescent="0.3">
      <c r="A103">
        <v>7</v>
      </c>
      <c r="B103">
        <v>2020</v>
      </c>
      <c r="C103" t="s">
        <v>84</v>
      </c>
      <c r="D103" s="7" cm="1">
        <f t="array" aca="1" ref="D103" ca="1">INDEX(INDIRECT($M103),
       MATCH(TRIM($C103), TRIM(INDIRECT($N103)), 0),
       MATCH(TRIM(D$1), TRIM(INDIRECT($O103)), 0))</f>
        <v>376</v>
      </c>
      <c r="E103" s="9" t="e" cm="1">
        <f t="array" aca="1" ref="E103" ca="1">INDEX(INDIRECT($M103),
       MATCH(TRIM($C103), TRIM(INDIRECT($N103)), 0),
       MATCH(TRIM(E$1), TRIM(INDIRECT($O103)), 0))</f>
        <v>#N/A</v>
      </c>
      <c r="F103" s="7" cm="1">
        <f t="array" aca="1" ref="F103" ca="1">INDEX(INDIRECT($M103),
       MATCH(TRIM($C103), TRIM(INDIRECT($N103)), 0),
       MATCH(TRIM(F$1), TRIM(INDIRECT($O103)), 0))</f>
        <v>169.296008</v>
      </c>
      <c r="G103" s="7" cm="1">
        <f t="array" aca="1" ref="G103" ca="1">INDEX(INDIRECT($M103),
       MATCH(TRIM($C103), TRIM(INDIRECT($N103)), 0),
       MATCH(TRIM(G$1), TRIM(INDIRECT($O103)), 0))</f>
        <v>87</v>
      </c>
      <c r="H103" s="9" t="e" cm="1">
        <f t="array" aca="1" ref="H103" ca="1">INDEX(INDIRECT($M103),
       MATCH(TRIM($C103), TRIM(INDIRECT($N103)), 0),
       MATCH(TRIM(H$1), TRIM(INDIRECT($O103)), 0))</f>
        <v>#N/A</v>
      </c>
      <c r="I103" s="7" cm="1">
        <f t="array" aca="1" ref="I103" ca="1">INDEX(INDIRECT($M103),
       MATCH(TRIM($C103), TRIM(INDIRECT($N103)), 0),
       MATCH(TRIM(I$1), TRIM(INDIRECT($O103)), 0))</f>
        <v>114.2967586015625</v>
      </c>
      <c r="J103" s="7" cm="1">
        <f t="array" aca="1" ref="J103" ca="1">INDEX(INDIRECT($M103),
       MATCH(TRIM($C103), TRIM(INDIRECT($N103)), 0),
       MATCH(TRIM(J$1), TRIM(INDIRECT($O103)), 0))</f>
        <v>825</v>
      </c>
      <c r="K103" s="7" cm="1">
        <f t="array" aca="1" ref="K103" ca="1">INDEX(INDIRECT($M103),
       MATCH(TRIM($C103), TRIM(INDIRECT($N103)), 0),
       MATCH(TRIM(K$1), TRIM(INDIRECT($O103)), 0))</f>
        <v>1062.9645251899863</v>
      </c>
      <c r="L103" s="7" cm="1">
        <f t="array" aca="1" ref="L103" ca="1">INDEX(INDIRECT($M103),
       MATCH(TRIM($C103), TRIM(INDIRECT($N103)), 0),
       MATCH(TRIM(L$1), TRIM(INDIRECT($O103)), 0))</f>
        <v>1346.5572917915488</v>
      </c>
      <c r="M103" s="5" t="str">
        <f>_xlfn.CONCAT("'",$B103,"'","!","$C$3:$K$23")</f>
        <v>'2020'!$C$3:$K$23</v>
      </c>
      <c r="N103" s="5" t="str">
        <f>_xlfn.CONCAT("'",$B103,"'","!","$B$3:$B$22")</f>
        <v>'2020'!$B$3:$B$22</v>
      </c>
      <c r="O103" s="5" t="str">
        <f>_xlfn.CONCAT("'",$B103,"'","!","$C$2:$K$2")</f>
        <v>'2020'!$C$2:$K$2</v>
      </c>
    </row>
    <row r="104" spans="1:15" x14ac:dyDescent="0.3">
      <c r="A104">
        <v>8</v>
      </c>
      <c r="B104">
        <v>2020</v>
      </c>
      <c r="C104" t="s">
        <v>85</v>
      </c>
      <c r="D104" s="7" cm="1">
        <f t="array" aca="1" ref="D104" ca="1">INDEX(INDIRECT($M104),
       MATCH(TRIM($C104), TRIM(INDIRECT($N104)), 0),
       MATCH(TRIM(D$1), TRIM(INDIRECT($O104)), 0))</f>
        <v>59</v>
      </c>
      <c r="E104" s="9" t="e" cm="1">
        <f t="array" aca="1" ref="E104" ca="1">INDEX(INDIRECT($M104),
       MATCH(TRIM($C104), TRIM(INDIRECT($N104)), 0),
       MATCH(TRIM(E$1), TRIM(INDIRECT($O104)), 0))</f>
        <v>#N/A</v>
      </c>
      <c r="F104" s="7" cm="1">
        <f t="array" aca="1" ref="F104" ca="1">INDEX(INDIRECT($M104),
       MATCH(TRIM($C104), TRIM(INDIRECT($N104)), 0),
       MATCH(TRIM(F$1), TRIM(INDIRECT($O104)), 0))</f>
        <v>169.231087</v>
      </c>
      <c r="G104" s="7" cm="1">
        <f t="array" aca="1" ref="G104" ca="1">INDEX(INDIRECT($M104),
       MATCH(TRIM($C104), TRIM(INDIRECT($N104)), 0),
       MATCH(TRIM(G$1), TRIM(INDIRECT($O104)), 0))</f>
        <v>19</v>
      </c>
      <c r="H104" s="9" t="e" cm="1">
        <f t="array" aca="1" ref="H104" ca="1">INDEX(INDIRECT($M104),
       MATCH(TRIM($C104), TRIM(INDIRECT($N104)), 0),
       MATCH(TRIM(H$1), TRIM(INDIRECT($O104)), 0))</f>
        <v>#N/A</v>
      </c>
      <c r="I104" s="7" cm="1">
        <f t="array" aca="1" ref="I104" ca="1">INDEX(INDIRECT($M104),
       MATCH(TRIM($C104), TRIM(INDIRECT($N104)), 0),
       MATCH(TRIM(I$1), TRIM(INDIRECT($O104)), 0))</f>
        <v>43.165264000000001</v>
      </c>
      <c r="J104" s="7" cm="1">
        <f t="array" aca="1" ref="J104" ca="1">INDEX(INDIRECT($M104),
       MATCH(TRIM($C104), TRIM(INDIRECT($N104)), 0),
       MATCH(TRIM(J$1), TRIM(INDIRECT($O104)), 0))</f>
        <v>155</v>
      </c>
      <c r="K104" s="7" cm="1">
        <f t="array" aca="1" ref="K104" ca="1">INDEX(INDIRECT($M104),
       MATCH(TRIM($C104), TRIM(INDIRECT($N104)), 0),
       MATCH(TRIM(K$1), TRIM(INDIRECT($O104)), 0))</f>
        <v>399.52523492744166</v>
      </c>
      <c r="L104" s="7" cm="1">
        <f t="array" aca="1" ref="L104" ca="1">INDEX(INDIRECT($M104),
       MATCH(TRIM($C104), TRIM(INDIRECT($N104)), 0),
       MATCH(TRIM(L$1), TRIM(INDIRECT($O104)), 0))</f>
        <v>611.9215859274417</v>
      </c>
      <c r="M104" s="5" t="str">
        <f>_xlfn.CONCAT("'",$B104,"'","!","$C$3:$K$23")</f>
        <v>'2020'!$C$3:$K$23</v>
      </c>
      <c r="N104" s="5" t="str">
        <f>_xlfn.CONCAT("'",$B104,"'","!","$B$3:$B$22")</f>
        <v>'2020'!$B$3:$B$22</v>
      </c>
      <c r="O104" s="5" t="str">
        <f>_xlfn.CONCAT("'",$B104,"'","!","$C$2:$K$2")</f>
        <v>'2020'!$C$2:$K$2</v>
      </c>
    </row>
    <row r="105" spans="1:15" x14ac:dyDescent="0.3">
      <c r="A105">
        <v>9</v>
      </c>
      <c r="B105">
        <v>2020</v>
      </c>
      <c r="C105" t="s">
        <v>86</v>
      </c>
      <c r="D105" s="7" cm="1">
        <f t="array" aca="1" ref="D105" ca="1">INDEX(INDIRECT($M105),
       MATCH(TRIM($C105), TRIM(INDIRECT($N105)), 0),
       MATCH(TRIM(D$1), TRIM(INDIRECT($O105)), 0))</f>
        <v>57</v>
      </c>
      <c r="E105" s="9" t="e" cm="1">
        <f t="array" aca="1" ref="E105" ca="1">INDEX(INDIRECT($M105),
       MATCH(TRIM($C105), TRIM(INDIRECT($N105)), 0),
       MATCH(TRIM(E$1), TRIM(INDIRECT($O105)), 0))</f>
        <v>#N/A</v>
      </c>
      <c r="F105" s="7" cm="1">
        <f t="array" aca="1" ref="F105" ca="1">INDEX(INDIRECT($M105),
       MATCH(TRIM($C105), TRIM(INDIRECT($N105)), 0),
       MATCH(TRIM(F$1), TRIM(INDIRECT($O105)), 0))</f>
        <v>106.12933700000001</v>
      </c>
      <c r="G105" s="7" cm="1">
        <f t="array" aca="1" ref="G105" ca="1">INDEX(INDIRECT($M105),
       MATCH(TRIM($C105), TRIM(INDIRECT($N105)), 0),
       MATCH(TRIM(G$1), TRIM(INDIRECT($O105)), 0))</f>
        <v>15</v>
      </c>
      <c r="H105" s="9" t="e" cm="1">
        <f t="array" aca="1" ref="H105" ca="1">INDEX(INDIRECT($M105),
       MATCH(TRIM($C105), TRIM(INDIRECT($N105)), 0),
       MATCH(TRIM(H$1), TRIM(INDIRECT($O105)), 0))</f>
        <v>#N/A</v>
      </c>
      <c r="I105" s="7" cm="1">
        <f t="array" aca="1" ref="I105" ca="1">INDEX(INDIRECT($M105),
       MATCH(TRIM($C105), TRIM(INDIRECT($N105)), 0),
       MATCH(TRIM(I$1), TRIM(INDIRECT($O105)), 0))</f>
        <v>27.715395000000001</v>
      </c>
      <c r="J105" s="7" cm="1">
        <f t="array" aca="1" ref="J105" ca="1">INDEX(INDIRECT($M105),
       MATCH(TRIM($C105), TRIM(INDIRECT($N105)), 0),
       MATCH(TRIM(J$1), TRIM(INDIRECT($O105)), 0))</f>
        <v>399</v>
      </c>
      <c r="K105" s="7" cm="1">
        <f t="array" aca="1" ref="K105" ca="1">INDEX(INDIRECT($M105),
       MATCH(TRIM($C105), TRIM(INDIRECT($N105)), 0),
       MATCH(TRIM(K$1), TRIM(INDIRECT($O105)), 0))</f>
        <v>207.6245398135737</v>
      </c>
      <c r="L105" s="7" cm="1">
        <f t="array" aca="1" ref="L105" ca="1">INDEX(INDIRECT($M105),
       MATCH(TRIM($C105), TRIM(INDIRECT($N105)), 0),
       MATCH(TRIM(L$1), TRIM(INDIRECT($O105)), 0))</f>
        <v>341.46927181357376</v>
      </c>
      <c r="M105" s="5" t="str">
        <f>_xlfn.CONCAT("'",$B105,"'","!","$C$3:$K$23")</f>
        <v>'2020'!$C$3:$K$23</v>
      </c>
      <c r="N105" s="5" t="str">
        <f>_xlfn.CONCAT("'",$B105,"'","!","$B$3:$B$22")</f>
        <v>'2020'!$B$3:$B$22</v>
      </c>
      <c r="O105" s="5" t="str">
        <f>_xlfn.CONCAT("'",$B105,"'","!","$C$2:$K$2")</f>
        <v>'2020'!$C$2:$K$2</v>
      </c>
    </row>
    <row r="106" spans="1:15" x14ac:dyDescent="0.3">
      <c r="A106">
        <v>10</v>
      </c>
      <c r="B106">
        <v>2020</v>
      </c>
      <c r="C106" t="s">
        <v>87</v>
      </c>
      <c r="D106" s="7" cm="1">
        <f t="array" aca="1" ref="D106" ca="1">INDEX(INDIRECT($M106),
       MATCH(TRIM($C106), TRIM(INDIRECT($N106)), 0),
       MATCH(TRIM(D$1), TRIM(INDIRECT($O106)), 0))</f>
        <v>206</v>
      </c>
      <c r="E106" s="9" t="e" cm="1">
        <f t="array" aca="1" ref="E106" ca="1">INDEX(INDIRECT($M106),
       MATCH(TRIM($C106), TRIM(INDIRECT($N106)), 0),
       MATCH(TRIM(E$1), TRIM(INDIRECT($O106)), 0))</f>
        <v>#N/A</v>
      </c>
      <c r="F106" s="7" cm="1">
        <f t="array" aca="1" ref="F106" ca="1">INDEX(INDIRECT($M106),
       MATCH(TRIM($C106), TRIM(INDIRECT($N106)), 0),
       MATCH(TRIM(F$1), TRIM(INDIRECT($O106)), 0))</f>
        <v>53.460124</v>
      </c>
      <c r="G106" s="7" cm="1">
        <f t="array" aca="1" ref="G106" ca="1">INDEX(INDIRECT($M106),
       MATCH(TRIM($C106), TRIM(INDIRECT($N106)), 0),
       MATCH(TRIM(G$1), TRIM(INDIRECT($O106)), 0))</f>
        <v>49</v>
      </c>
      <c r="H106" s="9" t="e" cm="1">
        <f t="array" aca="1" ref="H106" ca="1">INDEX(INDIRECT($M106),
       MATCH(TRIM($C106), TRIM(INDIRECT($N106)), 0),
       MATCH(TRIM(H$1), TRIM(INDIRECT($O106)), 0))</f>
        <v>#N/A</v>
      </c>
      <c r="I106" s="7" cm="1">
        <f t="array" aca="1" ref="I106" ca="1">INDEX(INDIRECT($M106),
       MATCH(TRIM($C106), TRIM(INDIRECT($N106)), 0),
       MATCH(TRIM(I$1), TRIM(INDIRECT($O106)), 0))</f>
        <v>41.563054000000001</v>
      </c>
      <c r="J106" s="7" cm="1">
        <f t="array" aca="1" ref="J106" ca="1">INDEX(INDIRECT($M106),
       MATCH(TRIM($C106), TRIM(INDIRECT($N106)), 0),
       MATCH(TRIM(J$1), TRIM(INDIRECT($O106)), 0))</f>
        <v>352</v>
      </c>
      <c r="K106" s="7" cm="1">
        <f t="array" aca="1" ref="K106" ca="1">INDEX(INDIRECT($M106),
       MATCH(TRIM($C106), TRIM(INDIRECT($N106)), 0),
       MATCH(TRIM(K$1), TRIM(INDIRECT($O106)), 0))</f>
        <v>176.2630631810695</v>
      </c>
      <c r="L106" s="7" cm="1">
        <f t="array" aca="1" ref="L106" ca="1">INDEX(INDIRECT($M106),
       MATCH(TRIM($C106), TRIM(INDIRECT($N106)), 0),
       MATCH(TRIM(L$1), TRIM(INDIRECT($O106)), 0))</f>
        <v>271.2862411810695</v>
      </c>
      <c r="M106" s="5" t="str">
        <f>_xlfn.CONCAT("'",$B106,"'","!","$C$3:$K$23")</f>
        <v>'2020'!$C$3:$K$23</v>
      </c>
      <c r="N106" s="5" t="str">
        <f>_xlfn.CONCAT("'",$B106,"'","!","$B$3:$B$22")</f>
        <v>'2020'!$B$3:$B$22</v>
      </c>
      <c r="O106" s="5" t="str">
        <f>_xlfn.CONCAT("'",$B106,"'","!","$C$2:$K$2")</f>
        <v>'2020'!$C$2:$K$2</v>
      </c>
    </row>
    <row r="107" spans="1:15" x14ac:dyDescent="0.3">
      <c r="A107">
        <v>11</v>
      </c>
      <c r="B107">
        <v>2020</v>
      </c>
      <c r="C107" t="s">
        <v>88</v>
      </c>
      <c r="D107" s="7" cm="1">
        <f t="array" aca="1" ref="D107" ca="1">INDEX(INDIRECT($M107),
       MATCH(TRIM($C107), TRIM(INDIRECT($N107)), 0),
       MATCH(TRIM(D$1), TRIM(INDIRECT($O107)), 0))</f>
        <v>56</v>
      </c>
      <c r="E107" s="9" t="e" cm="1">
        <f t="array" aca="1" ref="E107" ca="1">INDEX(INDIRECT($M107),
       MATCH(TRIM($C107), TRIM(INDIRECT($N107)), 0),
       MATCH(TRIM(E$1), TRIM(INDIRECT($O107)), 0))</f>
        <v>#N/A</v>
      </c>
      <c r="F107" s="7" cm="1">
        <f t="array" aca="1" ref="F107" ca="1">INDEX(INDIRECT($M107),
       MATCH(TRIM($C107), TRIM(INDIRECT($N107)), 0),
       MATCH(TRIM(F$1), TRIM(INDIRECT($O107)), 0))</f>
        <v>20.013877000000001</v>
      </c>
      <c r="G107" s="7" cm="1">
        <f t="array" aca="1" ref="G107" ca="1">INDEX(INDIRECT($M107),
       MATCH(TRIM($C107), TRIM(INDIRECT($N107)), 0),
       MATCH(TRIM(G$1), TRIM(INDIRECT($O107)), 0))</f>
        <v>9</v>
      </c>
      <c r="H107" s="9" t="e" cm="1">
        <f t="array" aca="1" ref="H107" ca="1">INDEX(INDIRECT($M107),
       MATCH(TRIM($C107), TRIM(INDIRECT($N107)), 0),
       MATCH(TRIM(H$1), TRIM(INDIRECT($O107)), 0))</f>
        <v>#N/A</v>
      </c>
      <c r="I107" s="7" cm="1">
        <f t="array" aca="1" ref="I107" ca="1">INDEX(INDIRECT($M107),
       MATCH(TRIM($C107), TRIM(INDIRECT($N107)), 0),
       MATCH(TRIM(I$1), TRIM(INDIRECT($O107)), 0))</f>
        <v>2.14</v>
      </c>
      <c r="J107" s="7" cm="1">
        <f t="array" aca="1" ref="J107" ca="1">INDEX(INDIRECT($M107),
       MATCH(TRIM($C107), TRIM(INDIRECT($N107)), 0),
       MATCH(TRIM(J$1), TRIM(INDIRECT($O107)), 0))</f>
        <v>130</v>
      </c>
      <c r="K107" s="7" cm="1">
        <f t="array" aca="1" ref="K107" ca="1">INDEX(INDIRECT($M107),
       MATCH(TRIM($C107), TRIM(INDIRECT($N107)), 0),
       MATCH(TRIM(K$1), TRIM(INDIRECT($O107)), 0))</f>
        <v>18.231527246014455</v>
      </c>
      <c r="L107" s="7" cm="1">
        <f t="array" aca="1" ref="L107" ca="1">INDEX(INDIRECT($M107),
       MATCH(TRIM($C107), TRIM(INDIRECT($N107)), 0),
       MATCH(TRIM(L$1), TRIM(INDIRECT($O107)), 0))</f>
        <v>40.38540424601446</v>
      </c>
      <c r="M107" s="5" t="str">
        <f>_xlfn.CONCAT("'",$B107,"'","!","$C$3:$K$23")</f>
        <v>'2020'!$C$3:$K$23</v>
      </c>
      <c r="N107" s="5" t="str">
        <f>_xlfn.CONCAT("'",$B107,"'","!","$B$3:$B$22")</f>
        <v>'2020'!$B$3:$B$22</v>
      </c>
      <c r="O107" s="5" t="str">
        <f>_xlfn.CONCAT("'",$B107,"'","!","$C$2:$K$2")</f>
        <v>'2020'!$C$2:$K$2</v>
      </c>
    </row>
    <row r="108" spans="1:15" x14ac:dyDescent="0.3">
      <c r="A108">
        <v>12</v>
      </c>
      <c r="B108">
        <v>2020</v>
      </c>
      <c r="C108" t="s">
        <v>89</v>
      </c>
      <c r="D108" s="7" cm="1">
        <f t="array" aca="1" ref="D108" ca="1">INDEX(INDIRECT($M108),
       MATCH(TRIM($C108), TRIM(INDIRECT($N108)), 0),
       MATCH(TRIM(D$1), TRIM(INDIRECT($O108)), 0))</f>
        <v>4</v>
      </c>
      <c r="E108" s="9" t="e" cm="1">
        <f t="array" aca="1" ref="E108" ca="1">INDEX(INDIRECT($M108),
       MATCH(TRIM($C108), TRIM(INDIRECT($N108)), 0),
       MATCH(TRIM(E$1), TRIM(INDIRECT($O108)), 0))</f>
        <v>#N/A</v>
      </c>
      <c r="F108" s="7" cm="1">
        <f t="array" aca="1" ref="F108" ca="1">INDEX(INDIRECT($M108),
       MATCH(TRIM($C108), TRIM(INDIRECT($N108)), 0),
       MATCH(TRIM(F$1), TRIM(INDIRECT($O108)), 0))</f>
        <v>3.4234239999999998</v>
      </c>
      <c r="G108" s="7" cm="1">
        <f t="array" aca="1" ref="G108" ca="1">INDEX(INDIRECT($M108),
       MATCH(TRIM($C108), TRIM(INDIRECT($N108)), 0),
       MATCH(TRIM(G$1), TRIM(INDIRECT($O108)), 0))</f>
        <v>7</v>
      </c>
      <c r="H108" s="9" t="e" cm="1">
        <f t="array" aca="1" ref="H108" ca="1">INDEX(INDIRECT($M108),
       MATCH(TRIM($C108), TRIM(INDIRECT($N108)), 0),
       MATCH(TRIM(H$1), TRIM(INDIRECT($O108)), 0))</f>
        <v>#N/A</v>
      </c>
      <c r="I108" s="7" cm="1">
        <f t="array" aca="1" ref="I108" ca="1">INDEX(INDIRECT($M108),
       MATCH(TRIM($C108), TRIM(INDIRECT($N108)), 0),
       MATCH(TRIM(I$1), TRIM(INDIRECT($O108)), 0))</f>
        <v>36.740039000000003</v>
      </c>
      <c r="J108" s="7" cm="1">
        <f t="array" aca="1" ref="J108" ca="1">INDEX(INDIRECT($M108),
       MATCH(TRIM($C108), TRIM(INDIRECT($N108)), 0),
       MATCH(TRIM(J$1), TRIM(INDIRECT($O108)), 0))</f>
        <v>18</v>
      </c>
      <c r="K108" s="7" cm="1">
        <f t="array" aca="1" ref="K108" ca="1">INDEX(INDIRECT($M108),
       MATCH(TRIM($C108), TRIM(INDIRECT($N108)), 0),
       MATCH(TRIM(K$1), TRIM(INDIRECT($O108)), 0))</f>
        <v>3.611786594243779</v>
      </c>
      <c r="L108" s="7" cm="1">
        <f t="array" aca="1" ref="L108" ca="1">INDEX(INDIRECT($M108),
       MATCH(TRIM($C108), TRIM(INDIRECT($N108)), 0),
       MATCH(TRIM(L$1), TRIM(INDIRECT($O108)), 0))</f>
        <v>43.775249594243782</v>
      </c>
      <c r="M108" s="5" t="str">
        <f>_xlfn.CONCAT("'",$B108,"'","!","$C$3:$K$23")</f>
        <v>'2020'!$C$3:$K$23</v>
      </c>
      <c r="N108" s="5" t="str">
        <f>_xlfn.CONCAT("'",$B108,"'","!","$B$3:$B$22")</f>
        <v>'2020'!$B$3:$B$22</v>
      </c>
      <c r="O108" s="5" t="str">
        <f>_xlfn.CONCAT("'",$B108,"'","!","$C$2:$K$2")</f>
        <v>'2020'!$C$2:$K$2</v>
      </c>
    </row>
    <row r="109" spans="1:15" x14ac:dyDescent="0.3">
      <c r="A109">
        <v>13</v>
      </c>
      <c r="B109">
        <v>2020</v>
      </c>
      <c r="C109" t="s">
        <v>90</v>
      </c>
      <c r="D109" s="7" cm="1">
        <f t="array" aca="1" ref="D109" ca="1">INDEX(INDIRECT($M109),
       MATCH(TRIM($C109), TRIM(INDIRECT($N109)), 0),
       MATCH(TRIM(D$1), TRIM(INDIRECT($O109)), 0))</f>
        <v>54</v>
      </c>
      <c r="E109" s="9" t="e" cm="1">
        <f t="array" aca="1" ref="E109" ca="1">INDEX(INDIRECT($M109),
       MATCH(TRIM($C109), TRIM(INDIRECT($N109)), 0),
       MATCH(TRIM(E$1), TRIM(INDIRECT($O109)), 0))</f>
        <v>#N/A</v>
      </c>
      <c r="F109" s="7" cm="1">
        <f t="array" aca="1" ref="F109" ca="1">INDEX(INDIRECT($M109),
       MATCH(TRIM($C109), TRIM(INDIRECT($N109)), 0),
       MATCH(TRIM(F$1), TRIM(INDIRECT($O109)), 0))</f>
        <v>19.365265999999998</v>
      </c>
      <c r="G109" s="7" cm="1">
        <f t="array" aca="1" ref="G109" ca="1">INDEX(INDIRECT($M109),
       MATCH(TRIM($C109), TRIM(INDIRECT($N109)), 0),
       MATCH(TRIM(G$1), TRIM(INDIRECT($O109)), 0))</f>
        <v>16</v>
      </c>
      <c r="H109" s="9" t="e" cm="1">
        <f t="array" aca="1" ref="H109" ca="1">INDEX(INDIRECT($M109),
       MATCH(TRIM($C109), TRIM(INDIRECT($N109)), 0),
       MATCH(TRIM(H$1), TRIM(INDIRECT($O109)), 0))</f>
        <v>#N/A</v>
      </c>
      <c r="I109" s="7" cm="1">
        <f t="array" aca="1" ref="I109" ca="1">INDEX(INDIRECT($M109),
       MATCH(TRIM($C109), TRIM(INDIRECT($N109)), 0),
       MATCH(TRIM(I$1), TRIM(INDIRECT($O109)), 0))</f>
        <v>13.915717000000001</v>
      </c>
      <c r="J109" s="7" cm="1">
        <f t="array" aca="1" ref="J109" ca="1">INDEX(INDIRECT($M109),
       MATCH(TRIM($C109), TRIM(INDIRECT($N109)), 0),
       MATCH(TRIM(J$1), TRIM(INDIRECT($O109)), 0))</f>
        <v>115</v>
      </c>
      <c r="K109" s="7" cm="1">
        <f t="array" aca="1" ref="K109" ca="1">INDEX(INDIRECT($M109),
       MATCH(TRIM($C109), TRIM(INDIRECT($N109)), 0),
       MATCH(TRIM(K$1), TRIM(INDIRECT($O109)), 0))</f>
        <v>75.054241539087542</v>
      </c>
      <c r="L109" s="7" cm="1">
        <f t="array" aca="1" ref="L109" ca="1">INDEX(INDIRECT($M109),
       MATCH(TRIM($C109), TRIM(INDIRECT($N109)), 0),
       MATCH(TRIM(L$1), TRIM(INDIRECT($O109)), 0))</f>
        <v>108.33522453908753</v>
      </c>
      <c r="M109" s="5" t="str">
        <f>_xlfn.CONCAT("'",$B109,"'","!","$C$3:$K$23")</f>
        <v>'2020'!$C$3:$K$23</v>
      </c>
      <c r="N109" s="5" t="str">
        <f>_xlfn.CONCAT("'",$B109,"'","!","$B$3:$B$22")</f>
        <v>'2020'!$B$3:$B$22</v>
      </c>
      <c r="O109" s="5" t="str">
        <f>_xlfn.CONCAT("'",$B109,"'","!","$C$2:$K$2")</f>
        <v>'2020'!$C$2:$K$2</v>
      </c>
    </row>
    <row r="110" spans="1:15" x14ac:dyDescent="0.3">
      <c r="A110">
        <v>14</v>
      </c>
      <c r="B110">
        <v>2020</v>
      </c>
      <c r="C110" t="s">
        <v>91</v>
      </c>
      <c r="D110" s="7" cm="1">
        <f t="array" aca="1" ref="D110" ca="1">INDEX(INDIRECT($M110),
       MATCH(TRIM($C110), TRIM(INDIRECT($N110)), 0),
       MATCH(TRIM(D$1), TRIM(INDIRECT($O110)), 0))</f>
        <v>4</v>
      </c>
      <c r="E110" s="9" t="e" cm="1">
        <f t="array" aca="1" ref="E110" ca="1">INDEX(INDIRECT($M110),
       MATCH(TRIM($C110), TRIM(INDIRECT($N110)), 0),
       MATCH(TRIM(E$1), TRIM(INDIRECT($O110)), 0))</f>
        <v>#N/A</v>
      </c>
      <c r="F110" s="7" cm="1">
        <f t="array" aca="1" ref="F110" ca="1">INDEX(INDIRECT($M110),
       MATCH(TRIM($C110), TRIM(INDIRECT($N110)), 0),
       MATCH(TRIM(F$1), TRIM(INDIRECT($O110)), 0))</f>
        <v>64.424666000000002</v>
      </c>
      <c r="G110" s="7" cm="1">
        <f t="array" aca="1" ref="G110" ca="1">INDEX(INDIRECT($M110),
       MATCH(TRIM($C110), TRIM(INDIRECT($N110)), 0),
       MATCH(TRIM(G$1), TRIM(INDIRECT($O110)), 0))</f>
        <v>0</v>
      </c>
      <c r="H110" s="9" t="e" cm="1">
        <f t="array" aca="1" ref="H110" ca="1">INDEX(INDIRECT($M110),
       MATCH(TRIM($C110), TRIM(INDIRECT($N110)), 0),
       MATCH(TRIM(H$1), TRIM(INDIRECT($O110)), 0))</f>
        <v>#N/A</v>
      </c>
      <c r="I110" s="7" cm="1">
        <f t="array" aca="1" ref="I110" ca="1">INDEX(INDIRECT($M110),
       MATCH(TRIM($C110), TRIM(INDIRECT($N110)), 0),
       MATCH(TRIM(I$1), TRIM(INDIRECT($O110)), 0))</f>
        <v>0</v>
      </c>
      <c r="J110" s="7" cm="1">
        <f t="array" aca="1" ref="J110" ca="1">INDEX(INDIRECT($M110),
       MATCH(TRIM($C110), TRIM(INDIRECT($N110)), 0),
       MATCH(TRIM(J$1), TRIM(INDIRECT($O110)), 0))</f>
        <v>12</v>
      </c>
      <c r="K110" s="7" cm="1">
        <f t="array" aca="1" ref="K110" ca="1">INDEX(INDIRECT($M110),
       MATCH(TRIM($C110), TRIM(INDIRECT($N110)), 0),
       MATCH(TRIM(K$1), TRIM(INDIRECT($O110)), 0))</f>
        <v>23.585494435224248</v>
      </c>
      <c r="L110" s="7" cm="1">
        <f t="array" aca="1" ref="L110" ca="1">INDEX(INDIRECT($M110),
       MATCH(TRIM($C110), TRIM(INDIRECT($N110)), 0),
       MATCH(TRIM(L$1), TRIM(INDIRECT($O110)), 0))</f>
        <v>88.01016043522425</v>
      </c>
      <c r="M110" s="5" t="str">
        <f>_xlfn.CONCAT("'",$B110,"'","!","$C$3:$K$23")</f>
        <v>'2020'!$C$3:$K$23</v>
      </c>
      <c r="N110" s="5" t="str">
        <f>_xlfn.CONCAT("'",$B110,"'","!","$B$3:$B$22")</f>
        <v>'2020'!$B$3:$B$22</v>
      </c>
      <c r="O110" s="5" t="str">
        <f>_xlfn.CONCAT("'",$B110,"'","!","$C$2:$K$2")</f>
        <v>'2020'!$C$2:$K$2</v>
      </c>
    </row>
    <row r="111" spans="1:15" x14ac:dyDescent="0.3">
      <c r="A111">
        <v>15</v>
      </c>
      <c r="B111">
        <v>2020</v>
      </c>
      <c r="C111" t="s">
        <v>92</v>
      </c>
      <c r="D111" s="7" cm="1">
        <f t="array" aca="1" ref="D111" ca="1">INDEX(INDIRECT($M111),
       MATCH(TRIM($C111), TRIM(INDIRECT($N111)), 0),
       MATCH(TRIM(D$1), TRIM(INDIRECT($O111)), 0))</f>
        <v>9</v>
      </c>
      <c r="E111" s="9" t="e" cm="1">
        <f t="array" aca="1" ref="E111" ca="1">INDEX(INDIRECT($M111),
       MATCH(TRIM($C111), TRIM(INDIRECT($N111)), 0),
       MATCH(TRIM(E$1), TRIM(INDIRECT($O111)), 0))</f>
        <v>#N/A</v>
      </c>
      <c r="F111" s="7" cm="1">
        <f t="array" aca="1" ref="F111" ca="1">INDEX(INDIRECT($M111),
       MATCH(TRIM($C111), TRIM(INDIRECT($N111)), 0),
       MATCH(TRIM(F$1), TRIM(INDIRECT($O111)), 0))</f>
        <v>4.4863189999999999</v>
      </c>
      <c r="G111" s="7" cm="1">
        <f t="array" aca="1" ref="G111" ca="1">INDEX(INDIRECT($M111),
       MATCH(TRIM($C111), TRIM(INDIRECT($N111)), 0),
       MATCH(TRIM(G$1), TRIM(INDIRECT($O111)), 0))</f>
        <v>4</v>
      </c>
      <c r="H111" s="9" t="e" cm="1">
        <f t="array" aca="1" ref="H111" ca="1">INDEX(INDIRECT($M111),
       MATCH(TRIM($C111), TRIM(INDIRECT($N111)), 0),
       MATCH(TRIM(H$1), TRIM(INDIRECT($O111)), 0))</f>
        <v>#N/A</v>
      </c>
      <c r="I111" s="7" cm="1">
        <f t="array" aca="1" ref="I111" ca="1">INDEX(INDIRECT($M111),
       MATCH(TRIM($C111), TRIM(INDIRECT($N111)), 0),
       MATCH(TRIM(I$1), TRIM(INDIRECT($O111)), 0))</f>
        <v>12.654999999999999</v>
      </c>
      <c r="J111" s="7" cm="1">
        <f t="array" aca="1" ref="J111" ca="1">INDEX(INDIRECT($M111),
       MATCH(TRIM($C111), TRIM(INDIRECT($N111)), 0),
       MATCH(TRIM(J$1), TRIM(INDIRECT($O111)), 0))</f>
        <v>27</v>
      </c>
      <c r="K111" s="7" cm="1">
        <f t="array" aca="1" ref="K111" ca="1">INDEX(INDIRECT($M111),
       MATCH(TRIM($C111), TRIM(INDIRECT($N111)), 0),
       MATCH(TRIM(K$1), TRIM(INDIRECT($O111)), 0))</f>
        <v>15.41790511715589</v>
      </c>
      <c r="L111" s="7" cm="1">
        <f t="array" aca="1" ref="L111" ca="1">INDEX(INDIRECT($M111),
       MATCH(TRIM($C111), TRIM(INDIRECT($N111)), 0),
       MATCH(TRIM(L$1), TRIM(INDIRECT($O111)), 0))</f>
        <v>32.559224117155892</v>
      </c>
      <c r="M111" s="5" t="str">
        <f>_xlfn.CONCAT("'",$B111,"'","!","$C$3:$K$23")</f>
        <v>'2020'!$C$3:$K$23</v>
      </c>
      <c r="N111" s="5" t="str">
        <f>_xlfn.CONCAT("'",$B111,"'","!","$B$3:$B$22")</f>
        <v>'2020'!$B$3:$B$22</v>
      </c>
      <c r="O111" s="5" t="str">
        <f>_xlfn.CONCAT("'",$B111,"'","!","$C$2:$K$2")</f>
        <v>'2020'!$C$2:$K$2</v>
      </c>
    </row>
    <row r="112" spans="1:15" x14ac:dyDescent="0.3">
      <c r="A112">
        <v>16</v>
      </c>
      <c r="B112">
        <v>2020</v>
      </c>
      <c r="C112" t="s">
        <v>93</v>
      </c>
      <c r="D112" s="7" cm="1">
        <f t="array" aca="1" ref="D112" ca="1">INDEX(INDIRECT($M112),
       MATCH(TRIM($C112), TRIM(INDIRECT($N112)), 0),
       MATCH(TRIM(D$1), TRIM(INDIRECT($O112)), 0))</f>
        <v>1</v>
      </c>
      <c r="E112" s="9" t="e" cm="1">
        <f t="array" aca="1" ref="E112" ca="1">INDEX(INDIRECT($M112),
       MATCH(TRIM($C112), TRIM(INDIRECT($N112)), 0),
       MATCH(TRIM(E$1), TRIM(INDIRECT($O112)), 0))</f>
        <v>#N/A</v>
      </c>
      <c r="F112" s="7" cm="1">
        <f t="array" aca="1" ref="F112" ca="1">INDEX(INDIRECT($M112),
       MATCH(TRIM($C112), TRIM(INDIRECT($N112)), 0),
       MATCH(TRIM(F$1), TRIM(INDIRECT($O112)), 0))</f>
        <v>0.40766599999999997</v>
      </c>
      <c r="G112" s="7" cm="1">
        <f t="array" aca="1" ref="G112" ca="1">INDEX(INDIRECT($M112),
       MATCH(TRIM($C112), TRIM(INDIRECT($N112)), 0),
       MATCH(TRIM(G$1), TRIM(INDIRECT($O112)), 0))</f>
        <v>1</v>
      </c>
      <c r="H112" s="9" t="e" cm="1">
        <f t="array" aca="1" ref="H112" ca="1">INDEX(INDIRECT($M112),
       MATCH(TRIM($C112), TRIM(INDIRECT($N112)), 0),
       MATCH(TRIM(H$1), TRIM(INDIRECT($O112)), 0))</f>
        <v>#N/A</v>
      </c>
      <c r="I112" s="7" cm="1">
        <f t="array" aca="1" ref="I112" ca="1">INDEX(INDIRECT($M112),
       MATCH(TRIM($C112), TRIM(INDIRECT($N112)), 0),
       MATCH(TRIM(I$1), TRIM(INDIRECT($O112)), 0))</f>
        <v>0.68031200000000003</v>
      </c>
      <c r="J112" s="7" cm="1">
        <f t="array" aca="1" ref="J112" ca="1">INDEX(INDIRECT($M112),
       MATCH(TRIM($C112), TRIM(INDIRECT($N112)), 0),
       MATCH(TRIM(J$1), TRIM(INDIRECT($O112)), 0))</f>
        <v>12</v>
      </c>
      <c r="K112" s="7" cm="1">
        <f t="array" aca="1" ref="K112" ca="1">INDEX(INDIRECT($M112),
       MATCH(TRIM($C112), TRIM(INDIRECT($N112)), 0),
       MATCH(TRIM(K$1), TRIM(INDIRECT($O112)), 0))</f>
        <v>5.2847116958767328</v>
      </c>
      <c r="L112" s="7" cm="1">
        <f t="array" aca="1" ref="L112" ca="1">INDEX(INDIRECT($M112),
       MATCH(TRIM($C112), TRIM(INDIRECT($N112)), 0),
       MATCH(TRIM(L$1), TRIM(INDIRECT($O112)), 0))</f>
        <v>6.3726896958767334</v>
      </c>
      <c r="M112" s="5" t="str">
        <f>_xlfn.CONCAT("'",$B112,"'","!","$C$3:$K$23")</f>
        <v>'2020'!$C$3:$K$23</v>
      </c>
      <c r="N112" s="5" t="str">
        <f>_xlfn.CONCAT("'",$B112,"'","!","$B$3:$B$22")</f>
        <v>'2020'!$B$3:$B$22</v>
      </c>
      <c r="O112" s="5" t="str">
        <f>_xlfn.CONCAT("'",$B112,"'","!","$C$2:$K$2")</f>
        <v>'2020'!$C$2:$K$2</v>
      </c>
    </row>
    <row r="113" spans="1:15" x14ac:dyDescent="0.3">
      <c r="A113">
        <v>17</v>
      </c>
      <c r="B113">
        <v>2020</v>
      </c>
      <c r="C113" t="s">
        <v>94</v>
      </c>
      <c r="D113" s="7" cm="1">
        <f t="array" aca="1" ref="D113" ca="1">INDEX(INDIRECT($M113),
       MATCH(TRIM($C113), TRIM(INDIRECT($N113)), 0),
       MATCH(TRIM(D$1), TRIM(INDIRECT($O113)), 0))</f>
        <v>5</v>
      </c>
      <c r="E113" s="9" t="e" cm="1">
        <f t="array" aca="1" ref="E113" ca="1">INDEX(INDIRECT($M113),
       MATCH(TRIM($C113), TRIM(INDIRECT($N113)), 0),
       MATCH(TRIM(E$1), TRIM(INDIRECT($O113)), 0))</f>
        <v>#N/A</v>
      </c>
      <c r="F113" s="7" cm="1">
        <f t="array" aca="1" ref="F113" ca="1">INDEX(INDIRECT($M113),
       MATCH(TRIM($C113), TRIM(INDIRECT($N113)), 0),
       MATCH(TRIM(F$1), TRIM(INDIRECT($O113)), 0))</f>
        <v>2.6753079999999998</v>
      </c>
      <c r="G113" s="7" cm="1">
        <f t="array" aca="1" ref="G113" ca="1">INDEX(INDIRECT($M113),
       MATCH(TRIM($C113), TRIM(INDIRECT($N113)), 0),
       MATCH(TRIM(G$1), TRIM(INDIRECT($O113)), 0))</f>
        <v>1</v>
      </c>
      <c r="H113" s="9" t="e" cm="1">
        <f t="array" aca="1" ref="H113" ca="1">INDEX(INDIRECT($M113),
       MATCH(TRIM($C113), TRIM(INDIRECT($N113)), 0),
       MATCH(TRIM(H$1), TRIM(INDIRECT($O113)), 0))</f>
        <v>#N/A</v>
      </c>
      <c r="I113" s="7" cm="1">
        <f t="array" aca="1" ref="I113" ca="1">INDEX(INDIRECT($M113),
       MATCH(TRIM($C113), TRIM(INDIRECT($N113)), 0),
       MATCH(TRIM(I$1), TRIM(INDIRECT($O113)), 0))</f>
        <v>1.603</v>
      </c>
      <c r="J113" s="7" cm="1">
        <f t="array" aca="1" ref="J113" ca="1">INDEX(INDIRECT($M113),
       MATCH(TRIM($C113), TRIM(INDIRECT($N113)), 0),
       MATCH(TRIM(J$1), TRIM(INDIRECT($O113)), 0))</f>
        <v>4</v>
      </c>
      <c r="K113" s="7" cm="1">
        <f t="array" aca="1" ref="K113" ca="1">INDEX(INDIRECT($M113),
       MATCH(TRIM($C113), TRIM(INDIRECT($N113)), 0),
       MATCH(TRIM(K$1), TRIM(INDIRECT($O113)), 0))</f>
        <v>0.88141154996987259</v>
      </c>
      <c r="L113" s="7" cm="1">
        <f t="array" aca="1" ref="L113" ca="1">INDEX(INDIRECT($M113),
       MATCH(TRIM($C113), TRIM(INDIRECT($N113)), 0),
       MATCH(TRIM(L$1), TRIM(INDIRECT($O113)), 0))</f>
        <v>5.1597195499698723</v>
      </c>
      <c r="M113" s="5" t="str">
        <f>_xlfn.CONCAT("'",$B113,"'","!","$C$3:$K$23")</f>
        <v>'2020'!$C$3:$K$23</v>
      </c>
      <c r="N113" s="5" t="str">
        <f>_xlfn.CONCAT("'",$B113,"'","!","$B$3:$B$22")</f>
        <v>'2020'!$B$3:$B$22</v>
      </c>
      <c r="O113" s="5" t="str">
        <f>_xlfn.CONCAT("'",$B113,"'","!","$C$2:$K$2")</f>
        <v>'2020'!$C$2:$K$2</v>
      </c>
    </row>
    <row r="114" spans="1:15" x14ac:dyDescent="0.3">
      <c r="A114">
        <v>18</v>
      </c>
      <c r="B114">
        <v>2020</v>
      </c>
      <c r="C114" t="s">
        <v>95</v>
      </c>
      <c r="D114" s="7" cm="1">
        <f t="array" aca="1" ref="D114" ca="1">INDEX(INDIRECT($M114),
       MATCH(TRIM($C114), TRIM(INDIRECT($N114)), 0),
       MATCH(TRIM(D$1), TRIM(INDIRECT($O114)), 0))</f>
        <v>6</v>
      </c>
      <c r="E114" s="9" t="e" cm="1">
        <f t="array" aca="1" ref="E114" ca="1">INDEX(INDIRECT($M114),
       MATCH(TRIM($C114), TRIM(INDIRECT($N114)), 0),
       MATCH(TRIM(E$1), TRIM(INDIRECT($O114)), 0))</f>
        <v>#N/A</v>
      </c>
      <c r="F114" s="7" cm="1">
        <f t="array" aca="1" ref="F114" ca="1">INDEX(INDIRECT($M114),
       MATCH(TRIM($C114), TRIM(INDIRECT($N114)), 0),
       MATCH(TRIM(F$1), TRIM(INDIRECT($O114)), 0))</f>
        <v>0.28884799999999999</v>
      </c>
      <c r="G114" s="7" cm="1">
        <f t="array" aca="1" ref="G114" ca="1">INDEX(INDIRECT($M114),
       MATCH(TRIM($C114), TRIM(INDIRECT($N114)), 0),
       MATCH(TRIM(G$1), TRIM(INDIRECT($O114)), 0))</f>
        <v>3</v>
      </c>
      <c r="H114" s="9" t="e" cm="1">
        <f t="array" aca="1" ref="H114" ca="1">INDEX(INDIRECT($M114),
       MATCH(TRIM($C114), TRIM(INDIRECT($N114)), 0),
       MATCH(TRIM(H$1), TRIM(INDIRECT($O114)), 0))</f>
        <v>#N/A</v>
      </c>
      <c r="I114" s="7" cm="1">
        <f t="array" aca="1" ref="I114" ca="1">INDEX(INDIRECT($M114),
       MATCH(TRIM($C114), TRIM(INDIRECT($N114)), 0),
       MATCH(TRIM(I$1), TRIM(INDIRECT($O114)), 0))</f>
        <v>14.770996</v>
      </c>
      <c r="J114" s="7" cm="1">
        <f t="array" aca="1" ref="J114" ca="1">INDEX(INDIRECT($M114),
       MATCH(TRIM($C114), TRIM(INDIRECT($N114)), 0),
       MATCH(TRIM(J$1), TRIM(INDIRECT($O114)), 0))</f>
        <v>24</v>
      </c>
      <c r="K114" s="7" cm="1">
        <f t="array" aca="1" ref="K114" ca="1">INDEX(INDIRECT($M114),
       MATCH(TRIM($C114), TRIM(INDIRECT($N114)), 0),
       MATCH(TRIM(K$1), TRIM(INDIRECT($O114)), 0))</f>
        <v>271.77601564728155</v>
      </c>
      <c r="L114" s="7" cm="1">
        <f t="array" aca="1" ref="L114" ca="1">INDEX(INDIRECT($M114),
       MATCH(TRIM($C114), TRIM(INDIRECT($N114)), 0),
       MATCH(TRIM(L$1), TRIM(INDIRECT($O114)), 0))</f>
        <v>286.83585964728155</v>
      </c>
      <c r="M114" s="5" t="str">
        <f>_xlfn.CONCAT("'",$B114,"'","!","$C$3:$K$23")</f>
        <v>'2020'!$C$3:$K$23</v>
      </c>
      <c r="N114" s="5" t="str">
        <f>_xlfn.CONCAT("'",$B114,"'","!","$B$3:$B$22")</f>
        <v>'2020'!$B$3:$B$22</v>
      </c>
      <c r="O114" s="5" t="str">
        <f>_xlfn.CONCAT("'",$B114,"'","!","$C$2:$K$2")</f>
        <v>'2020'!$C$2:$K$2</v>
      </c>
    </row>
    <row r="115" spans="1:15" x14ac:dyDescent="0.3">
      <c r="A115">
        <v>19</v>
      </c>
      <c r="B115">
        <v>2020</v>
      </c>
      <c r="C115" t="s">
        <v>96</v>
      </c>
      <c r="D115" s="7" cm="1">
        <f t="array" aca="1" ref="D115" ca="1">INDEX(INDIRECT($M115),
       MATCH(TRIM($C115), TRIM(INDIRECT($N115)), 0),
       MATCH(TRIM(D$1), TRIM(INDIRECT($O115)), 0))</f>
        <v>1</v>
      </c>
      <c r="E115" s="9" t="e" cm="1">
        <f t="array" aca="1" ref="E115" ca="1">INDEX(INDIRECT($M115),
       MATCH(TRIM($C115), TRIM(INDIRECT($N115)), 0),
       MATCH(TRIM(E$1), TRIM(INDIRECT($O115)), 0))</f>
        <v>#N/A</v>
      </c>
      <c r="F115" s="7" cm="1">
        <f t="array" aca="1" ref="F115" ca="1">INDEX(INDIRECT($M115),
       MATCH(TRIM($C115), TRIM(INDIRECT($N115)), 0),
       MATCH(TRIM(F$1), TRIM(INDIRECT($O115)), 0))</f>
        <v>2.7</v>
      </c>
      <c r="G115" s="7" cm="1">
        <f t="array" aca="1" ref="G115" ca="1">INDEX(INDIRECT($M115),
       MATCH(TRIM($C115), TRIM(INDIRECT($N115)), 0),
       MATCH(TRIM(G$1), TRIM(INDIRECT($O115)), 0))</f>
        <v>0</v>
      </c>
      <c r="H115" s="9" t="e" cm="1">
        <f t="array" aca="1" ref="H115" ca="1">INDEX(INDIRECT($M115),
       MATCH(TRIM($C115), TRIM(INDIRECT($N115)), 0),
       MATCH(TRIM(H$1), TRIM(INDIRECT($O115)), 0))</f>
        <v>#N/A</v>
      </c>
      <c r="I115" s="7" cm="1">
        <f t="array" aca="1" ref="I115" ca="1">INDEX(INDIRECT($M115),
       MATCH(TRIM($C115), TRIM(INDIRECT($N115)), 0),
       MATCH(TRIM(I$1), TRIM(INDIRECT($O115)), 0))</f>
        <v>0</v>
      </c>
      <c r="J115" s="7" cm="1">
        <f t="array" aca="1" ref="J115" ca="1">INDEX(INDIRECT($M115),
       MATCH(TRIM($C115), TRIM(INDIRECT($N115)), 0),
       MATCH(TRIM(J$1), TRIM(INDIRECT($O115)), 0))</f>
        <v>0</v>
      </c>
      <c r="K115" s="7" cm="1">
        <f t="array" aca="1" ref="K115" ca="1">INDEX(INDIRECT($M115),
       MATCH(TRIM($C115), TRIM(INDIRECT($N115)), 0),
       MATCH(TRIM(K$1), TRIM(INDIRECT($O115)), 0))</f>
        <v>0</v>
      </c>
      <c r="L115" s="7" cm="1">
        <f t="array" aca="1" ref="L115" ca="1">INDEX(INDIRECT($M115),
       MATCH(TRIM($C115), TRIM(INDIRECT($N115)), 0),
       MATCH(TRIM(L$1), TRIM(INDIRECT($O115)), 0))</f>
        <v>2.7</v>
      </c>
      <c r="M115" s="5" t="str">
        <f>_xlfn.CONCAT("'",$B115,"'","!","$C$3:$K$23")</f>
        <v>'2020'!$C$3:$K$23</v>
      </c>
      <c r="N115" s="5" t="str">
        <f>_xlfn.CONCAT("'",$B115,"'","!","$B$3:$B$22")</f>
        <v>'2020'!$B$3:$B$22</v>
      </c>
      <c r="O115" s="5" t="str">
        <f>_xlfn.CONCAT("'",$B115,"'","!","$C$2:$K$2")</f>
        <v>'2020'!$C$2:$K$2</v>
      </c>
    </row>
    <row r="116" spans="1:15" x14ac:dyDescent="0.3">
      <c r="A116">
        <v>1</v>
      </c>
      <c r="B116">
        <v>2021</v>
      </c>
      <c r="C116" t="s">
        <v>78</v>
      </c>
      <c r="D116" s="7" cm="1">
        <f t="array" aca="1" ref="D116" ca="1">INDEX(INDIRECT($M116),
       MATCH(TRIM($C116), TRIM(INDIRECT($N116)), 0),
       MATCH(TRIM(D$1), TRIM(INDIRECT($O116)), 0))</f>
        <v>533</v>
      </c>
      <c r="E116" s="9" t="e" cm="1">
        <f t="array" aca="1" ref="E116" ca="1">INDEX(INDIRECT($M116),
       MATCH(TRIM($C116), TRIM(INDIRECT($N116)), 0),
       MATCH(TRIM(E$1), TRIM(INDIRECT($O116)), 0))</f>
        <v>#N/A</v>
      </c>
      <c r="F116" s="7" cm="1">
        <f t="array" aca="1" ref="F116" ca="1">INDEX(INDIRECT($M116),
       MATCH(TRIM($C116), TRIM(INDIRECT($N116)), 0),
       MATCH(TRIM(F$1), TRIM(INDIRECT($O116)), 0))</f>
        <v>7251.9829398700003</v>
      </c>
      <c r="G116" s="7" cm="1">
        <f t="array" aca="1" ref="G116" ca="1">INDEX(INDIRECT($M116),
       MATCH(TRIM($C116), TRIM(INDIRECT($N116)), 0),
       MATCH(TRIM(G$1), TRIM(INDIRECT($O116)), 0))</f>
        <v>612</v>
      </c>
      <c r="H116" s="9" t="e" cm="1">
        <f t="array" aca="1" ref="H116" ca="1">INDEX(INDIRECT($M116),
       MATCH(TRIM($C116), TRIM(INDIRECT($N116)), 0),
       MATCH(TRIM(H$1), TRIM(INDIRECT($O116)), 0))</f>
        <v>#N/A</v>
      </c>
      <c r="I116" s="7" cm="1">
        <f t="array" aca="1" ref="I116" ca="1">INDEX(INDIRECT($M116),
       MATCH(TRIM($C116), TRIM(INDIRECT($N116)), 0),
       MATCH(TRIM(I$1), TRIM(INDIRECT($O116)), 0))</f>
        <v>7346.304395578125</v>
      </c>
      <c r="J116" s="7" cm="1">
        <f t="array" aca="1" ref="J116" ca="1">INDEX(INDIRECT($M116),
       MATCH(TRIM($C116), TRIM(INDIRECT($N116)), 0),
       MATCH(TRIM(J$1), TRIM(INDIRECT($O116)), 0))</f>
        <v>650</v>
      </c>
      <c r="K116" s="7" cm="1">
        <f t="array" aca="1" ref="K116" ca="1">INDEX(INDIRECT($M116),
       MATCH(TRIM($C116), TRIM(INDIRECT($N116)), 0),
       MATCH(TRIM(K$1), TRIM(INDIRECT($O116)), 0))</f>
        <v>3522.5993973699992</v>
      </c>
      <c r="L116" s="7" cm="1">
        <f t="array" aca="1" ref="L116" ca="1">INDEX(INDIRECT($M116),
       MATCH(TRIM($C116), TRIM(INDIRECT($N116)), 0),
       MATCH(TRIM(L$1), TRIM(INDIRECT($O116)), 0))</f>
        <v>18120.886732818126</v>
      </c>
      <c r="M116" s="5" t="str">
        <f>_xlfn.CONCAT("'",$B116,"'","!","$C$3:$K$23")</f>
        <v>'2021'!$C$3:$K$23</v>
      </c>
      <c r="N116" s="5" t="str">
        <f>_xlfn.CONCAT("'",$B116,"'","!","$B$3:$B$22")</f>
        <v>'2021'!$B$3:$B$22</v>
      </c>
      <c r="O116" s="5" t="str">
        <f>_xlfn.CONCAT("'",$B116,"'","!","$C$2:$K$2")</f>
        <v>'2021'!$C$2:$K$2</v>
      </c>
    </row>
    <row r="117" spans="1:15" x14ac:dyDescent="0.3">
      <c r="A117">
        <v>2</v>
      </c>
      <c r="B117">
        <v>2021</v>
      </c>
      <c r="C117" t="s">
        <v>79</v>
      </c>
      <c r="D117" s="7" cm="1">
        <f t="array" aca="1" ref="D117" ca="1">INDEX(INDIRECT($M117),
       MATCH(TRIM($C117), TRIM(INDIRECT($N117)), 0),
       MATCH(TRIM(D$1), TRIM(INDIRECT($O117)), 0))</f>
        <v>23</v>
      </c>
      <c r="E117" s="9" t="e" cm="1">
        <f t="array" aca="1" ref="E117" ca="1">INDEX(INDIRECT($M117),
       MATCH(TRIM($C117), TRIM(INDIRECT($N117)), 0),
       MATCH(TRIM(E$1), TRIM(INDIRECT($O117)), 0))</f>
        <v>#N/A</v>
      </c>
      <c r="F117" s="7" cm="1">
        <f t="array" aca="1" ref="F117" ca="1">INDEX(INDIRECT($M117),
       MATCH(TRIM($C117), TRIM(INDIRECT($N117)), 0),
       MATCH(TRIM(F$1), TRIM(INDIRECT($O117)), 0))</f>
        <v>5316.1600820000003</v>
      </c>
      <c r="G117" s="7" cm="1">
        <f t="array" aca="1" ref="G117" ca="1">INDEX(INDIRECT($M117),
       MATCH(TRIM($C117), TRIM(INDIRECT($N117)), 0),
       MATCH(TRIM(G$1), TRIM(INDIRECT($O117)), 0))</f>
        <v>12</v>
      </c>
      <c r="H117" s="9" t="e" cm="1">
        <f t="array" aca="1" ref="H117" ca="1">INDEX(INDIRECT($M117),
       MATCH(TRIM($C117), TRIM(INDIRECT($N117)), 0),
       MATCH(TRIM(H$1), TRIM(INDIRECT($O117)), 0))</f>
        <v>#N/A</v>
      </c>
      <c r="I117" s="7" cm="1">
        <f t="array" aca="1" ref="I117" ca="1">INDEX(INDIRECT($M117),
       MATCH(TRIM($C117), TRIM(INDIRECT($N117)), 0),
       MATCH(TRIM(I$1), TRIM(INDIRECT($O117)), 0))</f>
        <v>260.99575399999998</v>
      </c>
      <c r="J117" s="7" cm="1">
        <f t="array" aca="1" ref="J117" ca="1">INDEX(INDIRECT($M117),
       MATCH(TRIM($C117), TRIM(INDIRECT($N117)), 0),
       MATCH(TRIM(J$1), TRIM(INDIRECT($O117)), 0))</f>
        <v>29</v>
      </c>
      <c r="K117" s="7" cm="1">
        <f t="array" aca="1" ref="K117" ca="1">INDEX(INDIRECT($M117),
       MATCH(TRIM($C117), TRIM(INDIRECT($N117)), 0),
       MATCH(TRIM(K$1), TRIM(INDIRECT($O117)), 0))</f>
        <v>134.59673822173914</v>
      </c>
      <c r="L117" s="7" cm="1">
        <f t="array" aca="1" ref="L117" ca="1">INDEX(INDIRECT($M117),
       MATCH(TRIM($C117), TRIM(INDIRECT($N117)), 0),
       MATCH(TRIM(L$1), TRIM(INDIRECT($O117)), 0))</f>
        <v>5711.7525742217395</v>
      </c>
      <c r="M117" s="5" t="str">
        <f>_xlfn.CONCAT("'",$B117,"'","!","$C$3:$K$23")</f>
        <v>'2021'!$C$3:$K$23</v>
      </c>
      <c r="N117" s="5" t="str">
        <f>_xlfn.CONCAT("'",$B117,"'","!","$B$3:$B$22")</f>
        <v>'2021'!$B$3:$B$22</v>
      </c>
      <c r="O117" s="5" t="str">
        <f>_xlfn.CONCAT("'",$B117,"'","!","$C$2:$K$2")</f>
        <v>'2021'!$C$2:$K$2</v>
      </c>
    </row>
    <row r="118" spans="1:15" x14ac:dyDescent="0.3">
      <c r="A118">
        <v>3</v>
      </c>
      <c r="B118">
        <v>2021</v>
      </c>
      <c r="C118" t="s">
        <v>80</v>
      </c>
      <c r="D118" s="7" cm="1">
        <f t="array" aca="1" ref="D118" ca="1">INDEX(INDIRECT($M118),
       MATCH(TRIM($C118), TRIM(INDIRECT($N118)), 0),
       MATCH(TRIM(D$1), TRIM(INDIRECT($O118)), 0))</f>
        <v>57</v>
      </c>
      <c r="E118" s="9" t="e" cm="1">
        <f t="array" aca="1" ref="E118" ca="1">INDEX(INDIRECT($M118),
       MATCH(TRIM($C118), TRIM(INDIRECT($N118)), 0),
       MATCH(TRIM(E$1), TRIM(INDIRECT($O118)), 0))</f>
        <v>#N/A</v>
      </c>
      <c r="F118" s="7" cm="1">
        <f t="array" aca="1" ref="F118" ca="1">INDEX(INDIRECT($M118),
       MATCH(TRIM($C118), TRIM(INDIRECT($N118)), 0),
       MATCH(TRIM(F$1), TRIM(INDIRECT($O118)), 0))</f>
        <v>1390.02722472</v>
      </c>
      <c r="G118" s="7" cm="1">
        <f t="array" aca="1" ref="G118" ca="1">INDEX(INDIRECT($M118),
       MATCH(TRIM($C118), TRIM(INDIRECT($N118)), 0),
       MATCH(TRIM(G$1), TRIM(INDIRECT($O118)), 0))</f>
        <v>29</v>
      </c>
      <c r="H118" s="9" t="e" cm="1">
        <f t="array" aca="1" ref="H118" ca="1">INDEX(INDIRECT($M118),
       MATCH(TRIM($C118), TRIM(INDIRECT($N118)), 0),
       MATCH(TRIM(H$1), TRIM(INDIRECT($O118)), 0))</f>
        <v>#N/A</v>
      </c>
      <c r="I118" s="7" cm="1">
        <f t="array" aca="1" ref="I118" ca="1">INDEX(INDIRECT($M118),
       MATCH(TRIM($C118), TRIM(INDIRECT($N118)), 0),
       MATCH(TRIM(I$1), TRIM(INDIRECT($O118)), 0))</f>
        <v>246.661224</v>
      </c>
      <c r="J118" s="7" cm="1">
        <f t="array" aca="1" ref="J118" ca="1">INDEX(INDIRECT($M118),
       MATCH(TRIM($C118), TRIM(INDIRECT($N118)), 0),
       MATCH(TRIM(J$1), TRIM(INDIRECT($O118)), 0))</f>
        <v>120</v>
      </c>
      <c r="K118" s="7" cm="1">
        <f t="array" aca="1" ref="K118" ca="1">INDEX(INDIRECT($M118),
       MATCH(TRIM($C118), TRIM(INDIRECT($N118)), 0),
       MATCH(TRIM(K$1), TRIM(INDIRECT($O118)), 0))</f>
        <v>1000.7277755900005</v>
      </c>
      <c r="L118" s="7" cm="1">
        <f t="array" aca="1" ref="L118" ca="1">INDEX(INDIRECT($M118),
       MATCH(TRIM($C118), TRIM(INDIRECT($N118)), 0),
       MATCH(TRIM(L$1), TRIM(INDIRECT($O118)), 0))</f>
        <v>2637.4162243100004</v>
      </c>
      <c r="M118" s="5" t="str">
        <f>_xlfn.CONCAT("'",$B118,"'","!","$C$3:$K$23")</f>
        <v>'2021'!$C$3:$K$23</v>
      </c>
      <c r="N118" s="5" t="str">
        <f>_xlfn.CONCAT("'",$B118,"'","!","$B$3:$B$22")</f>
        <v>'2021'!$B$3:$B$22</v>
      </c>
      <c r="O118" s="5" t="str">
        <f>_xlfn.CONCAT("'",$B118,"'","!","$C$2:$K$2")</f>
        <v>'2021'!$C$2:$K$2</v>
      </c>
    </row>
    <row r="119" spans="1:15" x14ac:dyDescent="0.3">
      <c r="A119">
        <v>4</v>
      </c>
      <c r="B119">
        <v>2021</v>
      </c>
      <c r="C119" t="s">
        <v>81</v>
      </c>
      <c r="D119" s="7" cm="1">
        <f t="array" aca="1" ref="D119" ca="1">INDEX(INDIRECT($M119),
       MATCH(TRIM($C119), TRIM(INDIRECT($N119)), 0),
       MATCH(TRIM(D$1), TRIM(INDIRECT($O119)), 0))</f>
        <v>28</v>
      </c>
      <c r="E119" s="9" t="e" cm="1">
        <f t="array" aca="1" ref="E119" ca="1">INDEX(INDIRECT($M119),
       MATCH(TRIM($C119), TRIM(INDIRECT($N119)), 0),
       MATCH(TRIM(E$1), TRIM(INDIRECT($O119)), 0))</f>
        <v>#N/A</v>
      </c>
      <c r="F119" s="7" cm="1">
        <f t="array" aca="1" ref="F119" ca="1">INDEX(INDIRECT($M119),
       MATCH(TRIM($C119), TRIM(INDIRECT($N119)), 0),
       MATCH(TRIM(F$1), TRIM(INDIRECT($O119)), 0))</f>
        <v>58.603878999999999</v>
      </c>
      <c r="G119" s="7" cm="1">
        <f t="array" aca="1" ref="G119" ca="1">INDEX(INDIRECT($M119),
       MATCH(TRIM($C119), TRIM(INDIRECT($N119)), 0),
       MATCH(TRIM(G$1), TRIM(INDIRECT($O119)), 0))</f>
        <v>12</v>
      </c>
      <c r="H119" s="9" t="e" cm="1">
        <f t="array" aca="1" ref="H119" ca="1">INDEX(INDIRECT($M119),
       MATCH(TRIM($C119), TRIM(INDIRECT($N119)), 0),
       MATCH(TRIM(H$1), TRIM(INDIRECT($O119)), 0))</f>
        <v>#N/A</v>
      </c>
      <c r="I119" s="7" cm="1">
        <f t="array" aca="1" ref="I119" ca="1">INDEX(INDIRECT($M119),
       MATCH(TRIM($C119), TRIM(INDIRECT($N119)), 0),
       MATCH(TRIM(I$1), TRIM(INDIRECT($O119)), 0))</f>
        <v>226.59788499999999</v>
      </c>
      <c r="J119" s="7" cm="1">
        <f t="array" aca="1" ref="J119" ca="1">INDEX(INDIRECT($M119),
       MATCH(TRIM($C119), TRIM(INDIRECT($N119)), 0),
       MATCH(TRIM(J$1), TRIM(INDIRECT($O119)), 0))</f>
        <v>119</v>
      </c>
      <c r="K119" s="7" cm="1">
        <f t="array" aca="1" ref="K119" ca="1">INDEX(INDIRECT($M119),
       MATCH(TRIM($C119), TRIM(INDIRECT($N119)), 0),
       MATCH(TRIM(K$1), TRIM(INDIRECT($O119)), 0))</f>
        <v>172.07651475999992</v>
      </c>
      <c r="L119" s="7" cm="1">
        <f t="array" aca="1" ref="L119" ca="1">INDEX(INDIRECT($M119),
       MATCH(TRIM($C119), TRIM(INDIRECT($N119)), 0),
       MATCH(TRIM(L$1), TRIM(INDIRECT($O119)), 0))</f>
        <v>457.27827875999992</v>
      </c>
      <c r="M119" s="5" t="str">
        <f>_xlfn.CONCAT("'",$B119,"'","!","$C$3:$K$23")</f>
        <v>'2021'!$C$3:$K$23</v>
      </c>
      <c r="N119" s="5" t="str">
        <f>_xlfn.CONCAT("'",$B119,"'","!","$B$3:$B$22")</f>
        <v>'2021'!$B$3:$B$22</v>
      </c>
      <c r="O119" s="5" t="str">
        <f>_xlfn.CONCAT("'",$B119,"'","!","$C$2:$K$2")</f>
        <v>'2021'!$C$2:$K$2</v>
      </c>
    </row>
    <row r="120" spans="1:15" x14ac:dyDescent="0.3">
      <c r="A120">
        <v>5</v>
      </c>
      <c r="B120">
        <v>2021</v>
      </c>
      <c r="C120" t="s">
        <v>82</v>
      </c>
      <c r="D120" s="7" cm="1">
        <f t="array" aca="1" ref="D120" ca="1">INDEX(INDIRECT($M120),
       MATCH(TRIM($C120), TRIM(INDIRECT($N120)), 0),
       MATCH(TRIM(D$1), TRIM(INDIRECT($O120)), 0))</f>
        <v>488</v>
      </c>
      <c r="E120" s="9" t="e" cm="1">
        <f t="array" aca="1" ref="E120" ca="1">INDEX(INDIRECT($M120),
       MATCH(TRIM($C120), TRIM(INDIRECT($N120)), 0),
       MATCH(TRIM(E$1), TRIM(INDIRECT($O120)), 0))</f>
        <v>#N/A</v>
      </c>
      <c r="F120" s="7" cm="1">
        <f t="array" aca="1" ref="F120" ca="1">INDEX(INDIRECT($M120),
       MATCH(TRIM($C120), TRIM(INDIRECT($N120)), 0),
       MATCH(TRIM(F$1), TRIM(INDIRECT($O120)), 0))</f>
        <v>293.78942202000002</v>
      </c>
      <c r="G120" s="7" cm="1">
        <f t="array" aca="1" ref="G120" ca="1">INDEX(INDIRECT($M120),
       MATCH(TRIM($C120), TRIM(INDIRECT($N120)), 0),
       MATCH(TRIM(G$1), TRIM(INDIRECT($O120)), 0))</f>
        <v>130</v>
      </c>
      <c r="H120" s="9" t="e" cm="1">
        <f t="array" aca="1" ref="H120" ca="1">INDEX(INDIRECT($M120),
       MATCH(TRIM($C120), TRIM(INDIRECT($N120)), 0),
       MATCH(TRIM(H$1), TRIM(INDIRECT($O120)), 0))</f>
        <v>#N/A</v>
      </c>
      <c r="I120" s="7" cm="1">
        <f t="array" aca="1" ref="I120" ca="1">INDEX(INDIRECT($M120),
       MATCH(TRIM($C120), TRIM(INDIRECT($N120)), 0),
       MATCH(TRIM(I$1), TRIM(INDIRECT($O120)), 0))</f>
        <v>416.58294765624998</v>
      </c>
      <c r="J120" s="7" cm="1">
        <f t="array" aca="1" ref="J120" ca="1">INDEX(INDIRECT($M120),
       MATCH(TRIM($C120), TRIM(INDIRECT($N120)), 0),
       MATCH(TRIM(J$1), TRIM(INDIRECT($O120)), 0))</f>
        <v>1338</v>
      </c>
      <c r="K120" s="7" cm="1">
        <f t="array" aca="1" ref="K120" ca="1">INDEX(INDIRECT($M120),
       MATCH(TRIM($C120), TRIM(INDIRECT($N120)), 0),
       MATCH(TRIM(K$1), TRIM(INDIRECT($O120)), 0))</f>
        <v>693.64317853999933</v>
      </c>
      <c r="L120" s="7" cm="1">
        <f t="array" aca="1" ref="L120" ca="1">INDEX(INDIRECT($M120),
       MATCH(TRIM($C120), TRIM(INDIRECT($N120)), 0),
       MATCH(TRIM(L$1), TRIM(INDIRECT($O120)), 0))</f>
        <v>1404.0155482162493</v>
      </c>
      <c r="M120" s="5" t="str">
        <f>_xlfn.CONCAT("'",$B120,"'","!","$C$3:$K$23")</f>
        <v>'2021'!$C$3:$K$23</v>
      </c>
      <c r="N120" s="5" t="str">
        <f>_xlfn.CONCAT("'",$B120,"'","!","$B$3:$B$22")</f>
        <v>'2021'!$B$3:$B$22</v>
      </c>
      <c r="O120" s="5" t="str">
        <f>_xlfn.CONCAT("'",$B120,"'","!","$C$2:$K$2")</f>
        <v>'2021'!$C$2:$K$2</v>
      </c>
    </row>
    <row r="121" spans="1:15" x14ac:dyDescent="0.3">
      <c r="A121">
        <v>6</v>
      </c>
      <c r="B121">
        <v>2021</v>
      </c>
      <c r="C121" t="s">
        <v>83</v>
      </c>
      <c r="D121" s="7" cm="1">
        <f t="array" aca="1" ref="D121" ca="1">INDEX(INDIRECT($M121),
       MATCH(TRIM($C121), TRIM(INDIRECT($N121)), 0),
       MATCH(TRIM(D$1), TRIM(INDIRECT($O121)), 0))</f>
        <v>15</v>
      </c>
      <c r="E121" s="9" t="e" cm="1">
        <f t="array" aca="1" ref="E121" ca="1">INDEX(INDIRECT($M121),
       MATCH(TRIM($C121), TRIM(INDIRECT($N121)), 0),
       MATCH(TRIM(E$1), TRIM(INDIRECT($O121)), 0))</f>
        <v>#N/A</v>
      </c>
      <c r="F121" s="7" cm="1">
        <f t="array" aca="1" ref="F121" ca="1">INDEX(INDIRECT($M121),
       MATCH(TRIM($C121), TRIM(INDIRECT($N121)), 0),
       MATCH(TRIM(F$1), TRIM(INDIRECT($O121)), 0))</f>
        <v>59.96841178999999</v>
      </c>
      <c r="G121" s="7" cm="1">
        <f t="array" aca="1" ref="G121" ca="1">INDEX(INDIRECT($M121),
       MATCH(TRIM($C121), TRIM(INDIRECT($N121)), 0),
       MATCH(TRIM(G$1), TRIM(INDIRECT($O121)), 0))</f>
        <v>13</v>
      </c>
      <c r="H121" s="9" t="e" cm="1">
        <f t="array" aca="1" ref="H121" ca="1">INDEX(INDIRECT($M121),
       MATCH(TRIM($C121), TRIM(INDIRECT($N121)), 0),
       MATCH(TRIM(H$1), TRIM(INDIRECT($O121)), 0))</f>
        <v>#N/A</v>
      </c>
      <c r="I121" s="7" cm="1">
        <f t="array" aca="1" ref="I121" ca="1">INDEX(INDIRECT($M121),
       MATCH(TRIM($C121), TRIM(INDIRECT($N121)), 0),
       MATCH(TRIM(I$1), TRIM(INDIRECT($O121)), 0))</f>
        <v>61.383062187500002</v>
      </c>
      <c r="J121" s="7" cm="1">
        <f t="array" aca="1" ref="J121" ca="1">INDEX(INDIRECT($M121),
       MATCH(TRIM($C121), TRIM(INDIRECT($N121)), 0),
       MATCH(TRIM(J$1), TRIM(INDIRECT($O121)), 0))</f>
        <v>30</v>
      </c>
      <c r="K121" s="7" cm="1">
        <f t="array" aca="1" ref="K121" ca="1">INDEX(INDIRECT($M121),
       MATCH(TRIM($C121), TRIM(INDIRECT($N121)), 0),
       MATCH(TRIM(K$1), TRIM(INDIRECT($O121)), 0))</f>
        <v>35.433114339999989</v>
      </c>
      <c r="L121" s="7" cm="1">
        <f t="array" aca="1" ref="L121" ca="1">INDEX(INDIRECT($M121),
       MATCH(TRIM($C121), TRIM(INDIRECT($N121)), 0),
       MATCH(TRIM(L$1), TRIM(INDIRECT($O121)), 0))</f>
        <v>156.78458831749998</v>
      </c>
      <c r="M121" s="5" t="str">
        <f>_xlfn.CONCAT("'",$B121,"'","!","$C$3:$K$23")</f>
        <v>'2021'!$C$3:$K$23</v>
      </c>
      <c r="N121" s="5" t="str">
        <f>_xlfn.CONCAT("'",$B121,"'","!","$B$3:$B$22")</f>
        <v>'2021'!$B$3:$B$22</v>
      </c>
      <c r="O121" s="5" t="str">
        <f>_xlfn.CONCAT("'",$B121,"'","!","$C$2:$K$2")</f>
        <v>'2021'!$C$2:$K$2</v>
      </c>
    </row>
    <row r="122" spans="1:15" x14ac:dyDescent="0.3">
      <c r="A122">
        <v>7</v>
      </c>
      <c r="B122">
        <v>2021</v>
      </c>
      <c r="C122" t="s">
        <v>84</v>
      </c>
      <c r="D122" s="7" cm="1">
        <f t="array" aca="1" ref="D122" ca="1">INDEX(INDIRECT($M122),
       MATCH(TRIM($C122), TRIM(INDIRECT($N122)), 0),
       MATCH(TRIM(D$1), TRIM(INDIRECT($O122)), 0))</f>
        <v>291</v>
      </c>
      <c r="E122" s="9" t="e" cm="1">
        <f t="array" aca="1" ref="E122" ca="1">INDEX(INDIRECT($M122),
       MATCH(TRIM($C122), TRIM(INDIRECT($N122)), 0),
       MATCH(TRIM(E$1), TRIM(INDIRECT($O122)), 0))</f>
        <v>#N/A</v>
      </c>
      <c r="F122" s="7" cm="1">
        <f t="array" aca="1" ref="F122" ca="1">INDEX(INDIRECT($M122),
       MATCH(TRIM($C122), TRIM(INDIRECT($N122)), 0),
       MATCH(TRIM(F$1), TRIM(INDIRECT($O122)), 0))</f>
        <v>143.30586036</v>
      </c>
      <c r="G122" s="7" cm="1">
        <f t="array" aca="1" ref="G122" ca="1">INDEX(INDIRECT($M122),
       MATCH(TRIM($C122), TRIM(INDIRECT($N122)), 0),
       MATCH(TRIM(G$1), TRIM(INDIRECT($O122)), 0))</f>
        <v>87</v>
      </c>
      <c r="H122" s="9" t="e" cm="1">
        <f t="array" aca="1" ref="H122" ca="1">INDEX(INDIRECT($M122),
       MATCH(TRIM($C122), TRIM(INDIRECT($N122)), 0),
       MATCH(TRIM(H$1), TRIM(INDIRECT($O122)), 0))</f>
        <v>#N/A</v>
      </c>
      <c r="I122" s="7" cm="1">
        <f t="array" aca="1" ref="I122" ca="1">INDEX(INDIRECT($M122),
       MATCH(TRIM($C122), TRIM(INDIRECT($N122)), 0),
       MATCH(TRIM(I$1), TRIM(INDIRECT($O122)), 0))</f>
        <v>276.55125506249999</v>
      </c>
      <c r="J122" s="7" cm="1">
        <f t="array" aca="1" ref="J122" ca="1">INDEX(INDIRECT($M122),
       MATCH(TRIM($C122), TRIM(INDIRECT($N122)), 0),
       MATCH(TRIM(J$1), TRIM(INDIRECT($O122)), 0))</f>
        <v>620</v>
      </c>
      <c r="K122" s="7" cm="1">
        <f t="array" aca="1" ref="K122" ca="1">INDEX(INDIRECT($M122),
       MATCH(TRIM($C122), TRIM(INDIRECT($N122)), 0),
       MATCH(TRIM(K$1), TRIM(INDIRECT($O122)), 0))</f>
        <v>604.12148473999912</v>
      </c>
      <c r="L122" s="7" cm="1">
        <f t="array" aca="1" ref="L122" ca="1">INDEX(INDIRECT($M122),
       MATCH(TRIM($C122), TRIM(INDIRECT($N122)), 0),
       MATCH(TRIM(L$1), TRIM(INDIRECT($O122)), 0))</f>
        <v>1023.9786001624991</v>
      </c>
      <c r="M122" s="5" t="str">
        <f>_xlfn.CONCAT("'",$B122,"'","!","$C$3:$K$23")</f>
        <v>'2021'!$C$3:$K$23</v>
      </c>
      <c r="N122" s="5" t="str">
        <f>_xlfn.CONCAT("'",$B122,"'","!","$B$3:$B$22")</f>
        <v>'2021'!$B$3:$B$22</v>
      </c>
      <c r="O122" s="5" t="str">
        <f>_xlfn.CONCAT("'",$B122,"'","!","$C$2:$K$2")</f>
        <v>'2021'!$C$2:$K$2</v>
      </c>
    </row>
    <row r="123" spans="1:15" x14ac:dyDescent="0.3">
      <c r="A123">
        <v>8</v>
      </c>
      <c r="B123">
        <v>2021</v>
      </c>
      <c r="C123" t="s">
        <v>85</v>
      </c>
      <c r="D123" s="7" cm="1">
        <f t="array" aca="1" ref="D123" ca="1">INDEX(INDIRECT($M123),
       MATCH(TRIM($C123), TRIM(INDIRECT($N123)), 0),
       MATCH(TRIM(D$1), TRIM(INDIRECT($O123)), 0))</f>
        <v>53</v>
      </c>
      <c r="E123" s="9" t="e" cm="1">
        <f t="array" aca="1" ref="E123" ca="1">INDEX(INDIRECT($M123),
       MATCH(TRIM($C123), TRIM(INDIRECT($N123)), 0),
       MATCH(TRIM(E$1), TRIM(INDIRECT($O123)), 0))</f>
        <v>#N/A</v>
      </c>
      <c r="F123" s="7" cm="1">
        <f t="array" aca="1" ref="F123" ca="1">INDEX(INDIRECT($M123),
       MATCH(TRIM($C123), TRIM(INDIRECT($N123)), 0),
       MATCH(TRIM(F$1), TRIM(INDIRECT($O123)), 0))</f>
        <v>426.36790500000001</v>
      </c>
      <c r="G123" s="7" cm="1">
        <f t="array" aca="1" ref="G123" ca="1">INDEX(INDIRECT($M123),
       MATCH(TRIM($C123), TRIM(INDIRECT($N123)), 0),
       MATCH(TRIM(G$1), TRIM(INDIRECT($O123)), 0))</f>
        <v>14</v>
      </c>
      <c r="H123" s="9" t="e" cm="1">
        <f t="array" aca="1" ref="H123" ca="1">INDEX(INDIRECT($M123),
       MATCH(TRIM($C123), TRIM(INDIRECT($N123)), 0),
       MATCH(TRIM(H$1), TRIM(INDIRECT($O123)), 0))</f>
        <v>#N/A</v>
      </c>
      <c r="I123" s="7" cm="1">
        <f t="array" aca="1" ref="I123" ca="1">INDEX(INDIRECT($M123),
       MATCH(TRIM($C123), TRIM(INDIRECT($N123)), 0),
       MATCH(TRIM(I$1), TRIM(INDIRECT($O123)), 0))</f>
        <v>40.469126000000003</v>
      </c>
      <c r="J123" s="7" cm="1">
        <f t="array" aca="1" ref="J123" ca="1">INDEX(INDIRECT($M123),
       MATCH(TRIM($C123), TRIM(INDIRECT($N123)), 0),
       MATCH(TRIM(J$1), TRIM(INDIRECT($O123)), 0))</f>
        <v>118</v>
      </c>
      <c r="K123" s="7" cm="1">
        <f t="array" aca="1" ref="K123" ca="1">INDEX(INDIRECT($M123),
       MATCH(TRIM($C123), TRIM(INDIRECT($N123)), 0),
       MATCH(TRIM(K$1), TRIM(INDIRECT($O123)), 0))</f>
        <v>316.95538807999998</v>
      </c>
      <c r="L123" s="7" cm="1">
        <f t="array" aca="1" ref="L123" ca="1">INDEX(INDIRECT($M123),
       MATCH(TRIM($C123), TRIM(INDIRECT($N123)), 0),
       MATCH(TRIM(L$1), TRIM(INDIRECT($O123)), 0))</f>
        <v>783.79241907999995</v>
      </c>
      <c r="M123" s="5" t="str">
        <f>_xlfn.CONCAT("'",$B123,"'","!","$C$3:$K$23")</f>
        <v>'2021'!$C$3:$K$23</v>
      </c>
      <c r="N123" s="5" t="str">
        <f>_xlfn.CONCAT("'",$B123,"'","!","$B$3:$B$22")</f>
        <v>'2021'!$B$3:$B$22</v>
      </c>
      <c r="O123" s="5" t="str">
        <f>_xlfn.CONCAT("'",$B123,"'","!","$C$2:$K$2")</f>
        <v>'2021'!$C$2:$K$2</v>
      </c>
    </row>
    <row r="124" spans="1:15" x14ac:dyDescent="0.3">
      <c r="A124">
        <v>9</v>
      </c>
      <c r="B124">
        <v>2021</v>
      </c>
      <c r="C124" t="s">
        <v>86</v>
      </c>
      <c r="D124" s="7" cm="1">
        <f t="array" aca="1" ref="D124" ca="1">INDEX(INDIRECT($M124),
       MATCH(TRIM($C124), TRIM(INDIRECT($N124)), 0),
       MATCH(TRIM(D$1), TRIM(INDIRECT($O124)), 0))</f>
        <v>23</v>
      </c>
      <c r="E124" s="9" t="e" cm="1">
        <f t="array" aca="1" ref="E124" ca="1">INDEX(INDIRECT($M124),
       MATCH(TRIM($C124), TRIM(INDIRECT($N124)), 0),
       MATCH(TRIM(E$1), TRIM(INDIRECT($O124)), 0))</f>
        <v>#N/A</v>
      </c>
      <c r="F124" s="7" cm="1">
        <f t="array" aca="1" ref="F124" ca="1">INDEX(INDIRECT($M124),
       MATCH(TRIM($C124), TRIM(INDIRECT($N124)), 0),
       MATCH(TRIM(F$1), TRIM(INDIRECT($O124)), 0))</f>
        <v>41.591233090000003</v>
      </c>
      <c r="G124" s="7" cm="1">
        <f t="array" aca="1" ref="G124" ca="1">INDEX(INDIRECT($M124),
       MATCH(TRIM($C124), TRIM(INDIRECT($N124)), 0),
       MATCH(TRIM(G$1), TRIM(INDIRECT($O124)), 0))</f>
        <v>15</v>
      </c>
      <c r="H124" s="9" t="e" cm="1">
        <f t="array" aca="1" ref="H124" ca="1">INDEX(INDIRECT($M124),
       MATCH(TRIM($C124), TRIM(INDIRECT($N124)), 0),
       MATCH(TRIM(H$1), TRIM(INDIRECT($O124)), 0))</f>
        <v>#N/A</v>
      </c>
      <c r="I124" s="7" cm="1">
        <f t="array" aca="1" ref="I124" ca="1">INDEX(INDIRECT($M124),
       MATCH(TRIM($C124), TRIM(INDIRECT($N124)), 0),
       MATCH(TRIM(I$1), TRIM(INDIRECT($O124)), 0))</f>
        <v>21.438310000000001</v>
      </c>
      <c r="J124" s="7" cm="1">
        <f t="array" aca="1" ref="J124" ca="1">INDEX(INDIRECT($M124),
       MATCH(TRIM($C124), TRIM(INDIRECT($N124)), 0),
       MATCH(TRIM(J$1), TRIM(INDIRECT($O124)), 0))</f>
        <v>322</v>
      </c>
      <c r="K124" s="7" cm="1">
        <f t="array" aca="1" ref="K124" ca="1">INDEX(INDIRECT($M124),
       MATCH(TRIM($C124), TRIM(INDIRECT($N124)), 0),
       MATCH(TRIM(K$1), TRIM(INDIRECT($O124)), 0))</f>
        <v>104.57391995000003</v>
      </c>
      <c r="L124" s="7" cm="1">
        <f t="array" aca="1" ref="L124" ca="1">INDEX(INDIRECT($M124),
       MATCH(TRIM($C124), TRIM(INDIRECT($N124)), 0),
       MATCH(TRIM(L$1), TRIM(INDIRECT($O124)), 0))</f>
        <v>167.60346304000004</v>
      </c>
      <c r="M124" s="5" t="str">
        <f>_xlfn.CONCAT("'",$B124,"'","!","$C$3:$K$23")</f>
        <v>'2021'!$C$3:$K$23</v>
      </c>
      <c r="N124" s="5" t="str">
        <f>_xlfn.CONCAT("'",$B124,"'","!","$B$3:$B$22")</f>
        <v>'2021'!$B$3:$B$22</v>
      </c>
      <c r="O124" s="5" t="str">
        <f>_xlfn.CONCAT("'",$B124,"'","!","$C$2:$K$2")</f>
        <v>'2021'!$C$2:$K$2</v>
      </c>
    </row>
    <row r="125" spans="1:15" x14ac:dyDescent="0.3">
      <c r="A125">
        <v>10</v>
      </c>
      <c r="B125">
        <v>2021</v>
      </c>
      <c r="C125" t="s">
        <v>87</v>
      </c>
      <c r="D125" s="7" cm="1">
        <f t="array" aca="1" ref="D125" ca="1">INDEX(INDIRECT($M125),
       MATCH(TRIM($C125), TRIM(INDIRECT($N125)), 0),
       MATCH(TRIM(D$1), TRIM(INDIRECT($O125)), 0))</f>
        <v>156</v>
      </c>
      <c r="E125" s="9" t="e" cm="1">
        <f t="array" aca="1" ref="E125" ca="1">INDEX(INDIRECT($M125),
       MATCH(TRIM($C125), TRIM(INDIRECT($N125)), 0),
       MATCH(TRIM(E$1), TRIM(INDIRECT($O125)), 0))</f>
        <v>#N/A</v>
      </c>
      <c r="F125" s="7" cm="1">
        <f t="array" aca="1" ref="F125" ca="1">INDEX(INDIRECT($M125),
       MATCH(TRIM($C125), TRIM(INDIRECT($N125)), 0),
       MATCH(TRIM(F$1), TRIM(INDIRECT($O125)), 0))</f>
        <v>226.05259894</v>
      </c>
      <c r="G125" s="7" cm="1">
        <f t="array" aca="1" ref="G125" ca="1">INDEX(INDIRECT($M125),
       MATCH(TRIM($C125), TRIM(INDIRECT($N125)), 0),
       MATCH(TRIM(G$1), TRIM(INDIRECT($O125)), 0))</f>
        <v>25</v>
      </c>
      <c r="H125" s="9" t="e" cm="1">
        <f t="array" aca="1" ref="H125" ca="1">INDEX(INDIRECT($M125),
       MATCH(TRIM($C125), TRIM(INDIRECT($N125)), 0),
       MATCH(TRIM(H$1), TRIM(INDIRECT($O125)), 0))</f>
        <v>#N/A</v>
      </c>
      <c r="I125" s="7" cm="1">
        <f t="array" aca="1" ref="I125" ca="1">INDEX(INDIRECT($M125),
       MATCH(TRIM($C125), TRIM(INDIRECT($N125)), 0),
       MATCH(TRIM(I$1), TRIM(INDIRECT($O125)), 0))</f>
        <v>52.435763000000001</v>
      </c>
      <c r="J125" s="7" cm="1">
        <f t="array" aca="1" ref="J125" ca="1">INDEX(INDIRECT($M125),
       MATCH(TRIM($C125), TRIM(INDIRECT($N125)), 0),
       MATCH(TRIM(J$1), TRIM(INDIRECT($O125)), 0))</f>
        <v>268</v>
      </c>
      <c r="K125" s="7" cm="1">
        <f t="array" aca="1" ref="K125" ca="1">INDEX(INDIRECT($M125),
       MATCH(TRIM($C125), TRIM(INDIRECT($N125)), 0),
       MATCH(TRIM(K$1), TRIM(INDIRECT($O125)), 0))</f>
        <v>125.90001697999996</v>
      </c>
      <c r="L125" s="7" cm="1">
        <f t="array" aca="1" ref="L125" ca="1">INDEX(INDIRECT($M125),
       MATCH(TRIM($C125), TRIM(INDIRECT($N125)), 0),
       MATCH(TRIM(L$1), TRIM(INDIRECT($O125)), 0))</f>
        <v>404.38837891999998</v>
      </c>
      <c r="M125" s="5" t="str">
        <f>_xlfn.CONCAT("'",$B125,"'","!","$C$3:$K$23")</f>
        <v>'2021'!$C$3:$K$23</v>
      </c>
      <c r="N125" s="5" t="str">
        <f>_xlfn.CONCAT("'",$B125,"'","!","$B$3:$B$22")</f>
        <v>'2021'!$B$3:$B$22</v>
      </c>
      <c r="O125" s="5" t="str">
        <f>_xlfn.CONCAT("'",$B125,"'","!","$C$2:$K$2")</f>
        <v>'2021'!$C$2:$K$2</v>
      </c>
    </row>
    <row r="126" spans="1:15" x14ac:dyDescent="0.3">
      <c r="A126">
        <v>11</v>
      </c>
      <c r="B126">
        <v>2021</v>
      </c>
      <c r="C126" t="s">
        <v>88</v>
      </c>
      <c r="D126" s="7" cm="1">
        <f t="array" aca="1" ref="D126" ca="1">INDEX(INDIRECT($M126),
       MATCH(TRIM($C126), TRIM(INDIRECT($N126)), 0),
       MATCH(TRIM(D$1), TRIM(INDIRECT($O126)), 0))</f>
        <v>38</v>
      </c>
      <c r="E126" s="9" t="e" cm="1">
        <f t="array" aca="1" ref="E126" ca="1">INDEX(INDIRECT($M126),
       MATCH(TRIM($C126), TRIM(INDIRECT($N126)), 0),
       MATCH(TRIM(E$1), TRIM(INDIRECT($O126)), 0))</f>
        <v>#N/A</v>
      </c>
      <c r="F126" s="7" cm="1">
        <f t="array" aca="1" ref="F126" ca="1">INDEX(INDIRECT($M126),
       MATCH(TRIM($C126), TRIM(INDIRECT($N126)), 0),
       MATCH(TRIM(F$1), TRIM(INDIRECT($O126)), 0))</f>
        <v>11.827855</v>
      </c>
      <c r="G126" s="7" cm="1">
        <f t="array" aca="1" ref="G126" ca="1">INDEX(INDIRECT($M126),
       MATCH(TRIM($C126), TRIM(INDIRECT($N126)), 0),
       MATCH(TRIM(G$1), TRIM(INDIRECT($O126)), 0))</f>
        <v>14</v>
      </c>
      <c r="H126" s="9" t="e" cm="1">
        <f t="array" aca="1" ref="H126" ca="1">INDEX(INDIRECT($M126),
       MATCH(TRIM($C126), TRIM(INDIRECT($N126)), 0),
       MATCH(TRIM(H$1), TRIM(INDIRECT($O126)), 0))</f>
        <v>#N/A</v>
      </c>
      <c r="I126" s="7" cm="1">
        <f t="array" aca="1" ref="I126" ca="1">INDEX(INDIRECT($M126),
       MATCH(TRIM($C126), TRIM(INDIRECT($N126)), 0),
       MATCH(TRIM(I$1), TRIM(INDIRECT($O126)), 0))</f>
        <v>11.71899</v>
      </c>
      <c r="J126" s="7" cm="1">
        <f t="array" aca="1" ref="J126" ca="1">INDEX(INDIRECT($M126),
       MATCH(TRIM($C126), TRIM(INDIRECT($N126)), 0),
       MATCH(TRIM(J$1), TRIM(INDIRECT($O126)), 0))</f>
        <v>66</v>
      </c>
      <c r="K126" s="7" cm="1">
        <f t="array" aca="1" ref="K126" ca="1">INDEX(INDIRECT($M126),
       MATCH(TRIM($C126), TRIM(INDIRECT($N126)), 0),
       MATCH(TRIM(K$1), TRIM(INDIRECT($O126)), 0))</f>
        <v>22.977832159999998</v>
      </c>
      <c r="L126" s="7" cm="1">
        <f t="array" aca="1" ref="L126" ca="1">INDEX(INDIRECT($M126),
       MATCH(TRIM($C126), TRIM(INDIRECT($N126)), 0),
       MATCH(TRIM(L$1), TRIM(INDIRECT($O126)), 0))</f>
        <v>46.524677159999996</v>
      </c>
      <c r="M126" s="5" t="str">
        <f>_xlfn.CONCAT("'",$B126,"'","!","$C$3:$K$23")</f>
        <v>'2021'!$C$3:$K$23</v>
      </c>
      <c r="N126" s="5" t="str">
        <f>_xlfn.CONCAT("'",$B126,"'","!","$B$3:$B$22")</f>
        <v>'2021'!$B$3:$B$22</v>
      </c>
      <c r="O126" s="5" t="str">
        <f>_xlfn.CONCAT("'",$B126,"'","!","$C$2:$K$2")</f>
        <v>'2021'!$C$2:$K$2</v>
      </c>
    </row>
    <row r="127" spans="1:15" x14ac:dyDescent="0.3">
      <c r="A127">
        <v>12</v>
      </c>
      <c r="B127">
        <v>2021</v>
      </c>
      <c r="C127" t="s">
        <v>89</v>
      </c>
      <c r="D127" s="7" cm="1">
        <f t="array" aca="1" ref="D127" ca="1">INDEX(INDIRECT($M127),
       MATCH(TRIM($C127), TRIM(INDIRECT($N127)), 0),
       MATCH(TRIM(D$1), TRIM(INDIRECT($O127)), 0))</f>
        <v>1</v>
      </c>
      <c r="E127" s="9" t="e" cm="1">
        <f t="array" aca="1" ref="E127" ca="1">INDEX(INDIRECT($M127),
       MATCH(TRIM($C127), TRIM(INDIRECT($N127)), 0),
       MATCH(TRIM(E$1), TRIM(INDIRECT($O127)), 0))</f>
        <v>#N/A</v>
      </c>
      <c r="F127" s="7" cm="1">
        <f t="array" aca="1" ref="F127" ca="1">INDEX(INDIRECT($M127),
       MATCH(TRIM($C127), TRIM(INDIRECT($N127)), 0),
       MATCH(TRIM(F$1), TRIM(INDIRECT($O127)), 0))</f>
        <v>0.15</v>
      </c>
      <c r="G127" s="7" cm="1">
        <f t="array" aca="1" ref="G127" ca="1">INDEX(INDIRECT($M127),
       MATCH(TRIM($C127), TRIM(INDIRECT($N127)), 0),
       MATCH(TRIM(G$1), TRIM(INDIRECT($O127)), 0))</f>
        <v>2</v>
      </c>
      <c r="H127" s="9" t="e" cm="1">
        <f t="array" aca="1" ref="H127" ca="1">INDEX(INDIRECT($M127),
       MATCH(TRIM($C127), TRIM(INDIRECT($N127)), 0),
       MATCH(TRIM(H$1), TRIM(INDIRECT($O127)), 0))</f>
        <v>#N/A</v>
      </c>
      <c r="I127" s="7" cm="1">
        <f t="array" aca="1" ref="I127" ca="1">INDEX(INDIRECT($M127),
       MATCH(TRIM($C127), TRIM(INDIRECT($N127)), 0),
       MATCH(TRIM(I$1), TRIM(INDIRECT($O127)), 0))</f>
        <v>0.4</v>
      </c>
      <c r="J127" s="7" cm="1">
        <f t="array" aca="1" ref="J127" ca="1">INDEX(INDIRECT($M127),
       MATCH(TRIM($C127), TRIM(INDIRECT($N127)), 0),
       MATCH(TRIM(J$1), TRIM(INDIRECT($O127)), 0))</f>
        <v>9</v>
      </c>
      <c r="K127" s="7" cm="1">
        <f t="array" aca="1" ref="K127" ca="1">INDEX(INDIRECT($M127),
       MATCH(TRIM($C127), TRIM(INDIRECT($N127)), 0),
       MATCH(TRIM(K$1), TRIM(INDIRECT($O127)), 0))</f>
        <v>3.0490673399999997</v>
      </c>
      <c r="L127" s="7" cm="1">
        <f t="array" aca="1" ref="L127" ca="1">INDEX(INDIRECT($M127),
       MATCH(TRIM($C127), TRIM(INDIRECT($N127)), 0),
       MATCH(TRIM(L$1), TRIM(INDIRECT($O127)), 0))</f>
        <v>3.5990673399999995</v>
      </c>
      <c r="M127" s="5" t="str">
        <f>_xlfn.CONCAT("'",$B127,"'","!","$C$3:$K$23")</f>
        <v>'2021'!$C$3:$K$23</v>
      </c>
      <c r="N127" s="5" t="str">
        <f>_xlfn.CONCAT("'",$B127,"'","!","$B$3:$B$22")</f>
        <v>'2021'!$B$3:$B$22</v>
      </c>
      <c r="O127" s="5" t="str">
        <f>_xlfn.CONCAT("'",$B127,"'","!","$C$2:$K$2")</f>
        <v>'2021'!$C$2:$K$2</v>
      </c>
    </row>
    <row r="128" spans="1:15" x14ac:dyDescent="0.3">
      <c r="A128">
        <v>13</v>
      </c>
      <c r="B128">
        <v>2021</v>
      </c>
      <c r="C128" t="s">
        <v>90</v>
      </c>
      <c r="D128" s="7" cm="1">
        <f t="array" aca="1" ref="D128" ca="1">INDEX(INDIRECT($M128),
       MATCH(TRIM($C128), TRIM(INDIRECT($N128)), 0),
       MATCH(TRIM(D$1), TRIM(INDIRECT($O128)), 0))</f>
        <v>27</v>
      </c>
      <c r="E128" s="9" t="e" cm="1">
        <f t="array" aca="1" ref="E128" ca="1">INDEX(INDIRECT($M128),
       MATCH(TRIM($C128), TRIM(INDIRECT($N128)), 0),
       MATCH(TRIM(E$1), TRIM(INDIRECT($O128)), 0))</f>
        <v>#N/A</v>
      </c>
      <c r="F128" s="7" cm="1">
        <f t="array" aca="1" ref="F128" ca="1">INDEX(INDIRECT($M128),
       MATCH(TRIM($C128), TRIM(INDIRECT($N128)), 0),
       MATCH(TRIM(F$1), TRIM(INDIRECT($O128)), 0))</f>
        <v>12.643249000000001</v>
      </c>
      <c r="G128" s="7" cm="1">
        <f t="array" aca="1" ref="G128" ca="1">INDEX(INDIRECT($M128),
       MATCH(TRIM($C128), TRIM(INDIRECT($N128)), 0),
       MATCH(TRIM(G$1), TRIM(INDIRECT($O128)), 0))</f>
        <v>14</v>
      </c>
      <c r="H128" s="9" t="e" cm="1">
        <f t="array" aca="1" ref="H128" ca="1">INDEX(INDIRECT($M128),
       MATCH(TRIM($C128), TRIM(INDIRECT($N128)), 0),
       MATCH(TRIM(H$1), TRIM(INDIRECT($O128)), 0))</f>
        <v>#N/A</v>
      </c>
      <c r="I128" s="7" cm="1">
        <f t="array" aca="1" ref="I128" ca="1">INDEX(INDIRECT($M128),
       MATCH(TRIM($C128), TRIM(INDIRECT($N128)), 0),
       MATCH(TRIM(I$1), TRIM(INDIRECT($O128)), 0))</f>
        <v>17.296975</v>
      </c>
      <c r="J128" s="7" cm="1">
        <f t="array" aca="1" ref="J128" ca="1">INDEX(INDIRECT($M128),
       MATCH(TRIM($C128), TRIM(INDIRECT($N128)), 0),
       MATCH(TRIM(J$1), TRIM(INDIRECT($O128)), 0))</f>
        <v>55</v>
      </c>
      <c r="K128" s="7" cm="1">
        <f t="array" aca="1" ref="K128" ca="1">INDEX(INDIRECT($M128),
       MATCH(TRIM($C128), TRIM(INDIRECT($N128)), 0),
       MATCH(TRIM(K$1), TRIM(INDIRECT($O128)), 0))</f>
        <v>21.144640550000005</v>
      </c>
      <c r="L128" s="7" cm="1">
        <f t="array" aca="1" ref="L128" ca="1">INDEX(INDIRECT($M128),
       MATCH(TRIM($C128), TRIM(INDIRECT($N128)), 0),
       MATCH(TRIM(L$1), TRIM(INDIRECT($O128)), 0))</f>
        <v>51.084864550000006</v>
      </c>
      <c r="M128" s="5" t="str">
        <f>_xlfn.CONCAT("'",$B128,"'","!","$C$3:$K$23")</f>
        <v>'2021'!$C$3:$K$23</v>
      </c>
      <c r="N128" s="5" t="str">
        <f>_xlfn.CONCAT("'",$B128,"'","!","$B$3:$B$22")</f>
        <v>'2021'!$B$3:$B$22</v>
      </c>
      <c r="O128" s="5" t="str">
        <f>_xlfn.CONCAT("'",$B128,"'","!","$C$2:$K$2")</f>
        <v>'2021'!$C$2:$K$2</v>
      </c>
    </row>
    <row r="129" spans="1:15" x14ac:dyDescent="0.3">
      <c r="A129">
        <v>14</v>
      </c>
      <c r="B129">
        <v>2021</v>
      </c>
      <c r="C129" t="s">
        <v>91</v>
      </c>
      <c r="D129" s="7" cm="1">
        <f t="array" aca="1" ref="D129" ca="1">INDEX(INDIRECT($M129),
       MATCH(TRIM($C129), TRIM(INDIRECT($N129)), 0),
       MATCH(TRIM(D$1), TRIM(INDIRECT($O129)), 0))</f>
        <v>2</v>
      </c>
      <c r="E129" s="9" t="e" cm="1">
        <f t="array" aca="1" ref="E129" ca="1">INDEX(INDIRECT($M129),
       MATCH(TRIM($C129), TRIM(INDIRECT($N129)), 0),
       MATCH(TRIM(E$1), TRIM(INDIRECT($O129)), 0))</f>
        <v>#N/A</v>
      </c>
      <c r="F129" s="7" cm="1">
        <f t="array" aca="1" ref="F129" ca="1">INDEX(INDIRECT($M129),
       MATCH(TRIM($C129), TRIM(INDIRECT($N129)), 0),
       MATCH(TRIM(F$1), TRIM(INDIRECT($O129)), 0))</f>
        <v>7.202</v>
      </c>
      <c r="G129" s="7" cm="1">
        <f t="array" aca="1" ref="G129" ca="1">INDEX(INDIRECT($M129),
       MATCH(TRIM($C129), TRIM(INDIRECT($N129)), 0),
       MATCH(TRIM(G$1), TRIM(INDIRECT($O129)), 0))</f>
        <v>1</v>
      </c>
      <c r="H129" s="9" t="e" cm="1">
        <f t="array" aca="1" ref="H129" ca="1">INDEX(INDIRECT($M129),
       MATCH(TRIM($C129), TRIM(INDIRECT($N129)), 0),
       MATCH(TRIM(H$1), TRIM(INDIRECT($O129)), 0))</f>
        <v>#N/A</v>
      </c>
      <c r="I129" s="7" cm="1">
        <f t="array" aca="1" ref="I129" ca="1">INDEX(INDIRECT($M129),
       MATCH(TRIM($C129), TRIM(INDIRECT($N129)), 0),
       MATCH(TRIM(I$1), TRIM(INDIRECT($O129)), 0))</f>
        <v>4.7149400000000004</v>
      </c>
      <c r="J129" s="7" cm="1">
        <f t="array" aca="1" ref="J129" ca="1">INDEX(INDIRECT($M129),
       MATCH(TRIM($C129), TRIM(INDIRECT($N129)), 0),
       MATCH(TRIM(J$1), TRIM(INDIRECT($O129)), 0))</f>
        <v>10</v>
      </c>
      <c r="K129" s="7" cm="1">
        <f t="array" aca="1" ref="K129" ca="1">INDEX(INDIRECT($M129),
       MATCH(TRIM($C129), TRIM(INDIRECT($N129)), 0),
       MATCH(TRIM(K$1), TRIM(INDIRECT($O129)), 0))</f>
        <v>105.01985169</v>
      </c>
      <c r="L129" s="7" cm="1">
        <f t="array" aca="1" ref="L129" ca="1">INDEX(INDIRECT($M129),
       MATCH(TRIM($C129), TRIM(INDIRECT($N129)), 0),
       MATCH(TRIM(L$1), TRIM(INDIRECT($O129)), 0))</f>
        <v>116.93679168999999</v>
      </c>
      <c r="M129" s="5" t="str">
        <f>_xlfn.CONCAT("'",$B129,"'","!","$C$3:$K$23")</f>
        <v>'2021'!$C$3:$K$23</v>
      </c>
      <c r="N129" s="5" t="str">
        <f>_xlfn.CONCAT("'",$B129,"'","!","$B$3:$B$22")</f>
        <v>'2021'!$B$3:$B$22</v>
      </c>
      <c r="O129" s="5" t="str">
        <f>_xlfn.CONCAT("'",$B129,"'","!","$C$2:$K$2")</f>
        <v>'2021'!$C$2:$K$2</v>
      </c>
    </row>
    <row r="130" spans="1:15" x14ac:dyDescent="0.3">
      <c r="A130">
        <v>15</v>
      </c>
      <c r="B130">
        <v>2021</v>
      </c>
      <c r="C130" t="s">
        <v>92</v>
      </c>
      <c r="D130" s="7" cm="1">
        <f t="array" aca="1" ref="D130" ca="1">INDEX(INDIRECT($M130),
       MATCH(TRIM($C130), TRIM(INDIRECT($N130)), 0),
       MATCH(TRIM(D$1), TRIM(INDIRECT($O130)), 0))</f>
        <v>1</v>
      </c>
      <c r="E130" s="9" t="e" cm="1">
        <f t="array" aca="1" ref="E130" ca="1">INDEX(INDIRECT($M130),
       MATCH(TRIM($C130), TRIM(INDIRECT($N130)), 0),
       MATCH(TRIM(E$1), TRIM(INDIRECT($O130)), 0))</f>
        <v>#N/A</v>
      </c>
      <c r="F130" s="7" cm="1">
        <f t="array" aca="1" ref="F130" ca="1">INDEX(INDIRECT($M130),
       MATCH(TRIM($C130), TRIM(INDIRECT($N130)), 0),
       MATCH(TRIM(F$1), TRIM(INDIRECT($O130)), 0))</f>
        <v>1.1000000000000001</v>
      </c>
      <c r="G130" s="7" cm="1">
        <f t="array" aca="1" ref="G130" ca="1">INDEX(INDIRECT($M130),
       MATCH(TRIM($C130), TRIM(INDIRECT($N130)), 0),
       MATCH(TRIM(G$1), TRIM(INDIRECT($O130)), 0))</f>
        <v>3</v>
      </c>
      <c r="H130" s="9" t="e" cm="1">
        <f t="array" aca="1" ref="H130" ca="1">INDEX(INDIRECT($M130),
       MATCH(TRIM($C130), TRIM(INDIRECT($N130)), 0),
       MATCH(TRIM(H$1), TRIM(INDIRECT($O130)), 0))</f>
        <v>#N/A</v>
      </c>
      <c r="I130" s="7" cm="1">
        <f t="array" aca="1" ref="I130" ca="1">INDEX(INDIRECT($M130),
       MATCH(TRIM($C130), TRIM(INDIRECT($N130)), 0),
       MATCH(TRIM(I$1), TRIM(INDIRECT($O130)), 0))</f>
        <v>0.616791125</v>
      </c>
      <c r="J130" s="7" cm="1">
        <f t="array" aca="1" ref="J130" ca="1">INDEX(INDIRECT($M130),
       MATCH(TRIM($C130), TRIM(INDIRECT($N130)), 0),
       MATCH(TRIM(J$1), TRIM(INDIRECT($O130)), 0))</f>
        <v>11</v>
      </c>
      <c r="K130" s="7" cm="1">
        <f t="array" aca="1" ref="K130" ca="1">INDEX(INDIRECT($M130),
       MATCH(TRIM($C130), TRIM(INDIRECT($N130)), 0),
       MATCH(TRIM(K$1), TRIM(INDIRECT($O130)), 0))</f>
        <v>2.8011978200000005</v>
      </c>
      <c r="L130" s="7" cm="1">
        <f t="array" aca="1" ref="L130" ca="1">INDEX(INDIRECT($M130),
       MATCH(TRIM($C130), TRIM(INDIRECT($N130)), 0),
       MATCH(TRIM(L$1), TRIM(INDIRECT($O130)), 0))</f>
        <v>4.5179889450000008</v>
      </c>
      <c r="M130" s="5" t="str">
        <f>_xlfn.CONCAT("'",$B130,"'","!","$C$3:$K$23")</f>
        <v>'2021'!$C$3:$K$23</v>
      </c>
      <c r="N130" s="5" t="str">
        <f>_xlfn.CONCAT("'",$B130,"'","!","$B$3:$B$22")</f>
        <v>'2021'!$B$3:$B$22</v>
      </c>
      <c r="O130" s="5" t="str">
        <f>_xlfn.CONCAT("'",$B130,"'","!","$C$2:$K$2")</f>
        <v>'2021'!$C$2:$K$2</v>
      </c>
    </row>
    <row r="131" spans="1:15" x14ac:dyDescent="0.3">
      <c r="A131">
        <v>16</v>
      </c>
      <c r="B131">
        <v>2021</v>
      </c>
      <c r="C131" t="s">
        <v>93</v>
      </c>
      <c r="D131" s="7" cm="1">
        <f t="array" aca="1" ref="D131" ca="1">INDEX(INDIRECT($M131),
       MATCH(TRIM($C131), TRIM(INDIRECT($N131)), 0),
       MATCH(TRIM(D$1), TRIM(INDIRECT($O131)), 0))</f>
        <v>0</v>
      </c>
      <c r="E131" s="9" t="e" cm="1">
        <f t="array" aca="1" ref="E131" ca="1">INDEX(INDIRECT($M131),
       MATCH(TRIM($C131), TRIM(INDIRECT($N131)), 0),
       MATCH(TRIM(E$1), TRIM(INDIRECT($O131)), 0))</f>
        <v>#N/A</v>
      </c>
      <c r="F131" s="7" cm="1">
        <f t="array" aca="1" ref="F131" ca="1">INDEX(INDIRECT($M131),
       MATCH(TRIM($C131), TRIM(INDIRECT($N131)), 0),
       MATCH(TRIM(F$1), TRIM(INDIRECT($O131)), 0))</f>
        <v>0</v>
      </c>
      <c r="G131" s="7" cm="1">
        <f t="array" aca="1" ref="G131" ca="1">INDEX(INDIRECT($M131),
       MATCH(TRIM($C131), TRIM(INDIRECT($N131)), 0),
       MATCH(TRIM(G$1), TRIM(INDIRECT($O131)), 0))</f>
        <v>1</v>
      </c>
      <c r="H131" s="9" t="e" cm="1">
        <f t="array" aca="1" ref="H131" ca="1">INDEX(INDIRECT($M131),
       MATCH(TRIM($C131), TRIM(INDIRECT($N131)), 0),
       MATCH(TRIM(H$1), TRIM(INDIRECT($O131)), 0))</f>
        <v>#N/A</v>
      </c>
      <c r="I131" s="7" cm="1">
        <f t="array" aca="1" ref="I131" ca="1">INDEX(INDIRECT($M131),
       MATCH(TRIM($C131), TRIM(INDIRECT($N131)), 0),
       MATCH(TRIM(I$1), TRIM(INDIRECT($O131)), 0))</f>
        <v>0.13500000000000001</v>
      </c>
      <c r="J131" s="7" cm="1">
        <f t="array" aca="1" ref="J131" ca="1">INDEX(INDIRECT($M131),
       MATCH(TRIM($C131), TRIM(INDIRECT($N131)), 0),
       MATCH(TRIM(J$1), TRIM(INDIRECT($O131)), 0))</f>
        <v>4</v>
      </c>
      <c r="K131" s="7" cm="1">
        <f t="array" aca="1" ref="K131" ca="1">INDEX(INDIRECT($M131),
       MATCH(TRIM($C131), TRIM(INDIRECT($N131)), 0),
       MATCH(TRIM(K$1), TRIM(INDIRECT($O131)), 0))</f>
        <v>1.3364363099999998</v>
      </c>
      <c r="L131" s="7" cm="1">
        <f t="array" aca="1" ref="L131" ca="1">INDEX(INDIRECT($M131),
       MATCH(TRIM($C131), TRIM(INDIRECT($N131)), 0),
       MATCH(TRIM(L$1), TRIM(INDIRECT($O131)), 0))</f>
        <v>1.4714363099999999</v>
      </c>
      <c r="M131" s="5" t="str">
        <f>_xlfn.CONCAT("'",$B131,"'","!","$C$3:$K$23")</f>
        <v>'2021'!$C$3:$K$23</v>
      </c>
      <c r="N131" s="5" t="str">
        <f>_xlfn.CONCAT("'",$B131,"'","!","$B$3:$B$22")</f>
        <v>'2021'!$B$3:$B$22</v>
      </c>
      <c r="O131" s="5" t="str">
        <f>_xlfn.CONCAT("'",$B131,"'","!","$C$2:$K$2")</f>
        <v>'2021'!$C$2:$K$2</v>
      </c>
    </row>
    <row r="132" spans="1:15" x14ac:dyDescent="0.3">
      <c r="A132">
        <v>17</v>
      </c>
      <c r="B132">
        <v>2021</v>
      </c>
      <c r="C132" t="s">
        <v>94</v>
      </c>
      <c r="D132" s="7" cm="1">
        <f t="array" aca="1" ref="D132" ca="1">INDEX(INDIRECT($M132),
       MATCH(TRIM($C132), TRIM(INDIRECT($N132)), 0),
       MATCH(TRIM(D$1), TRIM(INDIRECT($O132)), 0))</f>
        <v>1</v>
      </c>
      <c r="E132" s="9" t="e" cm="1">
        <f t="array" aca="1" ref="E132" ca="1">INDEX(INDIRECT($M132),
       MATCH(TRIM($C132), TRIM(INDIRECT($N132)), 0),
       MATCH(TRIM(E$1), TRIM(INDIRECT($O132)), 0))</f>
        <v>#N/A</v>
      </c>
      <c r="F132" s="7" cm="1">
        <f t="array" aca="1" ref="F132" ca="1">INDEX(INDIRECT($M132),
       MATCH(TRIM($C132), TRIM(INDIRECT($N132)), 0),
       MATCH(TRIM(F$1), TRIM(INDIRECT($O132)), 0))</f>
        <v>0.13052</v>
      </c>
      <c r="G132" s="7" cm="1">
        <f t="array" aca="1" ref="G132" ca="1">INDEX(INDIRECT($M132),
       MATCH(TRIM($C132), TRIM(INDIRECT($N132)), 0),
       MATCH(TRIM(G$1), TRIM(INDIRECT($O132)), 0))</f>
        <v>0</v>
      </c>
      <c r="H132" s="9" t="e" cm="1">
        <f t="array" aca="1" ref="H132" ca="1">INDEX(INDIRECT($M132),
       MATCH(TRIM($C132), TRIM(INDIRECT($N132)), 0),
       MATCH(TRIM(H$1), TRIM(INDIRECT($O132)), 0))</f>
        <v>#N/A</v>
      </c>
      <c r="I132" s="7" cm="1">
        <f t="array" aca="1" ref="I132" ca="1">INDEX(INDIRECT($M132),
       MATCH(TRIM($C132), TRIM(INDIRECT($N132)), 0),
       MATCH(TRIM(I$1), TRIM(INDIRECT($O132)), 0))</f>
        <v>0</v>
      </c>
      <c r="J132" s="7" cm="1">
        <f t="array" aca="1" ref="J132" ca="1">INDEX(INDIRECT($M132),
       MATCH(TRIM($C132), TRIM(INDIRECT($N132)), 0),
       MATCH(TRIM(J$1), TRIM(INDIRECT($O132)), 0))</f>
        <v>7</v>
      </c>
      <c r="K132" s="7" cm="1">
        <f t="array" aca="1" ref="K132" ca="1">INDEX(INDIRECT($M132),
       MATCH(TRIM($C132), TRIM(INDIRECT($N132)), 0),
       MATCH(TRIM(K$1), TRIM(INDIRECT($O132)), 0))</f>
        <v>1.5510378600000001</v>
      </c>
      <c r="L132" s="7" cm="1">
        <f t="array" aca="1" ref="L132" ca="1">INDEX(INDIRECT($M132),
       MATCH(TRIM($C132), TRIM(INDIRECT($N132)), 0),
       MATCH(TRIM(L$1), TRIM(INDIRECT($O132)), 0))</f>
        <v>1.6815578600000001</v>
      </c>
      <c r="M132" s="5" t="str">
        <f>_xlfn.CONCAT("'",$B132,"'","!","$C$3:$K$23")</f>
        <v>'2021'!$C$3:$K$23</v>
      </c>
      <c r="N132" s="5" t="str">
        <f>_xlfn.CONCAT("'",$B132,"'","!","$B$3:$B$22")</f>
        <v>'2021'!$B$3:$B$22</v>
      </c>
      <c r="O132" s="5" t="str">
        <f>_xlfn.CONCAT("'",$B132,"'","!","$C$2:$K$2")</f>
        <v>'2021'!$C$2:$K$2</v>
      </c>
    </row>
    <row r="133" spans="1:15" x14ac:dyDescent="0.3">
      <c r="A133">
        <v>18</v>
      </c>
      <c r="B133">
        <v>2021</v>
      </c>
      <c r="C133" t="s">
        <v>95</v>
      </c>
      <c r="D133" s="7" cm="1">
        <f t="array" aca="1" ref="D133" ca="1">INDEX(INDIRECT($M133),
       MATCH(TRIM($C133), TRIM(INDIRECT($N133)), 0),
       MATCH(TRIM(D$1), TRIM(INDIRECT($O133)), 0))</f>
        <v>1</v>
      </c>
      <c r="E133" s="9" t="e" cm="1">
        <f t="array" aca="1" ref="E133" ca="1">INDEX(INDIRECT($M133),
       MATCH(TRIM($C133), TRIM(INDIRECT($N133)), 0),
       MATCH(TRIM(E$1), TRIM(INDIRECT($O133)), 0))</f>
        <v>#N/A</v>
      </c>
      <c r="F133" s="7" cm="1">
        <f t="array" aca="1" ref="F133" ca="1">INDEX(INDIRECT($M133),
       MATCH(TRIM($C133), TRIM(INDIRECT($N133)), 0),
       MATCH(TRIM(F$1), TRIM(INDIRECT($O133)), 0))</f>
        <v>4.5</v>
      </c>
      <c r="G133" s="7" cm="1">
        <f t="array" aca="1" ref="G133" ca="1">INDEX(INDIRECT($M133),
       MATCH(TRIM($C133), TRIM(INDIRECT($N133)), 0),
       MATCH(TRIM(G$1), TRIM(INDIRECT($O133)), 0))</f>
        <v>1</v>
      </c>
      <c r="H133" s="9" t="e" cm="1">
        <f t="array" aca="1" ref="H133" ca="1">INDEX(INDIRECT($M133),
       MATCH(TRIM($C133), TRIM(INDIRECT($N133)), 0),
       MATCH(TRIM(H$1), TRIM(INDIRECT($O133)), 0))</f>
        <v>#N/A</v>
      </c>
      <c r="I133" s="7" cm="1">
        <f t="array" aca="1" ref="I133" ca="1">INDEX(INDIRECT($M133),
       MATCH(TRIM($C133), TRIM(INDIRECT($N133)), 0),
       MATCH(TRIM(I$1), TRIM(INDIRECT($O133)), 0))</f>
        <v>30.47</v>
      </c>
      <c r="J133" s="7" cm="1">
        <f t="array" aca="1" ref="J133" ca="1">INDEX(INDIRECT($M133),
       MATCH(TRIM($C133), TRIM(INDIRECT($N133)), 0),
       MATCH(TRIM(J$1), TRIM(INDIRECT($O133)), 0))</f>
        <v>21</v>
      </c>
      <c r="K133" s="7" cm="1">
        <f t="array" aca="1" ref="K133" ca="1">INDEX(INDIRECT($M133),
       MATCH(TRIM($C133), TRIM(INDIRECT($N133)), 0),
       MATCH(TRIM(K$1), TRIM(INDIRECT($O133)), 0))</f>
        <v>24.655916169999998</v>
      </c>
      <c r="L133" s="7" cm="1">
        <f t="array" aca="1" ref="L133" ca="1">INDEX(INDIRECT($M133),
       MATCH(TRIM($C133), TRIM(INDIRECT($N133)), 0),
       MATCH(TRIM(L$1), TRIM(INDIRECT($O133)), 0))</f>
        <v>59.625916169999996</v>
      </c>
      <c r="M133" s="5" t="str">
        <f>_xlfn.CONCAT("'",$B133,"'","!","$C$3:$K$23")</f>
        <v>'2021'!$C$3:$K$23</v>
      </c>
      <c r="N133" s="5" t="str">
        <f>_xlfn.CONCAT("'",$B133,"'","!","$B$3:$B$22")</f>
        <v>'2021'!$B$3:$B$22</v>
      </c>
      <c r="O133" s="5" t="str">
        <f>_xlfn.CONCAT("'",$B133,"'","!","$C$2:$K$2")</f>
        <v>'2021'!$C$2:$K$2</v>
      </c>
    </row>
    <row r="134" spans="1:15" x14ac:dyDescent="0.3">
      <c r="A134">
        <v>19</v>
      </c>
      <c r="B134">
        <v>2021</v>
      </c>
      <c r="C134" t="s">
        <v>96</v>
      </c>
      <c r="D134" s="7" t="e" cm="1">
        <f t="array" aca="1" ref="D134" ca="1">INDEX(INDIRECT($M134),
       MATCH(TRIM($C134), TRIM(INDIRECT($N134)), 0),
       MATCH(TRIM(D$1), TRIM(INDIRECT($O134)), 0))</f>
        <v>#N/A</v>
      </c>
      <c r="E134" s="9" t="e" cm="1">
        <f t="array" aca="1" ref="E134" ca="1">INDEX(INDIRECT($M134),
       MATCH(TRIM($C134), TRIM(INDIRECT($N134)), 0),
       MATCH(TRIM(E$1), TRIM(INDIRECT($O134)), 0))</f>
        <v>#N/A</v>
      </c>
      <c r="F134" s="7" t="e" cm="1">
        <f t="array" aca="1" ref="F134" ca="1">INDEX(INDIRECT($M134),
       MATCH(TRIM($C134), TRIM(INDIRECT($N134)), 0),
       MATCH(TRIM(F$1), TRIM(INDIRECT($O134)), 0))</f>
        <v>#N/A</v>
      </c>
      <c r="G134" s="7" t="e" cm="1">
        <f t="array" aca="1" ref="G134" ca="1">INDEX(INDIRECT($M134),
       MATCH(TRIM($C134), TRIM(INDIRECT($N134)), 0),
       MATCH(TRIM(G$1), TRIM(INDIRECT($O134)), 0))</f>
        <v>#N/A</v>
      </c>
      <c r="H134" s="9" t="e" cm="1">
        <f t="array" aca="1" ref="H134" ca="1">INDEX(INDIRECT($M134),
       MATCH(TRIM($C134), TRIM(INDIRECT($N134)), 0),
       MATCH(TRIM(H$1), TRIM(INDIRECT($O134)), 0))</f>
        <v>#N/A</v>
      </c>
      <c r="I134" s="7" t="e" cm="1">
        <f t="array" aca="1" ref="I134" ca="1">INDEX(INDIRECT($M134),
       MATCH(TRIM($C134), TRIM(INDIRECT($N134)), 0),
       MATCH(TRIM(I$1), TRIM(INDIRECT($O134)), 0))</f>
        <v>#N/A</v>
      </c>
      <c r="J134" s="7" t="e" cm="1">
        <f t="array" aca="1" ref="J134" ca="1">INDEX(INDIRECT($M134),
       MATCH(TRIM($C134), TRIM(INDIRECT($N134)), 0),
       MATCH(TRIM(J$1), TRIM(INDIRECT($O134)), 0))</f>
        <v>#N/A</v>
      </c>
      <c r="K134" s="7" t="e" cm="1">
        <f t="array" aca="1" ref="K134" ca="1">INDEX(INDIRECT($M134),
       MATCH(TRIM($C134), TRIM(INDIRECT($N134)), 0),
       MATCH(TRIM(K$1), TRIM(INDIRECT($O134)), 0))</f>
        <v>#N/A</v>
      </c>
      <c r="L134" s="7" t="e" cm="1">
        <f t="array" aca="1" ref="L134" ca="1">INDEX(INDIRECT($M134),
       MATCH(TRIM($C134), TRIM(INDIRECT($N134)), 0),
       MATCH(TRIM(L$1), TRIM(INDIRECT($O134)), 0))</f>
        <v>#N/A</v>
      </c>
      <c r="M134" s="5" t="str">
        <f>_xlfn.CONCAT("'",$B134,"'","!","$C$3:$K$23")</f>
        <v>'2021'!$C$3:$K$23</v>
      </c>
      <c r="N134" s="5" t="str">
        <f>_xlfn.CONCAT("'",$B134,"'","!","$B$3:$B$22")</f>
        <v>'2021'!$B$3:$B$22</v>
      </c>
      <c r="O134" s="5" t="str">
        <f>_xlfn.CONCAT("'",$B134,"'","!","$C$2:$K$2")</f>
        <v>'2021'!$C$2:$K$2</v>
      </c>
    </row>
    <row r="135" spans="1:15" x14ac:dyDescent="0.3">
      <c r="A135">
        <v>1</v>
      </c>
      <c r="B135">
        <v>2022</v>
      </c>
      <c r="C135" t="s">
        <v>78</v>
      </c>
      <c r="D135" s="7" cm="1">
        <f t="array" aca="1" ref="D135" ca="1">INDEX(INDIRECT($M135),
       MATCH(TRIM($C135), TRIM(INDIRECT($N135)), 0),
       MATCH(TRIM(D$1), TRIM(INDIRECT($O135)), 0))</f>
        <v>511</v>
      </c>
      <c r="E135" s="9" t="e" cm="1">
        <f t="array" aca="1" ref="E135" ca="1">INDEX(INDIRECT($M135),
       MATCH(TRIM($C135), TRIM(INDIRECT($N135)), 0),
       MATCH(TRIM(E$1), TRIM(INDIRECT($O135)), 0))</f>
        <v>#N/A</v>
      </c>
      <c r="F135" s="7" cm="1">
        <f t="array" aca="1" ref="F135" ca="1">INDEX(INDIRECT($M135),
       MATCH(TRIM($C135), TRIM(INDIRECT($N135)), 0),
       MATCH(TRIM(F$1), TRIM(INDIRECT($O135)), 0))</f>
        <v>7212.568197669998</v>
      </c>
      <c r="G135" s="7" cm="1">
        <f t="array" aca="1" ref="G135" ca="1">INDEX(INDIRECT($M135),
       MATCH(TRIM($C135), TRIM(INDIRECT($N135)), 0),
       MATCH(TRIM(G$1), TRIM(INDIRECT($O135)), 0))</f>
        <v>644</v>
      </c>
      <c r="H135" s="9" t="e" cm="1">
        <f t="array" aca="1" ref="H135" ca="1">INDEX(INDIRECT($M135),
       MATCH(TRIM($C135), TRIM(INDIRECT($N135)), 0),
       MATCH(TRIM(H$1), TRIM(INDIRECT($O135)), 0))</f>
        <v>#N/A</v>
      </c>
      <c r="I135" s="7" cm="1">
        <f t="array" aca="1" ref="I135" ca="1">INDEX(INDIRECT($M135),
       MATCH(TRIM($C135), TRIM(INDIRECT($N135)), 0),
       MATCH(TRIM(I$1), TRIM(INDIRECT($O135)), 0))</f>
        <v>7977.9001339247689</v>
      </c>
      <c r="J135" s="7" cm="1">
        <f t="array" aca="1" ref="J135" ca="1">INDEX(INDIRECT($M135),
       MATCH(TRIM($C135), TRIM(INDIRECT($N135)), 0),
       MATCH(TRIM(J$1), TRIM(INDIRECT($O135)), 0))</f>
        <v>471</v>
      </c>
      <c r="K135" s="7" cm="1">
        <f t="array" aca="1" ref="K135" ca="1">INDEX(INDIRECT($M135),
       MATCH(TRIM($C135), TRIM(INDIRECT($N135)), 0),
       MATCH(TRIM(K$1), TRIM(INDIRECT($O135)), 0))</f>
        <v>1611.0596202899997</v>
      </c>
      <c r="L135" s="7" cm="1">
        <f t="array" aca="1" ref="L135" ca="1">INDEX(INDIRECT($M135),
       MATCH(TRIM($C135), TRIM(INDIRECT($N135)), 0),
       MATCH(TRIM(L$1), TRIM(INDIRECT($O135)), 0))</f>
        <v>16801.527951884767</v>
      </c>
      <c r="M135" s="5" t="str">
        <f>_xlfn.CONCAT("'",$B135,"'","!","$C$3:$K$23")</f>
        <v>'2022'!$C$3:$K$23</v>
      </c>
      <c r="N135" s="5" t="str">
        <f>_xlfn.CONCAT("'",$B135,"'","!","$B$3:$B$22")</f>
        <v>'2022'!$B$3:$B$22</v>
      </c>
      <c r="O135" s="5" t="str">
        <f>_xlfn.CONCAT("'",$B135,"'","!","$C$2:$K$2")</f>
        <v>'2022'!$C$2:$K$2</v>
      </c>
    </row>
    <row r="136" spans="1:15" x14ac:dyDescent="0.3">
      <c r="A136">
        <v>2</v>
      </c>
      <c r="B136">
        <v>2022</v>
      </c>
      <c r="C136" t="s">
        <v>79</v>
      </c>
      <c r="D136" s="7" cm="1">
        <f t="array" aca="1" ref="D136" ca="1">INDEX(INDIRECT($M136),
       MATCH(TRIM($C136), TRIM(INDIRECT($N136)), 0),
       MATCH(TRIM(D$1), TRIM(INDIRECT($O136)), 0))</f>
        <v>11</v>
      </c>
      <c r="E136" s="9" t="e" cm="1">
        <f t="array" aca="1" ref="E136" ca="1">INDEX(INDIRECT($M136),
       MATCH(TRIM($C136), TRIM(INDIRECT($N136)), 0),
       MATCH(TRIM(E$1), TRIM(INDIRECT($O136)), 0))</f>
        <v>#N/A</v>
      </c>
      <c r="F136" s="7" cm="1">
        <f t="array" aca="1" ref="F136" ca="1">INDEX(INDIRECT($M136),
       MATCH(TRIM($C136), TRIM(INDIRECT($N136)), 0),
       MATCH(TRIM(F$1), TRIM(INDIRECT($O136)), 0))</f>
        <v>2100.8025670000002</v>
      </c>
      <c r="G136" s="7" cm="1">
        <f t="array" aca="1" ref="G136" ca="1">INDEX(INDIRECT($M136),
       MATCH(TRIM($C136), TRIM(INDIRECT($N136)), 0),
       MATCH(TRIM(G$1), TRIM(INDIRECT($O136)), 0))</f>
        <v>6</v>
      </c>
      <c r="H136" s="9" t="e" cm="1">
        <f t="array" aca="1" ref="H136" ca="1">INDEX(INDIRECT($M136),
       MATCH(TRIM($C136), TRIM(INDIRECT($N136)), 0),
       MATCH(TRIM(H$1), TRIM(INDIRECT($O136)), 0))</f>
        <v>#N/A</v>
      </c>
      <c r="I136" s="7" cm="1">
        <f t="array" aca="1" ref="I136" ca="1">INDEX(INDIRECT($M136),
       MATCH(TRIM($C136), TRIM(INDIRECT($N136)), 0),
       MATCH(TRIM(I$1), TRIM(INDIRECT($O136)), 0))</f>
        <v>70.738839999999996</v>
      </c>
      <c r="J136" s="7" cm="1">
        <f t="array" aca="1" ref="J136" ca="1">INDEX(INDIRECT($M136),
       MATCH(TRIM($C136), TRIM(INDIRECT($N136)), 0),
       MATCH(TRIM(J$1), TRIM(INDIRECT($O136)), 0))</f>
        <v>17</v>
      </c>
      <c r="K136" s="7" cm="1">
        <f t="array" aca="1" ref="K136" ca="1">INDEX(INDIRECT($M136),
       MATCH(TRIM($C136), TRIM(INDIRECT($N136)), 0),
       MATCH(TRIM(K$1), TRIM(INDIRECT($O136)), 0))</f>
        <v>89.973263079999995</v>
      </c>
      <c r="L136" s="7" cm="1">
        <f t="array" aca="1" ref="L136" ca="1">INDEX(INDIRECT($M136),
       MATCH(TRIM($C136), TRIM(INDIRECT($N136)), 0),
       MATCH(TRIM(L$1), TRIM(INDIRECT($O136)), 0))</f>
        <v>2261.5146700800001</v>
      </c>
      <c r="M136" s="5" t="str">
        <f>_xlfn.CONCAT("'",$B136,"'","!","$C$3:$K$23")</f>
        <v>'2022'!$C$3:$K$23</v>
      </c>
      <c r="N136" s="5" t="str">
        <f>_xlfn.CONCAT("'",$B136,"'","!","$B$3:$B$22")</f>
        <v>'2022'!$B$3:$B$22</v>
      </c>
      <c r="O136" s="5" t="str">
        <f>_xlfn.CONCAT("'",$B136,"'","!","$C$2:$K$2")</f>
        <v>'2022'!$C$2:$K$2</v>
      </c>
    </row>
    <row r="137" spans="1:15" x14ac:dyDescent="0.3">
      <c r="A137">
        <v>3</v>
      </c>
      <c r="B137">
        <v>2022</v>
      </c>
      <c r="C137" t="s">
        <v>80</v>
      </c>
      <c r="D137" s="7" cm="1">
        <f t="array" aca="1" ref="D137" ca="1">INDEX(INDIRECT($M137),
       MATCH(TRIM($C137), TRIM(INDIRECT($N137)), 0),
       MATCH(TRIM(D$1), TRIM(INDIRECT($O137)), 0))</f>
        <v>75</v>
      </c>
      <c r="E137" s="9" t="e" cm="1">
        <f t="array" aca="1" ref="E137" ca="1">INDEX(INDIRECT($M137),
       MATCH(TRIM($C137), TRIM(INDIRECT($N137)), 0),
       MATCH(TRIM(E$1), TRIM(INDIRECT($O137)), 0))</f>
        <v>#N/A</v>
      </c>
      <c r="F137" s="7" cm="1">
        <f t="array" aca="1" ref="F137" ca="1">INDEX(INDIRECT($M137),
       MATCH(TRIM($C137), TRIM(INDIRECT($N137)), 0),
       MATCH(TRIM(F$1), TRIM(INDIRECT($O137)), 0))</f>
        <v>1815.61165716</v>
      </c>
      <c r="G137" s="7" cm="1">
        <f t="array" aca="1" ref="G137" ca="1">INDEX(INDIRECT($M137),
       MATCH(TRIM($C137), TRIM(INDIRECT($N137)), 0),
       MATCH(TRIM(G$1), TRIM(INDIRECT($O137)), 0))</f>
        <v>37</v>
      </c>
      <c r="H137" s="9" t="e" cm="1">
        <f t="array" aca="1" ref="H137" ca="1">INDEX(INDIRECT($M137),
       MATCH(TRIM($C137), TRIM(INDIRECT($N137)), 0),
       MATCH(TRIM(H$1), TRIM(INDIRECT($O137)), 0))</f>
        <v>#N/A</v>
      </c>
      <c r="I137" s="7" cm="1">
        <f t="array" aca="1" ref="I137" ca="1">INDEX(INDIRECT($M137),
       MATCH(TRIM($C137), TRIM(INDIRECT($N137)), 0),
       MATCH(TRIM(I$1), TRIM(INDIRECT($O137)), 0))</f>
        <v>1059.2755239999999</v>
      </c>
      <c r="J137" s="7" cm="1">
        <f t="array" aca="1" ref="J137" ca="1">INDEX(INDIRECT($M137),
       MATCH(TRIM($C137), TRIM(INDIRECT($N137)), 0),
       MATCH(TRIM(J$1), TRIM(INDIRECT($O137)), 0))</f>
        <v>103</v>
      </c>
      <c r="K137" s="7" cm="1">
        <f t="array" aca="1" ref="K137" ca="1">INDEX(INDIRECT($M137),
       MATCH(TRIM($C137), TRIM(INDIRECT($N137)), 0),
       MATCH(TRIM(K$1), TRIM(INDIRECT($O137)), 0))</f>
        <v>1576.5493293699999</v>
      </c>
      <c r="L137" s="7" cm="1">
        <f t="array" aca="1" ref="L137" ca="1">INDEX(INDIRECT($M137),
       MATCH(TRIM($C137), TRIM(INDIRECT($N137)), 0),
       MATCH(TRIM(L$1), TRIM(INDIRECT($O137)), 0))</f>
        <v>4451.4365105300003</v>
      </c>
      <c r="M137" s="5" t="str">
        <f>_xlfn.CONCAT("'",$B137,"'","!","$C$3:$K$23")</f>
        <v>'2022'!$C$3:$K$23</v>
      </c>
      <c r="N137" s="5" t="str">
        <f>_xlfn.CONCAT("'",$B137,"'","!","$B$3:$B$22")</f>
        <v>'2022'!$B$3:$B$22</v>
      </c>
      <c r="O137" s="5" t="str">
        <f>_xlfn.CONCAT("'",$B137,"'","!","$C$2:$K$2")</f>
        <v>'2022'!$C$2:$K$2</v>
      </c>
    </row>
    <row r="138" spans="1:15" x14ac:dyDescent="0.3">
      <c r="A138">
        <v>4</v>
      </c>
      <c r="B138">
        <v>2022</v>
      </c>
      <c r="C138" t="s">
        <v>81</v>
      </c>
      <c r="D138" s="7" cm="1">
        <f t="array" aca="1" ref="D138" ca="1">INDEX(INDIRECT($M138),
       MATCH(TRIM($C138), TRIM(INDIRECT($N138)), 0),
       MATCH(TRIM(D$1), TRIM(INDIRECT($O138)), 0))</f>
        <v>32</v>
      </c>
      <c r="E138" s="9" t="e" cm="1">
        <f t="array" aca="1" ref="E138" ca="1">INDEX(INDIRECT($M138),
       MATCH(TRIM($C138), TRIM(INDIRECT($N138)), 0),
       MATCH(TRIM(E$1), TRIM(INDIRECT($O138)), 0))</f>
        <v>#N/A</v>
      </c>
      <c r="F138" s="7" cm="1">
        <f t="array" aca="1" ref="F138" ca="1">INDEX(INDIRECT($M138),
       MATCH(TRIM($C138), TRIM(INDIRECT($N138)), 0),
       MATCH(TRIM(F$1), TRIM(INDIRECT($O138)), 0))</f>
        <v>94.041567090000001</v>
      </c>
      <c r="G138" s="7" cm="1">
        <f t="array" aca="1" ref="G138" ca="1">INDEX(INDIRECT($M138),
       MATCH(TRIM($C138), TRIM(INDIRECT($N138)), 0),
       MATCH(TRIM(G$1), TRIM(INDIRECT($O138)), 0))</f>
        <v>23</v>
      </c>
      <c r="H138" s="9" t="e" cm="1">
        <f t="array" aca="1" ref="H138" ca="1">INDEX(INDIRECT($M138),
       MATCH(TRIM($C138), TRIM(INDIRECT($N138)), 0),
       MATCH(TRIM(H$1), TRIM(INDIRECT($O138)), 0))</f>
        <v>#N/A</v>
      </c>
      <c r="I138" s="7" cm="1">
        <f t="array" aca="1" ref="I138" ca="1">INDEX(INDIRECT($M138),
       MATCH(TRIM($C138), TRIM(INDIRECT($N138)), 0),
       MATCH(TRIM(I$1), TRIM(INDIRECT($O138)), 0))</f>
        <v>35.539262363281253</v>
      </c>
      <c r="J138" s="7" cm="1">
        <f t="array" aca="1" ref="J138" ca="1">INDEX(INDIRECT($M138),
       MATCH(TRIM($C138), TRIM(INDIRECT($N138)), 0),
       MATCH(TRIM(J$1), TRIM(INDIRECT($O138)), 0))</f>
        <v>77</v>
      </c>
      <c r="K138" s="7" cm="1">
        <f t="array" aca="1" ref="K138" ca="1">INDEX(INDIRECT($M138),
       MATCH(TRIM($C138), TRIM(INDIRECT($N138)), 0),
       MATCH(TRIM(K$1), TRIM(INDIRECT($O138)), 0))</f>
        <v>117.90348286</v>
      </c>
      <c r="L138" s="7" cm="1">
        <f t="array" aca="1" ref="L138" ca="1">INDEX(INDIRECT($M138),
       MATCH(TRIM($C138), TRIM(INDIRECT($N138)), 0),
       MATCH(TRIM(L$1), TRIM(INDIRECT($O138)), 0))</f>
        <v>247.48431231328124</v>
      </c>
      <c r="M138" s="5" t="str">
        <f>_xlfn.CONCAT("'",$B138,"'","!","$C$3:$K$23")</f>
        <v>'2022'!$C$3:$K$23</v>
      </c>
      <c r="N138" s="5" t="str">
        <f>_xlfn.CONCAT("'",$B138,"'","!","$B$3:$B$22")</f>
        <v>'2022'!$B$3:$B$22</v>
      </c>
      <c r="O138" s="5" t="str">
        <f>_xlfn.CONCAT("'",$B138,"'","!","$C$2:$K$2")</f>
        <v>'2022'!$C$2:$K$2</v>
      </c>
    </row>
    <row r="139" spans="1:15" x14ac:dyDescent="0.3">
      <c r="A139">
        <v>5</v>
      </c>
      <c r="B139">
        <v>2022</v>
      </c>
      <c r="C139" t="s">
        <v>82</v>
      </c>
      <c r="D139" s="7" cm="1">
        <f t="array" aca="1" ref="D139" ca="1">INDEX(INDIRECT($M139),
       MATCH(TRIM($C139), TRIM(INDIRECT($N139)), 0),
       MATCH(TRIM(D$1), TRIM(INDIRECT($O139)), 0))</f>
        <v>611</v>
      </c>
      <c r="E139" s="9" t="e" cm="1">
        <f t="array" aca="1" ref="E139" ca="1">INDEX(INDIRECT($M139),
       MATCH(TRIM($C139), TRIM(INDIRECT($N139)), 0),
       MATCH(TRIM(E$1), TRIM(INDIRECT($O139)), 0))</f>
        <v>#N/A</v>
      </c>
      <c r="F139" s="7" cm="1">
        <f t="array" aca="1" ref="F139" ca="1">INDEX(INDIRECT($M139),
       MATCH(TRIM($C139), TRIM(INDIRECT($N139)), 0),
       MATCH(TRIM(F$1), TRIM(INDIRECT($O139)), 0))</f>
        <v>318.48201896000006</v>
      </c>
      <c r="G139" s="7" cm="1">
        <f t="array" aca="1" ref="G139" ca="1">INDEX(INDIRECT($M139),
       MATCH(TRIM($C139), TRIM(INDIRECT($N139)), 0),
       MATCH(TRIM(G$1), TRIM(INDIRECT($O139)), 0))</f>
        <v>151</v>
      </c>
      <c r="H139" s="9" t="e" cm="1">
        <f t="array" aca="1" ref="H139" ca="1">INDEX(INDIRECT($M139),
       MATCH(TRIM($C139), TRIM(INDIRECT($N139)), 0),
       MATCH(TRIM(H$1), TRIM(INDIRECT($O139)), 0))</f>
        <v>#N/A</v>
      </c>
      <c r="I139" s="7" cm="1">
        <f t="array" aca="1" ref="I139" ca="1">INDEX(INDIRECT($M139),
       MATCH(TRIM($C139), TRIM(INDIRECT($N139)), 0),
       MATCH(TRIM(I$1), TRIM(INDIRECT($O139)), 0))</f>
        <v>297.36366116578125</v>
      </c>
      <c r="J139" s="7" cm="1">
        <f t="array" aca="1" ref="J139" ca="1">INDEX(INDIRECT($M139),
       MATCH(TRIM($C139), TRIM(INDIRECT($N139)), 0),
       MATCH(TRIM(J$1), TRIM(INDIRECT($O139)), 0))</f>
        <v>1417</v>
      </c>
      <c r="K139" s="7" cm="1">
        <f t="array" aca="1" ref="K139" ca="1">INDEX(INDIRECT($M139),
       MATCH(TRIM($C139), TRIM(INDIRECT($N139)), 0),
       MATCH(TRIM(K$1), TRIM(INDIRECT($O139)), 0))</f>
        <v>394.84804215999952</v>
      </c>
      <c r="L139" s="7" cm="1">
        <f t="array" aca="1" ref="L139" ca="1">INDEX(INDIRECT($M139),
       MATCH(TRIM($C139), TRIM(INDIRECT($N139)), 0),
       MATCH(TRIM(L$1), TRIM(INDIRECT($O139)), 0))</f>
        <v>1010.6937222857808</v>
      </c>
      <c r="M139" s="5" t="str">
        <f>_xlfn.CONCAT("'",$B139,"'","!","$C$3:$K$23")</f>
        <v>'2022'!$C$3:$K$23</v>
      </c>
      <c r="N139" s="5" t="str">
        <f>_xlfn.CONCAT("'",$B139,"'","!","$B$3:$B$22")</f>
        <v>'2022'!$B$3:$B$22</v>
      </c>
      <c r="O139" s="5" t="str">
        <f>_xlfn.CONCAT("'",$B139,"'","!","$C$2:$K$2")</f>
        <v>'2022'!$C$2:$K$2</v>
      </c>
    </row>
    <row r="140" spans="1:15" x14ac:dyDescent="0.3">
      <c r="A140">
        <v>6</v>
      </c>
      <c r="B140">
        <v>2022</v>
      </c>
      <c r="C140" t="s">
        <v>83</v>
      </c>
      <c r="D140" s="7" cm="1">
        <f t="array" aca="1" ref="D140" ca="1">INDEX(INDIRECT($M140),
       MATCH(TRIM($C140), TRIM(INDIRECT($N140)), 0),
       MATCH(TRIM(D$1), TRIM(INDIRECT($O140)), 0))</f>
        <v>12</v>
      </c>
      <c r="E140" s="9" t="e" cm="1">
        <f t="array" aca="1" ref="E140" ca="1">INDEX(INDIRECT($M140),
       MATCH(TRIM($C140), TRIM(INDIRECT($N140)), 0),
       MATCH(TRIM(E$1), TRIM(INDIRECT($O140)), 0))</f>
        <v>#N/A</v>
      </c>
      <c r="F140" s="7" cm="1">
        <f t="array" aca="1" ref="F140" ca="1">INDEX(INDIRECT($M140),
       MATCH(TRIM($C140), TRIM(INDIRECT($N140)), 0),
       MATCH(TRIM(F$1), TRIM(INDIRECT($O140)), 0))</f>
        <v>29.595246900000003</v>
      </c>
      <c r="G140" s="7" cm="1">
        <f t="array" aca="1" ref="G140" ca="1">INDEX(INDIRECT($M140),
       MATCH(TRIM($C140), TRIM(INDIRECT($N140)), 0),
       MATCH(TRIM(G$1), TRIM(INDIRECT($O140)), 0))</f>
        <v>5</v>
      </c>
      <c r="H140" s="9" t="e" cm="1">
        <f t="array" aca="1" ref="H140" ca="1">INDEX(INDIRECT($M140),
       MATCH(TRIM($C140), TRIM(INDIRECT($N140)), 0),
       MATCH(TRIM(H$1), TRIM(INDIRECT($O140)), 0))</f>
        <v>#N/A</v>
      </c>
      <c r="I140" s="7" cm="1">
        <f t="array" aca="1" ref="I140" ca="1">INDEX(INDIRECT($M140),
       MATCH(TRIM($C140), TRIM(INDIRECT($N140)), 0),
       MATCH(TRIM(I$1), TRIM(INDIRECT($O140)), 0))</f>
        <v>11.665354687500001</v>
      </c>
      <c r="J140" s="7" cm="1">
        <f t="array" aca="1" ref="J140" ca="1">INDEX(INDIRECT($M140),
       MATCH(TRIM($C140), TRIM(INDIRECT($N140)), 0),
       MATCH(TRIM(J$1), TRIM(INDIRECT($O140)), 0))</f>
        <v>16</v>
      </c>
      <c r="K140" s="7" cm="1">
        <f t="array" aca="1" ref="K140" ca="1">INDEX(INDIRECT($M140),
       MATCH(TRIM($C140), TRIM(INDIRECT($N140)), 0),
       MATCH(TRIM(K$1), TRIM(INDIRECT($O140)), 0))</f>
        <v>26.698707900000006</v>
      </c>
      <c r="L140" s="7" cm="1">
        <f t="array" aca="1" ref="L140" ca="1">INDEX(INDIRECT($M140),
       MATCH(TRIM($C140), TRIM(INDIRECT($N140)), 0),
       MATCH(TRIM(L$1), TRIM(INDIRECT($O140)), 0))</f>
        <v>67.959309487500008</v>
      </c>
      <c r="M140" s="5" t="str">
        <f>_xlfn.CONCAT("'",$B140,"'","!","$C$3:$K$23")</f>
        <v>'2022'!$C$3:$K$23</v>
      </c>
      <c r="N140" s="5" t="str">
        <f>_xlfn.CONCAT("'",$B140,"'","!","$B$3:$B$22")</f>
        <v>'2022'!$B$3:$B$22</v>
      </c>
      <c r="O140" s="5" t="str">
        <f>_xlfn.CONCAT("'",$B140,"'","!","$C$2:$K$2")</f>
        <v>'2022'!$C$2:$K$2</v>
      </c>
    </row>
    <row r="141" spans="1:15" x14ac:dyDescent="0.3">
      <c r="A141">
        <v>7</v>
      </c>
      <c r="B141">
        <v>2022</v>
      </c>
      <c r="C141" t="s">
        <v>84</v>
      </c>
      <c r="D141" s="7" cm="1">
        <f t="array" aca="1" ref="D141" ca="1">INDEX(INDIRECT($M141),
       MATCH(TRIM($C141), TRIM(INDIRECT($N141)), 0),
       MATCH(TRIM(D$1), TRIM(INDIRECT($O141)), 0))</f>
        <v>331</v>
      </c>
      <c r="E141" s="9" t="e" cm="1">
        <f t="array" aca="1" ref="E141" ca="1">INDEX(INDIRECT($M141),
       MATCH(TRIM($C141), TRIM(INDIRECT($N141)), 0),
       MATCH(TRIM(E$1), TRIM(INDIRECT($O141)), 0))</f>
        <v>#N/A</v>
      </c>
      <c r="F141" s="7" cm="1">
        <f t="array" aca="1" ref="F141" ca="1">INDEX(INDIRECT($M141),
       MATCH(TRIM($C141), TRIM(INDIRECT($N141)), 0),
       MATCH(TRIM(F$1), TRIM(INDIRECT($O141)), 0))</f>
        <v>248.97973805999996</v>
      </c>
      <c r="G141" s="7" cm="1">
        <f t="array" aca="1" ref="G141" ca="1">INDEX(INDIRECT($M141),
       MATCH(TRIM($C141), TRIM(INDIRECT($N141)), 0),
       MATCH(TRIM(G$1), TRIM(INDIRECT($O141)), 0))</f>
        <v>106</v>
      </c>
      <c r="H141" s="9" t="e" cm="1">
        <f t="array" aca="1" ref="H141" ca="1">INDEX(INDIRECT($M141),
       MATCH(TRIM($C141), TRIM(INDIRECT($N141)), 0),
       MATCH(TRIM(H$1), TRIM(INDIRECT($O141)), 0))</f>
        <v>#N/A</v>
      </c>
      <c r="I141" s="7" cm="1">
        <f t="array" aca="1" ref="I141" ca="1">INDEX(INDIRECT($M141),
       MATCH(TRIM($C141), TRIM(INDIRECT($N141)), 0),
       MATCH(TRIM(I$1), TRIM(INDIRECT($O141)), 0))</f>
        <v>172.43471217500002</v>
      </c>
      <c r="J141" s="7" cm="1">
        <f t="array" aca="1" ref="J141" ca="1">INDEX(INDIRECT($M141),
       MATCH(TRIM($C141), TRIM(INDIRECT($N141)), 0),
       MATCH(TRIM(J$1), TRIM(INDIRECT($O141)), 0))</f>
        <v>603</v>
      </c>
      <c r="K141" s="7" cm="1">
        <f t="array" aca="1" ref="K141" ca="1">INDEX(INDIRECT($M141),
       MATCH(TRIM($C141), TRIM(INDIRECT($N141)), 0),
       MATCH(TRIM(K$1), TRIM(INDIRECT($O141)), 0))</f>
        <v>867.89743933</v>
      </c>
      <c r="L141" s="7" cm="1">
        <f t="array" aca="1" ref="L141" ca="1">INDEX(INDIRECT($M141),
       MATCH(TRIM($C141), TRIM(INDIRECT($N141)), 0),
       MATCH(TRIM(L$1), TRIM(INDIRECT($O141)), 0))</f>
        <v>1289.311889565</v>
      </c>
      <c r="M141" s="5" t="str">
        <f>_xlfn.CONCAT("'",$B141,"'","!","$C$3:$K$23")</f>
        <v>'2022'!$C$3:$K$23</v>
      </c>
      <c r="N141" s="5" t="str">
        <f>_xlfn.CONCAT("'",$B141,"'","!","$B$3:$B$22")</f>
        <v>'2022'!$B$3:$B$22</v>
      </c>
      <c r="O141" s="5" t="str">
        <f>_xlfn.CONCAT("'",$B141,"'","!","$C$2:$K$2")</f>
        <v>'2022'!$C$2:$K$2</v>
      </c>
    </row>
    <row r="142" spans="1:15" x14ac:dyDescent="0.3">
      <c r="A142">
        <v>8</v>
      </c>
      <c r="B142">
        <v>2022</v>
      </c>
      <c r="C142" t="s">
        <v>85</v>
      </c>
      <c r="D142" s="7" cm="1">
        <f t="array" aca="1" ref="D142" ca="1">INDEX(INDIRECT($M142),
       MATCH(TRIM($C142), TRIM(INDIRECT($N142)), 0),
       MATCH(TRIM(D$1), TRIM(INDIRECT($O142)), 0))</f>
        <v>72</v>
      </c>
      <c r="E142" s="9" t="e" cm="1">
        <f t="array" aca="1" ref="E142" ca="1">INDEX(INDIRECT($M142),
       MATCH(TRIM($C142), TRIM(INDIRECT($N142)), 0),
       MATCH(TRIM(E$1), TRIM(INDIRECT($O142)), 0))</f>
        <v>#N/A</v>
      </c>
      <c r="F142" s="7" cm="1">
        <f t="array" aca="1" ref="F142" ca="1">INDEX(INDIRECT($M142),
       MATCH(TRIM($C142), TRIM(INDIRECT($N142)), 0),
       MATCH(TRIM(F$1), TRIM(INDIRECT($O142)), 0))</f>
        <v>356.32394249999999</v>
      </c>
      <c r="G142" s="7" cm="1">
        <f t="array" aca="1" ref="G142" ca="1">INDEX(INDIRECT($M142),
       MATCH(TRIM($C142), TRIM(INDIRECT($N142)), 0),
       MATCH(TRIM(G$1), TRIM(INDIRECT($O142)), 0))</f>
        <v>16</v>
      </c>
      <c r="H142" s="9" t="e" cm="1">
        <f t="array" aca="1" ref="H142" ca="1">INDEX(INDIRECT($M142),
       MATCH(TRIM($C142), TRIM(INDIRECT($N142)), 0),
       MATCH(TRIM(H$1), TRIM(INDIRECT($O142)), 0))</f>
        <v>#N/A</v>
      </c>
      <c r="I142" s="7" cm="1">
        <f t="array" aca="1" ref="I142" ca="1">INDEX(INDIRECT($M142),
       MATCH(TRIM($C142), TRIM(INDIRECT($N142)), 0),
       MATCH(TRIM(I$1), TRIM(INDIRECT($O142)), 0))</f>
        <v>46.775494000000002</v>
      </c>
      <c r="J142" s="7" cm="1">
        <f t="array" aca="1" ref="J142" ca="1">INDEX(INDIRECT($M142),
       MATCH(TRIM($C142), TRIM(INDIRECT($N142)), 0),
       MATCH(TRIM(J$1), TRIM(INDIRECT($O142)), 0))</f>
        <v>133</v>
      </c>
      <c r="K142" s="7" cm="1">
        <f t="array" aca="1" ref="K142" ca="1">INDEX(INDIRECT($M142),
       MATCH(TRIM($C142), TRIM(INDIRECT($N142)), 0),
       MATCH(TRIM(K$1), TRIM(INDIRECT($O142)), 0))</f>
        <v>35.809356149999992</v>
      </c>
      <c r="L142" s="7" cm="1">
        <f t="array" aca="1" ref="L142" ca="1">INDEX(INDIRECT($M142),
       MATCH(TRIM($C142), TRIM(INDIRECT($N142)), 0),
       MATCH(TRIM(L$1), TRIM(INDIRECT($O142)), 0))</f>
        <v>438.90879264999995</v>
      </c>
      <c r="M142" s="5" t="str">
        <f>_xlfn.CONCAT("'",$B142,"'","!","$C$3:$K$23")</f>
        <v>'2022'!$C$3:$K$23</v>
      </c>
      <c r="N142" s="5" t="str">
        <f>_xlfn.CONCAT("'",$B142,"'","!","$B$3:$B$22")</f>
        <v>'2022'!$B$3:$B$22</v>
      </c>
      <c r="O142" s="5" t="str">
        <f>_xlfn.CONCAT("'",$B142,"'","!","$C$2:$K$2")</f>
        <v>'2022'!$C$2:$K$2</v>
      </c>
    </row>
    <row r="143" spans="1:15" x14ac:dyDescent="0.3">
      <c r="A143">
        <v>9</v>
      </c>
      <c r="B143">
        <v>2022</v>
      </c>
      <c r="C143" t="s">
        <v>86</v>
      </c>
      <c r="D143" s="7" cm="1">
        <f t="array" aca="1" ref="D143" ca="1">INDEX(INDIRECT($M143),
       MATCH(TRIM($C143), TRIM(INDIRECT($N143)), 0),
       MATCH(TRIM(D$1), TRIM(INDIRECT($O143)), 0))</f>
        <v>33</v>
      </c>
      <c r="E143" s="9" t="e" cm="1">
        <f t="array" aca="1" ref="E143" ca="1">INDEX(INDIRECT($M143),
       MATCH(TRIM($C143), TRIM(INDIRECT($N143)), 0),
       MATCH(TRIM(E$1), TRIM(INDIRECT($O143)), 0))</f>
        <v>#N/A</v>
      </c>
      <c r="F143" s="7" cm="1">
        <f t="array" aca="1" ref="F143" ca="1">INDEX(INDIRECT($M143),
       MATCH(TRIM($C143), TRIM(INDIRECT($N143)), 0),
       MATCH(TRIM(F$1), TRIM(INDIRECT($O143)), 0))</f>
        <v>7.5486475400000002</v>
      </c>
      <c r="G143" s="7" cm="1">
        <f t="array" aca="1" ref="G143" ca="1">INDEX(INDIRECT($M143),
       MATCH(TRIM($C143), TRIM(INDIRECT($N143)), 0),
       MATCH(TRIM(G$1), TRIM(INDIRECT($O143)), 0))</f>
        <v>18</v>
      </c>
      <c r="H143" s="9" t="e" cm="1">
        <f t="array" aca="1" ref="H143" ca="1">INDEX(INDIRECT($M143),
       MATCH(TRIM($C143), TRIM(INDIRECT($N143)), 0),
       MATCH(TRIM(H$1), TRIM(INDIRECT($O143)), 0))</f>
        <v>#N/A</v>
      </c>
      <c r="I143" s="7" cm="1">
        <f t="array" aca="1" ref="I143" ca="1">INDEX(INDIRECT($M143),
       MATCH(TRIM($C143), TRIM(INDIRECT($N143)), 0),
       MATCH(TRIM(I$1), TRIM(INDIRECT($O143)), 0))</f>
        <v>-59.818035000000002</v>
      </c>
      <c r="J143" s="7" cm="1">
        <f t="array" aca="1" ref="J143" ca="1">INDEX(INDIRECT($M143),
       MATCH(TRIM($C143), TRIM(INDIRECT($N143)), 0),
       MATCH(TRIM(J$1), TRIM(INDIRECT($O143)), 0))</f>
        <v>240</v>
      </c>
      <c r="K143" s="7" cm="1">
        <f t="array" aca="1" ref="K143" ca="1">INDEX(INDIRECT($M143),
       MATCH(TRIM($C143), TRIM(INDIRECT($N143)), 0),
       MATCH(TRIM(K$1), TRIM(INDIRECT($O143)), 0))</f>
        <v>63.71167543</v>
      </c>
      <c r="L143" s="7" cm="1">
        <f t="array" aca="1" ref="L143" ca="1">INDEX(INDIRECT($M143),
       MATCH(TRIM($C143), TRIM(INDIRECT($N143)), 0),
       MATCH(TRIM(L$1), TRIM(INDIRECT($O143)), 0))</f>
        <v>11.442287969999995</v>
      </c>
      <c r="M143" s="5" t="str">
        <f>_xlfn.CONCAT("'",$B143,"'","!","$C$3:$K$23")</f>
        <v>'2022'!$C$3:$K$23</v>
      </c>
      <c r="N143" s="5" t="str">
        <f>_xlfn.CONCAT("'",$B143,"'","!","$B$3:$B$22")</f>
        <v>'2022'!$B$3:$B$22</v>
      </c>
      <c r="O143" s="5" t="str">
        <f>_xlfn.CONCAT("'",$B143,"'","!","$C$2:$K$2")</f>
        <v>'2022'!$C$2:$K$2</v>
      </c>
    </row>
    <row r="144" spans="1:15" x14ac:dyDescent="0.3">
      <c r="A144">
        <v>10</v>
      </c>
      <c r="B144">
        <v>2022</v>
      </c>
      <c r="C144" t="s">
        <v>87</v>
      </c>
      <c r="D144" s="7" cm="1">
        <f t="array" aca="1" ref="D144" ca="1">INDEX(INDIRECT($M144),
       MATCH(TRIM($C144), TRIM(INDIRECT($N144)), 0),
       MATCH(TRIM(D$1), TRIM(INDIRECT($O144)), 0))</f>
        <v>241</v>
      </c>
      <c r="E144" s="9" t="e" cm="1">
        <f t="array" aca="1" ref="E144" ca="1">INDEX(INDIRECT($M144),
       MATCH(TRIM($C144), TRIM(INDIRECT($N144)), 0),
       MATCH(TRIM(E$1), TRIM(INDIRECT($O144)), 0))</f>
        <v>#N/A</v>
      </c>
      <c r="F144" s="7" cm="1">
        <f t="array" aca="1" ref="F144" ca="1">INDEX(INDIRECT($M144),
       MATCH(TRIM($C144), TRIM(INDIRECT($N144)), 0),
       MATCH(TRIM(F$1), TRIM(INDIRECT($O144)), 0))</f>
        <v>182.85791655</v>
      </c>
      <c r="G144" s="7" cm="1">
        <f t="array" aca="1" ref="G144" ca="1">INDEX(INDIRECT($M144),
       MATCH(TRIM($C144), TRIM(INDIRECT($N144)), 0),
       MATCH(TRIM(G$1), TRIM(INDIRECT($O144)), 0))</f>
        <v>52</v>
      </c>
      <c r="H144" s="9" t="e" cm="1">
        <f t="array" aca="1" ref="H144" ca="1">INDEX(INDIRECT($M144),
       MATCH(TRIM($C144), TRIM(INDIRECT($N144)), 0),
       MATCH(TRIM(H$1), TRIM(INDIRECT($O144)), 0))</f>
        <v>#N/A</v>
      </c>
      <c r="I144" s="7" cm="1">
        <f t="array" aca="1" ref="I144" ca="1">INDEX(INDIRECT($M144),
       MATCH(TRIM($C144), TRIM(INDIRECT($N144)), 0),
       MATCH(TRIM(I$1), TRIM(INDIRECT($O144)), 0))</f>
        <v>310.73379878906252</v>
      </c>
      <c r="J144" s="7" cm="1">
        <f t="array" aca="1" ref="J144" ca="1">INDEX(INDIRECT($M144),
       MATCH(TRIM($C144), TRIM(INDIRECT($N144)), 0),
       MATCH(TRIM(J$1), TRIM(INDIRECT($O144)), 0))</f>
        <v>305</v>
      </c>
      <c r="K144" s="7" cm="1">
        <f t="array" aca="1" ref="K144" ca="1">INDEX(INDIRECT($M144),
       MATCH(TRIM($C144), TRIM(INDIRECT($N144)), 0),
       MATCH(TRIM(K$1), TRIM(INDIRECT($O144)), 0))</f>
        <v>161.63767391000005</v>
      </c>
      <c r="L144" s="7" cm="1">
        <f t="array" aca="1" ref="L144" ca="1">INDEX(INDIRECT($M144),
       MATCH(TRIM($C144), TRIM(INDIRECT($N144)), 0),
       MATCH(TRIM(L$1), TRIM(INDIRECT($O144)), 0))</f>
        <v>655.22938924906248</v>
      </c>
      <c r="M144" s="5" t="str">
        <f>_xlfn.CONCAT("'",$B144,"'","!","$C$3:$K$23")</f>
        <v>'2022'!$C$3:$K$23</v>
      </c>
      <c r="N144" s="5" t="str">
        <f>_xlfn.CONCAT("'",$B144,"'","!","$B$3:$B$22")</f>
        <v>'2022'!$B$3:$B$22</v>
      </c>
      <c r="O144" s="5" t="str">
        <f>_xlfn.CONCAT("'",$B144,"'","!","$C$2:$K$2")</f>
        <v>'2022'!$C$2:$K$2</v>
      </c>
    </row>
    <row r="145" spans="1:15" x14ac:dyDescent="0.3">
      <c r="A145">
        <v>11</v>
      </c>
      <c r="B145">
        <v>2022</v>
      </c>
      <c r="C145" t="s">
        <v>88</v>
      </c>
      <c r="D145" s="7" cm="1">
        <f t="array" aca="1" ref="D145" ca="1">INDEX(INDIRECT($M145),
       MATCH(TRIM($C145), TRIM(INDIRECT($N145)), 0),
       MATCH(TRIM(D$1), TRIM(INDIRECT($O145)), 0))</f>
        <v>54</v>
      </c>
      <c r="E145" s="9" t="e" cm="1">
        <f t="array" aca="1" ref="E145" ca="1">INDEX(INDIRECT($M145),
       MATCH(TRIM($C145), TRIM(INDIRECT($N145)), 0),
       MATCH(TRIM(E$1), TRIM(INDIRECT($O145)), 0))</f>
        <v>#N/A</v>
      </c>
      <c r="F145" s="7" cm="1">
        <f t="array" aca="1" ref="F145" ca="1">INDEX(INDIRECT($M145),
       MATCH(TRIM($C145), TRIM(INDIRECT($N145)), 0),
       MATCH(TRIM(F$1), TRIM(INDIRECT($O145)), 0))</f>
        <v>23.515754999999999</v>
      </c>
      <c r="G145" s="7" cm="1">
        <f t="array" aca="1" ref="G145" ca="1">INDEX(INDIRECT($M145),
       MATCH(TRIM($C145), TRIM(INDIRECT($N145)), 0),
       MATCH(TRIM(G$1), TRIM(INDIRECT($O145)), 0))</f>
        <v>22</v>
      </c>
      <c r="H145" s="9" t="e" cm="1">
        <f t="array" aca="1" ref="H145" ca="1">INDEX(INDIRECT($M145),
       MATCH(TRIM($C145), TRIM(INDIRECT($N145)), 0),
       MATCH(TRIM(H$1), TRIM(INDIRECT($O145)), 0))</f>
        <v>#N/A</v>
      </c>
      <c r="I145" s="7" cm="1">
        <f t="array" aca="1" ref="I145" ca="1">INDEX(INDIRECT($M145),
       MATCH(TRIM($C145), TRIM(INDIRECT($N145)), 0),
       MATCH(TRIM(I$1), TRIM(INDIRECT($O145)), 0))</f>
        <v>12.501142140000001</v>
      </c>
      <c r="J145" s="7" cm="1">
        <f t="array" aca="1" ref="J145" ca="1">INDEX(INDIRECT($M145),
       MATCH(TRIM($C145), TRIM(INDIRECT($N145)), 0),
       MATCH(TRIM(J$1), TRIM(INDIRECT($O145)), 0))</f>
        <v>70</v>
      </c>
      <c r="K145" s="7" cm="1">
        <f t="array" aca="1" ref="K145" ca="1">INDEX(INDIRECT($M145),
       MATCH(TRIM($C145), TRIM(INDIRECT($N145)), 0),
       MATCH(TRIM(K$1), TRIM(INDIRECT($O145)), 0))</f>
        <v>27.652751050000006</v>
      </c>
      <c r="L145" s="7" cm="1">
        <f t="array" aca="1" ref="L145" ca="1">INDEX(INDIRECT($M145),
       MATCH(TRIM($C145), TRIM(INDIRECT($N145)), 0),
       MATCH(TRIM(L$1), TRIM(INDIRECT($O145)), 0))</f>
        <v>63.669648190000004</v>
      </c>
      <c r="M145" s="5" t="str">
        <f>_xlfn.CONCAT("'",$B145,"'","!","$C$3:$K$23")</f>
        <v>'2022'!$C$3:$K$23</v>
      </c>
      <c r="N145" s="5" t="str">
        <f>_xlfn.CONCAT("'",$B145,"'","!","$B$3:$B$22")</f>
        <v>'2022'!$B$3:$B$22</v>
      </c>
      <c r="O145" s="5" t="str">
        <f>_xlfn.CONCAT("'",$B145,"'","!","$C$2:$K$2")</f>
        <v>'2022'!$C$2:$K$2</v>
      </c>
    </row>
    <row r="146" spans="1:15" x14ac:dyDescent="0.3">
      <c r="A146">
        <v>12</v>
      </c>
      <c r="B146">
        <v>2022</v>
      </c>
      <c r="C146" t="s">
        <v>89</v>
      </c>
      <c r="D146" s="7" cm="1">
        <f t="array" aca="1" ref="D146" ca="1">INDEX(INDIRECT($M146),
       MATCH(TRIM($C146), TRIM(INDIRECT($N146)), 0),
       MATCH(TRIM(D$1), TRIM(INDIRECT($O146)), 0))</f>
        <v>2</v>
      </c>
      <c r="E146" s="9" t="e" cm="1">
        <f t="array" aca="1" ref="E146" ca="1">INDEX(INDIRECT($M146),
       MATCH(TRIM($C146), TRIM(INDIRECT($N146)), 0),
       MATCH(TRIM(E$1), TRIM(INDIRECT($O146)), 0))</f>
        <v>#N/A</v>
      </c>
      <c r="F146" s="7" cm="1">
        <f t="array" aca="1" ref="F146" ca="1">INDEX(INDIRECT($M146),
       MATCH(TRIM($C146), TRIM(INDIRECT($N146)), 0),
       MATCH(TRIM(F$1), TRIM(INDIRECT($O146)), 0))</f>
        <v>0.3</v>
      </c>
      <c r="G146" s="7" cm="1">
        <f t="array" aca="1" ref="G146" ca="1">INDEX(INDIRECT($M146),
       MATCH(TRIM($C146), TRIM(INDIRECT($N146)), 0),
       MATCH(TRIM(G$1), TRIM(INDIRECT($O146)), 0))</f>
        <v>4</v>
      </c>
      <c r="H146" s="9" t="e" cm="1">
        <f t="array" aca="1" ref="H146" ca="1">INDEX(INDIRECT($M146),
       MATCH(TRIM($C146), TRIM(INDIRECT($N146)), 0),
       MATCH(TRIM(H$1), TRIM(INDIRECT($O146)), 0))</f>
        <v>#N/A</v>
      </c>
      <c r="I146" s="7" cm="1">
        <f t="array" aca="1" ref="I146" ca="1">INDEX(INDIRECT($M146),
       MATCH(TRIM($C146), TRIM(INDIRECT($N146)), 0),
       MATCH(TRIM(I$1), TRIM(INDIRECT($O146)), 0))</f>
        <v>3.3714050000000002</v>
      </c>
      <c r="J146" s="7" cm="1">
        <f t="array" aca="1" ref="J146" ca="1">INDEX(INDIRECT($M146),
       MATCH(TRIM($C146), TRIM(INDIRECT($N146)), 0),
       MATCH(TRIM(J$1), TRIM(INDIRECT($O146)), 0))</f>
        <v>17</v>
      </c>
      <c r="K146" s="7" cm="1">
        <f t="array" aca="1" ref="K146" ca="1">INDEX(INDIRECT($M146),
       MATCH(TRIM($C146), TRIM(INDIRECT($N146)), 0),
       MATCH(TRIM(K$1), TRIM(INDIRECT($O146)), 0))</f>
        <v>2.2449920099999998</v>
      </c>
      <c r="L146" s="7" cm="1">
        <f t="array" aca="1" ref="L146" ca="1">INDEX(INDIRECT($M146),
       MATCH(TRIM($C146), TRIM(INDIRECT($N146)), 0),
       MATCH(TRIM(L$1), TRIM(INDIRECT($O146)), 0))</f>
        <v>5.9163970099999998</v>
      </c>
      <c r="M146" s="5" t="str">
        <f>_xlfn.CONCAT("'",$B146,"'","!","$C$3:$K$23")</f>
        <v>'2022'!$C$3:$K$23</v>
      </c>
      <c r="N146" s="5" t="str">
        <f>_xlfn.CONCAT("'",$B146,"'","!","$B$3:$B$22")</f>
        <v>'2022'!$B$3:$B$22</v>
      </c>
      <c r="O146" s="5" t="str">
        <f>_xlfn.CONCAT("'",$B146,"'","!","$C$2:$K$2")</f>
        <v>'2022'!$C$2:$K$2</v>
      </c>
    </row>
    <row r="147" spans="1:15" x14ac:dyDescent="0.3">
      <c r="A147">
        <v>13</v>
      </c>
      <c r="B147">
        <v>2022</v>
      </c>
      <c r="C147" t="s">
        <v>90</v>
      </c>
      <c r="D147" s="7" cm="1">
        <f t="array" aca="1" ref="D147" ca="1">INDEX(INDIRECT($M147),
       MATCH(TRIM($C147), TRIM(INDIRECT($N147)), 0),
       MATCH(TRIM(D$1), TRIM(INDIRECT($O147)), 0))</f>
        <v>36</v>
      </c>
      <c r="E147" s="9" t="e" cm="1">
        <f t="array" aca="1" ref="E147" ca="1">INDEX(INDIRECT($M147),
       MATCH(TRIM($C147), TRIM(INDIRECT($N147)), 0),
       MATCH(TRIM(E$1), TRIM(INDIRECT($O147)), 0))</f>
        <v>#N/A</v>
      </c>
      <c r="F147" s="7" cm="1">
        <f t="array" aca="1" ref="F147" ca="1">INDEX(INDIRECT($M147),
       MATCH(TRIM($C147), TRIM(INDIRECT($N147)), 0),
       MATCH(TRIM(F$1), TRIM(INDIRECT($O147)), 0))</f>
        <v>11.92994532</v>
      </c>
      <c r="G147" s="7" cm="1">
        <f t="array" aca="1" ref="G147" ca="1">INDEX(INDIRECT($M147),
       MATCH(TRIM($C147), TRIM(INDIRECT($N147)), 0),
       MATCH(TRIM(G$1), TRIM(INDIRECT($O147)), 0))</f>
        <v>16</v>
      </c>
      <c r="H147" s="9" t="e" cm="1">
        <f t="array" aca="1" ref="H147" ca="1">INDEX(INDIRECT($M147),
       MATCH(TRIM($C147), TRIM(INDIRECT($N147)), 0),
       MATCH(TRIM(H$1), TRIM(INDIRECT($O147)), 0))</f>
        <v>#N/A</v>
      </c>
      <c r="I147" s="7" cm="1">
        <f t="array" aca="1" ref="I147" ca="1">INDEX(INDIRECT($M147),
       MATCH(TRIM($C147), TRIM(INDIRECT($N147)), 0),
       MATCH(TRIM(I$1), TRIM(INDIRECT($O147)), 0))</f>
        <v>136.78070360546874</v>
      </c>
      <c r="J147" s="7" cm="1">
        <f t="array" aca="1" ref="J147" ca="1">INDEX(INDIRECT($M147),
       MATCH(TRIM($C147), TRIM(INDIRECT($N147)), 0),
       MATCH(TRIM(J$1), TRIM(INDIRECT($O147)), 0))</f>
        <v>51</v>
      </c>
      <c r="K147" s="7" cm="1">
        <f t="array" aca="1" ref="K147" ca="1">INDEX(INDIRECT($M147),
       MATCH(TRIM($C147), TRIM(INDIRECT($N147)), 0),
       MATCH(TRIM(K$1), TRIM(INDIRECT($O147)), 0))</f>
        <v>104.70366788999999</v>
      </c>
      <c r="L147" s="7" cm="1">
        <f t="array" aca="1" ref="L147" ca="1">INDEX(INDIRECT($M147),
       MATCH(TRIM($C147), TRIM(INDIRECT($N147)), 0),
       MATCH(TRIM(L$1), TRIM(INDIRECT($O147)), 0))</f>
        <v>253.41431681546874</v>
      </c>
      <c r="M147" s="5" t="str">
        <f>_xlfn.CONCAT("'",$B147,"'","!","$C$3:$K$23")</f>
        <v>'2022'!$C$3:$K$23</v>
      </c>
      <c r="N147" s="5" t="str">
        <f>_xlfn.CONCAT("'",$B147,"'","!","$B$3:$B$22")</f>
        <v>'2022'!$B$3:$B$22</v>
      </c>
      <c r="O147" s="5" t="str">
        <f>_xlfn.CONCAT("'",$B147,"'","!","$C$2:$K$2")</f>
        <v>'2022'!$C$2:$K$2</v>
      </c>
    </row>
    <row r="148" spans="1:15" x14ac:dyDescent="0.3">
      <c r="A148">
        <v>14</v>
      </c>
      <c r="B148">
        <v>2022</v>
      </c>
      <c r="C148" t="s">
        <v>91</v>
      </c>
      <c r="D148" s="7" cm="1">
        <f t="array" aca="1" ref="D148" ca="1">INDEX(INDIRECT($M148),
       MATCH(TRIM($C148), TRIM(INDIRECT($N148)), 0),
       MATCH(TRIM(D$1), TRIM(INDIRECT($O148)), 0))</f>
        <v>3</v>
      </c>
      <c r="E148" s="9" t="e" cm="1">
        <f t="array" aca="1" ref="E148" ca="1">INDEX(INDIRECT($M148),
       MATCH(TRIM($C148), TRIM(INDIRECT($N148)), 0),
       MATCH(TRIM(E$1), TRIM(INDIRECT($O148)), 0))</f>
        <v>#N/A</v>
      </c>
      <c r="F148" s="7" cm="1">
        <f t="array" aca="1" ref="F148" ca="1">INDEX(INDIRECT($M148),
       MATCH(TRIM($C148), TRIM(INDIRECT($N148)), 0),
       MATCH(TRIM(F$1), TRIM(INDIRECT($O148)), 0))</f>
        <v>1.8524929999999999</v>
      </c>
      <c r="G148" s="7" cm="1">
        <f t="array" aca="1" ref="G148" ca="1">INDEX(INDIRECT($M148),
       MATCH(TRIM($C148), TRIM(INDIRECT($N148)), 0),
       MATCH(TRIM(G$1), TRIM(INDIRECT($O148)), 0))</f>
        <v>1</v>
      </c>
      <c r="H148" s="9" t="e" cm="1">
        <f t="array" aca="1" ref="H148" ca="1">INDEX(INDIRECT($M148),
       MATCH(TRIM($C148), TRIM(INDIRECT($N148)), 0),
       MATCH(TRIM(H$1), TRIM(INDIRECT($O148)), 0))</f>
        <v>#N/A</v>
      </c>
      <c r="I148" s="7" cm="1">
        <f t="array" aca="1" ref="I148" ca="1">INDEX(INDIRECT($M148),
       MATCH(TRIM($C148), TRIM(INDIRECT($N148)), 0),
       MATCH(TRIM(I$1), TRIM(INDIRECT($O148)), 0))</f>
        <v>16</v>
      </c>
      <c r="J148" s="7" cm="1">
        <f t="array" aca="1" ref="J148" ca="1">INDEX(INDIRECT($M148),
       MATCH(TRIM($C148), TRIM(INDIRECT($N148)), 0),
       MATCH(TRIM(J$1), TRIM(INDIRECT($O148)), 0))</f>
        <v>7</v>
      </c>
      <c r="K148" s="7" cm="1">
        <f t="array" aca="1" ref="K148" ca="1">INDEX(INDIRECT($M148),
       MATCH(TRIM($C148), TRIM(INDIRECT($N148)), 0),
       MATCH(TRIM(K$1), TRIM(INDIRECT($O148)), 0))</f>
        <v>39.44372611</v>
      </c>
      <c r="L148" s="7" cm="1">
        <f t="array" aca="1" ref="L148" ca="1">INDEX(INDIRECT($M148),
       MATCH(TRIM($C148), TRIM(INDIRECT($N148)), 0),
       MATCH(TRIM(L$1), TRIM(INDIRECT($O148)), 0))</f>
        <v>57.296219109999996</v>
      </c>
      <c r="M148" s="5" t="str">
        <f>_xlfn.CONCAT("'",$B148,"'","!","$C$3:$K$23")</f>
        <v>'2022'!$C$3:$K$23</v>
      </c>
      <c r="N148" s="5" t="str">
        <f>_xlfn.CONCAT("'",$B148,"'","!","$B$3:$B$22")</f>
        <v>'2022'!$B$3:$B$22</v>
      </c>
      <c r="O148" s="5" t="str">
        <f>_xlfn.CONCAT("'",$B148,"'","!","$C$2:$K$2")</f>
        <v>'2022'!$C$2:$K$2</v>
      </c>
    </row>
    <row r="149" spans="1:15" x14ac:dyDescent="0.3">
      <c r="A149">
        <v>15</v>
      </c>
      <c r="B149">
        <v>2022</v>
      </c>
      <c r="C149" t="s">
        <v>92</v>
      </c>
      <c r="D149" s="7" cm="1">
        <f t="array" aca="1" ref="D149" ca="1">INDEX(INDIRECT($M149),
       MATCH(TRIM($C149), TRIM(INDIRECT($N149)), 0),
       MATCH(TRIM(D$1), TRIM(INDIRECT($O149)), 0))</f>
        <v>2</v>
      </c>
      <c r="E149" s="9" t="e" cm="1">
        <f t="array" aca="1" ref="E149" ca="1">INDEX(INDIRECT($M149),
       MATCH(TRIM($C149), TRIM(INDIRECT($N149)), 0),
       MATCH(TRIM(E$1), TRIM(INDIRECT($O149)), 0))</f>
        <v>#N/A</v>
      </c>
      <c r="F149" s="7" cm="1">
        <f t="array" aca="1" ref="F149" ca="1">INDEX(INDIRECT($M149),
       MATCH(TRIM($C149), TRIM(INDIRECT($N149)), 0),
       MATCH(TRIM(F$1), TRIM(INDIRECT($O149)), 0))</f>
        <v>10.432</v>
      </c>
      <c r="G149" s="7" cm="1">
        <f t="array" aca="1" ref="G149" ca="1">INDEX(INDIRECT($M149),
       MATCH(TRIM($C149), TRIM(INDIRECT($N149)), 0),
       MATCH(TRIM(G$1), TRIM(INDIRECT($O149)), 0))</f>
        <v>4</v>
      </c>
      <c r="H149" s="9" t="e" cm="1">
        <f t="array" aca="1" ref="H149" ca="1">INDEX(INDIRECT($M149),
       MATCH(TRIM($C149), TRIM(INDIRECT($N149)), 0),
       MATCH(TRIM(H$1), TRIM(INDIRECT($O149)), 0))</f>
        <v>#N/A</v>
      </c>
      <c r="I149" s="7" cm="1">
        <f t="array" aca="1" ref="I149" ca="1">INDEX(INDIRECT($M149),
       MATCH(TRIM($C149), TRIM(INDIRECT($N149)), 0),
       MATCH(TRIM(I$1), TRIM(INDIRECT($O149)), 0))</f>
        <v>1.713338</v>
      </c>
      <c r="J149" s="7" cm="1">
        <f t="array" aca="1" ref="J149" ca="1">INDEX(INDIRECT($M149),
       MATCH(TRIM($C149), TRIM(INDIRECT($N149)), 0),
       MATCH(TRIM(J$1), TRIM(INDIRECT($O149)), 0))</f>
        <v>11</v>
      </c>
      <c r="K149" s="7" cm="1">
        <f t="array" aca="1" ref="K149" ca="1">INDEX(INDIRECT($M149),
       MATCH(TRIM($C149), TRIM(INDIRECT($N149)), 0),
       MATCH(TRIM(K$1), TRIM(INDIRECT($O149)), 0))</f>
        <v>9.0160011299999994</v>
      </c>
      <c r="L149" s="7" cm="1">
        <f t="array" aca="1" ref="L149" ca="1">INDEX(INDIRECT($M149),
       MATCH(TRIM($C149), TRIM(INDIRECT($N149)), 0),
       MATCH(TRIM(L$1), TRIM(INDIRECT($O149)), 0))</f>
        <v>21.161339130000002</v>
      </c>
      <c r="M149" s="5" t="str">
        <f>_xlfn.CONCAT("'",$B149,"'","!","$C$3:$K$23")</f>
        <v>'2022'!$C$3:$K$23</v>
      </c>
      <c r="N149" s="5" t="str">
        <f>_xlfn.CONCAT("'",$B149,"'","!","$B$3:$B$22")</f>
        <v>'2022'!$B$3:$B$22</v>
      </c>
      <c r="O149" s="5" t="str">
        <f>_xlfn.CONCAT("'",$B149,"'","!","$C$2:$K$2")</f>
        <v>'2022'!$C$2:$K$2</v>
      </c>
    </row>
    <row r="150" spans="1:15" x14ac:dyDescent="0.3">
      <c r="A150">
        <v>16</v>
      </c>
      <c r="B150">
        <v>2022</v>
      </c>
      <c r="C150" t="s">
        <v>93</v>
      </c>
      <c r="D150" s="7" cm="1">
        <f t="array" aca="1" ref="D150" ca="1">INDEX(INDIRECT($M150),
       MATCH(TRIM($C150), TRIM(INDIRECT($N150)), 0),
       MATCH(TRIM(D$1), TRIM(INDIRECT($O150)), 0))</f>
        <v>1</v>
      </c>
      <c r="E150" s="9" t="e" cm="1">
        <f t="array" aca="1" ref="E150" ca="1">INDEX(INDIRECT($M150),
       MATCH(TRIM($C150), TRIM(INDIRECT($N150)), 0),
       MATCH(TRIM(E$1), TRIM(INDIRECT($O150)), 0))</f>
        <v>#N/A</v>
      </c>
      <c r="F150" s="7" cm="1">
        <f t="array" aca="1" ref="F150" ca="1">INDEX(INDIRECT($M150),
       MATCH(TRIM($C150), TRIM(INDIRECT($N150)), 0),
       MATCH(TRIM(F$1), TRIM(INDIRECT($O150)), 0))</f>
        <v>1.9771529999999999</v>
      </c>
      <c r="G150" s="7" cm="1">
        <f t="array" aca="1" ref="G150" ca="1">INDEX(INDIRECT($M150),
       MATCH(TRIM($C150), TRIM(INDIRECT($N150)), 0),
       MATCH(TRIM(G$1), TRIM(INDIRECT($O150)), 0))</f>
        <v>0</v>
      </c>
      <c r="H150" s="9" t="e" cm="1">
        <f t="array" aca="1" ref="H150" ca="1">INDEX(INDIRECT($M150),
       MATCH(TRIM($C150), TRIM(INDIRECT($N150)), 0),
       MATCH(TRIM(H$1), TRIM(INDIRECT($O150)), 0))</f>
        <v>#N/A</v>
      </c>
      <c r="I150" s="7" cm="1">
        <f t="array" aca="1" ref="I150" ca="1">INDEX(INDIRECT($M150),
       MATCH(TRIM($C150), TRIM(INDIRECT($N150)), 0),
       MATCH(TRIM(I$1), TRIM(INDIRECT($O150)), 0))</f>
        <v>0</v>
      </c>
      <c r="J150" s="7" cm="1">
        <f t="array" aca="1" ref="J150" ca="1">INDEX(INDIRECT($M150),
       MATCH(TRIM($C150), TRIM(INDIRECT($N150)), 0),
       MATCH(TRIM(J$1), TRIM(INDIRECT($O150)), 0))</f>
        <v>3</v>
      </c>
      <c r="K150" s="7" cm="1">
        <f t="array" aca="1" ref="K150" ca="1">INDEX(INDIRECT($M150),
       MATCH(TRIM($C150), TRIM(INDIRECT($N150)), 0),
       MATCH(TRIM(K$1), TRIM(INDIRECT($O150)), 0))</f>
        <v>17.08691194</v>
      </c>
      <c r="L150" s="7" cm="1">
        <f t="array" aca="1" ref="L150" ca="1">INDEX(INDIRECT($M150),
       MATCH(TRIM($C150), TRIM(INDIRECT($N150)), 0),
       MATCH(TRIM(L$1), TRIM(INDIRECT($O150)), 0))</f>
        <v>19.064064940000002</v>
      </c>
      <c r="M150" s="5" t="str">
        <f>_xlfn.CONCAT("'",$B150,"'","!","$C$3:$K$23")</f>
        <v>'2022'!$C$3:$K$23</v>
      </c>
      <c r="N150" s="5" t="str">
        <f>_xlfn.CONCAT("'",$B150,"'","!","$B$3:$B$22")</f>
        <v>'2022'!$B$3:$B$22</v>
      </c>
      <c r="O150" s="5" t="str">
        <f>_xlfn.CONCAT("'",$B150,"'","!","$C$2:$K$2")</f>
        <v>'2022'!$C$2:$K$2</v>
      </c>
    </row>
    <row r="151" spans="1:15" x14ac:dyDescent="0.3">
      <c r="A151">
        <v>17</v>
      </c>
      <c r="B151">
        <v>2022</v>
      </c>
      <c r="C151" t="s">
        <v>94</v>
      </c>
      <c r="D151" s="7" cm="1">
        <f t="array" aca="1" ref="D151" ca="1">INDEX(INDIRECT($M151),
       MATCH(TRIM($C151), TRIM(INDIRECT($N151)), 0),
       MATCH(TRIM(D$1), TRIM(INDIRECT($O151)), 0))</f>
        <v>1</v>
      </c>
      <c r="E151" s="9" t="e" cm="1">
        <f t="array" aca="1" ref="E151" ca="1">INDEX(INDIRECT($M151),
       MATCH(TRIM($C151), TRIM(INDIRECT($N151)), 0),
       MATCH(TRIM(E$1), TRIM(INDIRECT($O151)), 0))</f>
        <v>#N/A</v>
      </c>
      <c r="F151" s="7" cm="1">
        <f t="array" aca="1" ref="F151" ca="1">INDEX(INDIRECT($M151),
       MATCH(TRIM($C151), TRIM(INDIRECT($N151)), 0),
       MATCH(TRIM(F$1), TRIM(INDIRECT($O151)), 0))</f>
        <v>0.2</v>
      </c>
      <c r="G151" s="7" cm="1">
        <f t="array" aca="1" ref="G151" ca="1">INDEX(INDIRECT($M151),
       MATCH(TRIM($C151), TRIM(INDIRECT($N151)), 0),
       MATCH(TRIM(G$1), TRIM(INDIRECT($O151)), 0))</f>
        <v>1</v>
      </c>
      <c r="H151" s="9" t="e" cm="1">
        <f t="array" aca="1" ref="H151" ca="1">INDEX(INDIRECT($M151),
       MATCH(TRIM($C151), TRIM(INDIRECT($N151)), 0),
       MATCH(TRIM(H$1), TRIM(INDIRECT($O151)), 0))</f>
        <v>#N/A</v>
      </c>
      <c r="I151" s="7" cm="1">
        <f t="array" aca="1" ref="I151" ca="1">INDEX(INDIRECT($M151),
       MATCH(TRIM($C151), TRIM(INDIRECT($N151)), 0),
       MATCH(TRIM(I$1), TRIM(INDIRECT($O151)), 0))</f>
        <v>0.15</v>
      </c>
      <c r="J151" s="7" cm="1">
        <f t="array" aca="1" ref="J151" ca="1">INDEX(INDIRECT($M151),
       MATCH(TRIM($C151), TRIM(INDIRECT($N151)), 0),
       MATCH(TRIM(J$1), TRIM(INDIRECT($O151)), 0))</f>
        <v>11</v>
      </c>
      <c r="K151" s="7" cm="1">
        <f t="array" aca="1" ref="K151" ca="1">INDEX(INDIRECT($M151),
       MATCH(TRIM($C151), TRIM(INDIRECT($N151)), 0),
       MATCH(TRIM(K$1), TRIM(INDIRECT($O151)), 0))</f>
        <v>3.4996262300000001</v>
      </c>
      <c r="L151" s="7" cm="1">
        <f t="array" aca="1" ref="L151" ca="1">INDEX(INDIRECT($M151),
       MATCH(TRIM($C151), TRIM(INDIRECT($N151)), 0),
       MATCH(TRIM(L$1), TRIM(INDIRECT($O151)), 0))</f>
        <v>3.8496262300000001</v>
      </c>
      <c r="M151" s="5" t="str">
        <f>_xlfn.CONCAT("'",$B151,"'","!","$C$3:$K$23")</f>
        <v>'2022'!$C$3:$K$23</v>
      </c>
      <c r="N151" s="5" t="str">
        <f>_xlfn.CONCAT("'",$B151,"'","!","$B$3:$B$22")</f>
        <v>'2022'!$B$3:$B$22</v>
      </c>
      <c r="O151" s="5" t="str">
        <f>_xlfn.CONCAT("'",$B151,"'","!","$C$2:$K$2")</f>
        <v>'2022'!$C$2:$K$2</v>
      </c>
    </row>
    <row r="152" spans="1:15" x14ac:dyDescent="0.3">
      <c r="A152">
        <v>18</v>
      </c>
      <c r="B152">
        <v>2022</v>
      </c>
      <c r="C152" t="s">
        <v>95</v>
      </c>
      <c r="D152" s="7" cm="1">
        <f t="array" aca="1" ref="D152" ca="1">INDEX(INDIRECT($M152),
       MATCH(TRIM($C152), TRIM(INDIRECT($N152)), 0),
       MATCH(TRIM(D$1), TRIM(INDIRECT($O152)), 0))</f>
        <v>8</v>
      </c>
      <c r="E152" s="9" t="e" cm="1">
        <f t="array" aca="1" ref="E152" ca="1">INDEX(INDIRECT($M152),
       MATCH(TRIM($C152), TRIM(INDIRECT($N152)), 0),
       MATCH(TRIM(E$1), TRIM(INDIRECT($O152)), 0))</f>
        <v>#N/A</v>
      </c>
      <c r="F152" s="7" cm="1">
        <f t="array" aca="1" ref="F152" ca="1">INDEX(INDIRECT($M152),
       MATCH(TRIM($C152), TRIM(INDIRECT($N152)), 0),
       MATCH(TRIM(F$1), TRIM(INDIRECT($O152)), 0))</f>
        <v>29.199856</v>
      </c>
      <c r="G152" s="7" cm="1">
        <f t="array" aca="1" ref="G152" ca="1">INDEX(INDIRECT($M152),
       MATCH(TRIM($C152), TRIM(INDIRECT($N152)), 0),
       MATCH(TRIM(G$1), TRIM(INDIRECT($O152)), 0))</f>
        <v>1</v>
      </c>
      <c r="H152" s="9" t="e" cm="1">
        <f t="array" aca="1" ref="H152" ca="1">INDEX(INDIRECT($M152),
       MATCH(TRIM($C152), TRIM(INDIRECT($N152)), 0),
       MATCH(TRIM(H$1), TRIM(INDIRECT($O152)), 0))</f>
        <v>#N/A</v>
      </c>
      <c r="I152" s="7" cm="1">
        <f t="array" aca="1" ref="I152" ca="1">INDEX(INDIRECT($M152),
       MATCH(TRIM($C152), TRIM(INDIRECT($N152)), 0),
       MATCH(TRIM(I$1), TRIM(INDIRECT($O152)), 0))</f>
        <v>24.687760000000001</v>
      </c>
      <c r="J152" s="7" cm="1">
        <f t="array" aca="1" ref="J152" ca="1">INDEX(INDIRECT($M152),
       MATCH(TRIM($C152), TRIM(INDIRECT($N152)), 0),
       MATCH(TRIM(J$1), TRIM(INDIRECT($O152)), 0))</f>
        <v>13</v>
      </c>
      <c r="K152" s="7" cm="1">
        <f t="array" aca="1" ref="K152" ca="1">INDEX(INDIRECT($M152),
       MATCH(TRIM($C152), TRIM(INDIRECT($N152)), 0),
       MATCH(TRIM(K$1), TRIM(INDIRECT($O152)), 0))</f>
        <v>3.8131179499999996</v>
      </c>
      <c r="L152" s="7" cm="1">
        <f t="array" aca="1" ref="L152" ca="1">INDEX(INDIRECT($M152),
       MATCH(TRIM($C152), TRIM(INDIRECT($N152)), 0),
       MATCH(TRIM(L$1), TRIM(INDIRECT($O152)), 0))</f>
        <v>57.70073395</v>
      </c>
      <c r="M152" s="5" t="str">
        <f>_xlfn.CONCAT("'",$B152,"'","!","$C$3:$K$23")</f>
        <v>'2022'!$C$3:$K$23</v>
      </c>
      <c r="N152" s="5" t="str">
        <f>_xlfn.CONCAT("'",$B152,"'","!","$B$3:$B$22")</f>
        <v>'2022'!$B$3:$B$22</v>
      </c>
      <c r="O152" s="5" t="str">
        <f>_xlfn.CONCAT("'",$B152,"'","!","$C$2:$K$2")</f>
        <v>'2022'!$C$2:$K$2</v>
      </c>
    </row>
    <row r="153" spans="1:15" x14ac:dyDescent="0.3">
      <c r="A153">
        <v>19</v>
      </c>
      <c r="B153">
        <v>2022</v>
      </c>
      <c r="C153" t="s">
        <v>96</v>
      </c>
      <c r="D153" s="7" cm="1">
        <f t="array" aca="1" ref="D153" ca="1">INDEX(INDIRECT($M153),
       MATCH(TRIM($C153), TRIM(INDIRECT($N153)), 0),
       MATCH(TRIM(D$1), TRIM(INDIRECT($O153)), 0))</f>
        <v>0</v>
      </c>
      <c r="E153" s="9" t="e" cm="1">
        <f t="array" aca="1" ref="E153" ca="1">INDEX(INDIRECT($M153),
       MATCH(TRIM($C153), TRIM(INDIRECT($N153)), 0),
       MATCH(TRIM(E$1), TRIM(INDIRECT($O153)), 0))</f>
        <v>#N/A</v>
      </c>
      <c r="F153" s="7" cm="1">
        <f t="array" aca="1" ref="F153" ca="1">INDEX(INDIRECT($M153),
       MATCH(TRIM($C153), TRIM(INDIRECT($N153)), 0),
       MATCH(TRIM(F$1), TRIM(INDIRECT($O153)), 0))</f>
        <v>0</v>
      </c>
      <c r="G153" s="7" cm="1">
        <f t="array" aca="1" ref="G153" ca="1">INDEX(INDIRECT($M153),
       MATCH(TRIM($C153), TRIM(INDIRECT($N153)), 0),
       MATCH(TRIM(G$1), TRIM(INDIRECT($O153)), 0))</f>
        <v>0</v>
      </c>
      <c r="H153" s="9" t="e" cm="1">
        <f t="array" aca="1" ref="H153" ca="1">INDEX(INDIRECT($M153),
       MATCH(TRIM($C153), TRIM(INDIRECT($N153)), 0),
       MATCH(TRIM(H$1), TRIM(INDIRECT($O153)), 0))</f>
        <v>#N/A</v>
      </c>
      <c r="I153" s="7" cm="1">
        <f t="array" aca="1" ref="I153" ca="1">INDEX(INDIRECT($M153),
       MATCH(TRIM($C153), TRIM(INDIRECT($N153)), 0),
       MATCH(TRIM(I$1), TRIM(INDIRECT($O153)), 0))</f>
        <v>0</v>
      </c>
      <c r="J153" s="7" cm="1">
        <f t="array" aca="1" ref="J153" ca="1">INDEX(INDIRECT($M153),
       MATCH(TRIM($C153), TRIM(INDIRECT($N153)), 0),
       MATCH(TRIM(J$1), TRIM(INDIRECT($O153)), 0))</f>
        <v>1</v>
      </c>
      <c r="K153" s="7" cm="1">
        <f t="array" aca="1" ref="K153" ca="1">INDEX(INDIRECT($M153),
       MATCH(TRIM($C153), TRIM(INDIRECT($N153)), 0),
       MATCH(TRIM(K$1), TRIM(INDIRECT($O153)), 0))</f>
        <v>0.54912561999999998</v>
      </c>
      <c r="L153" s="7" cm="1">
        <f t="array" aca="1" ref="L153" ca="1">INDEX(INDIRECT($M153),
       MATCH(TRIM($C153), TRIM(INDIRECT($N153)), 0),
       MATCH(TRIM(L$1), TRIM(INDIRECT($O153)), 0))</f>
        <v>0.54912561999999998</v>
      </c>
      <c r="M153" s="5" t="str">
        <f>_xlfn.CONCAT("'",$B153,"'","!","$C$3:$K$23")</f>
        <v>'2022'!$C$3:$K$23</v>
      </c>
      <c r="N153" s="5" t="str">
        <f>_xlfn.CONCAT("'",$B153,"'","!","$B$3:$B$22")</f>
        <v>'2022'!$B$3:$B$22</v>
      </c>
      <c r="O153" s="5" t="str">
        <f>_xlfn.CONCAT("'",$B153,"'","!","$C$2:$K$2")</f>
        <v>'2022'!$C$2:$K$2</v>
      </c>
    </row>
    <row r="154" spans="1:15" x14ac:dyDescent="0.3">
      <c r="A154">
        <v>1</v>
      </c>
      <c r="B154">
        <v>2023</v>
      </c>
      <c r="C154" t="s">
        <v>78</v>
      </c>
      <c r="D154" s="7" cm="1">
        <f t="array" aca="1" ref="D154" ca="1">INDEX(INDIRECT($M154),
       MATCH(TRIM($C154), TRIM(INDIRECT($N154)), 0),
       MATCH(TRIM(D$1), TRIM(INDIRECT($O154)), 0))</f>
        <v>1075</v>
      </c>
      <c r="E154" s="9" t="e" cm="1">
        <f t="array" aca="1" ref="E154" ca="1">INDEX(INDIRECT($M154),
       MATCH(TRIM($C154), TRIM(INDIRECT($N154)), 0),
       MATCH(TRIM(E$1), TRIM(INDIRECT($O154)), 0))</f>
        <v>#N/A</v>
      </c>
      <c r="F154" s="7" cm="1">
        <f t="array" aca="1" ref="F154" ca="1">INDEX(INDIRECT($M154),
       MATCH(TRIM($C154), TRIM(INDIRECT($N154)), 0),
       MATCH(TRIM(F$1), TRIM(INDIRECT($O154)), 0))</f>
        <v>15850.065404339999</v>
      </c>
      <c r="G154" s="7" cm="1">
        <f t="array" aca="1" ref="G154" ca="1">INDEX(INDIRECT($M154),
       MATCH(TRIM($C154), TRIM(INDIRECT($N154)), 0),
       MATCH(TRIM(G$1), TRIM(INDIRECT($O154)), 0))</f>
        <v>691</v>
      </c>
      <c r="H154" s="9" t="e" cm="1">
        <f t="array" aca="1" ref="H154" ca="1">INDEX(INDIRECT($M154),
       MATCH(TRIM($C154), TRIM(INDIRECT($N154)), 0),
       MATCH(TRIM(H$1), TRIM(INDIRECT($O154)), 0))</f>
        <v>#N/A</v>
      </c>
      <c r="I154" s="7" cm="1">
        <f t="array" aca="1" ref="I154" ca="1">INDEX(INDIRECT($M154),
       MATCH(TRIM($C154), TRIM(INDIRECT($N154)), 0),
       MATCH(TRIM(I$1), TRIM(INDIRECT($O154)), 0))</f>
        <v>6116.8134207190606</v>
      </c>
      <c r="J154" s="7" cm="1">
        <f t="array" aca="1" ref="J154" ca="1">INDEX(INDIRECT($M154),
       MATCH(TRIM($C154), TRIM(INDIRECT($N154)), 0),
       MATCH(TRIM(J$1), TRIM(INDIRECT($O154)), 0))</f>
        <v>529</v>
      </c>
      <c r="K154" s="7" cm="1">
        <f t="array" aca="1" ref="K154" ca="1">INDEX(INDIRECT($M154),
       MATCH(TRIM($C154), TRIM(INDIRECT($N154)), 0),
       MATCH(TRIM(K$1), TRIM(INDIRECT($O154)), 0))</f>
        <v>1538.1015068799991</v>
      </c>
      <c r="L154" s="7" cm="1">
        <f t="array" aca="1" ref="L154" ca="1">INDEX(INDIRECT($M154),
       MATCH(TRIM($C154), TRIM(INDIRECT($N154)), 0),
       MATCH(TRIM(L$1), TRIM(INDIRECT($O154)), 0))</f>
        <v>23504.980331939059</v>
      </c>
      <c r="M154" s="5" t="str">
        <f>_xlfn.CONCAT("'",$B154,"'","!","$C$3:$K$23")</f>
        <v>'2023'!$C$3:$K$23</v>
      </c>
      <c r="N154" s="5" t="str">
        <f>_xlfn.CONCAT("'",$B154,"'","!","$B$3:$B$22")</f>
        <v>'2023'!$B$3:$B$22</v>
      </c>
      <c r="O154" s="5" t="str">
        <f>_xlfn.CONCAT("'",$B154,"'","!","$C$2:$K$2")</f>
        <v>'2023'!$C$2:$K$2</v>
      </c>
    </row>
    <row r="155" spans="1:15" x14ac:dyDescent="0.3">
      <c r="A155">
        <v>2</v>
      </c>
      <c r="B155">
        <v>2023</v>
      </c>
      <c r="C155" t="s">
        <v>79</v>
      </c>
      <c r="D155" s="7" cm="1">
        <f t="array" aca="1" ref="D155" ca="1">INDEX(INDIRECT($M155),
       MATCH(TRIM($C155), TRIM(INDIRECT($N155)), 0),
       MATCH(TRIM(D$1), TRIM(INDIRECT($O155)), 0))</f>
        <v>12</v>
      </c>
      <c r="E155" s="9" t="e" cm="1">
        <f t="array" aca="1" ref="E155" ca="1">INDEX(INDIRECT($M155),
       MATCH(TRIM($C155), TRIM(INDIRECT($N155)), 0),
       MATCH(TRIM(E$1), TRIM(INDIRECT($O155)), 0))</f>
        <v>#N/A</v>
      </c>
      <c r="F155" s="7" cm="1">
        <f t="array" aca="1" ref="F155" ca="1">INDEX(INDIRECT($M155),
       MATCH(TRIM($C155), TRIM(INDIRECT($N155)), 0),
       MATCH(TRIM(F$1), TRIM(INDIRECT($O155)), 0))</f>
        <v>2090.9405841099997</v>
      </c>
      <c r="G155" s="7" cm="1">
        <f t="array" aca="1" ref="G155" ca="1">INDEX(INDIRECT($M155),
       MATCH(TRIM($C155), TRIM(INDIRECT($N155)), 0),
       MATCH(TRIM(G$1), TRIM(INDIRECT($O155)), 0))</f>
        <v>1</v>
      </c>
      <c r="H155" s="9" t="e" cm="1">
        <f t="array" aca="1" ref="H155" ca="1">INDEX(INDIRECT($M155),
       MATCH(TRIM($C155), TRIM(INDIRECT($N155)), 0),
       MATCH(TRIM(H$1), TRIM(INDIRECT($O155)), 0))</f>
        <v>#N/A</v>
      </c>
      <c r="I155" s="7" cm="1">
        <f t="array" aca="1" ref="I155" ca="1">INDEX(INDIRECT($M155),
       MATCH(TRIM($C155), TRIM(INDIRECT($N155)), 0),
       MATCH(TRIM(I$1), TRIM(INDIRECT($O155)), 0))</f>
        <v>179.795984</v>
      </c>
      <c r="J155" s="7" cm="1">
        <f t="array" aca="1" ref="J155" ca="1">INDEX(INDIRECT($M155),
       MATCH(TRIM($C155), TRIM(INDIRECT($N155)), 0),
       MATCH(TRIM(J$1), TRIM(INDIRECT($O155)), 0))</f>
        <v>9</v>
      </c>
      <c r="K155" s="7" cm="1">
        <f t="array" aca="1" ref="K155" ca="1">INDEX(INDIRECT($M155),
       MATCH(TRIM($C155), TRIM(INDIRECT($N155)), 0),
       MATCH(TRIM(K$1), TRIM(INDIRECT($O155)), 0))</f>
        <v>102.68474255</v>
      </c>
      <c r="L155" s="7" cm="1">
        <f t="array" aca="1" ref="L155" ca="1">INDEX(INDIRECT($M155),
       MATCH(TRIM($C155), TRIM(INDIRECT($N155)), 0),
       MATCH(TRIM(L$1), TRIM(INDIRECT($O155)), 0))</f>
        <v>2373.4213106599996</v>
      </c>
      <c r="M155" s="5" t="str">
        <f>_xlfn.CONCAT("'",$B155,"'","!","$C$3:$K$23")</f>
        <v>'2023'!$C$3:$K$23</v>
      </c>
      <c r="N155" s="5" t="str">
        <f>_xlfn.CONCAT("'",$B155,"'","!","$B$3:$B$22")</f>
        <v>'2023'!$B$3:$B$22</v>
      </c>
      <c r="O155" s="5" t="str">
        <f>_xlfn.CONCAT("'",$B155,"'","!","$C$2:$K$2")</f>
        <v>'2023'!$C$2:$K$2</v>
      </c>
    </row>
    <row r="156" spans="1:15" x14ac:dyDescent="0.3">
      <c r="A156">
        <v>3</v>
      </c>
      <c r="B156">
        <v>2023</v>
      </c>
      <c r="C156" t="s">
        <v>80</v>
      </c>
      <c r="D156" s="7" cm="1">
        <f t="array" aca="1" ref="D156" ca="1">INDEX(INDIRECT($M156),
       MATCH(TRIM($C156), TRIM(INDIRECT($N156)), 0),
       MATCH(TRIM(D$1), TRIM(INDIRECT($O156)), 0))</f>
        <v>68</v>
      </c>
      <c r="E156" s="9" t="e" cm="1">
        <f t="array" aca="1" ref="E156" ca="1">INDEX(INDIRECT($M156),
       MATCH(TRIM($C156), TRIM(INDIRECT($N156)), 0),
       MATCH(TRIM(E$1), TRIM(INDIRECT($O156)), 0))</f>
        <v>#N/A</v>
      </c>
      <c r="F156" s="7" cm="1">
        <f t="array" aca="1" ref="F156" ca="1">INDEX(INDIRECT($M156),
       MATCH(TRIM($C156), TRIM(INDIRECT($N156)), 0),
       MATCH(TRIM(F$1), TRIM(INDIRECT($O156)), 0))</f>
        <v>982.23831001999997</v>
      </c>
      <c r="G156" s="7" cm="1">
        <f t="array" aca="1" ref="G156" ca="1">INDEX(INDIRECT($M156),
       MATCH(TRIM($C156), TRIM(INDIRECT($N156)), 0),
       MATCH(TRIM(G$1), TRIM(INDIRECT($O156)), 0))</f>
        <v>45</v>
      </c>
      <c r="H156" s="9" t="e" cm="1">
        <f t="array" aca="1" ref="H156" ca="1">INDEX(INDIRECT($M156),
       MATCH(TRIM($C156), TRIM(INDIRECT($N156)), 0),
       MATCH(TRIM(H$1), TRIM(INDIRECT($O156)), 0))</f>
        <v>#N/A</v>
      </c>
      <c r="I156" s="7" cm="1">
        <f t="array" aca="1" ref="I156" ca="1">INDEX(INDIRECT($M156),
       MATCH(TRIM($C156), TRIM(INDIRECT($N156)), 0),
       MATCH(TRIM(I$1), TRIM(INDIRECT($O156)), 0))</f>
        <v>528.15485540436555</v>
      </c>
      <c r="J156" s="7" cm="1">
        <f t="array" aca="1" ref="J156" ca="1">INDEX(INDIRECT($M156),
       MATCH(TRIM($C156), TRIM(INDIRECT($N156)), 0),
       MATCH(TRIM(J$1), TRIM(INDIRECT($O156)), 0))</f>
        <v>102</v>
      </c>
      <c r="K156" s="7" cm="1">
        <f t="array" aca="1" ref="K156" ca="1">INDEX(INDIRECT($M156),
       MATCH(TRIM($C156), TRIM(INDIRECT($N156)), 0),
       MATCH(TRIM(K$1), TRIM(INDIRECT($O156)), 0))</f>
        <v>3155.3623731579778</v>
      </c>
      <c r="L156" s="7" cm="1">
        <f t="array" aca="1" ref="L156" ca="1">INDEX(INDIRECT($M156),
       MATCH(TRIM($C156), TRIM(INDIRECT($N156)), 0),
       MATCH(TRIM(L$1), TRIM(INDIRECT($O156)), 0))</f>
        <v>4665.7555385823434</v>
      </c>
      <c r="M156" s="5" t="str">
        <f>_xlfn.CONCAT("'",$B156,"'","!","$C$3:$K$23")</f>
        <v>'2023'!$C$3:$K$23</v>
      </c>
      <c r="N156" s="5" t="str">
        <f>_xlfn.CONCAT("'",$B156,"'","!","$B$3:$B$22")</f>
        <v>'2023'!$B$3:$B$22</v>
      </c>
      <c r="O156" s="5" t="str">
        <f>_xlfn.CONCAT("'",$B156,"'","!","$C$2:$K$2")</f>
        <v>'2023'!$C$2:$K$2</v>
      </c>
    </row>
    <row r="157" spans="1:15" x14ac:dyDescent="0.3">
      <c r="A157">
        <v>4</v>
      </c>
      <c r="B157">
        <v>2023</v>
      </c>
      <c r="C157" t="s">
        <v>81</v>
      </c>
      <c r="D157" s="7" cm="1">
        <f t="array" aca="1" ref="D157" ca="1">INDEX(INDIRECT($M157),
       MATCH(TRIM($C157), TRIM(INDIRECT($N157)), 0),
       MATCH(TRIM(D$1), TRIM(INDIRECT($O157)), 0))</f>
        <v>40</v>
      </c>
      <c r="E157" s="9" t="e" cm="1">
        <f t="array" aca="1" ref="E157" ca="1">INDEX(INDIRECT($M157),
       MATCH(TRIM($C157), TRIM(INDIRECT($N157)), 0),
       MATCH(TRIM(E$1), TRIM(INDIRECT($O157)), 0))</f>
        <v>#N/A</v>
      </c>
      <c r="F157" s="7" cm="1">
        <f t="array" aca="1" ref="F157" ca="1">INDEX(INDIRECT($M157),
       MATCH(TRIM($C157), TRIM(INDIRECT($N157)), 0),
       MATCH(TRIM(F$1), TRIM(INDIRECT($O157)), 0))</f>
        <v>74.501386230000008</v>
      </c>
      <c r="G157" s="7" cm="1">
        <f t="array" aca="1" ref="G157" ca="1">INDEX(INDIRECT($M157),
       MATCH(TRIM($C157), TRIM(INDIRECT($N157)), 0),
       MATCH(TRIM(G$1), TRIM(INDIRECT($O157)), 0))</f>
        <v>47</v>
      </c>
      <c r="H157" s="9" t="e" cm="1">
        <f t="array" aca="1" ref="H157" ca="1">INDEX(INDIRECT($M157),
       MATCH(TRIM($C157), TRIM(INDIRECT($N157)), 0),
       MATCH(TRIM(H$1), TRIM(INDIRECT($O157)), 0))</f>
        <v>#N/A</v>
      </c>
      <c r="I157" s="7" cm="1">
        <f t="array" aca="1" ref="I157" ca="1">INDEX(INDIRECT($M157),
       MATCH(TRIM($C157), TRIM(INDIRECT($N157)), 0),
       MATCH(TRIM(I$1), TRIM(INDIRECT($O157)), 0))</f>
        <v>192.40533864062499</v>
      </c>
      <c r="J157" s="7" cm="1">
        <f t="array" aca="1" ref="J157" ca="1">INDEX(INDIRECT($M157),
       MATCH(TRIM($C157), TRIM(INDIRECT($N157)), 0),
       MATCH(TRIM(J$1), TRIM(INDIRECT($O157)), 0))</f>
        <v>53</v>
      </c>
      <c r="K157" s="7" cm="1">
        <f t="array" aca="1" ref="K157" ca="1">INDEX(INDIRECT($M157),
       MATCH(TRIM($C157), TRIM(INDIRECT($N157)), 0),
       MATCH(TRIM(K$1), TRIM(INDIRECT($O157)), 0))</f>
        <v>22.453812110000005</v>
      </c>
      <c r="L157" s="7" cm="1">
        <f t="array" aca="1" ref="L157" ca="1">INDEX(INDIRECT($M157),
       MATCH(TRIM($C157), TRIM(INDIRECT($N157)), 0),
       MATCH(TRIM(L$1), TRIM(INDIRECT($O157)), 0))</f>
        <v>289.360536980625</v>
      </c>
      <c r="M157" s="5" t="str">
        <f>_xlfn.CONCAT("'",$B157,"'","!","$C$3:$K$23")</f>
        <v>'2023'!$C$3:$K$23</v>
      </c>
      <c r="N157" s="5" t="str">
        <f>_xlfn.CONCAT("'",$B157,"'","!","$B$3:$B$22")</f>
        <v>'2023'!$B$3:$B$22</v>
      </c>
      <c r="O157" s="5" t="str">
        <f>_xlfn.CONCAT("'",$B157,"'","!","$C$2:$K$2")</f>
        <v>'2023'!$C$2:$K$2</v>
      </c>
    </row>
    <row r="158" spans="1:15" x14ac:dyDescent="0.3">
      <c r="A158">
        <v>5</v>
      </c>
      <c r="B158">
        <v>2023</v>
      </c>
      <c r="C158" t="s">
        <v>82</v>
      </c>
      <c r="D158" s="7" cm="1">
        <f t="array" aca="1" ref="D158" ca="1">INDEX(INDIRECT($M158),
       MATCH(TRIM($C158), TRIM(INDIRECT($N158)), 0),
       MATCH(TRIM(D$1), TRIM(INDIRECT($O158)), 0))</f>
        <v>942</v>
      </c>
      <c r="E158" s="9" t="e" cm="1">
        <f t="array" aca="1" ref="E158" ca="1">INDEX(INDIRECT($M158),
       MATCH(TRIM($C158), TRIM(INDIRECT($N158)), 0),
       MATCH(TRIM(E$1), TRIM(INDIRECT($O158)), 0))</f>
        <v>#N/A</v>
      </c>
      <c r="F158" s="7" cm="1">
        <f t="array" aca="1" ref="F158" ca="1">INDEX(INDIRECT($M158),
       MATCH(TRIM($C158), TRIM(INDIRECT($N158)), 0),
       MATCH(TRIM(F$1), TRIM(INDIRECT($O158)), 0))</f>
        <v>439.19114761000009</v>
      </c>
      <c r="G158" s="7" cm="1">
        <f t="array" aca="1" ref="G158" ca="1">INDEX(INDIRECT($M158),
       MATCH(TRIM($C158), TRIM(INDIRECT($N158)), 0),
       MATCH(TRIM(G$1), TRIM(INDIRECT($O158)), 0))</f>
        <v>205</v>
      </c>
      <c r="H158" s="9" t="e" cm="1">
        <f t="array" aca="1" ref="H158" ca="1">INDEX(INDIRECT($M158),
       MATCH(TRIM($C158), TRIM(INDIRECT($N158)), 0),
       MATCH(TRIM(H$1), TRIM(INDIRECT($O158)), 0))</f>
        <v>#N/A</v>
      </c>
      <c r="I158" s="7" cm="1">
        <f t="array" aca="1" ref="I158" ca="1">INDEX(INDIRECT($M158),
       MATCH(TRIM($C158), TRIM(INDIRECT($N158)), 0),
       MATCH(TRIM(I$1), TRIM(INDIRECT($O158)), 0))</f>
        <v>218.04426457617188</v>
      </c>
      <c r="J158" s="7" cm="1">
        <f t="array" aca="1" ref="J158" ca="1">INDEX(INDIRECT($M158),
       MATCH(TRIM($C158), TRIM(INDIRECT($N158)), 0),
       MATCH(TRIM(J$1), TRIM(INDIRECT($O158)), 0))</f>
        <v>1433</v>
      </c>
      <c r="K158" s="7" cm="1">
        <f t="array" aca="1" ref="K158" ca="1">INDEX(INDIRECT($M158),
       MATCH(TRIM($C158), TRIM(INDIRECT($N158)), 0),
       MATCH(TRIM(K$1), TRIM(INDIRECT($O158)), 0))</f>
        <v>604.71704224999917</v>
      </c>
      <c r="L158" s="7" cm="1">
        <f t="array" aca="1" ref="L158" ca="1">INDEX(INDIRECT($M158),
       MATCH(TRIM($C158), TRIM(INDIRECT($N158)), 0),
       MATCH(TRIM(L$1), TRIM(INDIRECT($O158)), 0))</f>
        <v>1261.9524544361711</v>
      </c>
      <c r="M158" s="5" t="str">
        <f>_xlfn.CONCAT("'",$B158,"'","!","$C$3:$K$23")</f>
        <v>'2023'!$C$3:$K$23</v>
      </c>
      <c r="N158" s="5" t="str">
        <f>_xlfn.CONCAT("'",$B158,"'","!","$B$3:$B$22")</f>
        <v>'2023'!$B$3:$B$22</v>
      </c>
      <c r="O158" s="5" t="str">
        <f>_xlfn.CONCAT("'",$B158,"'","!","$C$2:$K$2")</f>
        <v>'2023'!$C$2:$K$2</v>
      </c>
    </row>
    <row r="159" spans="1:15" x14ac:dyDescent="0.3">
      <c r="A159">
        <v>6</v>
      </c>
      <c r="B159">
        <v>2023</v>
      </c>
      <c r="C159" t="s">
        <v>83</v>
      </c>
      <c r="D159" s="7" cm="1">
        <f t="array" aca="1" ref="D159" ca="1">INDEX(INDIRECT($M159),
       MATCH(TRIM($C159), TRIM(INDIRECT($N159)), 0),
       MATCH(TRIM(D$1), TRIM(INDIRECT($O159)), 0))</f>
        <v>19</v>
      </c>
      <c r="E159" s="9" t="e" cm="1">
        <f t="array" aca="1" ref="E159" ca="1">INDEX(INDIRECT($M159),
       MATCH(TRIM($C159), TRIM(INDIRECT($N159)), 0),
       MATCH(TRIM(E$1), TRIM(INDIRECT($O159)), 0))</f>
        <v>#N/A</v>
      </c>
      <c r="F159" s="7" cm="1">
        <f t="array" aca="1" ref="F159" ca="1">INDEX(INDIRECT($M159),
       MATCH(TRIM($C159), TRIM(INDIRECT($N159)), 0),
       MATCH(TRIM(F$1), TRIM(INDIRECT($O159)), 0))</f>
        <v>48.343621399999982</v>
      </c>
      <c r="G159" s="7" cm="1">
        <f t="array" aca="1" ref="G159" ca="1">INDEX(INDIRECT($M159),
       MATCH(TRIM($C159), TRIM(INDIRECT($N159)), 0),
       MATCH(TRIM(G$1), TRIM(INDIRECT($O159)), 0))</f>
        <v>10</v>
      </c>
      <c r="H159" s="9" t="e" cm="1">
        <f t="array" aca="1" ref="H159" ca="1">INDEX(INDIRECT($M159),
       MATCH(TRIM($C159), TRIM(INDIRECT($N159)), 0),
       MATCH(TRIM(H$1), TRIM(INDIRECT($O159)), 0))</f>
        <v>#N/A</v>
      </c>
      <c r="I159" s="7" cm="1">
        <f t="array" aca="1" ref="I159" ca="1">INDEX(INDIRECT($M159),
       MATCH(TRIM($C159), TRIM(INDIRECT($N159)), 0),
       MATCH(TRIM(I$1), TRIM(INDIRECT($O159)), 0))</f>
        <v>2.7987714499999883</v>
      </c>
      <c r="J159" s="7" cm="1">
        <f t="array" aca="1" ref="J159" ca="1">INDEX(INDIRECT($M159),
       MATCH(TRIM($C159), TRIM(INDIRECT($N159)), 0),
       MATCH(TRIM(J$1), TRIM(INDIRECT($O159)), 0))</f>
        <v>18</v>
      </c>
      <c r="K159" s="7" cm="1">
        <f t="array" aca="1" ref="K159" ca="1">INDEX(INDIRECT($M159),
       MATCH(TRIM($C159), TRIM(INDIRECT($N159)), 0),
       MATCH(TRIM(K$1), TRIM(INDIRECT($O159)), 0))</f>
        <v>10.83676869</v>
      </c>
      <c r="L159" s="7" cm="1">
        <f t="array" aca="1" ref="L159" ca="1">INDEX(INDIRECT($M159),
       MATCH(TRIM($C159), TRIM(INDIRECT($N159)), 0),
       MATCH(TRIM(L$1), TRIM(INDIRECT($O159)), 0))</f>
        <v>61.979161539999971</v>
      </c>
      <c r="M159" s="5" t="str">
        <f>_xlfn.CONCAT("'",$B159,"'","!","$C$3:$K$23")</f>
        <v>'2023'!$C$3:$K$23</v>
      </c>
      <c r="N159" s="5" t="str">
        <f>_xlfn.CONCAT("'",$B159,"'","!","$B$3:$B$22")</f>
        <v>'2023'!$B$3:$B$22</v>
      </c>
      <c r="O159" s="5" t="str">
        <f>_xlfn.CONCAT("'",$B159,"'","!","$C$2:$K$2")</f>
        <v>'2023'!$C$2:$K$2</v>
      </c>
    </row>
    <row r="160" spans="1:15" x14ac:dyDescent="0.3">
      <c r="A160">
        <v>7</v>
      </c>
      <c r="B160">
        <v>2023</v>
      </c>
      <c r="C160" t="s">
        <v>84</v>
      </c>
      <c r="D160" s="7" cm="1">
        <f t="array" aca="1" ref="D160" ca="1">INDEX(INDIRECT($M160),
       MATCH(TRIM($C160), TRIM(INDIRECT($N160)), 0),
       MATCH(TRIM(D$1), TRIM(INDIRECT($O160)), 0))</f>
        <v>403</v>
      </c>
      <c r="E160" s="9" t="e" cm="1">
        <f t="array" aca="1" ref="E160" ca="1">INDEX(INDIRECT($M160),
       MATCH(TRIM($C160), TRIM(INDIRECT($N160)), 0),
       MATCH(TRIM(E$1), TRIM(INDIRECT($O160)), 0))</f>
        <v>#N/A</v>
      </c>
      <c r="F160" s="7" cm="1">
        <f t="array" aca="1" ref="F160" ca="1">INDEX(INDIRECT($M160),
       MATCH(TRIM($C160), TRIM(INDIRECT($N160)), 0),
       MATCH(TRIM(F$1), TRIM(INDIRECT($O160)), 0))</f>
        <v>179.64483942000001</v>
      </c>
      <c r="G160" s="7" cm="1">
        <f t="array" aca="1" ref="G160" ca="1">INDEX(INDIRECT($M160),
       MATCH(TRIM($C160), TRIM(INDIRECT($N160)), 0),
       MATCH(TRIM(G$1), TRIM(INDIRECT($O160)), 0))</f>
        <v>103</v>
      </c>
      <c r="H160" s="9" t="e" cm="1">
        <f t="array" aca="1" ref="H160" ca="1">INDEX(INDIRECT($M160),
       MATCH(TRIM($C160), TRIM(INDIRECT($N160)), 0),
       MATCH(TRIM(H$1), TRIM(INDIRECT($O160)), 0))</f>
        <v>#N/A</v>
      </c>
      <c r="I160" s="7" cm="1">
        <f t="array" aca="1" ref="I160" ca="1">INDEX(INDIRECT($M160),
       MATCH(TRIM($C160), TRIM(INDIRECT($N160)), 0),
       MATCH(TRIM(I$1), TRIM(INDIRECT($O160)), 0))</f>
        <v>332.62458846875001</v>
      </c>
      <c r="J160" s="7" cm="1">
        <f t="array" aca="1" ref="J160" ca="1">INDEX(INDIRECT($M160),
       MATCH(TRIM($C160), TRIM(INDIRECT($N160)), 0),
       MATCH(TRIM(J$1), TRIM(INDIRECT($O160)), 0))</f>
        <v>531</v>
      </c>
      <c r="K160" s="7" cm="1">
        <f t="array" aca="1" ref="K160" ca="1">INDEX(INDIRECT($M160),
       MATCH(TRIM($C160), TRIM(INDIRECT($N160)), 0),
       MATCH(TRIM(K$1), TRIM(INDIRECT($O160)), 0))</f>
        <v>772.72837167000023</v>
      </c>
      <c r="L160" s="7" cm="1">
        <f t="array" aca="1" ref="L160" ca="1">INDEX(INDIRECT($M160),
       MATCH(TRIM($C160), TRIM(INDIRECT($N160)), 0),
       MATCH(TRIM(L$1), TRIM(INDIRECT($O160)), 0))</f>
        <v>1284.9977995587501</v>
      </c>
      <c r="M160" s="5" t="str">
        <f>_xlfn.CONCAT("'",$B160,"'","!","$C$3:$K$23")</f>
        <v>'2023'!$C$3:$K$23</v>
      </c>
      <c r="N160" s="5" t="str">
        <f>_xlfn.CONCAT("'",$B160,"'","!","$B$3:$B$22")</f>
        <v>'2023'!$B$3:$B$22</v>
      </c>
      <c r="O160" s="5" t="str">
        <f>_xlfn.CONCAT("'",$B160,"'","!","$C$2:$K$2")</f>
        <v>'2023'!$C$2:$K$2</v>
      </c>
    </row>
    <row r="161" spans="1:15" x14ac:dyDescent="0.3">
      <c r="A161">
        <v>8</v>
      </c>
      <c r="B161">
        <v>2023</v>
      </c>
      <c r="C161" t="s">
        <v>85</v>
      </c>
      <c r="D161" s="7" cm="1">
        <f t="array" aca="1" ref="D161" ca="1">INDEX(INDIRECT($M161),
       MATCH(TRIM($C161), TRIM(INDIRECT($N161)), 0),
       MATCH(TRIM(D$1), TRIM(INDIRECT($O161)), 0))</f>
        <v>117</v>
      </c>
      <c r="E161" s="9" t="e" cm="1">
        <f t="array" aca="1" ref="E161" ca="1">INDEX(INDIRECT($M161),
       MATCH(TRIM($C161), TRIM(INDIRECT($N161)), 0),
       MATCH(TRIM(E$1), TRIM(INDIRECT($O161)), 0))</f>
        <v>#N/A</v>
      </c>
      <c r="F161" s="7" cm="1">
        <f t="array" aca="1" ref="F161" ca="1">INDEX(INDIRECT($M161),
       MATCH(TRIM($C161), TRIM(INDIRECT($N161)), 0),
       MATCH(TRIM(F$1), TRIM(INDIRECT($O161)), 0))</f>
        <v>220.66831485999998</v>
      </c>
      <c r="G161" s="7" cm="1">
        <f t="array" aca="1" ref="G161" ca="1">INDEX(INDIRECT($M161),
       MATCH(TRIM($C161), TRIM(INDIRECT($N161)), 0),
       MATCH(TRIM(G$1), TRIM(INDIRECT($O161)), 0))</f>
        <v>37</v>
      </c>
      <c r="H161" s="9" t="e" cm="1">
        <f t="array" aca="1" ref="H161" ca="1">INDEX(INDIRECT($M161),
       MATCH(TRIM($C161), TRIM(INDIRECT($N161)), 0),
       MATCH(TRIM(H$1), TRIM(INDIRECT($O161)), 0))</f>
        <v>#N/A</v>
      </c>
      <c r="I161" s="7" cm="1">
        <f t="array" aca="1" ref="I161" ca="1">INDEX(INDIRECT($M161),
       MATCH(TRIM($C161), TRIM(INDIRECT($N161)), 0),
       MATCH(TRIM(I$1), TRIM(INDIRECT($O161)), 0))</f>
        <v>92.714438070312497</v>
      </c>
      <c r="J161" s="7" cm="1">
        <f t="array" aca="1" ref="J161" ca="1">INDEX(INDIRECT($M161),
       MATCH(TRIM($C161), TRIM(INDIRECT($N161)), 0),
       MATCH(TRIM(J$1), TRIM(INDIRECT($O161)), 0))</f>
        <v>138</v>
      </c>
      <c r="K161" s="7" cm="1">
        <f t="array" aca="1" ref="K161" ca="1">INDEX(INDIRECT($M161),
       MATCH(TRIM($C161), TRIM(INDIRECT($N161)), 0),
       MATCH(TRIM(K$1), TRIM(INDIRECT($O161)), 0))</f>
        <v>150.39830835000001</v>
      </c>
      <c r="L161" s="7" cm="1">
        <f t="array" aca="1" ref="L161" ca="1">INDEX(INDIRECT($M161),
       MATCH(TRIM($C161), TRIM(INDIRECT($N161)), 0),
       MATCH(TRIM(L$1), TRIM(INDIRECT($O161)), 0))</f>
        <v>463.78106128031243</v>
      </c>
      <c r="M161" s="5" t="str">
        <f>_xlfn.CONCAT("'",$B161,"'","!","$C$3:$K$23")</f>
        <v>'2023'!$C$3:$K$23</v>
      </c>
      <c r="N161" s="5" t="str">
        <f>_xlfn.CONCAT("'",$B161,"'","!","$B$3:$B$22")</f>
        <v>'2023'!$B$3:$B$22</v>
      </c>
      <c r="O161" s="5" t="str">
        <f>_xlfn.CONCAT("'",$B161,"'","!","$C$2:$K$2")</f>
        <v>'2023'!$C$2:$K$2</v>
      </c>
    </row>
    <row r="162" spans="1:15" x14ac:dyDescent="0.3">
      <c r="A162">
        <v>9</v>
      </c>
      <c r="B162">
        <v>2023</v>
      </c>
      <c r="C162" t="s">
        <v>86</v>
      </c>
      <c r="D162" s="7" cm="1">
        <f t="array" aca="1" ref="D162" ca="1">INDEX(INDIRECT($M162),
       MATCH(TRIM($C162), TRIM(INDIRECT($N162)), 0),
       MATCH(TRIM(D$1), TRIM(INDIRECT($O162)), 0))</f>
        <v>62</v>
      </c>
      <c r="E162" s="9" t="e" cm="1">
        <f t="array" aca="1" ref="E162" ca="1">INDEX(INDIRECT($M162),
       MATCH(TRIM($C162), TRIM(INDIRECT($N162)), 0),
       MATCH(TRIM(E$1), TRIM(INDIRECT($O162)), 0))</f>
        <v>#N/A</v>
      </c>
      <c r="F162" s="7" cm="1">
        <f t="array" aca="1" ref="F162" ca="1">INDEX(INDIRECT($M162),
       MATCH(TRIM($C162), TRIM(INDIRECT($N162)), 0),
       MATCH(TRIM(F$1), TRIM(INDIRECT($O162)), 0))</f>
        <v>30.761109950000002</v>
      </c>
      <c r="G162" s="7" cm="1">
        <f t="array" aca="1" ref="G162" ca="1">INDEX(INDIRECT($M162),
       MATCH(TRIM($C162), TRIM(INDIRECT($N162)), 0),
       MATCH(TRIM(G$1), TRIM(INDIRECT($O162)), 0))</f>
        <v>19</v>
      </c>
      <c r="H162" s="9" t="e" cm="1">
        <f t="array" aca="1" ref="H162" ca="1">INDEX(INDIRECT($M162),
       MATCH(TRIM($C162), TRIM(INDIRECT($N162)), 0),
       MATCH(TRIM(H$1), TRIM(INDIRECT($O162)), 0))</f>
        <v>#N/A</v>
      </c>
      <c r="I162" s="7" cm="1">
        <f t="array" aca="1" ref="I162" ca="1">INDEX(INDIRECT($M162),
       MATCH(TRIM($C162), TRIM(INDIRECT($N162)), 0),
       MATCH(TRIM(I$1), TRIM(INDIRECT($O162)), 0))</f>
        <v>8.9401307109375008</v>
      </c>
      <c r="J162" s="7" cm="1">
        <f t="array" aca="1" ref="J162" ca="1">INDEX(INDIRECT($M162),
       MATCH(TRIM($C162), TRIM(INDIRECT($N162)), 0),
       MATCH(TRIM(J$1), TRIM(INDIRECT($O162)), 0))</f>
        <v>188</v>
      </c>
      <c r="K162" s="7" cm="1">
        <f t="array" aca="1" ref="K162" ca="1">INDEX(INDIRECT($M162),
       MATCH(TRIM($C162), TRIM(INDIRECT($N162)), 0),
       MATCH(TRIM(K$1), TRIM(INDIRECT($O162)), 0))</f>
        <v>44.333561060000015</v>
      </c>
      <c r="L162" s="7" cm="1">
        <f t="array" aca="1" ref="L162" ca="1">INDEX(INDIRECT($M162),
       MATCH(TRIM($C162), TRIM(INDIRECT($N162)), 0),
       MATCH(TRIM(L$1), TRIM(INDIRECT($O162)), 0))</f>
        <v>84.034801720937509</v>
      </c>
      <c r="M162" s="5" t="str">
        <f>_xlfn.CONCAT("'",$B162,"'","!","$C$3:$K$23")</f>
        <v>'2023'!$C$3:$K$23</v>
      </c>
      <c r="N162" s="5" t="str">
        <f>_xlfn.CONCAT("'",$B162,"'","!","$B$3:$B$22")</f>
        <v>'2023'!$B$3:$B$22</v>
      </c>
      <c r="O162" s="5" t="str">
        <f>_xlfn.CONCAT("'",$B162,"'","!","$C$2:$K$2")</f>
        <v>'2023'!$C$2:$K$2</v>
      </c>
    </row>
    <row r="163" spans="1:15" x14ac:dyDescent="0.3">
      <c r="A163">
        <v>10</v>
      </c>
      <c r="B163">
        <v>2023</v>
      </c>
      <c r="C163" t="s">
        <v>87</v>
      </c>
      <c r="D163" s="7" cm="1">
        <f t="array" aca="1" ref="D163" ca="1">INDEX(INDIRECT($M163),
       MATCH(TRIM($C163), TRIM(INDIRECT($N163)), 0),
       MATCH(TRIM(D$1), TRIM(INDIRECT($O163)), 0))</f>
        <v>291</v>
      </c>
      <c r="E163" s="9" t="e" cm="1">
        <f t="array" aca="1" ref="E163" ca="1">INDEX(INDIRECT($M163),
       MATCH(TRIM($C163), TRIM(INDIRECT($N163)), 0),
       MATCH(TRIM(E$1), TRIM(INDIRECT($O163)), 0))</f>
        <v>#N/A</v>
      </c>
      <c r="F163" s="7" cm="1">
        <f t="array" aca="1" ref="F163" ca="1">INDEX(INDIRECT($M163),
       MATCH(TRIM($C163), TRIM(INDIRECT($N163)), 0),
       MATCH(TRIM(F$1), TRIM(INDIRECT($O163)), 0))</f>
        <v>51.2928645</v>
      </c>
      <c r="G163" s="7" cm="1">
        <f t="array" aca="1" ref="G163" ca="1">INDEX(INDIRECT($M163),
       MATCH(TRIM($C163), TRIM(INDIRECT($N163)), 0),
       MATCH(TRIM(G$1), TRIM(INDIRECT($O163)), 0))</f>
        <v>73</v>
      </c>
      <c r="H163" s="9" t="e" cm="1">
        <f t="array" aca="1" ref="H163" ca="1">INDEX(INDIRECT($M163),
       MATCH(TRIM($C163), TRIM(INDIRECT($N163)), 0),
       MATCH(TRIM(H$1), TRIM(INDIRECT($O163)), 0))</f>
        <v>#N/A</v>
      </c>
      <c r="I163" s="7" cm="1">
        <f t="array" aca="1" ref="I163" ca="1">INDEX(INDIRECT($M163),
       MATCH(TRIM($C163), TRIM(INDIRECT($N163)), 0),
       MATCH(TRIM(I$1), TRIM(INDIRECT($O163)), 0))</f>
        <v>176.00148515625</v>
      </c>
      <c r="J163" s="7" cm="1">
        <f t="array" aca="1" ref="J163" ca="1">INDEX(INDIRECT($M163),
       MATCH(TRIM($C163), TRIM(INDIRECT($N163)), 0),
       MATCH(TRIM(J$1), TRIM(INDIRECT($O163)), 0))</f>
        <v>265</v>
      </c>
      <c r="K163" s="7" cm="1">
        <f t="array" aca="1" ref="K163" ca="1">INDEX(INDIRECT($M163),
       MATCH(TRIM($C163), TRIM(INDIRECT($N163)), 0),
       MATCH(TRIM(K$1), TRIM(INDIRECT($O163)), 0))</f>
        <v>189.25332861999993</v>
      </c>
      <c r="L163" s="7" cm="1">
        <f t="array" aca="1" ref="L163" ca="1">INDEX(INDIRECT($M163),
       MATCH(TRIM($C163), TRIM(INDIRECT($N163)), 0),
       MATCH(TRIM(L$1), TRIM(INDIRECT($O163)), 0))</f>
        <v>416.54767827624994</v>
      </c>
      <c r="M163" s="5" t="str">
        <f>_xlfn.CONCAT("'",$B163,"'","!","$C$3:$K$23")</f>
        <v>'2023'!$C$3:$K$23</v>
      </c>
      <c r="N163" s="5" t="str">
        <f>_xlfn.CONCAT("'",$B163,"'","!","$B$3:$B$22")</f>
        <v>'2023'!$B$3:$B$22</v>
      </c>
      <c r="O163" s="5" t="str">
        <f>_xlfn.CONCAT("'",$B163,"'","!","$C$2:$K$2")</f>
        <v>'2023'!$C$2:$K$2</v>
      </c>
    </row>
    <row r="164" spans="1:15" x14ac:dyDescent="0.3">
      <c r="A164">
        <v>11</v>
      </c>
      <c r="B164">
        <v>2023</v>
      </c>
      <c r="C164" t="s">
        <v>88</v>
      </c>
      <c r="D164" s="7" cm="1">
        <f t="array" aca="1" ref="D164" ca="1">INDEX(INDIRECT($M164),
       MATCH(TRIM($C164), TRIM(INDIRECT($N164)), 0),
       MATCH(TRIM(D$1), TRIM(INDIRECT($O164)), 0))</f>
        <v>59</v>
      </c>
      <c r="E164" s="9" t="e" cm="1">
        <f t="array" aca="1" ref="E164" ca="1">INDEX(INDIRECT($M164),
       MATCH(TRIM($C164), TRIM(INDIRECT($N164)), 0),
       MATCH(TRIM(E$1), TRIM(INDIRECT($O164)), 0))</f>
        <v>#N/A</v>
      </c>
      <c r="F164" s="7" cm="1">
        <f t="array" aca="1" ref="F164" ca="1">INDEX(INDIRECT($M164),
       MATCH(TRIM($C164), TRIM(INDIRECT($N164)), 0),
       MATCH(TRIM(F$1), TRIM(INDIRECT($O164)), 0))</f>
        <v>23.156375280000002</v>
      </c>
      <c r="G164" s="7" cm="1">
        <f t="array" aca="1" ref="G164" ca="1">INDEX(INDIRECT($M164),
       MATCH(TRIM($C164), TRIM(INDIRECT($N164)), 0),
       MATCH(TRIM(G$1), TRIM(INDIRECT($O164)), 0))</f>
        <v>13</v>
      </c>
      <c r="H164" s="9" t="e" cm="1">
        <f t="array" aca="1" ref="H164" ca="1">INDEX(INDIRECT($M164),
       MATCH(TRIM($C164), TRIM(INDIRECT($N164)), 0),
       MATCH(TRIM(H$1), TRIM(INDIRECT($O164)), 0))</f>
        <v>#N/A</v>
      </c>
      <c r="I164" s="7" cm="1">
        <f t="array" aca="1" ref="I164" ca="1">INDEX(INDIRECT($M164),
       MATCH(TRIM($C164), TRIM(INDIRECT($N164)), 0),
       MATCH(TRIM(I$1), TRIM(INDIRECT($O164)), 0))</f>
        <v>5.4698305781250003</v>
      </c>
      <c r="J164" s="7" cm="1">
        <f t="array" aca="1" ref="J164" ca="1">INDEX(INDIRECT($M164),
       MATCH(TRIM($C164), TRIM(INDIRECT($N164)), 0),
       MATCH(TRIM(J$1), TRIM(INDIRECT($O164)), 0))</f>
        <v>89</v>
      </c>
      <c r="K164" s="7" cm="1">
        <f t="array" aca="1" ref="K164" ca="1">INDEX(INDIRECT($M164),
       MATCH(TRIM($C164), TRIM(INDIRECT($N164)), 0),
       MATCH(TRIM(K$1), TRIM(INDIRECT($O164)), 0))</f>
        <v>29.986236049999992</v>
      </c>
      <c r="L164" s="7" cm="1">
        <f t="array" aca="1" ref="L164" ca="1">INDEX(INDIRECT($M164),
       MATCH(TRIM($C164), TRIM(INDIRECT($N164)), 0),
       MATCH(TRIM(L$1), TRIM(INDIRECT($O164)), 0))</f>
        <v>58.612441908124993</v>
      </c>
      <c r="M164" s="5" t="str">
        <f>_xlfn.CONCAT("'",$B164,"'","!","$C$3:$K$23")</f>
        <v>'2023'!$C$3:$K$23</v>
      </c>
      <c r="N164" s="5" t="str">
        <f>_xlfn.CONCAT("'",$B164,"'","!","$B$3:$B$22")</f>
        <v>'2023'!$B$3:$B$22</v>
      </c>
      <c r="O164" s="5" t="str">
        <f>_xlfn.CONCAT("'",$B164,"'","!","$C$2:$K$2")</f>
        <v>'2023'!$C$2:$K$2</v>
      </c>
    </row>
    <row r="165" spans="1:15" x14ac:dyDescent="0.3">
      <c r="A165">
        <v>12</v>
      </c>
      <c r="B165">
        <v>2023</v>
      </c>
      <c r="C165" t="s">
        <v>89</v>
      </c>
      <c r="D165" s="7" cm="1">
        <f t="array" aca="1" ref="D165" ca="1">INDEX(INDIRECT($M165),
       MATCH(TRIM($C165), TRIM(INDIRECT($N165)), 0),
       MATCH(TRIM(D$1), TRIM(INDIRECT($O165)), 0))</f>
        <v>8</v>
      </c>
      <c r="E165" s="9" t="e" cm="1">
        <f t="array" aca="1" ref="E165" ca="1">INDEX(INDIRECT($M165),
       MATCH(TRIM($C165), TRIM(INDIRECT($N165)), 0),
       MATCH(TRIM(E$1), TRIM(INDIRECT($O165)), 0))</f>
        <v>#N/A</v>
      </c>
      <c r="F165" s="7" cm="1">
        <f t="array" aca="1" ref="F165" ca="1">INDEX(INDIRECT($M165),
       MATCH(TRIM($C165), TRIM(INDIRECT($N165)), 0),
       MATCH(TRIM(F$1), TRIM(INDIRECT($O165)), 0))</f>
        <v>43.870513000000003</v>
      </c>
      <c r="G165" s="7" cm="1">
        <f t="array" aca="1" ref="G165" ca="1">INDEX(INDIRECT($M165),
       MATCH(TRIM($C165), TRIM(INDIRECT($N165)), 0),
       MATCH(TRIM(G$1), TRIM(INDIRECT($O165)), 0))</f>
        <v>2</v>
      </c>
      <c r="H165" s="9" t="e" cm="1">
        <f t="array" aca="1" ref="H165" ca="1">INDEX(INDIRECT($M165),
       MATCH(TRIM($C165), TRIM(INDIRECT($N165)), 0),
       MATCH(TRIM(H$1), TRIM(INDIRECT($O165)), 0))</f>
        <v>#N/A</v>
      </c>
      <c r="I165" s="7" cm="1">
        <f t="array" aca="1" ref="I165" ca="1">INDEX(INDIRECT($M165),
       MATCH(TRIM($C165), TRIM(INDIRECT($N165)), 0),
       MATCH(TRIM(I$1), TRIM(INDIRECT($O165)), 0))</f>
        <v>0.19500000000000001</v>
      </c>
      <c r="J165" s="7" cm="1">
        <f t="array" aca="1" ref="J165" ca="1">INDEX(INDIRECT($M165),
       MATCH(TRIM($C165), TRIM(INDIRECT($N165)), 0),
       MATCH(TRIM(J$1), TRIM(INDIRECT($O165)), 0))</f>
        <v>15</v>
      </c>
      <c r="K165" s="7" cm="1">
        <f t="array" aca="1" ref="K165" ca="1">INDEX(INDIRECT($M165),
       MATCH(TRIM($C165), TRIM(INDIRECT($N165)), 0),
       MATCH(TRIM(K$1), TRIM(INDIRECT($O165)), 0))</f>
        <v>1.5176263700000001</v>
      </c>
      <c r="L165" s="7" cm="1">
        <f t="array" aca="1" ref="L165" ca="1">INDEX(INDIRECT($M165),
       MATCH(TRIM($C165), TRIM(INDIRECT($N165)), 0),
       MATCH(TRIM(L$1), TRIM(INDIRECT($O165)), 0))</f>
        <v>45.583139370000005</v>
      </c>
      <c r="M165" s="5" t="str">
        <f>_xlfn.CONCAT("'",$B165,"'","!","$C$3:$K$23")</f>
        <v>'2023'!$C$3:$K$23</v>
      </c>
      <c r="N165" s="5" t="str">
        <f>_xlfn.CONCAT("'",$B165,"'","!","$B$3:$B$22")</f>
        <v>'2023'!$B$3:$B$22</v>
      </c>
      <c r="O165" s="5" t="str">
        <f>_xlfn.CONCAT("'",$B165,"'","!","$C$2:$K$2")</f>
        <v>'2023'!$C$2:$K$2</v>
      </c>
    </row>
    <row r="166" spans="1:15" x14ac:dyDescent="0.3">
      <c r="A166">
        <v>13</v>
      </c>
      <c r="B166">
        <v>2023</v>
      </c>
      <c r="C166" t="s">
        <v>90</v>
      </c>
      <c r="D166" s="7" cm="1">
        <f t="array" aca="1" ref="D166" ca="1">INDEX(INDIRECT($M166),
       MATCH(TRIM($C166), TRIM(INDIRECT($N166)), 0),
       MATCH(TRIM(D$1), TRIM(INDIRECT($O166)), 0))</f>
        <v>69</v>
      </c>
      <c r="E166" s="9" t="e" cm="1">
        <f t="array" aca="1" ref="E166" ca="1">INDEX(INDIRECT($M166),
       MATCH(TRIM($C166), TRIM(INDIRECT($N166)), 0),
       MATCH(TRIM(E$1), TRIM(INDIRECT($O166)), 0))</f>
        <v>#N/A</v>
      </c>
      <c r="F166" s="7" cm="1">
        <f t="array" aca="1" ref="F166" ca="1">INDEX(INDIRECT($M166),
       MATCH(TRIM($C166), TRIM(INDIRECT($N166)), 0),
       MATCH(TRIM(F$1), TRIM(INDIRECT($O166)), 0))</f>
        <v>13.182506829999999</v>
      </c>
      <c r="G166" s="7" cm="1">
        <f t="array" aca="1" ref="G166" ca="1">INDEX(INDIRECT($M166),
       MATCH(TRIM($C166), TRIM(INDIRECT($N166)), 0),
       MATCH(TRIM(G$1), TRIM(INDIRECT($O166)), 0))</f>
        <v>10</v>
      </c>
      <c r="H166" s="9" t="e" cm="1">
        <f t="array" aca="1" ref="H166" ca="1">INDEX(INDIRECT($M166),
       MATCH(TRIM($C166), TRIM(INDIRECT($N166)), 0),
       MATCH(TRIM(H$1), TRIM(INDIRECT($O166)), 0))</f>
        <v>#N/A</v>
      </c>
      <c r="I166" s="7" cm="1">
        <f t="array" aca="1" ref="I166" ca="1">INDEX(INDIRECT($M166),
       MATCH(TRIM($C166), TRIM(INDIRECT($N166)), 0),
       MATCH(TRIM(I$1), TRIM(INDIRECT($O166)), 0))</f>
        <v>18.764433656249999</v>
      </c>
      <c r="J166" s="7" cm="1">
        <f t="array" aca="1" ref="J166" ca="1">INDEX(INDIRECT($M166),
       MATCH(TRIM($C166), TRIM(INDIRECT($N166)), 0),
       MATCH(TRIM(J$1), TRIM(INDIRECT($O166)), 0))</f>
        <v>32</v>
      </c>
      <c r="K166" s="7" cm="1">
        <f t="array" aca="1" ref="K166" ca="1">INDEX(INDIRECT($M166),
       MATCH(TRIM($C166), TRIM(INDIRECT($N166)), 0),
       MATCH(TRIM(K$1), TRIM(INDIRECT($O166)), 0))</f>
        <v>15.563057580000002</v>
      </c>
      <c r="L166" s="7" cm="1">
        <f t="array" aca="1" ref="L166" ca="1">INDEX(INDIRECT($M166),
       MATCH(TRIM($C166), TRIM(INDIRECT($N166)), 0),
       MATCH(TRIM(L$1), TRIM(INDIRECT($O166)), 0))</f>
        <v>47.509998066250006</v>
      </c>
      <c r="M166" s="5" t="str">
        <f>_xlfn.CONCAT("'",$B166,"'","!","$C$3:$K$23")</f>
        <v>'2023'!$C$3:$K$23</v>
      </c>
      <c r="N166" s="5" t="str">
        <f>_xlfn.CONCAT("'",$B166,"'","!","$B$3:$B$22")</f>
        <v>'2023'!$B$3:$B$22</v>
      </c>
      <c r="O166" s="5" t="str">
        <f>_xlfn.CONCAT("'",$B166,"'","!","$C$2:$K$2")</f>
        <v>'2023'!$C$2:$K$2</v>
      </c>
    </row>
    <row r="167" spans="1:15" x14ac:dyDescent="0.3">
      <c r="A167">
        <v>14</v>
      </c>
      <c r="B167">
        <v>2023</v>
      </c>
      <c r="C167" t="s">
        <v>91</v>
      </c>
      <c r="D167" s="7" cm="1">
        <f t="array" aca="1" ref="D167" ca="1">INDEX(INDIRECT($M167),
       MATCH(TRIM($C167), TRIM(INDIRECT($N167)), 0),
       MATCH(TRIM(D$1), TRIM(INDIRECT($O167)), 0))</f>
        <v>3</v>
      </c>
      <c r="E167" s="9" t="e" cm="1">
        <f t="array" aca="1" ref="E167" ca="1">INDEX(INDIRECT($M167),
       MATCH(TRIM($C167), TRIM(INDIRECT($N167)), 0),
       MATCH(TRIM(E$1), TRIM(INDIRECT($O167)), 0))</f>
        <v>#N/A</v>
      </c>
      <c r="F167" s="7" cm="1">
        <f t="array" aca="1" ref="F167" ca="1">INDEX(INDIRECT($M167),
       MATCH(TRIM($C167), TRIM(INDIRECT($N167)), 0),
       MATCH(TRIM(F$1), TRIM(INDIRECT($O167)), 0))</f>
        <v>115.750417</v>
      </c>
      <c r="G167" s="7" cm="1">
        <f t="array" aca="1" ref="G167" ca="1">INDEX(INDIRECT($M167),
       MATCH(TRIM($C167), TRIM(INDIRECT($N167)), 0),
       MATCH(TRIM(G$1), TRIM(INDIRECT($O167)), 0))</f>
        <v>0</v>
      </c>
      <c r="H167" s="9" t="e" cm="1">
        <f t="array" aca="1" ref="H167" ca="1">INDEX(INDIRECT($M167),
       MATCH(TRIM($C167), TRIM(INDIRECT($N167)), 0),
       MATCH(TRIM(H$1), TRIM(INDIRECT($O167)), 0))</f>
        <v>#N/A</v>
      </c>
      <c r="I167" s="7" cm="1">
        <f t="array" aca="1" ref="I167" ca="1">INDEX(INDIRECT($M167),
       MATCH(TRIM($C167), TRIM(INDIRECT($N167)), 0),
       MATCH(TRIM(I$1), TRIM(INDIRECT($O167)), 0))</f>
        <v>0</v>
      </c>
      <c r="J167" s="7" cm="1">
        <f t="array" aca="1" ref="J167" ca="1">INDEX(INDIRECT($M167),
       MATCH(TRIM($C167), TRIM(INDIRECT($N167)), 0),
       MATCH(TRIM(J$1), TRIM(INDIRECT($O167)), 0))</f>
        <v>3</v>
      </c>
      <c r="K167" s="7" cm="1">
        <f t="array" aca="1" ref="K167" ca="1">INDEX(INDIRECT($M167),
       MATCH(TRIM($C167), TRIM(INDIRECT($N167)), 0),
       MATCH(TRIM(K$1), TRIM(INDIRECT($O167)), 0))</f>
        <v>0.42789474999999999</v>
      </c>
      <c r="L167" s="7" cm="1">
        <f t="array" aca="1" ref="L167" ca="1">INDEX(INDIRECT($M167),
       MATCH(TRIM($C167), TRIM(INDIRECT($N167)), 0),
       MATCH(TRIM(L$1), TRIM(INDIRECT($O167)), 0))</f>
        <v>116.17831174999999</v>
      </c>
      <c r="M167" s="5" t="str">
        <f>_xlfn.CONCAT("'",$B167,"'","!","$C$3:$K$23")</f>
        <v>'2023'!$C$3:$K$23</v>
      </c>
      <c r="N167" s="5" t="str">
        <f>_xlfn.CONCAT("'",$B167,"'","!","$B$3:$B$22")</f>
        <v>'2023'!$B$3:$B$22</v>
      </c>
      <c r="O167" s="5" t="str">
        <f>_xlfn.CONCAT("'",$B167,"'","!","$C$2:$K$2")</f>
        <v>'2023'!$C$2:$K$2</v>
      </c>
    </row>
    <row r="168" spans="1:15" x14ac:dyDescent="0.3">
      <c r="A168">
        <v>15</v>
      </c>
      <c r="B168">
        <v>2023</v>
      </c>
      <c r="C168" t="s">
        <v>92</v>
      </c>
      <c r="D168" s="7" cm="1">
        <f t="array" aca="1" ref="D168" ca="1">INDEX(INDIRECT($M168),
       MATCH(TRIM($C168), TRIM(INDIRECT($N168)), 0),
       MATCH(TRIM(D$1), TRIM(INDIRECT($O168)), 0))</f>
        <v>4</v>
      </c>
      <c r="E168" s="9" t="e" cm="1">
        <f t="array" aca="1" ref="E168" ca="1">INDEX(INDIRECT($M168),
       MATCH(TRIM($C168), TRIM(INDIRECT($N168)), 0),
       MATCH(TRIM(E$1), TRIM(INDIRECT($O168)), 0))</f>
        <v>#N/A</v>
      </c>
      <c r="F168" s="7" cm="1">
        <f t="array" aca="1" ref="F168" ca="1">INDEX(INDIRECT($M168),
       MATCH(TRIM($C168), TRIM(INDIRECT($N168)), 0),
       MATCH(TRIM(F$1), TRIM(INDIRECT($O168)), 0))</f>
        <v>7.05</v>
      </c>
      <c r="G168" s="7" cm="1">
        <f t="array" aca="1" ref="G168" ca="1">INDEX(INDIRECT($M168),
       MATCH(TRIM($C168), TRIM(INDIRECT($N168)), 0),
       MATCH(TRIM(G$1), TRIM(INDIRECT($O168)), 0))</f>
        <v>6</v>
      </c>
      <c r="H168" s="9" t="e" cm="1">
        <f t="array" aca="1" ref="H168" ca="1">INDEX(INDIRECT($M168),
       MATCH(TRIM($C168), TRIM(INDIRECT($N168)), 0),
       MATCH(TRIM(H$1), TRIM(INDIRECT($O168)), 0))</f>
        <v>#N/A</v>
      </c>
      <c r="I168" s="7" cm="1">
        <f t="array" aca="1" ref="I168" ca="1">INDEX(INDIRECT($M168),
       MATCH(TRIM($C168), TRIM(INDIRECT($N168)), 0),
       MATCH(TRIM(I$1), TRIM(INDIRECT($O168)), 0))</f>
        <v>8.0470070000000007</v>
      </c>
      <c r="J168" s="7" cm="1">
        <f t="array" aca="1" ref="J168" ca="1">INDEX(INDIRECT($M168),
       MATCH(TRIM($C168), TRIM(INDIRECT($N168)), 0),
       MATCH(TRIM(J$1), TRIM(INDIRECT($O168)), 0))</f>
        <v>11</v>
      </c>
      <c r="K168" s="7" cm="1">
        <f t="array" aca="1" ref="K168" ca="1">INDEX(INDIRECT($M168),
       MATCH(TRIM($C168), TRIM(INDIRECT($N168)), 0),
       MATCH(TRIM(K$1), TRIM(INDIRECT($O168)), 0))</f>
        <v>347.29642608</v>
      </c>
      <c r="L168" s="7" cm="1">
        <f t="array" aca="1" ref="L168" ca="1">INDEX(INDIRECT($M168),
       MATCH(TRIM($C168), TRIM(INDIRECT($N168)), 0),
       MATCH(TRIM(L$1), TRIM(INDIRECT($O168)), 0))</f>
        <v>362.39343308000002</v>
      </c>
      <c r="M168" s="5" t="str">
        <f>_xlfn.CONCAT("'",$B168,"'","!","$C$3:$K$23")</f>
        <v>'2023'!$C$3:$K$23</v>
      </c>
      <c r="N168" s="5" t="str">
        <f>_xlfn.CONCAT("'",$B168,"'","!","$B$3:$B$22")</f>
        <v>'2023'!$B$3:$B$22</v>
      </c>
      <c r="O168" s="5" t="str">
        <f>_xlfn.CONCAT("'",$B168,"'","!","$C$2:$K$2")</f>
        <v>'2023'!$C$2:$K$2</v>
      </c>
    </row>
    <row r="169" spans="1:15" x14ac:dyDescent="0.3">
      <c r="A169">
        <v>16</v>
      </c>
      <c r="B169">
        <v>2023</v>
      </c>
      <c r="C169" t="s">
        <v>93</v>
      </c>
      <c r="D169" s="7" cm="1">
        <f t="array" aca="1" ref="D169" ca="1">INDEX(INDIRECT($M169),
       MATCH(TRIM($C169), TRIM(INDIRECT($N169)), 0),
       MATCH(TRIM(D$1), TRIM(INDIRECT($O169)), 0))</f>
        <v>0</v>
      </c>
      <c r="E169" s="9" t="e" cm="1">
        <f t="array" aca="1" ref="E169" ca="1">INDEX(INDIRECT($M169),
       MATCH(TRIM($C169), TRIM(INDIRECT($N169)), 0),
       MATCH(TRIM(E$1), TRIM(INDIRECT($O169)), 0))</f>
        <v>#N/A</v>
      </c>
      <c r="F169" s="7" cm="1">
        <f t="array" aca="1" ref="F169" ca="1">INDEX(INDIRECT($M169),
       MATCH(TRIM($C169), TRIM(INDIRECT($N169)), 0),
       MATCH(TRIM(F$1), TRIM(INDIRECT($O169)), 0))</f>
        <v>0</v>
      </c>
      <c r="G169" s="7" cm="1">
        <f t="array" aca="1" ref="G169" ca="1">INDEX(INDIRECT($M169),
       MATCH(TRIM($C169), TRIM(INDIRECT($N169)), 0),
       MATCH(TRIM(G$1), TRIM(INDIRECT($O169)), 0))</f>
        <v>0</v>
      </c>
      <c r="H169" s="9" t="e" cm="1">
        <f t="array" aca="1" ref="H169" ca="1">INDEX(INDIRECT($M169),
       MATCH(TRIM($C169), TRIM(INDIRECT($N169)), 0),
       MATCH(TRIM(H$1), TRIM(INDIRECT($O169)), 0))</f>
        <v>#N/A</v>
      </c>
      <c r="I169" s="7" cm="1">
        <f t="array" aca="1" ref="I169" ca="1">INDEX(INDIRECT($M169),
       MATCH(TRIM($C169), TRIM(INDIRECT($N169)), 0),
       MATCH(TRIM(I$1), TRIM(INDIRECT($O169)), 0))</f>
        <v>0</v>
      </c>
      <c r="J169" s="7" cm="1">
        <f t="array" aca="1" ref="J169" ca="1">INDEX(INDIRECT($M169),
       MATCH(TRIM($C169), TRIM(INDIRECT($N169)), 0),
       MATCH(TRIM(J$1), TRIM(INDIRECT($O169)), 0))</f>
        <v>3</v>
      </c>
      <c r="K169" s="7" cm="1">
        <f t="array" aca="1" ref="K169" ca="1">INDEX(INDIRECT($M169),
       MATCH(TRIM($C169), TRIM(INDIRECT($N169)), 0),
       MATCH(TRIM(K$1), TRIM(INDIRECT($O169)), 0))</f>
        <v>1.02872326</v>
      </c>
      <c r="L169" s="7" cm="1">
        <f t="array" aca="1" ref="L169" ca="1">INDEX(INDIRECT($M169),
       MATCH(TRIM($C169), TRIM(INDIRECT($N169)), 0),
       MATCH(TRIM(L$1), TRIM(INDIRECT($O169)), 0))</f>
        <v>1.02872326</v>
      </c>
      <c r="M169" s="5" t="str">
        <f>_xlfn.CONCAT("'",$B169,"'","!","$C$3:$K$23")</f>
        <v>'2023'!$C$3:$K$23</v>
      </c>
      <c r="N169" s="5" t="str">
        <f>_xlfn.CONCAT("'",$B169,"'","!","$B$3:$B$22")</f>
        <v>'2023'!$B$3:$B$22</v>
      </c>
      <c r="O169" s="5" t="str">
        <f>_xlfn.CONCAT("'",$B169,"'","!","$C$2:$K$2")</f>
        <v>'2023'!$C$2:$K$2</v>
      </c>
    </row>
    <row r="170" spans="1:15" x14ac:dyDescent="0.3">
      <c r="A170">
        <v>17</v>
      </c>
      <c r="B170">
        <v>2023</v>
      </c>
      <c r="C170" t="s">
        <v>94</v>
      </c>
      <c r="D170" s="7" cm="1">
        <f t="array" aca="1" ref="D170" ca="1">INDEX(INDIRECT($M170),
       MATCH(TRIM($C170), TRIM(INDIRECT($N170)), 0),
       MATCH(TRIM(D$1), TRIM(INDIRECT($O170)), 0))</f>
        <v>5</v>
      </c>
      <c r="E170" s="9" t="e" cm="1">
        <f t="array" aca="1" ref="E170" ca="1">INDEX(INDIRECT($M170),
       MATCH(TRIM($C170), TRIM(INDIRECT($N170)), 0),
       MATCH(TRIM(E$1), TRIM(INDIRECT($O170)), 0))</f>
        <v>#N/A</v>
      </c>
      <c r="F170" s="7" cm="1">
        <f t="array" aca="1" ref="F170" ca="1">INDEX(INDIRECT($M170),
       MATCH(TRIM($C170), TRIM(INDIRECT($N170)), 0),
       MATCH(TRIM(F$1), TRIM(INDIRECT($O170)), 0))</f>
        <v>7.3857106699999999</v>
      </c>
      <c r="G170" s="7" cm="1">
        <f t="array" aca="1" ref="G170" ca="1">INDEX(INDIRECT($M170),
       MATCH(TRIM($C170), TRIM(INDIRECT($N170)), 0),
       MATCH(TRIM(G$1), TRIM(INDIRECT($O170)), 0))</f>
        <v>0</v>
      </c>
      <c r="H170" s="9" t="e" cm="1">
        <f t="array" aca="1" ref="H170" ca="1">INDEX(INDIRECT($M170),
       MATCH(TRIM($C170), TRIM(INDIRECT($N170)), 0),
       MATCH(TRIM(H$1), TRIM(INDIRECT($O170)), 0))</f>
        <v>#N/A</v>
      </c>
      <c r="I170" s="7" cm="1">
        <f t="array" aca="1" ref="I170" ca="1">INDEX(INDIRECT($M170),
       MATCH(TRIM($C170), TRIM(INDIRECT($N170)), 0),
       MATCH(TRIM(I$1), TRIM(INDIRECT($O170)), 0))</f>
        <v>0</v>
      </c>
      <c r="J170" s="7" cm="1">
        <f t="array" aca="1" ref="J170" ca="1">INDEX(INDIRECT($M170),
       MATCH(TRIM($C170), TRIM(INDIRECT($N170)), 0),
       MATCH(TRIM(J$1), TRIM(INDIRECT($O170)), 0))</f>
        <v>10</v>
      </c>
      <c r="K170" s="7" cm="1">
        <f t="array" aca="1" ref="K170" ca="1">INDEX(INDIRECT($M170),
       MATCH(TRIM($C170), TRIM(INDIRECT($N170)), 0),
       MATCH(TRIM(K$1), TRIM(INDIRECT($O170)), 0))</f>
        <v>6.2367834999999996</v>
      </c>
      <c r="L170" s="7" cm="1">
        <f t="array" aca="1" ref="L170" ca="1">INDEX(INDIRECT($M170),
       MATCH(TRIM($C170), TRIM(INDIRECT($N170)), 0),
       MATCH(TRIM(L$1), TRIM(INDIRECT($O170)), 0))</f>
        <v>13.62249417</v>
      </c>
      <c r="M170" s="5" t="str">
        <f>_xlfn.CONCAT("'",$B170,"'","!","$C$3:$K$23")</f>
        <v>'2023'!$C$3:$K$23</v>
      </c>
      <c r="N170" s="5" t="str">
        <f>_xlfn.CONCAT("'",$B170,"'","!","$B$3:$B$22")</f>
        <v>'2023'!$B$3:$B$22</v>
      </c>
      <c r="O170" s="5" t="str">
        <f>_xlfn.CONCAT("'",$B170,"'","!","$C$2:$K$2")</f>
        <v>'2023'!$C$2:$K$2</v>
      </c>
    </row>
    <row r="171" spans="1:15" x14ac:dyDescent="0.3">
      <c r="A171">
        <v>18</v>
      </c>
      <c r="B171">
        <v>2023</v>
      </c>
      <c r="C171" t="s">
        <v>95</v>
      </c>
      <c r="D171" s="7" cm="1">
        <f t="array" aca="1" ref="D171" ca="1">INDEX(INDIRECT($M171),
       MATCH(TRIM($C171), TRIM(INDIRECT($N171)), 0),
       MATCH(TRIM(D$1), TRIM(INDIRECT($O171)), 0))</f>
        <v>11</v>
      </c>
      <c r="E171" s="9" t="e" cm="1">
        <f t="array" aca="1" ref="E171" ca="1">INDEX(INDIRECT($M171),
       MATCH(TRIM($C171), TRIM(INDIRECT($N171)), 0),
       MATCH(TRIM(E$1), TRIM(INDIRECT($O171)), 0))</f>
        <v>#N/A</v>
      </c>
      <c r="F171" s="7" cm="1">
        <f t="array" aca="1" ref="F171" ca="1">INDEX(INDIRECT($M171),
       MATCH(TRIM($C171), TRIM(INDIRECT($N171)), 0),
       MATCH(TRIM(F$1), TRIM(INDIRECT($O171)), 0))</f>
        <v>7.5795750000000002</v>
      </c>
      <c r="G171" s="7" cm="1">
        <f t="array" aca="1" ref="G171" ca="1">INDEX(INDIRECT($M171),
       MATCH(TRIM($C171), TRIM(INDIRECT($N171)), 0),
       MATCH(TRIM(G$1), TRIM(INDIRECT($O171)), 0))</f>
        <v>0</v>
      </c>
      <c r="H171" s="9" t="e" cm="1">
        <f t="array" aca="1" ref="H171" ca="1">INDEX(INDIRECT($M171),
       MATCH(TRIM($C171), TRIM(INDIRECT($N171)), 0),
       MATCH(TRIM(H$1), TRIM(INDIRECT($O171)), 0))</f>
        <v>#N/A</v>
      </c>
      <c r="I171" s="7" cm="1">
        <f t="array" aca="1" ref="I171" ca="1">INDEX(INDIRECT($M171),
       MATCH(TRIM($C171), TRIM(INDIRECT($N171)), 0),
       MATCH(TRIM(I$1), TRIM(INDIRECT($O171)), 0))</f>
        <v>0</v>
      </c>
      <c r="J171" s="7" cm="1">
        <f t="array" aca="1" ref="J171" ca="1">INDEX(INDIRECT($M171),
       MATCH(TRIM($C171), TRIM(INDIRECT($N171)), 0),
       MATCH(TRIM(J$1), TRIM(INDIRECT($O171)), 0))</f>
        <v>22</v>
      </c>
      <c r="K171" s="7" cm="1">
        <f t="array" aca="1" ref="K171" ca="1">INDEX(INDIRECT($M171),
       MATCH(TRIM($C171), TRIM(INDIRECT($N171)), 0),
       MATCH(TRIM(K$1), TRIM(INDIRECT($O171)), 0))</f>
        <v>1548.30815325</v>
      </c>
      <c r="L171" s="7" cm="1">
        <f t="array" aca="1" ref="L171" ca="1">INDEX(INDIRECT($M171),
       MATCH(TRIM($C171), TRIM(INDIRECT($N171)), 0),
       MATCH(TRIM(L$1), TRIM(INDIRECT($O171)), 0))</f>
        <v>1555.88772825</v>
      </c>
      <c r="M171" s="5" t="str">
        <f>_xlfn.CONCAT("'",$B171,"'","!","$C$3:$K$23")</f>
        <v>'2023'!$C$3:$K$23</v>
      </c>
      <c r="N171" s="5" t="str">
        <f>_xlfn.CONCAT("'",$B171,"'","!","$B$3:$B$22")</f>
        <v>'2023'!$B$3:$B$22</v>
      </c>
      <c r="O171" s="5" t="str">
        <f>_xlfn.CONCAT("'",$B171,"'","!","$C$2:$K$2")</f>
        <v>'2023'!$C$2:$K$2</v>
      </c>
    </row>
    <row r="172" spans="1:15" x14ac:dyDescent="0.3">
      <c r="A172">
        <v>19</v>
      </c>
      <c r="B172">
        <v>2023</v>
      </c>
      <c r="C172" t="s">
        <v>96</v>
      </c>
      <c r="D172" s="7" t="e" cm="1">
        <f t="array" aca="1" ref="D172" ca="1">INDEX(INDIRECT($M172),
       MATCH(TRIM($C172), TRIM(INDIRECT($N172)), 0),
       MATCH(TRIM(D$1), TRIM(INDIRECT($O172)), 0))</f>
        <v>#N/A</v>
      </c>
      <c r="E172" s="9" t="e" cm="1">
        <f t="array" aca="1" ref="E172" ca="1">INDEX(INDIRECT($M172),
       MATCH(TRIM($C172), TRIM(INDIRECT($N172)), 0),
       MATCH(TRIM(E$1), TRIM(INDIRECT($O172)), 0))</f>
        <v>#N/A</v>
      </c>
      <c r="F172" s="7" t="e" cm="1">
        <f t="array" aca="1" ref="F172" ca="1">INDEX(INDIRECT($M172),
       MATCH(TRIM($C172), TRIM(INDIRECT($N172)), 0),
       MATCH(TRIM(F$1), TRIM(INDIRECT($O172)), 0))</f>
        <v>#N/A</v>
      </c>
      <c r="G172" s="7" t="e" cm="1">
        <f t="array" aca="1" ref="G172" ca="1">INDEX(INDIRECT($M172),
       MATCH(TRIM($C172), TRIM(INDIRECT($N172)), 0),
       MATCH(TRIM(G$1), TRIM(INDIRECT($O172)), 0))</f>
        <v>#N/A</v>
      </c>
      <c r="H172" s="9" t="e" cm="1">
        <f t="array" aca="1" ref="H172" ca="1">INDEX(INDIRECT($M172),
       MATCH(TRIM($C172), TRIM(INDIRECT($N172)), 0),
       MATCH(TRIM(H$1), TRIM(INDIRECT($O172)), 0))</f>
        <v>#N/A</v>
      </c>
      <c r="I172" s="7" t="e" cm="1">
        <f t="array" aca="1" ref="I172" ca="1">INDEX(INDIRECT($M172),
       MATCH(TRIM($C172), TRIM(INDIRECT($N172)), 0),
       MATCH(TRIM(I$1), TRIM(INDIRECT($O172)), 0))</f>
        <v>#N/A</v>
      </c>
      <c r="J172" s="7" t="e" cm="1">
        <f t="array" aca="1" ref="J172" ca="1">INDEX(INDIRECT($M172),
       MATCH(TRIM($C172), TRIM(INDIRECT($N172)), 0),
       MATCH(TRIM(J$1), TRIM(INDIRECT($O172)), 0))</f>
        <v>#N/A</v>
      </c>
      <c r="K172" s="7" t="e" cm="1">
        <f t="array" aca="1" ref="K172" ca="1">INDEX(INDIRECT($M172),
       MATCH(TRIM($C172), TRIM(INDIRECT($N172)), 0),
       MATCH(TRIM(K$1), TRIM(INDIRECT($O172)), 0))</f>
        <v>#N/A</v>
      </c>
      <c r="L172" s="7" t="e" cm="1">
        <f t="array" aca="1" ref="L172" ca="1">INDEX(INDIRECT($M172),
       MATCH(TRIM($C172), TRIM(INDIRECT($N172)), 0),
       MATCH(TRIM(L$1), TRIM(INDIRECT($O172)), 0))</f>
        <v>#N/A</v>
      </c>
      <c r="M172" s="5" t="str">
        <f>_xlfn.CONCAT("'",$B172,"'","!","$C$3:$K$23")</f>
        <v>'2023'!$C$3:$K$23</v>
      </c>
      <c r="N172" s="5" t="str">
        <f>_xlfn.CONCAT("'",$B172,"'","!","$B$3:$B$22")</f>
        <v>'2023'!$B$3:$B$22</v>
      </c>
      <c r="O172" s="5" t="str">
        <f>_xlfn.CONCAT("'",$B172,"'","!","$C$2:$K$2")</f>
        <v>'2023'!$C$2:$K$2</v>
      </c>
    </row>
    <row r="173" spans="1:15" x14ac:dyDescent="0.3">
      <c r="A173">
        <v>1</v>
      </c>
      <c r="B173">
        <v>2024</v>
      </c>
      <c r="C173" t="s">
        <v>78</v>
      </c>
      <c r="D173" s="7" cm="1">
        <f t="array" aca="1" ref="D173" ca="1">INDEX(INDIRECT($M173),
       MATCH(TRIM($C173), TRIM(INDIRECT($N173)), 0),
       MATCH(TRIM(D$1), TRIM(INDIRECT($O173)), 0))</f>
        <v>541</v>
      </c>
      <c r="E173" s="9" t="e" cm="1">
        <f t="array" aca="1" ref="E173" ca="1">INDEX(INDIRECT($M173),
       MATCH(TRIM($C173), TRIM(INDIRECT($N173)), 0),
       MATCH(TRIM(E$1), TRIM(INDIRECT($O173)), 0))</f>
        <v>#N/A</v>
      </c>
      <c r="F173" s="7" cm="1">
        <f t="array" aca="1" ref="F173" ca="1">INDEX(INDIRECT($M173),
       MATCH(TRIM($C173), TRIM(INDIRECT($N173)), 0),
       MATCH(TRIM(F$1), TRIM(INDIRECT($O173)), 0))</f>
        <v>6826.0056527200004</v>
      </c>
      <c r="G173" s="7" cm="1">
        <f t="array" aca="1" ref="G173" ca="1">INDEX(INDIRECT($M173),
       MATCH(TRIM($C173), TRIM(INDIRECT($N173)), 0),
       MATCH(TRIM(G$1), TRIM(INDIRECT($O173)), 0))</f>
        <v>390</v>
      </c>
      <c r="H173" s="9" t="e" cm="1">
        <f t="array" aca="1" ref="H173" ca="1">INDEX(INDIRECT($M173),
       MATCH(TRIM($C173), TRIM(INDIRECT($N173)), 0),
       MATCH(TRIM(H$1), TRIM(INDIRECT($O173)), 0))</f>
        <v>#N/A</v>
      </c>
      <c r="I173" s="7" cm="1">
        <f t="array" aca="1" ref="I173" ca="1">INDEX(INDIRECT($M173),
       MATCH(TRIM($C173), TRIM(INDIRECT($N173)), 0),
       MATCH(TRIM(I$1), TRIM(INDIRECT($O173)), 0))</f>
        <v>3539.9941784062498</v>
      </c>
      <c r="J173" s="7" cm="1">
        <f t="array" aca="1" ref="J173" ca="1">INDEX(INDIRECT($M173),
       MATCH(TRIM($C173), TRIM(INDIRECT($N173)), 0),
       MATCH(TRIM(J$1), TRIM(INDIRECT($O173)), 0))</f>
        <v>190</v>
      </c>
      <c r="K173" s="7" cm="1">
        <f t="array" aca="1" ref="K173" ca="1">INDEX(INDIRECT($M173),
       MATCH(TRIM($C173), TRIM(INDIRECT($N173)), 0),
       MATCH(TRIM(K$1), TRIM(INDIRECT($O173)), 0))</f>
        <v>323.14804267999995</v>
      </c>
      <c r="L173" s="7" cm="1">
        <f t="array" aca="1" ref="L173" ca="1">INDEX(INDIRECT($M173),
       MATCH(TRIM($C173), TRIM(INDIRECT($N173)), 0),
       MATCH(TRIM(L$1), TRIM(INDIRECT($O173)), 0))</f>
        <v>10689.147873806251</v>
      </c>
      <c r="M173" s="5" t="str">
        <f>_xlfn.CONCAT("'",$B173,"'","!","$C$3:$K$23")</f>
        <v>'2024'!$C$3:$K$23</v>
      </c>
      <c r="N173" s="5" t="str">
        <f>_xlfn.CONCAT("'",$B173,"'","!","$B$3:$B$22")</f>
        <v>'2024'!$B$3:$B$22</v>
      </c>
      <c r="O173" s="5" t="str">
        <f>_xlfn.CONCAT("'",$B173,"'","!","$C$2:$K$2")</f>
        <v>'2024'!$C$2:$K$2</v>
      </c>
    </row>
    <row r="174" spans="1:15" x14ac:dyDescent="0.3">
      <c r="A174">
        <v>2</v>
      </c>
      <c r="B174">
        <v>2024</v>
      </c>
      <c r="C174" t="s">
        <v>79</v>
      </c>
      <c r="D174" s="7" cm="1">
        <f t="array" aca="1" ref="D174" ca="1">INDEX(INDIRECT($M174),
       MATCH(TRIM($C174), TRIM(INDIRECT($N174)), 0),
       MATCH(TRIM(D$1), TRIM(INDIRECT($O174)), 0))</f>
        <v>2</v>
      </c>
      <c r="E174" s="9" t="e" cm="1">
        <f t="array" aca="1" ref="E174" ca="1">INDEX(INDIRECT($M174),
       MATCH(TRIM($C174), TRIM(INDIRECT($N174)), 0),
       MATCH(TRIM(E$1), TRIM(INDIRECT($O174)), 0))</f>
        <v>#N/A</v>
      </c>
      <c r="F174" s="7" cm="1">
        <f t="array" aca="1" ref="F174" ca="1">INDEX(INDIRECT($M174),
       MATCH(TRIM($C174), TRIM(INDIRECT($N174)), 0),
       MATCH(TRIM(F$1), TRIM(INDIRECT($O174)), 0))</f>
        <v>118.00064751000001</v>
      </c>
      <c r="G174" s="7" cm="1">
        <f t="array" aca="1" ref="G174" ca="1">INDEX(INDIRECT($M174),
       MATCH(TRIM($C174), TRIM(INDIRECT($N174)), 0),
       MATCH(TRIM(G$1), TRIM(INDIRECT($O174)), 0))</f>
        <v>0</v>
      </c>
      <c r="H174" s="9" t="e" cm="1">
        <f t="array" aca="1" ref="H174" ca="1">INDEX(INDIRECT($M174),
       MATCH(TRIM($C174), TRIM(INDIRECT($N174)), 0),
       MATCH(TRIM(H$1), TRIM(INDIRECT($O174)), 0))</f>
        <v>#N/A</v>
      </c>
      <c r="I174" s="7" cm="1">
        <f t="array" aca="1" ref="I174" ca="1">INDEX(INDIRECT($M174),
       MATCH(TRIM($C174), TRIM(INDIRECT($N174)), 0),
       MATCH(TRIM(I$1), TRIM(INDIRECT($O174)), 0))</f>
        <v>0</v>
      </c>
      <c r="J174" s="7" cm="1">
        <f t="array" aca="1" ref="J174" ca="1">INDEX(INDIRECT($M174),
       MATCH(TRIM($C174), TRIM(INDIRECT($N174)), 0),
       MATCH(TRIM(J$1), TRIM(INDIRECT($O174)), 0))</f>
        <v>5</v>
      </c>
      <c r="K174" s="7" cm="1">
        <f t="array" aca="1" ref="K174" ca="1">INDEX(INDIRECT($M174),
       MATCH(TRIM($C174), TRIM(INDIRECT($N174)), 0),
       MATCH(TRIM(K$1), TRIM(INDIRECT($O174)), 0))</f>
        <v>30.778100379869564</v>
      </c>
      <c r="L174" s="7" cm="1">
        <f t="array" aca="1" ref="L174" ca="1">INDEX(INDIRECT($M174),
       MATCH(TRIM($C174), TRIM(INDIRECT($N174)), 0),
       MATCH(TRIM(L$1), TRIM(INDIRECT($O174)), 0))</f>
        <v>148.77874788986958</v>
      </c>
      <c r="M174" s="5" t="str">
        <f>_xlfn.CONCAT("'",$B174,"'","!","$C$3:$K$23")</f>
        <v>'2024'!$C$3:$K$23</v>
      </c>
      <c r="N174" s="5" t="str">
        <f>_xlfn.CONCAT("'",$B174,"'","!","$B$3:$B$22")</f>
        <v>'2024'!$B$3:$B$22</v>
      </c>
      <c r="O174" s="5" t="str">
        <f>_xlfn.CONCAT("'",$B174,"'","!","$C$2:$K$2")</f>
        <v>'2024'!$C$2:$K$2</v>
      </c>
    </row>
    <row r="175" spans="1:15" x14ac:dyDescent="0.3">
      <c r="A175">
        <v>3</v>
      </c>
      <c r="B175">
        <v>2024</v>
      </c>
      <c r="C175" t="s">
        <v>80</v>
      </c>
      <c r="D175" s="7" cm="1">
        <f t="array" aca="1" ref="D175" ca="1">INDEX(INDIRECT($M175),
       MATCH(TRIM($C175), TRIM(INDIRECT($N175)), 0),
       MATCH(TRIM(D$1), TRIM(INDIRECT($O175)), 0))</f>
        <v>37</v>
      </c>
      <c r="E175" s="9" t="e" cm="1">
        <f t="array" aca="1" ref="E175" ca="1">INDEX(INDIRECT($M175),
       MATCH(TRIM($C175), TRIM(INDIRECT($N175)), 0),
       MATCH(TRIM(E$1), TRIM(INDIRECT($O175)), 0))</f>
        <v>#N/A</v>
      </c>
      <c r="F175" s="7" cm="1">
        <f t="array" aca="1" ref="F175" ca="1">INDEX(INDIRECT($M175),
       MATCH(TRIM($C175), TRIM(INDIRECT($N175)), 0),
       MATCH(TRIM(F$1), TRIM(INDIRECT($O175)), 0))</f>
        <v>1893.10590241</v>
      </c>
      <c r="G175" s="7" cm="1">
        <f t="array" aca="1" ref="G175" ca="1">INDEX(INDIRECT($M175),
       MATCH(TRIM($C175), TRIM(INDIRECT($N175)), 0),
       MATCH(TRIM(G$1), TRIM(INDIRECT($O175)), 0))</f>
        <v>20</v>
      </c>
      <c r="H175" s="9" t="e" cm="1">
        <f t="array" aca="1" ref="H175" ca="1">INDEX(INDIRECT($M175),
       MATCH(TRIM($C175), TRIM(INDIRECT($N175)), 0),
       MATCH(TRIM(H$1), TRIM(INDIRECT($O175)), 0))</f>
        <v>#N/A</v>
      </c>
      <c r="I175" s="7" cm="1">
        <f t="array" aca="1" ref="I175" ca="1">INDEX(INDIRECT($M175),
       MATCH(TRIM($C175), TRIM(INDIRECT($N175)), 0),
       MATCH(TRIM(I$1), TRIM(INDIRECT($O175)), 0))</f>
        <v>98.135739000000001</v>
      </c>
      <c r="J175" s="7" cm="1">
        <f t="array" aca="1" ref="J175" ca="1">INDEX(INDIRECT($M175),
       MATCH(TRIM($C175), TRIM(INDIRECT($N175)), 0),
       MATCH(TRIM(J$1), TRIM(INDIRECT($O175)), 0))</f>
        <v>31</v>
      </c>
      <c r="K175" s="7" cm="1">
        <f t="array" aca="1" ref="K175" ca="1">INDEX(INDIRECT($M175),
       MATCH(TRIM($C175), TRIM(INDIRECT($N175)), 0),
       MATCH(TRIM(K$1), TRIM(INDIRECT($O175)), 0))</f>
        <v>480.29133308999997</v>
      </c>
      <c r="L175" s="7" cm="1">
        <f t="array" aca="1" ref="L175" ca="1">INDEX(INDIRECT($M175),
       MATCH(TRIM($C175), TRIM(INDIRECT($N175)), 0),
       MATCH(TRIM(L$1), TRIM(INDIRECT($O175)), 0))</f>
        <v>2471.5329744999999</v>
      </c>
      <c r="M175" s="5" t="str">
        <f>_xlfn.CONCAT("'",$B175,"'","!","$C$3:$K$23")</f>
        <v>'2024'!$C$3:$K$23</v>
      </c>
      <c r="N175" s="5" t="str">
        <f>_xlfn.CONCAT("'",$B175,"'","!","$B$3:$B$22")</f>
        <v>'2024'!$B$3:$B$22</v>
      </c>
      <c r="O175" s="5" t="str">
        <f>_xlfn.CONCAT("'",$B175,"'","!","$C$2:$K$2")</f>
        <v>'2024'!$C$2:$K$2</v>
      </c>
    </row>
    <row r="176" spans="1:15" x14ac:dyDescent="0.3">
      <c r="A176">
        <v>4</v>
      </c>
      <c r="B176">
        <v>2024</v>
      </c>
      <c r="C176" t="s">
        <v>81</v>
      </c>
      <c r="D176" s="7" cm="1">
        <f t="array" aca="1" ref="D176" ca="1">INDEX(INDIRECT($M176),
       MATCH(TRIM($C176), TRIM(INDIRECT($N176)), 0),
       MATCH(TRIM(D$1), TRIM(INDIRECT($O176)), 0))</f>
        <v>25</v>
      </c>
      <c r="E176" s="9" t="e" cm="1">
        <f t="array" aca="1" ref="E176" ca="1">INDEX(INDIRECT($M176),
       MATCH(TRIM($C176), TRIM(INDIRECT($N176)), 0),
       MATCH(TRIM(E$1), TRIM(INDIRECT($O176)), 0))</f>
        <v>#N/A</v>
      </c>
      <c r="F176" s="7" cm="1">
        <f t="array" aca="1" ref="F176" ca="1">INDEX(INDIRECT($M176),
       MATCH(TRIM($C176), TRIM(INDIRECT($N176)), 0),
       MATCH(TRIM(F$1), TRIM(INDIRECT($O176)), 0))</f>
        <v>10.181926000000001</v>
      </c>
      <c r="G176" s="7" cm="1">
        <f t="array" aca="1" ref="G176" ca="1">INDEX(INDIRECT($M176),
       MATCH(TRIM($C176), TRIM(INDIRECT($N176)), 0),
       MATCH(TRIM(G$1), TRIM(INDIRECT($O176)), 0))</f>
        <v>17</v>
      </c>
      <c r="H176" s="9" t="e" cm="1">
        <f t="array" aca="1" ref="H176" ca="1">INDEX(INDIRECT($M176),
       MATCH(TRIM($C176), TRIM(INDIRECT($N176)), 0),
       MATCH(TRIM(H$1), TRIM(INDIRECT($O176)), 0))</f>
        <v>#N/A</v>
      </c>
      <c r="I176" s="7" cm="1">
        <f t="array" aca="1" ref="I176" ca="1">INDEX(INDIRECT($M176),
       MATCH(TRIM($C176), TRIM(INDIRECT($N176)), 0),
       MATCH(TRIM(I$1), TRIM(INDIRECT($O176)), 0))</f>
        <v>16.666286171875001</v>
      </c>
      <c r="J176" s="7" cm="1">
        <f t="array" aca="1" ref="J176" ca="1">INDEX(INDIRECT($M176),
       MATCH(TRIM($C176), TRIM(INDIRECT($N176)), 0),
       MATCH(TRIM(J$1), TRIM(INDIRECT($O176)), 0))</f>
        <v>32</v>
      </c>
      <c r="K176" s="7" cm="1">
        <f t="array" aca="1" ref="K176" ca="1">INDEX(INDIRECT($M176),
       MATCH(TRIM($C176), TRIM(INDIRECT($N176)), 0),
       MATCH(TRIM(K$1), TRIM(INDIRECT($O176)), 0))</f>
        <v>16.648782430000001</v>
      </c>
      <c r="L176" s="7" cm="1">
        <f t="array" aca="1" ref="L176" ca="1">INDEX(INDIRECT($M176),
       MATCH(TRIM($C176), TRIM(INDIRECT($N176)), 0),
       MATCH(TRIM(L$1), TRIM(INDIRECT($O176)), 0))</f>
        <v>43.496994601875002</v>
      </c>
      <c r="M176" s="5" t="str">
        <f>_xlfn.CONCAT("'",$B176,"'","!","$C$3:$K$23")</f>
        <v>'2024'!$C$3:$K$23</v>
      </c>
      <c r="N176" s="5" t="str">
        <f>_xlfn.CONCAT("'",$B176,"'","!","$B$3:$B$22")</f>
        <v>'2024'!$B$3:$B$22</v>
      </c>
      <c r="O176" s="5" t="str">
        <f>_xlfn.CONCAT("'",$B176,"'","!","$C$2:$K$2")</f>
        <v>'2024'!$C$2:$K$2</v>
      </c>
    </row>
    <row r="177" spans="1:15" x14ac:dyDescent="0.3">
      <c r="A177">
        <v>5</v>
      </c>
      <c r="B177">
        <v>2024</v>
      </c>
      <c r="C177" t="s">
        <v>82</v>
      </c>
      <c r="D177" s="7" cm="1">
        <f t="array" aca="1" ref="D177" ca="1">INDEX(INDIRECT($M177),
       MATCH(TRIM($C177), TRIM(INDIRECT($N177)), 0),
       MATCH(TRIM(D$1), TRIM(INDIRECT($O177)), 0))</f>
        <v>539</v>
      </c>
      <c r="E177" s="9" t="e" cm="1">
        <f t="array" aca="1" ref="E177" ca="1">INDEX(INDIRECT($M177),
       MATCH(TRIM($C177), TRIM(INDIRECT($N177)), 0),
       MATCH(TRIM(E$1), TRIM(INDIRECT($O177)), 0))</f>
        <v>#N/A</v>
      </c>
      <c r="F177" s="7" cm="1">
        <f t="array" aca="1" ref="F177" ca="1">INDEX(INDIRECT($M177),
       MATCH(TRIM($C177), TRIM(INDIRECT($N177)), 0),
       MATCH(TRIM(F$1), TRIM(INDIRECT($O177)), 0))</f>
        <v>375.33764351000008</v>
      </c>
      <c r="G177" s="7" cm="1">
        <f t="array" aca="1" ref="G177" ca="1">INDEX(INDIRECT($M177),
       MATCH(TRIM($C177), TRIM(INDIRECT($N177)), 0),
       MATCH(TRIM(G$1), TRIM(INDIRECT($O177)), 0))</f>
        <v>71</v>
      </c>
      <c r="H177" s="9" t="e" cm="1">
        <f t="array" aca="1" ref="H177" ca="1">INDEX(INDIRECT($M177),
       MATCH(TRIM($C177), TRIM(INDIRECT($N177)), 0),
       MATCH(TRIM(H$1), TRIM(INDIRECT($O177)), 0))</f>
        <v>#N/A</v>
      </c>
      <c r="I177" s="7" cm="1">
        <f t="array" aca="1" ref="I177" ca="1">INDEX(INDIRECT($M177),
       MATCH(TRIM($C177), TRIM(INDIRECT($N177)), 0),
       MATCH(TRIM(I$1), TRIM(INDIRECT($O177)), 0))</f>
        <v>67.918440718750006</v>
      </c>
      <c r="J177" s="7" cm="1">
        <f t="array" aca="1" ref="J177" ca="1">INDEX(INDIRECT($M177),
       MATCH(TRIM($C177), TRIM(INDIRECT($N177)), 0),
       MATCH(TRIM(J$1), TRIM(INDIRECT($O177)), 0))</f>
        <v>617</v>
      </c>
      <c r="K177" s="7" cm="1">
        <f t="array" aca="1" ref="K177" ca="1">INDEX(INDIRECT($M177),
       MATCH(TRIM($C177), TRIM(INDIRECT($N177)), 0),
       MATCH(TRIM(K$1), TRIM(INDIRECT($O177)), 0))</f>
        <v>170.32377357000001</v>
      </c>
      <c r="L177" s="7" cm="1">
        <f t="array" aca="1" ref="L177" ca="1">INDEX(INDIRECT($M177),
       MATCH(TRIM($C177), TRIM(INDIRECT($N177)), 0),
       MATCH(TRIM(L$1), TRIM(INDIRECT($O177)), 0))</f>
        <v>613.57985779875003</v>
      </c>
      <c r="M177" s="5" t="str">
        <f>_xlfn.CONCAT("'",$B177,"'","!","$C$3:$K$23")</f>
        <v>'2024'!$C$3:$K$23</v>
      </c>
      <c r="N177" s="5" t="str">
        <f>_xlfn.CONCAT("'",$B177,"'","!","$B$3:$B$22")</f>
        <v>'2024'!$B$3:$B$22</v>
      </c>
      <c r="O177" s="5" t="str">
        <f>_xlfn.CONCAT("'",$B177,"'","!","$C$2:$K$2")</f>
        <v>'2024'!$C$2:$K$2</v>
      </c>
    </row>
    <row r="178" spans="1:15" x14ac:dyDescent="0.3">
      <c r="A178">
        <v>6</v>
      </c>
      <c r="B178">
        <v>2024</v>
      </c>
      <c r="C178" t="s">
        <v>83</v>
      </c>
      <c r="D178" s="7" cm="1">
        <f t="array" aca="1" ref="D178" ca="1">INDEX(INDIRECT($M178),
       MATCH(TRIM($C178), TRIM(INDIRECT($N178)), 0),
       MATCH(TRIM(D$1), TRIM(INDIRECT($O178)), 0))</f>
        <v>4</v>
      </c>
      <c r="E178" s="9" t="e" cm="1">
        <f t="array" aca="1" ref="E178" ca="1">INDEX(INDIRECT($M178),
       MATCH(TRIM($C178), TRIM(INDIRECT($N178)), 0),
       MATCH(TRIM(E$1), TRIM(INDIRECT($O178)), 0))</f>
        <v>#N/A</v>
      </c>
      <c r="F178" s="7" cm="1">
        <f t="array" aca="1" ref="F178" ca="1">INDEX(INDIRECT($M178),
       MATCH(TRIM($C178), TRIM(INDIRECT($N178)), 0),
       MATCH(TRIM(F$1), TRIM(INDIRECT($O178)), 0))</f>
        <v>18.07375639</v>
      </c>
      <c r="G178" s="7" cm="1">
        <f t="array" aca="1" ref="G178" ca="1">INDEX(INDIRECT($M178),
       MATCH(TRIM($C178), TRIM(INDIRECT($N178)), 0),
       MATCH(TRIM(G$1), TRIM(INDIRECT($O178)), 0))</f>
        <v>3</v>
      </c>
      <c r="H178" s="9" t="e" cm="1">
        <f t="array" aca="1" ref="H178" ca="1">INDEX(INDIRECT($M178),
       MATCH(TRIM($C178), TRIM(INDIRECT($N178)), 0),
       MATCH(TRIM(H$1), TRIM(INDIRECT($O178)), 0))</f>
        <v>#N/A</v>
      </c>
      <c r="I178" s="7" cm="1">
        <f t="array" aca="1" ref="I178" ca="1">INDEX(INDIRECT($M178),
       MATCH(TRIM($C178), TRIM(INDIRECT($N178)), 0),
       MATCH(TRIM(I$1), TRIM(INDIRECT($O178)), 0))</f>
        <v>33.994563999999997</v>
      </c>
      <c r="J178" s="7" cm="1">
        <f t="array" aca="1" ref="J178" ca="1">INDEX(INDIRECT($M178),
       MATCH(TRIM($C178), TRIM(INDIRECT($N178)), 0),
       MATCH(TRIM(J$1), TRIM(INDIRECT($O178)), 0))</f>
        <v>6</v>
      </c>
      <c r="K178" s="7" cm="1">
        <f t="array" aca="1" ref="K178" ca="1">INDEX(INDIRECT($M178),
       MATCH(TRIM($C178), TRIM(INDIRECT($N178)), 0),
       MATCH(TRIM(K$1), TRIM(INDIRECT($O178)), 0))</f>
        <v>2.3082420699999999</v>
      </c>
      <c r="L178" s="7" cm="1">
        <f t="array" aca="1" ref="L178" ca="1">INDEX(INDIRECT($M178),
       MATCH(TRIM($C178), TRIM(INDIRECT($N178)), 0),
       MATCH(TRIM(L$1), TRIM(INDIRECT($O178)), 0))</f>
        <v>54.376562459999995</v>
      </c>
      <c r="M178" s="5" t="str">
        <f>_xlfn.CONCAT("'",$B178,"'","!","$C$3:$K$23")</f>
        <v>'2024'!$C$3:$K$23</v>
      </c>
      <c r="N178" s="5" t="str">
        <f>_xlfn.CONCAT("'",$B178,"'","!","$B$3:$B$22")</f>
        <v>'2024'!$B$3:$B$22</v>
      </c>
      <c r="O178" s="5" t="str">
        <f>_xlfn.CONCAT("'",$B178,"'","!","$C$2:$K$2")</f>
        <v>'2024'!$C$2:$K$2</v>
      </c>
    </row>
    <row r="179" spans="1:15" x14ac:dyDescent="0.3">
      <c r="A179">
        <v>7</v>
      </c>
      <c r="B179">
        <v>2024</v>
      </c>
      <c r="C179" t="s">
        <v>84</v>
      </c>
      <c r="D179" s="7" cm="1">
        <f t="array" aca="1" ref="D179" ca="1">INDEX(INDIRECT($M179),
       MATCH(TRIM($C179), TRIM(INDIRECT($N179)), 0),
       MATCH(TRIM(D$1), TRIM(INDIRECT($O179)), 0))</f>
        <v>161</v>
      </c>
      <c r="E179" s="9" t="e" cm="1">
        <f t="array" aca="1" ref="E179" ca="1">INDEX(INDIRECT($M179),
       MATCH(TRIM($C179), TRIM(INDIRECT($N179)), 0),
       MATCH(TRIM(E$1), TRIM(INDIRECT($O179)), 0))</f>
        <v>#N/A</v>
      </c>
      <c r="F179" s="7" cm="1">
        <f t="array" aca="1" ref="F179" ca="1">INDEX(INDIRECT($M179),
       MATCH(TRIM($C179), TRIM(INDIRECT($N179)), 0),
       MATCH(TRIM(F$1), TRIM(INDIRECT($O179)), 0))</f>
        <v>52.612869340000003</v>
      </c>
      <c r="G179" s="7" cm="1">
        <f t="array" aca="1" ref="G179" ca="1">INDEX(INDIRECT($M179),
       MATCH(TRIM($C179), TRIM(INDIRECT($N179)), 0),
       MATCH(TRIM(G$1), TRIM(INDIRECT($O179)), 0))</f>
        <v>31</v>
      </c>
      <c r="H179" s="9" t="e" cm="1">
        <f t="array" aca="1" ref="H179" ca="1">INDEX(INDIRECT($M179),
       MATCH(TRIM($C179), TRIM(INDIRECT($N179)), 0),
       MATCH(TRIM(H$1), TRIM(INDIRECT($O179)), 0))</f>
        <v>#N/A</v>
      </c>
      <c r="I179" s="7" cm="1">
        <f t="array" aca="1" ref="I179" ca="1">INDEX(INDIRECT($M179),
       MATCH(TRIM($C179), TRIM(INDIRECT($N179)), 0),
       MATCH(TRIM(I$1), TRIM(INDIRECT($O179)), 0))</f>
        <v>75.10086652062499</v>
      </c>
      <c r="J179" s="7" cm="1">
        <f t="array" aca="1" ref="J179" ca="1">INDEX(INDIRECT($M179),
       MATCH(TRIM($C179), TRIM(INDIRECT($N179)), 0),
       MATCH(TRIM(J$1), TRIM(INDIRECT($O179)), 0))</f>
        <v>220</v>
      </c>
      <c r="K179" s="7" cm="1">
        <f t="array" aca="1" ref="K179" ca="1">INDEX(INDIRECT($M179),
       MATCH(TRIM($C179), TRIM(INDIRECT($N179)), 0),
       MATCH(TRIM(K$1), TRIM(INDIRECT($O179)), 0))</f>
        <v>324.69714139000007</v>
      </c>
      <c r="L179" s="7" cm="1">
        <f t="array" aca="1" ref="L179" ca="1">INDEX(INDIRECT($M179),
       MATCH(TRIM($C179), TRIM(INDIRECT($N179)), 0),
       MATCH(TRIM(L$1), TRIM(INDIRECT($O179)), 0))</f>
        <v>452.41087725062505</v>
      </c>
      <c r="M179" s="5" t="str">
        <f>_xlfn.CONCAT("'",$B179,"'","!","$C$3:$K$23")</f>
        <v>'2024'!$C$3:$K$23</v>
      </c>
      <c r="N179" s="5" t="str">
        <f>_xlfn.CONCAT("'",$B179,"'","!","$B$3:$B$22")</f>
        <v>'2024'!$B$3:$B$22</v>
      </c>
      <c r="O179" s="5" t="str">
        <f>_xlfn.CONCAT("'",$B179,"'","!","$C$2:$K$2")</f>
        <v>'2024'!$C$2:$K$2</v>
      </c>
    </row>
    <row r="180" spans="1:15" x14ac:dyDescent="0.3">
      <c r="A180">
        <v>8</v>
      </c>
      <c r="B180">
        <v>2024</v>
      </c>
      <c r="C180" t="s">
        <v>85</v>
      </c>
      <c r="D180" s="7" cm="1">
        <f t="array" aca="1" ref="D180" ca="1">INDEX(INDIRECT($M180),
       MATCH(TRIM($C180), TRIM(INDIRECT($N180)), 0),
       MATCH(TRIM(D$1), TRIM(INDIRECT($O180)), 0))</f>
        <v>42</v>
      </c>
      <c r="E180" s="9" t="e" cm="1">
        <f t="array" aca="1" ref="E180" ca="1">INDEX(INDIRECT($M180),
       MATCH(TRIM($C180), TRIM(INDIRECT($N180)), 0),
       MATCH(TRIM(E$1), TRIM(INDIRECT($O180)), 0))</f>
        <v>#N/A</v>
      </c>
      <c r="F180" s="7" cm="1">
        <f t="array" aca="1" ref="F180" ca="1">INDEX(INDIRECT($M180),
       MATCH(TRIM($C180), TRIM(INDIRECT($N180)), 0),
       MATCH(TRIM(F$1), TRIM(INDIRECT($O180)), 0))</f>
        <v>161.983947</v>
      </c>
      <c r="G180" s="7" cm="1">
        <f t="array" aca="1" ref="G180" ca="1">INDEX(INDIRECT($M180),
       MATCH(TRIM($C180), TRIM(INDIRECT($N180)), 0),
       MATCH(TRIM(G$1), TRIM(INDIRECT($O180)), 0))</f>
        <v>5</v>
      </c>
      <c r="H180" s="9" t="e" cm="1">
        <f t="array" aca="1" ref="H180" ca="1">INDEX(INDIRECT($M180),
       MATCH(TRIM($C180), TRIM(INDIRECT($N180)), 0),
       MATCH(TRIM(H$1), TRIM(INDIRECT($O180)), 0))</f>
        <v>#N/A</v>
      </c>
      <c r="I180" s="7" cm="1">
        <f t="array" aca="1" ref="I180" ca="1">INDEX(INDIRECT($M180),
       MATCH(TRIM($C180), TRIM(INDIRECT($N180)), 0),
       MATCH(TRIM(I$1), TRIM(INDIRECT($O180)), 0))</f>
        <v>16.872689000000001</v>
      </c>
      <c r="J180" s="7" cm="1">
        <f t="array" aca="1" ref="J180" ca="1">INDEX(INDIRECT($M180),
       MATCH(TRIM($C180), TRIM(INDIRECT($N180)), 0),
       MATCH(TRIM(J$1), TRIM(INDIRECT($O180)), 0))</f>
        <v>59</v>
      </c>
      <c r="K180" s="7" cm="1">
        <f t="array" aca="1" ref="K180" ca="1">INDEX(INDIRECT($M180),
       MATCH(TRIM($C180), TRIM(INDIRECT($N180)), 0),
       MATCH(TRIM(K$1), TRIM(INDIRECT($O180)), 0))</f>
        <v>203.61474425999998</v>
      </c>
      <c r="L180" s="7" cm="1">
        <f t="array" aca="1" ref="L180" ca="1">INDEX(INDIRECT($M180),
       MATCH(TRIM($C180), TRIM(INDIRECT($N180)), 0),
       MATCH(TRIM(L$1), TRIM(INDIRECT($O180)), 0))</f>
        <v>382.47138025999999</v>
      </c>
      <c r="M180" s="5" t="str">
        <f>_xlfn.CONCAT("'",$B180,"'","!","$C$3:$K$23")</f>
        <v>'2024'!$C$3:$K$23</v>
      </c>
      <c r="N180" s="5" t="str">
        <f>_xlfn.CONCAT("'",$B180,"'","!","$B$3:$B$22")</f>
        <v>'2024'!$B$3:$B$22</v>
      </c>
      <c r="O180" s="5" t="str">
        <f>_xlfn.CONCAT("'",$B180,"'","!","$C$2:$K$2")</f>
        <v>'2024'!$C$2:$K$2</v>
      </c>
    </row>
    <row r="181" spans="1:15" x14ac:dyDescent="0.3">
      <c r="A181">
        <v>9</v>
      </c>
      <c r="B181">
        <v>2024</v>
      </c>
      <c r="C181" t="s">
        <v>86</v>
      </c>
      <c r="D181" s="7" cm="1">
        <f t="array" aca="1" ref="D181" ca="1">INDEX(INDIRECT($M181),
       MATCH(TRIM($C181), TRIM(INDIRECT($N181)), 0),
       MATCH(TRIM(D$1), TRIM(INDIRECT($O181)), 0))</f>
        <v>18</v>
      </c>
      <c r="E181" s="9" t="e" cm="1">
        <f t="array" aca="1" ref="E181" ca="1">INDEX(INDIRECT($M181),
       MATCH(TRIM($C181), TRIM(INDIRECT($N181)), 0),
       MATCH(TRIM(E$1), TRIM(INDIRECT($O181)), 0))</f>
        <v>#N/A</v>
      </c>
      <c r="F181" s="7" cm="1">
        <f t="array" aca="1" ref="F181" ca="1">INDEX(INDIRECT($M181),
       MATCH(TRIM($C181), TRIM(INDIRECT($N181)), 0),
       MATCH(TRIM(F$1), TRIM(INDIRECT($O181)), 0))</f>
        <v>16.602467999999998</v>
      </c>
      <c r="G181" s="7" cm="1">
        <f t="array" aca="1" ref="G181" ca="1">INDEX(INDIRECT($M181),
       MATCH(TRIM($C181), TRIM(INDIRECT($N181)), 0),
       MATCH(TRIM(G$1), TRIM(INDIRECT($O181)), 0))</f>
        <v>10</v>
      </c>
      <c r="H181" s="9" t="e" cm="1">
        <f t="array" aca="1" ref="H181" ca="1">INDEX(INDIRECT($M181),
       MATCH(TRIM($C181), TRIM(INDIRECT($N181)), 0),
       MATCH(TRIM(H$1), TRIM(INDIRECT($O181)), 0))</f>
        <v>#N/A</v>
      </c>
      <c r="I181" s="7" cm="1">
        <f t="array" aca="1" ref="I181" ca="1">INDEX(INDIRECT($M181),
       MATCH(TRIM($C181), TRIM(INDIRECT($N181)), 0),
       MATCH(TRIM(I$1), TRIM(INDIRECT($O181)), 0))</f>
        <v>15.892573689941406</v>
      </c>
      <c r="J181" s="7" cm="1">
        <f t="array" aca="1" ref="J181" ca="1">INDEX(INDIRECT($M181),
       MATCH(TRIM($C181), TRIM(INDIRECT($N181)), 0),
       MATCH(TRIM(J$1), TRIM(INDIRECT($O181)), 0))</f>
        <v>76</v>
      </c>
      <c r="K181" s="7" cm="1">
        <f t="array" aca="1" ref="K181" ca="1">INDEX(INDIRECT($M181),
       MATCH(TRIM($C181), TRIM(INDIRECT($N181)), 0),
       MATCH(TRIM(K$1), TRIM(INDIRECT($O181)), 0))</f>
        <v>24.129754670000001</v>
      </c>
      <c r="L181" s="7" cm="1">
        <f t="array" aca="1" ref="L181" ca="1">INDEX(INDIRECT($M181),
       MATCH(TRIM($C181), TRIM(INDIRECT($N181)), 0),
       MATCH(TRIM(L$1), TRIM(INDIRECT($O181)), 0))</f>
        <v>56.624796359941399</v>
      </c>
      <c r="M181" s="5" t="str">
        <f>_xlfn.CONCAT("'",$B181,"'","!","$C$3:$K$23")</f>
        <v>'2024'!$C$3:$K$23</v>
      </c>
      <c r="N181" s="5" t="str">
        <f>_xlfn.CONCAT("'",$B181,"'","!","$B$3:$B$22")</f>
        <v>'2024'!$B$3:$B$22</v>
      </c>
      <c r="O181" s="5" t="str">
        <f>_xlfn.CONCAT("'",$B181,"'","!","$C$2:$K$2")</f>
        <v>'2024'!$C$2:$K$2</v>
      </c>
    </row>
    <row r="182" spans="1:15" x14ac:dyDescent="0.3">
      <c r="A182">
        <v>10</v>
      </c>
      <c r="B182">
        <v>2024</v>
      </c>
      <c r="C182" t="s">
        <v>87</v>
      </c>
      <c r="D182" s="7" cm="1">
        <f t="array" aca="1" ref="D182" ca="1">INDEX(INDIRECT($M182),
       MATCH(TRIM($C182), TRIM(INDIRECT($N182)), 0),
       MATCH(TRIM(D$1), TRIM(INDIRECT($O182)), 0))</f>
        <v>106</v>
      </c>
      <c r="E182" s="9" t="e" cm="1">
        <f t="array" aca="1" ref="E182" ca="1">INDEX(INDIRECT($M182),
       MATCH(TRIM($C182), TRIM(INDIRECT($N182)), 0),
       MATCH(TRIM(E$1), TRIM(INDIRECT($O182)), 0))</f>
        <v>#N/A</v>
      </c>
      <c r="F182" s="7" cm="1">
        <f t="array" aca="1" ref="F182" ca="1">INDEX(INDIRECT($M182),
       MATCH(TRIM($C182), TRIM(INDIRECT($N182)), 0),
       MATCH(TRIM(F$1), TRIM(INDIRECT($O182)), 0))</f>
        <v>21.54454192</v>
      </c>
      <c r="G182" s="7" cm="1">
        <f t="array" aca="1" ref="G182" ca="1">INDEX(INDIRECT($M182),
       MATCH(TRIM($C182), TRIM(INDIRECT($N182)), 0),
       MATCH(TRIM(G$1), TRIM(INDIRECT($O182)), 0))</f>
        <v>24</v>
      </c>
      <c r="H182" s="9" t="e" cm="1">
        <f t="array" aca="1" ref="H182" ca="1">INDEX(INDIRECT($M182),
       MATCH(TRIM($C182), TRIM(INDIRECT($N182)), 0),
       MATCH(TRIM(H$1), TRIM(INDIRECT($O182)), 0))</f>
        <v>#N/A</v>
      </c>
      <c r="I182" s="7" cm="1">
        <f t="array" aca="1" ref="I182" ca="1">INDEX(INDIRECT($M182),
       MATCH(TRIM($C182), TRIM(INDIRECT($N182)), 0),
       MATCH(TRIM(I$1), TRIM(INDIRECT($O182)), 0))</f>
        <v>28.031444125</v>
      </c>
      <c r="J182" s="7" cm="1">
        <f t="array" aca="1" ref="J182" ca="1">INDEX(INDIRECT($M182),
       MATCH(TRIM($C182), TRIM(INDIRECT($N182)), 0),
       MATCH(TRIM(J$1), TRIM(INDIRECT($O182)), 0))</f>
        <v>113</v>
      </c>
      <c r="K182" s="7" cm="1">
        <f t="array" aca="1" ref="K182" ca="1">INDEX(INDIRECT($M182),
       MATCH(TRIM($C182), TRIM(INDIRECT($N182)), 0),
       MATCH(TRIM(K$1), TRIM(INDIRECT($O182)), 0))</f>
        <v>23.065518329999996</v>
      </c>
      <c r="L182" s="7" cm="1">
        <f t="array" aca="1" ref="L182" ca="1">INDEX(INDIRECT($M182),
       MATCH(TRIM($C182), TRIM(INDIRECT($N182)), 0),
       MATCH(TRIM(L$1), TRIM(INDIRECT($O182)), 0))</f>
        <v>72.641504374999997</v>
      </c>
      <c r="M182" s="5" t="str">
        <f>_xlfn.CONCAT("'",$B182,"'","!","$C$3:$K$23")</f>
        <v>'2024'!$C$3:$K$23</v>
      </c>
      <c r="N182" s="5" t="str">
        <f>_xlfn.CONCAT("'",$B182,"'","!","$B$3:$B$22")</f>
        <v>'2024'!$B$3:$B$22</v>
      </c>
      <c r="O182" s="5" t="str">
        <f>_xlfn.CONCAT("'",$B182,"'","!","$C$2:$K$2")</f>
        <v>'2024'!$C$2:$K$2</v>
      </c>
    </row>
    <row r="183" spans="1:15" x14ac:dyDescent="0.3">
      <c r="A183">
        <v>11</v>
      </c>
      <c r="B183">
        <v>2024</v>
      </c>
      <c r="C183" t="s">
        <v>88</v>
      </c>
      <c r="D183" s="7" cm="1">
        <f t="array" aca="1" ref="D183" ca="1">INDEX(INDIRECT($M183),
       MATCH(TRIM($C183), TRIM(INDIRECT($N183)), 0),
       MATCH(TRIM(D$1), TRIM(INDIRECT($O183)), 0))</f>
        <v>35</v>
      </c>
      <c r="E183" s="9" t="e" cm="1">
        <f t="array" aca="1" ref="E183" ca="1">INDEX(INDIRECT($M183),
       MATCH(TRIM($C183), TRIM(INDIRECT($N183)), 0),
       MATCH(TRIM(E$1), TRIM(INDIRECT($O183)), 0))</f>
        <v>#N/A</v>
      </c>
      <c r="F183" s="7" cm="1">
        <f t="array" aca="1" ref="F183" ca="1">INDEX(INDIRECT($M183),
       MATCH(TRIM($C183), TRIM(INDIRECT($N183)), 0),
       MATCH(TRIM(F$1), TRIM(INDIRECT($O183)), 0))</f>
        <v>16.934717329999998</v>
      </c>
      <c r="G183" s="7" cm="1">
        <f t="array" aca="1" ref="G183" ca="1">INDEX(INDIRECT($M183),
       MATCH(TRIM($C183), TRIM(INDIRECT($N183)), 0),
       MATCH(TRIM(G$1), TRIM(INDIRECT($O183)), 0))</f>
        <v>9</v>
      </c>
      <c r="H183" s="9" t="e" cm="1">
        <f t="array" aca="1" ref="H183" ca="1">INDEX(INDIRECT($M183),
       MATCH(TRIM($C183), TRIM(INDIRECT($N183)), 0),
       MATCH(TRIM(H$1), TRIM(INDIRECT($O183)), 0))</f>
        <v>#N/A</v>
      </c>
      <c r="I183" s="7" cm="1">
        <f t="array" aca="1" ref="I183" ca="1">INDEX(INDIRECT($M183),
       MATCH(TRIM($C183), TRIM(INDIRECT($N183)), 0),
       MATCH(TRIM(I$1), TRIM(INDIRECT($O183)), 0))</f>
        <v>2.8474059999999999</v>
      </c>
      <c r="J183" s="7" cm="1">
        <f t="array" aca="1" ref="J183" ca="1">INDEX(INDIRECT($M183),
       MATCH(TRIM($C183), TRIM(INDIRECT($N183)), 0),
       MATCH(TRIM(J$1), TRIM(INDIRECT($O183)), 0))</f>
        <v>29</v>
      </c>
      <c r="K183" s="7" cm="1">
        <f t="array" aca="1" ref="K183" ca="1">INDEX(INDIRECT($M183),
       MATCH(TRIM($C183), TRIM(INDIRECT($N183)), 0),
       MATCH(TRIM(K$1), TRIM(INDIRECT($O183)), 0))</f>
        <v>42.375662480000003</v>
      </c>
      <c r="L183" s="7" cm="1">
        <f t="array" aca="1" ref="L183" ca="1">INDEX(INDIRECT($M183),
       MATCH(TRIM($C183), TRIM(INDIRECT($N183)), 0),
       MATCH(TRIM(L$1), TRIM(INDIRECT($O183)), 0))</f>
        <v>62.15778581</v>
      </c>
      <c r="M183" s="5" t="str">
        <f>_xlfn.CONCAT("'",$B183,"'","!","$C$3:$K$23")</f>
        <v>'2024'!$C$3:$K$23</v>
      </c>
      <c r="N183" s="5" t="str">
        <f>_xlfn.CONCAT("'",$B183,"'","!","$B$3:$B$22")</f>
        <v>'2024'!$B$3:$B$22</v>
      </c>
      <c r="O183" s="5" t="str">
        <f>_xlfn.CONCAT("'",$B183,"'","!","$C$2:$K$2")</f>
        <v>'2024'!$C$2:$K$2</v>
      </c>
    </row>
    <row r="184" spans="1:15" x14ac:dyDescent="0.3">
      <c r="A184">
        <v>12</v>
      </c>
      <c r="B184">
        <v>2024</v>
      </c>
      <c r="C184" t="s">
        <v>89</v>
      </c>
      <c r="D184" s="7" cm="1">
        <f t="array" aca="1" ref="D184" ca="1">INDEX(INDIRECT($M184),
       MATCH(TRIM($C184), TRIM(INDIRECT($N184)), 0),
       MATCH(TRIM(D$1), TRIM(INDIRECT($O184)), 0))</f>
        <v>2</v>
      </c>
      <c r="E184" s="9" t="e" cm="1">
        <f t="array" aca="1" ref="E184" ca="1">INDEX(INDIRECT($M184),
       MATCH(TRIM($C184), TRIM(INDIRECT($N184)), 0),
       MATCH(TRIM(E$1), TRIM(INDIRECT($O184)), 0))</f>
        <v>#N/A</v>
      </c>
      <c r="F184" s="7" cm="1">
        <f t="array" aca="1" ref="F184" ca="1">INDEX(INDIRECT($M184),
       MATCH(TRIM($C184), TRIM(INDIRECT($N184)), 0),
       MATCH(TRIM(F$1), TRIM(INDIRECT($O184)), 0))</f>
        <v>0.27500000000000002</v>
      </c>
      <c r="G184" s="7" cm="1">
        <f t="array" aca="1" ref="G184" ca="1">INDEX(INDIRECT($M184),
       MATCH(TRIM($C184), TRIM(INDIRECT($N184)), 0),
       MATCH(TRIM(G$1), TRIM(INDIRECT($O184)), 0))</f>
        <v>2</v>
      </c>
      <c r="H184" s="9" t="e" cm="1">
        <f t="array" aca="1" ref="H184" ca="1">INDEX(INDIRECT($M184),
       MATCH(TRIM($C184), TRIM(INDIRECT($N184)), 0),
       MATCH(TRIM(H$1), TRIM(INDIRECT($O184)), 0))</f>
        <v>#N/A</v>
      </c>
      <c r="I184" s="7" cm="1">
        <f t="array" aca="1" ref="I184" ca="1">INDEX(INDIRECT($M184),
       MATCH(TRIM($C184), TRIM(INDIRECT($N184)), 0),
       MATCH(TRIM(I$1), TRIM(INDIRECT($O184)), 0))</f>
        <v>160</v>
      </c>
      <c r="J184" s="7" cm="1">
        <f t="array" aca="1" ref="J184" ca="1">INDEX(INDIRECT($M184),
       MATCH(TRIM($C184), TRIM(INDIRECT($N184)), 0),
       MATCH(TRIM(J$1), TRIM(INDIRECT($O184)), 0))</f>
        <v>6</v>
      </c>
      <c r="K184" s="7" cm="1">
        <f t="array" aca="1" ref="K184" ca="1">INDEX(INDIRECT($M184),
       MATCH(TRIM($C184), TRIM(INDIRECT($N184)), 0),
       MATCH(TRIM(K$1), TRIM(INDIRECT($O184)), 0))</f>
        <v>0.53486009000000001</v>
      </c>
      <c r="L184" s="7" cm="1">
        <f t="array" aca="1" ref="L184" ca="1">INDEX(INDIRECT($M184),
       MATCH(TRIM($C184), TRIM(INDIRECT($N184)), 0),
       MATCH(TRIM(L$1), TRIM(INDIRECT($O184)), 0))</f>
        <v>160.80986009</v>
      </c>
      <c r="M184" s="5" t="str">
        <f>_xlfn.CONCAT("'",$B184,"'","!","$C$3:$K$23")</f>
        <v>'2024'!$C$3:$K$23</v>
      </c>
      <c r="N184" s="5" t="str">
        <f>_xlfn.CONCAT("'",$B184,"'","!","$B$3:$B$22")</f>
        <v>'2024'!$B$3:$B$22</v>
      </c>
      <c r="O184" s="5" t="str">
        <f>_xlfn.CONCAT("'",$B184,"'","!","$C$2:$K$2")</f>
        <v>'2024'!$C$2:$K$2</v>
      </c>
    </row>
    <row r="185" spans="1:15" x14ac:dyDescent="0.3">
      <c r="A185">
        <v>13</v>
      </c>
      <c r="B185">
        <v>2024</v>
      </c>
      <c r="C185" t="s">
        <v>90</v>
      </c>
      <c r="D185" s="7" cm="1">
        <f t="array" aca="1" ref="D185" ca="1">INDEX(INDIRECT($M185),
       MATCH(TRIM($C185), TRIM(INDIRECT($N185)), 0),
       MATCH(TRIM(D$1), TRIM(INDIRECT($O185)), 0))</f>
        <v>19</v>
      </c>
      <c r="E185" s="9" t="e" cm="1">
        <f t="array" aca="1" ref="E185" ca="1">INDEX(INDIRECT($M185),
       MATCH(TRIM($C185), TRIM(INDIRECT($N185)), 0),
       MATCH(TRIM(E$1), TRIM(INDIRECT($O185)), 0))</f>
        <v>#N/A</v>
      </c>
      <c r="F185" s="7" cm="1">
        <f t="array" aca="1" ref="F185" ca="1">INDEX(INDIRECT($M185),
       MATCH(TRIM($C185), TRIM(INDIRECT($N185)), 0),
       MATCH(TRIM(F$1), TRIM(INDIRECT($O185)), 0))</f>
        <v>18.3862329</v>
      </c>
      <c r="G185" s="7" cm="1">
        <f t="array" aca="1" ref="G185" ca="1">INDEX(INDIRECT($M185),
       MATCH(TRIM($C185), TRIM(INDIRECT($N185)), 0),
       MATCH(TRIM(G$1), TRIM(INDIRECT($O185)), 0))</f>
        <v>4</v>
      </c>
      <c r="H185" s="9" t="e" cm="1">
        <f t="array" aca="1" ref="H185" ca="1">INDEX(INDIRECT($M185),
       MATCH(TRIM($C185), TRIM(INDIRECT($N185)), 0),
       MATCH(TRIM(H$1), TRIM(INDIRECT($O185)), 0))</f>
        <v>#N/A</v>
      </c>
      <c r="I185" s="7" cm="1">
        <f t="array" aca="1" ref="I185" ca="1">INDEX(INDIRECT($M185),
       MATCH(TRIM($C185), TRIM(INDIRECT($N185)), 0),
       MATCH(TRIM(I$1), TRIM(INDIRECT($O185)), 0))</f>
        <v>2.9141694999999999</v>
      </c>
      <c r="J185" s="7" cm="1">
        <f t="array" aca="1" ref="J185" ca="1">INDEX(INDIRECT($M185),
       MATCH(TRIM($C185), TRIM(INDIRECT($N185)), 0),
       MATCH(TRIM(J$1), TRIM(INDIRECT($O185)), 0))</f>
        <v>15</v>
      </c>
      <c r="K185" s="7" cm="1">
        <f t="array" aca="1" ref="K185" ca="1">INDEX(INDIRECT($M185),
       MATCH(TRIM($C185), TRIM(INDIRECT($N185)), 0),
       MATCH(TRIM(K$1), TRIM(INDIRECT($O185)), 0))</f>
        <v>2.2906955999999989</v>
      </c>
      <c r="L185" s="7" cm="1">
        <f t="array" aca="1" ref="L185" ca="1">INDEX(INDIRECT($M185),
       MATCH(TRIM($C185), TRIM(INDIRECT($N185)), 0),
       MATCH(TRIM(L$1), TRIM(INDIRECT($O185)), 0))</f>
        <v>23.591097999999999</v>
      </c>
      <c r="M185" s="5" t="str">
        <f>_xlfn.CONCAT("'",$B185,"'","!","$C$3:$K$23")</f>
        <v>'2024'!$C$3:$K$23</v>
      </c>
      <c r="N185" s="5" t="str">
        <f>_xlfn.CONCAT("'",$B185,"'","!","$B$3:$B$22")</f>
        <v>'2024'!$B$3:$B$22</v>
      </c>
      <c r="O185" s="5" t="str">
        <f>_xlfn.CONCAT("'",$B185,"'","!","$C$2:$K$2")</f>
        <v>'2024'!$C$2:$K$2</v>
      </c>
    </row>
    <row r="186" spans="1:15" x14ac:dyDescent="0.3">
      <c r="A186">
        <v>14</v>
      </c>
      <c r="B186">
        <v>2024</v>
      </c>
      <c r="C186" t="s">
        <v>91</v>
      </c>
      <c r="D186" s="7" cm="1">
        <f t="array" aca="1" ref="D186" ca="1">INDEX(INDIRECT($M186),
       MATCH(TRIM($C186), TRIM(INDIRECT($N186)), 0),
       MATCH(TRIM(D$1), TRIM(INDIRECT($O186)), 0))</f>
        <v>1</v>
      </c>
      <c r="E186" s="9" t="e" cm="1">
        <f t="array" aca="1" ref="E186" ca="1">INDEX(INDIRECT($M186),
       MATCH(TRIM($C186), TRIM(INDIRECT($N186)), 0),
       MATCH(TRIM(E$1), TRIM(INDIRECT($O186)), 0))</f>
        <v>#N/A</v>
      </c>
      <c r="F186" s="7" cm="1">
        <f t="array" aca="1" ref="F186" ca="1">INDEX(INDIRECT($M186),
       MATCH(TRIM($C186), TRIM(INDIRECT($N186)), 0),
       MATCH(TRIM(F$1), TRIM(INDIRECT($O186)), 0))</f>
        <v>2.4679E-2</v>
      </c>
      <c r="G186" s="7" cm="1">
        <f t="array" aca="1" ref="G186" ca="1">INDEX(INDIRECT($M186),
       MATCH(TRIM($C186), TRIM(INDIRECT($N186)), 0),
       MATCH(TRIM(G$1), TRIM(INDIRECT($O186)), 0))</f>
        <v>2</v>
      </c>
      <c r="H186" s="9" t="e" cm="1">
        <f t="array" aca="1" ref="H186" ca="1">INDEX(INDIRECT($M186),
       MATCH(TRIM($C186), TRIM(INDIRECT($N186)), 0),
       MATCH(TRIM(H$1), TRIM(INDIRECT($O186)), 0))</f>
        <v>#N/A</v>
      </c>
      <c r="I186" s="7" cm="1">
        <f t="array" aca="1" ref="I186" ca="1">INDEX(INDIRECT($M186),
       MATCH(TRIM($C186), TRIM(INDIRECT($N186)), 0),
       MATCH(TRIM(I$1), TRIM(INDIRECT($O186)), 0))</f>
        <v>-109.061249</v>
      </c>
      <c r="J186" s="7" cm="1">
        <f t="array" aca="1" ref="J186" ca="1">INDEX(INDIRECT($M186),
       MATCH(TRIM($C186), TRIM(INDIRECT($N186)), 0),
       MATCH(TRIM(J$1), TRIM(INDIRECT($O186)), 0))</f>
        <v>1</v>
      </c>
      <c r="K186" s="7" cm="1">
        <f t="array" aca="1" ref="K186" ca="1">INDEX(INDIRECT($M186),
       MATCH(TRIM($C186), TRIM(INDIRECT($N186)), 0),
       MATCH(TRIM(K$1), TRIM(INDIRECT($O186)), 0))</f>
        <v>2.5</v>
      </c>
      <c r="L186" s="7" cm="1">
        <f t="array" aca="1" ref="L186" ca="1">INDEX(INDIRECT($M186),
       MATCH(TRIM($C186), TRIM(INDIRECT($N186)), 0),
       MATCH(TRIM(L$1), TRIM(INDIRECT($O186)), 0))</f>
        <v>-106.53657</v>
      </c>
      <c r="M186" s="5" t="str">
        <f>_xlfn.CONCAT("'",$B186,"'","!","$C$3:$K$23")</f>
        <v>'2024'!$C$3:$K$23</v>
      </c>
      <c r="N186" s="5" t="str">
        <f>_xlfn.CONCAT("'",$B186,"'","!","$B$3:$B$22")</f>
        <v>'2024'!$B$3:$B$22</v>
      </c>
      <c r="O186" s="5" t="str">
        <f>_xlfn.CONCAT("'",$B186,"'","!","$C$2:$K$2")</f>
        <v>'2024'!$C$2:$K$2</v>
      </c>
    </row>
    <row r="187" spans="1:15" x14ac:dyDescent="0.3">
      <c r="A187">
        <v>15</v>
      </c>
      <c r="B187">
        <v>2024</v>
      </c>
      <c r="C187" t="s">
        <v>92</v>
      </c>
      <c r="D187" s="7" cm="1">
        <f t="array" aca="1" ref="D187" ca="1">INDEX(INDIRECT($M187),
       MATCH(TRIM($C187), TRIM(INDIRECT($N187)), 0),
       MATCH(TRIM(D$1), TRIM(INDIRECT($O187)), 0))</f>
        <v>0</v>
      </c>
      <c r="E187" s="9" t="e" cm="1">
        <f t="array" aca="1" ref="E187" ca="1">INDEX(INDIRECT($M187),
       MATCH(TRIM($C187), TRIM(INDIRECT($N187)), 0),
       MATCH(TRIM(E$1), TRIM(INDIRECT($O187)), 0))</f>
        <v>#N/A</v>
      </c>
      <c r="F187" s="7" cm="1">
        <f t="array" aca="1" ref="F187" ca="1">INDEX(INDIRECT($M187),
       MATCH(TRIM($C187), TRIM(INDIRECT($N187)), 0),
       MATCH(TRIM(F$1), TRIM(INDIRECT($O187)), 0))</f>
        <v>0</v>
      </c>
      <c r="G187" s="7" cm="1">
        <f t="array" aca="1" ref="G187" ca="1">INDEX(INDIRECT($M187),
       MATCH(TRIM($C187), TRIM(INDIRECT($N187)), 0),
       MATCH(TRIM(G$1), TRIM(INDIRECT($O187)), 0))</f>
        <v>2</v>
      </c>
      <c r="H187" s="9" t="e" cm="1">
        <f t="array" aca="1" ref="H187" ca="1">INDEX(INDIRECT($M187),
       MATCH(TRIM($C187), TRIM(INDIRECT($N187)), 0),
       MATCH(TRIM(H$1), TRIM(INDIRECT($O187)), 0))</f>
        <v>#N/A</v>
      </c>
      <c r="I187" s="7" cm="1">
        <f t="array" aca="1" ref="I187" ca="1">INDEX(INDIRECT($M187),
       MATCH(TRIM($C187), TRIM(INDIRECT($N187)), 0),
       MATCH(TRIM(I$1), TRIM(INDIRECT($O187)), 0))</f>
        <v>0.75862099999999999</v>
      </c>
      <c r="J187" s="7" cm="1">
        <f t="array" aca="1" ref="J187" ca="1">INDEX(INDIRECT($M187),
       MATCH(TRIM($C187), TRIM(INDIRECT($N187)), 0),
       MATCH(TRIM(J$1), TRIM(INDIRECT($O187)), 0))</f>
        <v>8</v>
      </c>
      <c r="K187" s="7" cm="1">
        <f t="array" aca="1" ref="K187" ca="1">INDEX(INDIRECT($M187),
       MATCH(TRIM($C187), TRIM(INDIRECT($N187)), 0),
       MATCH(TRIM(K$1), TRIM(INDIRECT($O187)), 0))</f>
        <v>18.310070900000003</v>
      </c>
      <c r="L187" s="7" cm="1">
        <f t="array" aca="1" ref="L187" ca="1">INDEX(INDIRECT($M187),
       MATCH(TRIM($C187), TRIM(INDIRECT($N187)), 0),
       MATCH(TRIM(L$1), TRIM(INDIRECT($O187)), 0))</f>
        <v>19.068691900000005</v>
      </c>
      <c r="M187" s="5" t="str">
        <f>_xlfn.CONCAT("'",$B187,"'","!","$C$3:$K$23")</f>
        <v>'2024'!$C$3:$K$23</v>
      </c>
      <c r="N187" s="5" t="str">
        <f>_xlfn.CONCAT("'",$B187,"'","!","$B$3:$B$22")</f>
        <v>'2024'!$B$3:$B$22</v>
      </c>
      <c r="O187" s="5" t="str">
        <f>_xlfn.CONCAT("'",$B187,"'","!","$C$2:$K$2")</f>
        <v>'2024'!$C$2:$K$2</v>
      </c>
    </row>
    <row r="188" spans="1:15" x14ac:dyDescent="0.3">
      <c r="A188">
        <v>16</v>
      </c>
      <c r="B188">
        <v>2024</v>
      </c>
      <c r="C188" t="s">
        <v>93</v>
      </c>
      <c r="D188" s="7" cm="1">
        <f t="array" aca="1" ref="D188" ca="1">INDEX(INDIRECT($M188),
       MATCH(TRIM($C188), TRIM(INDIRECT($N188)), 0),
       MATCH(TRIM(D$1), TRIM(INDIRECT($O188)), 0))</f>
        <v>0</v>
      </c>
      <c r="E188" s="9" t="e" cm="1">
        <f t="array" aca="1" ref="E188" ca="1">INDEX(INDIRECT($M188),
       MATCH(TRIM($C188), TRIM(INDIRECT($N188)), 0),
       MATCH(TRIM(E$1), TRIM(INDIRECT($O188)), 0))</f>
        <v>#N/A</v>
      </c>
      <c r="F188" s="7" cm="1">
        <f t="array" aca="1" ref="F188" ca="1">INDEX(INDIRECT($M188),
       MATCH(TRIM($C188), TRIM(INDIRECT($N188)), 0),
       MATCH(TRIM(F$1), TRIM(INDIRECT($O188)), 0))</f>
        <v>0</v>
      </c>
      <c r="G188" s="7" cm="1">
        <f t="array" aca="1" ref="G188" ca="1">INDEX(INDIRECT($M188),
       MATCH(TRIM($C188), TRIM(INDIRECT($N188)), 0),
       MATCH(TRIM(G$1), TRIM(INDIRECT($O188)), 0))</f>
        <v>1</v>
      </c>
      <c r="H188" s="9" t="e" cm="1">
        <f t="array" aca="1" ref="H188" ca="1">INDEX(INDIRECT($M188),
       MATCH(TRIM($C188), TRIM(INDIRECT($N188)), 0),
       MATCH(TRIM(H$1), TRIM(INDIRECT($O188)), 0))</f>
        <v>#N/A</v>
      </c>
      <c r="I188" s="7" cm="1">
        <f t="array" aca="1" ref="I188" ca="1">INDEX(INDIRECT($M188),
       MATCH(TRIM($C188), TRIM(INDIRECT($N188)), 0),
       MATCH(TRIM(I$1), TRIM(INDIRECT($O188)), 0))</f>
        <v>0.22500000000000001</v>
      </c>
      <c r="J188" s="7" cm="1">
        <f t="array" aca="1" ref="J188" ca="1">INDEX(INDIRECT($M188),
       MATCH(TRIM($C188), TRIM(INDIRECT($N188)), 0),
       MATCH(TRIM(J$1), TRIM(INDIRECT($O188)), 0))</f>
        <v>1</v>
      </c>
      <c r="K188" s="7" cm="1">
        <f t="array" aca="1" ref="K188" ca="1">INDEX(INDIRECT($M188),
       MATCH(TRIM($C188), TRIM(INDIRECT($N188)), 0),
       MATCH(TRIM(K$1), TRIM(INDIRECT($O188)), 0))</f>
        <v>0.54998999999999998</v>
      </c>
      <c r="L188" s="7" cm="1">
        <f t="array" aca="1" ref="L188" ca="1">INDEX(INDIRECT($M188),
       MATCH(TRIM($C188), TRIM(INDIRECT($N188)), 0),
       MATCH(TRIM(L$1), TRIM(INDIRECT($O188)), 0))</f>
        <v>0.77498999999999996</v>
      </c>
      <c r="M188" s="5" t="str">
        <f>_xlfn.CONCAT("'",$B188,"'","!","$C$3:$K$23")</f>
        <v>'2024'!$C$3:$K$23</v>
      </c>
      <c r="N188" s="5" t="str">
        <f>_xlfn.CONCAT("'",$B188,"'","!","$B$3:$B$22")</f>
        <v>'2024'!$B$3:$B$22</v>
      </c>
      <c r="O188" s="5" t="str">
        <f>_xlfn.CONCAT("'",$B188,"'","!","$C$2:$K$2")</f>
        <v>'2024'!$C$2:$K$2</v>
      </c>
    </row>
    <row r="189" spans="1:15" x14ac:dyDescent="0.3">
      <c r="A189">
        <v>17</v>
      </c>
      <c r="B189">
        <v>2024</v>
      </c>
      <c r="C189" t="s">
        <v>94</v>
      </c>
      <c r="D189" s="7" cm="1">
        <f t="array" aca="1" ref="D189" ca="1">INDEX(INDIRECT($M189),
       MATCH(TRIM($C189), TRIM(INDIRECT($N189)), 0),
       MATCH(TRIM(D$1), TRIM(INDIRECT($O189)), 0))</f>
        <v>3</v>
      </c>
      <c r="E189" s="9" t="e" cm="1">
        <f t="array" aca="1" ref="E189" ca="1">INDEX(INDIRECT($M189),
       MATCH(TRIM($C189), TRIM(INDIRECT($N189)), 0),
       MATCH(TRIM(E$1), TRIM(INDIRECT($O189)), 0))</f>
        <v>#N/A</v>
      </c>
      <c r="F189" s="7" cm="1">
        <f t="array" aca="1" ref="F189" ca="1">INDEX(INDIRECT($M189),
       MATCH(TRIM($C189), TRIM(INDIRECT($N189)), 0),
       MATCH(TRIM(F$1), TRIM(INDIRECT($O189)), 0))</f>
        <v>5.6974761199999993</v>
      </c>
      <c r="G189" s="7" cm="1">
        <f t="array" aca="1" ref="G189" ca="1">INDEX(INDIRECT($M189),
       MATCH(TRIM($C189), TRIM(INDIRECT($N189)), 0),
       MATCH(TRIM(G$1), TRIM(INDIRECT($O189)), 0))</f>
        <v>0</v>
      </c>
      <c r="H189" s="9" t="e" cm="1">
        <f t="array" aca="1" ref="H189" ca="1">INDEX(INDIRECT($M189),
       MATCH(TRIM($C189), TRIM(INDIRECT($N189)), 0),
       MATCH(TRIM(H$1), TRIM(INDIRECT($O189)), 0))</f>
        <v>#N/A</v>
      </c>
      <c r="I189" s="7" cm="1">
        <f t="array" aca="1" ref="I189" ca="1">INDEX(INDIRECT($M189),
       MATCH(TRIM($C189), TRIM(INDIRECT($N189)), 0),
       MATCH(TRIM(I$1), TRIM(INDIRECT($O189)), 0))</f>
        <v>0</v>
      </c>
      <c r="J189" s="7" cm="1">
        <f t="array" aca="1" ref="J189" ca="1">INDEX(INDIRECT($M189),
       MATCH(TRIM($C189), TRIM(INDIRECT($N189)), 0),
       MATCH(TRIM(J$1), TRIM(INDIRECT($O189)), 0))</f>
        <v>3</v>
      </c>
      <c r="K189" s="7" cm="1">
        <f t="array" aca="1" ref="K189" ca="1">INDEX(INDIRECT($M189),
       MATCH(TRIM($C189), TRIM(INDIRECT($N189)), 0),
       MATCH(TRIM(K$1), TRIM(INDIRECT($O189)), 0))</f>
        <v>0.58616299999999999</v>
      </c>
      <c r="L189" s="7" cm="1">
        <f t="array" aca="1" ref="L189" ca="1">INDEX(INDIRECT($M189),
       MATCH(TRIM($C189), TRIM(INDIRECT($N189)), 0),
       MATCH(TRIM(L$1), TRIM(INDIRECT($O189)), 0))</f>
        <v>6.2836391199999992</v>
      </c>
      <c r="M189" s="5" t="str">
        <f>_xlfn.CONCAT("'",$B189,"'","!","$C$3:$K$23")</f>
        <v>'2024'!$C$3:$K$23</v>
      </c>
      <c r="N189" s="5" t="str">
        <f>_xlfn.CONCAT("'",$B189,"'","!","$B$3:$B$22")</f>
        <v>'2024'!$B$3:$B$22</v>
      </c>
      <c r="O189" s="5" t="str">
        <f>_xlfn.CONCAT("'",$B189,"'","!","$C$2:$K$2")</f>
        <v>'2024'!$C$2:$K$2</v>
      </c>
    </row>
    <row r="190" spans="1:15" x14ac:dyDescent="0.3">
      <c r="A190">
        <v>18</v>
      </c>
      <c r="B190">
        <v>2024</v>
      </c>
      <c r="C190" t="s">
        <v>95</v>
      </c>
      <c r="D190" s="7" cm="1">
        <f t="array" aca="1" ref="D190" ca="1">INDEX(INDIRECT($M190),
       MATCH(TRIM($C190), TRIM(INDIRECT($N190)), 0),
       MATCH(TRIM(D$1), TRIM(INDIRECT($O190)), 0))</f>
        <v>3</v>
      </c>
      <c r="E190" s="9" t="e" cm="1">
        <f t="array" aca="1" ref="E190" ca="1">INDEX(INDIRECT($M190),
       MATCH(TRIM($C190), TRIM(INDIRECT($N190)), 0),
       MATCH(TRIM(E$1), TRIM(INDIRECT($O190)), 0))</f>
        <v>#N/A</v>
      </c>
      <c r="F190" s="7" cm="1">
        <f t="array" aca="1" ref="F190" ca="1">INDEX(INDIRECT($M190),
       MATCH(TRIM($C190), TRIM(INDIRECT($N190)), 0),
       MATCH(TRIM(F$1), TRIM(INDIRECT($O190)), 0))</f>
        <v>1.986645</v>
      </c>
      <c r="G190" s="7" cm="1">
        <f t="array" aca="1" ref="G190" ca="1">INDEX(INDIRECT($M190),
       MATCH(TRIM($C190), TRIM(INDIRECT($N190)), 0),
       MATCH(TRIM(G$1), TRIM(INDIRECT($O190)), 0))</f>
        <v>1</v>
      </c>
      <c r="H190" s="9" t="e" cm="1">
        <f t="array" aca="1" ref="H190" ca="1">INDEX(INDIRECT($M190),
       MATCH(TRIM($C190), TRIM(INDIRECT($N190)), 0),
       MATCH(TRIM(H$1), TRIM(INDIRECT($O190)), 0))</f>
        <v>#N/A</v>
      </c>
      <c r="I190" s="7" cm="1">
        <f t="array" aca="1" ref="I190" ca="1">INDEX(INDIRECT($M190),
       MATCH(TRIM($C190), TRIM(INDIRECT($N190)), 0),
       MATCH(TRIM(I$1), TRIM(INDIRECT($O190)), 0))</f>
        <v>0.06</v>
      </c>
      <c r="J190" s="7" cm="1">
        <f t="array" aca="1" ref="J190" ca="1">INDEX(INDIRECT($M190),
       MATCH(TRIM($C190), TRIM(INDIRECT($N190)), 0),
       MATCH(TRIM(J$1), TRIM(INDIRECT($O190)), 0))</f>
        <v>8</v>
      </c>
      <c r="K190" s="7" cm="1">
        <f t="array" aca="1" ref="K190" ca="1">INDEX(INDIRECT($M190),
       MATCH(TRIM($C190), TRIM(INDIRECT($N190)), 0),
       MATCH(TRIM(K$1), TRIM(INDIRECT($O190)), 0))</f>
        <v>31.960474630000004</v>
      </c>
      <c r="L190" s="7" cm="1">
        <f t="array" aca="1" ref="L190" ca="1">INDEX(INDIRECT($M190),
       MATCH(TRIM($C190), TRIM(INDIRECT($N190)), 0),
       MATCH(TRIM(L$1), TRIM(INDIRECT($O190)), 0))</f>
        <v>34.007119630000005</v>
      </c>
      <c r="M190" s="5" t="str">
        <f>_xlfn.CONCAT("'",$B190,"'","!","$C$3:$K$23")</f>
        <v>'2024'!$C$3:$K$23</v>
      </c>
      <c r="N190" s="5" t="str">
        <f>_xlfn.CONCAT("'",$B190,"'","!","$B$3:$B$22")</f>
        <v>'2024'!$B$3:$B$22</v>
      </c>
      <c r="O190" s="5" t="str">
        <f>_xlfn.CONCAT("'",$B190,"'","!","$C$2:$K$2")</f>
        <v>'2024'!$C$2:$K$2</v>
      </c>
    </row>
    <row r="191" spans="1:15" x14ac:dyDescent="0.3">
      <c r="A191">
        <v>19</v>
      </c>
      <c r="B191">
        <v>2024</v>
      </c>
      <c r="C191" t="s">
        <v>96</v>
      </c>
      <c r="D191" s="7" t="e" cm="1">
        <f t="array" aca="1" ref="D191" ca="1">INDEX(INDIRECT($M191),
       MATCH(TRIM($C191), TRIM(INDIRECT($N191)), 0),
       MATCH(TRIM(D$1), TRIM(INDIRECT($O191)), 0))</f>
        <v>#N/A</v>
      </c>
      <c r="E191" s="9" t="e" cm="1">
        <f t="array" aca="1" ref="E191" ca="1">INDEX(INDIRECT($M191),
       MATCH(TRIM($C191), TRIM(INDIRECT($N191)), 0),
       MATCH(TRIM(E$1), TRIM(INDIRECT($O191)), 0))</f>
        <v>#N/A</v>
      </c>
      <c r="F191" s="7" t="e" cm="1">
        <f t="array" aca="1" ref="F191" ca="1">INDEX(INDIRECT($M191),
       MATCH(TRIM($C191), TRIM(INDIRECT($N191)), 0),
       MATCH(TRIM(F$1), TRIM(INDIRECT($O191)), 0))</f>
        <v>#N/A</v>
      </c>
      <c r="G191" s="7" t="e" cm="1">
        <f t="array" aca="1" ref="G191" ca="1">INDEX(INDIRECT($M191),
       MATCH(TRIM($C191), TRIM(INDIRECT($N191)), 0),
       MATCH(TRIM(G$1), TRIM(INDIRECT($O191)), 0))</f>
        <v>#N/A</v>
      </c>
      <c r="H191" s="9" t="e" cm="1">
        <f t="array" aca="1" ref="H191" ca="1">INDEX(INDIRECT($M191),
       MATCH(TRIM($C191), TRIM(INDIRECT($N191)), 0),
       MATCH(TRIM(H$1), TRIM(INDIRECT($O191)), 0))</f>
        <v>#N/A</v>
      </c>
      <c r="I191" s="7" t="e" cm="1">
        <f t="array" aca="1" ref="I191" ca="1">INDEX(INDIRECT($M191),
       MATCH(TRIM($C191), TRIM(INDIRECT($N191)), 0),
       MATCH(TRIM(I$1), TRIM(INDIRECT($O191)), 0))</f>
        <v>#N/A</v>
      </c>
      <c r="J191" s="7" t="e" cm="1">
        <f t="array" aca="1" ref="J191" ca="1">INDEX(INDIRECT($M191),
       MATCH(TRIM($C191), TRIM(INDIRECT($N191)), 0),
       MATCH(TRIM(J$1), TRIM(INDIRECT($O191)), 0))</f>
        <v>#N/A</v>
      </c>
      <c r="K191" s="7" t="e" cm="1">
        <f t="array" aca="1" ref="K191" ca="1">INDEX(INDIRECT($M191),
       MATCH(TRIM($C191), TRIM(INDIRECT($N191)), 0),
       MATCH(TRIM(K$1), TRIM(INDIRECT($O191)), 0))</f>
        <v>#N/A</v>
      </c>
      <c r="L191" s="7" t="e" cm="1">
        <f t="array" aca="1" ref="L191" ca="1">INDEX(INDIRECT($M191),
       MATCH(TRIM($C191), TRIM(INDIRECT($N191)), 0),
       MATCH(TRIM(L$1), TRIM(INDIRECT($O191)), 0))</f>
        <v>#N/A</v>
      </c>
      <c r="M191" s="5" t="str">
        <f>_xlfn.CONCAT("'",$B191,"'","!","$C$3:$K$23")</f>
        <v>'2024'!$C$3:$K$23</v>
      </c>
      <c r="N191" s="5" t="str">
        <f>_xlfn.CONCAT("'",$B191,"'","!","$B$3:$B$22")</f>
        <v>'2024'!$B$3:$B$22</v>
      </c>
      <c r="O191" s="5" t="str">
        <f>_xlfn.CONCAT("'",$B191,"'","!","$C$2:$K$2")</f>
        <v>'2024'!$C$2:$K$2</v>
      </c>
    </row>
    <row r="192" spans="1:15" x14ac:dyDescent="0.3">
      <c r="M192" s="5" t="str">
        <f>_xlfn.CONCAT("'",$B192,"'","!","$C$3:$K$23")</f>
        <v>''!$C$3:$K$23</v>
      </c>
      <c r="N192" s="5" t="str">
        <f>_xlfn.CONCAT("'",$B192,"'","!","$B$3:$B$22")</f>
        <v>''!$B$3:$B$22</v>
      </c>
      <c r="O192" s="5" t="str">
        <f>_xlfn.CONCAT("'",$B192,"'","!","$C$2:$K$2")</f>
        <v>''!$C$2:$K$2</v>
      </c>
    </row>
    <row r="193" spans="13:15" x14ac:dyDescent="0.3">
      <c r="M193" s="5" t="str">
        <f>_xlfn.CONCAT("'",$B193,"'","!","$C$3:$K$23")</f>
        <v>''!$C$3:$K$23</v>
      </c>
      <c r="N193" s="5" t="str">
        <f>_xlfn.CONCAT("'",$B193,"'","!","$B$3:$B$22")</f>
        <v>''!$B$3:$B$22</v>
      </c>
      <c r="O193" s="5" t="str">
        <f>_xlfn.CONCAT("'",$B193,"'","!","$C$2:$K$2")</f>
        <v>''!$C$2:$K$2</v>
      </c>
    </row>
    <row r="194" spans="13:15" x14ac:dyDescent="0.3">
      <c r="M194" s="5" t="str">
        <f>_xlfn.CONCAT("'",$B194,"'","!","$C$3:$K$23")</f>
        <v>''!$C$3:$K$23</v>
      </c>
      <c r="N194" s="5" t="str">
        <f>_xlfn.CONCAT("'",$B194,"'","!","$B$3:$B$22")</f>
        <v>''!$B$3:$B$22</v>
      </c>
      <c r="O194" s="5" t="str">
        <f>_xlfn.CONCAT("'",$B194,"'","!","$C$2:$K$2")</f>
        <v>''!$C$2:$K$2</v>
      </c>
    </row>
    <row r="195" spans="13:15" x14ac:dyDescent="0.3">
      <c r="M195" s="5" t="str">
        <f>_xlfn.CONCAT("'",$B195,"'","!","$C$3:$K$23")</f>
        <v>''!$C$3:$K$23</v>
      </c>
      <c r="N195" s="5" t="str">
        <f>_xlfn.CONCAT("'",$B195,"'","!","$B$3:$B$22")</f>
        <v>''!$B$3:$B$22</v>
      </c>
      <c r="O195" s="5" t="str">
        <f>_xlfn.CONCAT("'",$B195,"'","!","$C$2:$K$2")</f>
        <v>''!$C$2:$K$2</v>
      </c>
    </row>
    <row r="196" spans="13:15" x14ac:dyDescent="0.3">
      <c r="M196" s="5" t="str">
        <f>_xlfn.CONCAT("'",$B196,"'","!","$C$3:$K$23")</f>
        <v>''!$C$3:$K$23</v>
      </c>
      <c r="N196" s="5" t="str">
        <f>_xlfn.CONCAT("'",$B196,"'","!","$B$3:$B$22")</f>
        <v>''!$B$3:$B$22</v>
      </c>
      <c r="O196" s="5" t="str">
        <f>_xlfn.CONCAT("'",$B196,"'","!","$C$2:$K$2")</f>
        <v>''!$C$2:$K$2</v>
      </c>
    </row>
    <row r="197" spans="13:15" x14ac:dyDescent="0.3">
      <c r="M197" s="5" t="str">
        <f>_xlfn.CONCAT("'",$B197,"'","!","$C$3:$K$23")</f>
        <v>''!$C$3:$K$23</v>
      </c>
      <c r="N197" s="5" t="str">
        <f>_xlfn.CONCAT("'",$B197,"'","!","$B$3:$B$22")</f>
        <v>''!$B$3:$B$22</v>
      </c>
      <c r="O197" s="5" t="str">
        <f>_xlfn.CONCAT("'",$B197,"'","!","$C$2:$K$2")</f>
        <v>''!$C$2:$K$2</v>
      </c>
    </row>
    <row r="198" spans="13:15" x14ac:dyDescent="0.3">
      <c r="M198" s="5" t="str">
        <f>_xlfn.CONCAT("'",$B198,"'","!","$C$3:$K$23")</f>
        <v>''!$C$3:$K$23</v>
      </c>
      <c r="N198" s="5" t="str">
        <f>_xlfn.CONCAT("'",$B198,"'","!","$B$3:$B$22")</f>
        <v>''!$B$3:$B$22</v>
      </c>
      <c r="O198" s="5" t="str">
        <f>_xlfn.CONCAT("'",$B198,"'","!","$C$2:$K$2")</f>
        <v>''!$C$2:$K$2</v>
      </c>
    </row>
    <row r="199" spans="13:15" x14ac:dyDescent="0.3">
      <c r="M199" s="5" t="str">
        <f>_xlfn.CONCAT("'",$B199,"'","!","$C$3:$K$23")</f>
        <v>''!$C$3:$K$23</v>
      </c>
      <c r="N199" s="5" t="str">
        <f>_xlfn.CONCAT("'",$B199,"'","!","$B$3:$B$22")</f>
        <v>''!$B$3:$B$22</v>
      </c>
      <c r="O199" s="5" t="str">
        <f>_xlfn.CONCAT("'",$B199,"'","!","$C$2:$K$2")</f>
        <v>''!$C$2:$K$2</v>
      </c>
    </row>
    <row r="200" spans="13:15" x14ac:dyDescent="0.3">
      <c r="M200" s="5" t="str">
        <f>_xlfn.CONCAT("'",$B200,"'","!","$C$3:$K$23")</f>
        <v>''!$C$3:$K$23</v>
      </c>
      <c r="N200" s="5" t="str">
        <f>_xlfn.CONCAT("'",$B200,"'","!","$B$3:$B$22")</f>
        <v>''!$B$3:$B$22</v>
      </c>
      <c r="O200" s="5" t="str">
        <f>_xlfn.CONCAT("'",$B200,"'","!","$C$2:$K$2")</f>
        <v>''!$C$2:$K$2</v>
      </c>
    </row>
    <row r="201" spans="13:15" x14ac:dyDescent="0.3">
      <c r="M201" s="5" t="str">
        <f>_xlfn.CONCAT("'",$B201,"'","!","$C$3:$K$23")</f>
        <v>''!$C$3:$K$23</v>
      </c>
      <c r="N201" s="5" t="str">
        <f>_xlfn.CONCAT("'",$B201,"'","!","$B$3:$B$22")</f>
        <v>''!$B$3:$B$22</v>
      </c>
      <c r="O201" s="5" t="str">
        <f>_xlfn.CONCAT("'",$B201,"'","!","$C$2:$K$2")</f>
        <v>''!$C$2:$K$2</v>
      </c>
    </row>
    <row r="202" spans="13:15" x14ac:dyDescent="0.3">
      <c r="M202" s="5" t="str">
        <f>_xlfn.CONCAT("'",$B202,"'","!","$C$3:$K$23")</f>
        <v>''!$C$3:$K$23</v>
      </c>
      <c r="N202" s="5" t="str">
        <f>_xlfn.CONCAT("'",$B202,"'","!","$B$3:$B$22")</f>
        <v>''!$B$3:$B$22</v>
      </c>
      <c r="O202" s="5" t="str">
        <f>_xlfn.CONCAT("'",$B202,"'","!","$C$2:$K$2")</f>
        <v>''!$C$2:$K$2</v>
      </c>
    </row>
    <row r="203" spans="13:15" x14ac:dyDescent="0.3">
      <c r="M203" s="5" t="str">
        <f>_xlfn.CONCAT("'",$B203,"'","!","$C$3:$K$23")</f>
        <v>''!$C$3:$K$23</v>
      </c>
      <c r="N203" s="5" t="str">
        <f>_xlfn.CONCAT("'",$B203,"'","!","$B$3:$B$22")</f>
        <v>''!$B$3:$B$22</v>
      </c>
      <c r="O203" s="5" t="str">
        <f>_xlfn.CONCAT("'",$B203,"'","!","$C$2:$K$2")</f>
        <v>''!$C$2:$K$2</v>
      </c>
    </row>
    <row r="204" spans="13:15" x14ac:dyDescent="0.3">
      <c r="M204" s="5" t="str">
        <f>_xlfn.CONCAT("'",$B204,"'","!","$C$3:$K$23")</f>
        <v>''!$C$3:$K$23</v>
      </c>
      <c r="N204" s="5" t="str">
        <f>_xlfn.CONCAT("'",$B204,"'","!","$B$3:$B$22")</f>
        <v>''!$B$3:$B$22</v>
      </c>
      <c r="O204" s="5" t="str">
        <f>_xlfn.CONCAT("'",$B204,"'","!","$C$2:$K$2")</f>
        <v>''!$C$2:$K$2</v>
      </c>
    </row>
    <row r="205" spans="13:15" x14ac:dyDescent="0.3">
      <c r="M205" s="5" t="str">
        <f>_xlfn.CONCAT("'",$B205,"'","!","$C$3:$K$23")</f>
        <v>''!$C$3:$K$23</v>
      </c>
      <c r="N205" s="5" t="str">
        <f>_xlfn.CONCAT("'",$B205,"'","!","$B$3:$B$22")</f>
        <v>''!$B$3:$B$22</v>
      </c>
      <c r="O205" s="5" t="str">
        <f>_xlfn.CONCAT("'",$B205,"'","!","$C$2:$K$2")</f>
        <v>''!$C$2:$K$2</v>
      </c>
    </row>
    <row r="206" spans="13:15" x14ac:dyDescent="0.3">
      <c r="M206" s="5" t="str">
        <f>_xlfn.CONCAT("'",$B206,"'","!","$C$3:$K$23")</f>
        <v>''!$C$3:$K$23</v>
      </c>
      <c r="N206" s="5" t="str">
        <f>_xlfn.CONCAT("'",$B206,"'","!","$B$3:$B$22")</f>
        <v>''!$B$3:$B$22</v>
      </c>
      <c r="O206" s="5" t="str">
        <f>_xlfn.CONCAT("'",$B206,"'","!","$C$2:$K$2")</f>
        <v>''!$C$2:$K$2</v>
      </c>
    </row>
    <row r="207" spans="13:15" x14ac:dyDescent="0.3">
      <c r="M207" s="5" t="str">
        <f>_xlfn.CONCAT("'",$B207,"'","!","$C$3:$K$23")</f>
        <v>''!$C$3:$K$23</v>
      </c>
      <c r="N207" s="5" t="str">
        <f>_xlfn.CONCAT("'",$B207,"'","!","$B$3:$B$22")</f>
        <v>''!$B$3:$B$22</v>
      </c>
      <c r="O207" s="5" t="str">
        <f>_xlfn.CONCAT("'",$B207,"'","!","$C$2:$K$2")</f>
        <v>''!$C$2:$K$2</v>
      </c>
    </row>
    <row r="208" spans="13:15" x14ac:dyDescent="0.3">
      <c r="M208" s="5" t="str">
        <f>_xlfn.CONCAT("'",$B208,"'","!","$C$3:$K$23")</f>
        <v>''!$C$3:$K$23</v>
      </c>
      <c r="N208" s="5" t="str">
        <f>_xlfn.CONCAT("'",$B208,"'","!","$B$3:$B$22")</f>
        <v>''!$B$3:$B$22</v>
      </c>
      <c r="O208" s="5" t="str">
        <f>_xlfn.CONCAT("'",$B208,"'","!","$C$2:$K$2")</f>
        <v>''!$C$2:$K$2</v>
      </c>
    </row>
    <row r="209" spans="13:15" x14ac:dyDescent="0.3">
      <c r="M209" s="5" t="str">
        <f>_xlfn.CONCAT("'",$B209,"'","!","$C$3:$K$23")</f>
        <v>''!$C$3:$K$23</v>
      </c>
      <c r="N209" s="5" t="str">
        <f>_xlfn.CONCAT("'",$B209,"'","!","$B$3:$B$22")</f>
        <v>''!$B$3:$B$22</v>
      </c>
      <c r="O209" s="5" t="str">
        <f>_xlfn.CONCAT("'",$B209,"'","!","$C$2:$K$2")</f>
        <v>''!$C$2:$K$2</v>
      </c>
    </row>
    <row r="210" spans="13:15" x14ac:dyDescent="0.3">
      <c r="M210" s="5" t="str">
        <f>_xlfn.CONCAT("'",$B210,"'","!","$C$3:$K$23")</f>
        <v>''!$C$3:$K$23</v>
      </c>
      <c r="N210" s="5" t="str">
        <f>_xlfn.CONCAT("'",$B210,"'","!","$B$3:$B$22")</f>
        <v>''!$B$3:$B$22</v>
      </c>
      <c r="O210" s="5" t="str">
        <f>_xlfn.CONCAT("'",$B210,"'","!","$C$2:$K$2")</f>
        <v>''!$C$2:$K$2</v>
      </c>
    </row>
    <row r="211" spans="13:15" x14ac:dyDescent="0.3">
      <c r="M211" s="5" t="str">
        <f>_xlfn.CONCAT("'",$B211,"'","!","$C$3:$K$23")</f>
        <v>''!$C$3:$K$23</v>
      </c>
      <c r="N211" s="5" t="str">
        <f>_xlfn.CONCAT("'",$B211,"'","!","$B$3:$B$22")</f>
        <v>''!$B$3:$B$22</v>
      </c>
      <c r="O211" s="5" t="str">
        <f>_xlfn.CONCAT("'",$B211,"'","!","$C$2:$K$2")</f>
        <v>''!$C$2:$K$2</v>
      </c>
    </row>
    <row r="212" spans="13:15" x14ac:dyDescent="0.3">
      <c r="M212" s="5" t="str">
        <f>_xlfn.CONCAT("'",$B212,"'","!","$C$3:$K$23")</f>
        <v>''!$C$3:$K$23</v>
      </c>
      <c r="N212" s="5" t="str">
        <f>_xlfn.CONCAT("'",$B212,"'","!","$B$3:$B$22")</f>
        <v>''!$B$3:$B$22</v>
      </c>
      <c r="O212" s="5" t="str">
        <f>_xlfn.CONCAT("'",$B212,"'","!","$C$2:$K$2")</f>
        <v>''!$C$2:$K$2</v>
      </c>
    </row>
    <row r="213" spans="13:15" x14ac:dyDescent="0.3">
      <c r="M213" s="5" t="str">
        <f>_xlfn.CONCAT("'",$B213,"'","!","$C$3:$K$23")</f>
        <v>''!$C$3:$K$23</v>
      </c>
      <c r="N213" s="5" t="str">
        <f>_xlfn.CONCAT("'",$B213,"'","!","$B$3:$B$22")</f>
        <v>''!$B$3:$B$22</v>
      </c>
      <c r="O213" s="5" t="str">
        <f>_xlfn.CONCAT("'",$B213,"'","!","$C$2:$K$2")</f>
        <v>''!$C$2:$K$2</v>
      </c>
    </row>
    <row r="214" spans="13:15" x14ac:dyDescent="0.3">
      <c r="M214" s="5" t="str">
        <f>_xlfn.CONCAT("'",$B214,"'","!","$C$3:$K$23")</f>
        <v>''!$C$3:$K$23</v>
      </c>
      <c r="N214" s="5" t="str">
        <f>_xlfn.CONCAT("'",$B214,"'","!","$B$3:$B$22")</f>
        <v>''!$B$3:$B$22</v>
      </c>
      <c r="O214" s="5" t="str">
        <f>_xlfn.CONCAT("'",$B214,"'","!","$C$2:$K$2")</f>
        <v>''!$C$2:$K$2</v>
      </c>
    </row>
    <row r="215" spans="13:15" x14ac:dyDescent="0.3">
      <c r="M215" s="5" t="str">
        <f>_xlfn.CONCAT("'",$B215,"'","!","$C$3:$K$23")</f>
        <v>''!$C$3:$K$23</v>
      </c>
      <c r="N215" s="5" t="str">
        <f>_xlfn.CONCAT("'",$B215,"'","!","$B$3:$B$22")</f>
        <v>''!$B$3:$B$22</v>
      </c>
      <c r="O215" s="5" t="str">
        <f>_xlfn.CONCAT("'",$B215,"'","!","$C$2:$K$2")</f>
        <v>''!$C$2:$K$2</v>
      </c>
    </row>
    <row r="216" spans="13:15" x14ac:dyDescent="0.3">
      <c r="M216" s="5" t="str">
        <f>_xlfn.CONCAT("'",$B216,"'","!","$C$3:$K$23")</f>
        <v>''!$C$3:$K$23</v>
      </c>
      <c r="N216" s="5" t="str">
        <f>_xlfn.CONCAT("'",$B216,"'","!","$B$3:$B$22")</f>
        <v>''!$B$3:$B$22</v>
      </c>
      <c r="O216" s="5" t="str">
        <f>_xlfn.CONCAT("'",$B216,"'","!","$C$2:$K$2")</f>
        <v>''!$C$2:$K$2</v>
      </c>
    </row>
    <row r="217" spans="13:15" x14ac:dyDescent="0.3">
      <c r="M217" s="5" t="str">
        <f>_xlfn.CONCAT("'",$B217,"'","!","$C$3:$K$23")</f>
        <v>''!$C$3:$K$23</v>
      </c>
      <c r="N217" s="5" t="str">
        <f>_xlfn.CONCAT("'",$B217,"'","!","$B$3:$B$22")</f>
        <v>''!$B$3:$B$22</v>
      </c>
      <c r="O217" s="5" t="str">
        <f>_xlfn.CONCAT("'",$B217,"'","!","$C$2:$K$2")</f>
        <v>''!$C$2:$K$2</v>
      </c>
    </row>
    <row r="218" spans="13:15" x14ac:dyDescent="0.3">
      <c r="M218" s="5" t="str">
        <f>_xlfn.CONCAT("'",$B218,"'","!","$C$3:$K$23")</f>
        <v>''!$C$3:$K$23</v>
      </c>
      <c r="N218" s="5" t="str">
        <f>_xlfn.CONCAT("'",$B218,"'","!","$B$3:$B$22")</f>
        <v>''!$B$3:$B$22</v>
      </c>
      <c r="O218" s="5" t="str">
        <f>_xlfn.CONCAT("'",$B218,"'","!","$C$2:$K$2")</f>
        <v>''!$C$2:$K$2</v>
      </c>
    </row>
    <row r="219" spans="13:15" x14ac:dyDescent="0.3">
      <c r="M219" s="5" t="str">
        <f>_xlfn.CONCAT("'",$B219,"'","!","$C$3:$K$23")</f>
        <v>''!$C$3:$K$23</v>
      </c>
      <c r="N219" s="5" t="str">
        <f>_xlfn.CONCAT("'",$B219,"'","!","$B$3:$B$22")</f>
        <v>''!$B$3:$B$22</v>
      </c>
      <c r="O219" s="5" t="str">
        <f>_xlfn.CONCAT("'",$B219,"'","!","$C$2:$K$2")</f>
        <v>''!$C$2:$K$2</v>
      </c>
    </row>
    <row r="220" spans="13:15" x14ac:dyDescent="0.3">
      <c r="M220" s="5" t="str">
        <f>_xlfn.CONCAT("'",$B220,"'","!","$C$3:$K$23")</f>
        <v>''!$C$3:$K$23</v>
      </c>
      <c r="N220" s="5" t="str">
        <f>_xlfn.CONCAT("'",$B220,"'","!","$B$3:$B$22")</f>
        <v>''!$B$3:$B$22</v>
      </c>
      <c r="O220" s="5" t="str">
        <f>_xlfn.CONCAT("'",$B220,"'","!","$C$2:$K$2")</f>
        <v>''!$C$2:$K$2</v>
      </c>
    </row>
    <row r="221" spans="13:15" x14ac:dyDescent="0.3">
      <c r="M221" s="5" t="str">
        <f>_xlfn.CONCAT("'",$B221,"'","!","$C$3:$K$23")</f>
        <v>''!$C$3:$K$23</v>
      </c>
      <c r="N221" s="5" t="str">
        <f>_xlfn.CONCAT("'",$B221,"'","!","$B$3:$B$22")</f>
        <v>''!$B$3:$B$22</v>
      </c>
      <c r="O221" s="5" t="str">
        <f>_xlfn.CONCAT("'",$B221,"'","!","$C$2:$K$2")</f>
        <v>''!$C$2:$K$2</v>
      </c>
    </row>
    <row r="222" spans="13:15" x14ac:dyDescent="0.3">
      <c r="M222" s="5" t="str">
        <f>_xlfn.CONCAT("'",$B222,"'","!","$C$3:$K$23")</f>
        <v>''!$C$3:$K$23</v>
      </c>
      <c r="N222" s="5" t="str">
        <f>_xlfn.CONCAT("'",$B222,"'","!","$B$3:$B$22")</f>
        <v>''!$B$3:$B$22</v>
      </c>
      <c r="O222" s="5" t="str">
        <f>_xlfn.CONCAT("'",$B222,"'","!","$C$2:$K$2")</f>
        <v>''!$C$2:$K$2</v>
      </c>
    </row>
    <row r="223" spans="13:15" x14ac:dyDescent="0.3">
      <c r="M223" s="5" t="str">
        <f>_xlfn.CONCAT("'",$B223,"'","!","$C$3:$K$23")</f>
        <v>''!$C$3:$K$23</v>
      </c>
      <c r="N223" s="5" t="str">
        <f>_xlfn.CONCAT("'",$B223,"'","!","$B$3:$B$22")</f>
        <v>''!$B$3:$B$22</v>
      </c>
      <c r="O223" s="5" t="str">
        <f>_xlfn.CONCAT("'",$B223,"'","!","$C$2:$K$2")</f>
        <v>''!$C$2:$K$2</v>
      </c>
    </row>
    <row r="224" spans="13:15" x14ac:dyDescent="0.3">
      <c r="M224" s="5" t="str">
        <f>_xlfn.CONCAT("'",$B224,"'","!","$C$3:$K$23")</f>
        <v>''!$C$3:$K$23</v>
      </c>
      <c r="N224" s="5" t="str">
        <f>_xlfn.CONCAT("'",$B224,"'","!","$B$3:$B$22")</f>
        <v>''!$B$3:$B$22</v>
      </c>
      <c r="O224" s="5" t="str">
        <f>_xlfn.CONCAT("'",$B224,"'","!","$C$2:$K$2")</f>
        <v>''!$C$2:$K$2</v>
      </c>
    </row>
    <row r="225" spans="13:15" x14ac:dyDescent="0.3">
      <c r="M225" s="5" t="str">
        <f>_xlfn.CONCAT("'",$B225,"'","!","$C$3:$K$23")</f>
        <v>''!$C$3:$K$23</v>
      </c>
      <c r="N225" s="5" t="str">
        <f>_xlfn.CONCAT("'",$B225,"'","!","$B$3:$B$22")</f>
        <v>''!$B$3:$B$22</v>
      </c>
      <c r="O225" s="5" t="str">
        <f>_xlfn.CONCAT("'",$B225,"'","!","$C$2:$K$2")</f>
        <v>''!$C$2:$K$2</v>
      </c>
    </row>
    <row r="226" spans="13:15" x14ac:dyDescent="0.3">
      <c r="M226" s="5" t="str">
        <f>_xlfn.CONCAT("'",$B226,"'","!","$C$3:$K$23")</f>
        <v>''!$C$3:$K$23</v>
      </c>
      <c r="N226" s="5" t="str">
        <f>_xlfn.CONCAT("'",$B226,"'","!","$B$3:$B$22")</f>
        <v>''!$B$3:$B$22</v>
      </c>
      <c r="O226" s="5" t="str">
        <f>_xlfn.CONCAT("'",$B226,"'","!","$C$2:$K$2")</f>
        <v>''!$C$2:$K$2</v>
      </c>
    </row>
    <row r="227" spans="13:15" x14ac:dyDescent="0.3">
      <c r="M227" s="5" t="str">
        <f>_xlfn.CONCAT("'",$B227,"'","!","$C$3:$K$23")</f>
        <v>''!$C$3:$K$23</v>
      </c>
      <c r="N227" s="5" t="str">
        <f>_xlfn.CONCAT("'",$B227,"'","!","$B$3:$B$22")</f>
        <v>''!$B$3:$B$22</v>
      </c>
      <c r="O227" s="5" t="str">
        <f>_xlfn.CONCAT("'",$B227,"'","!","$C$2:$K$2")</f>
        <v>''!$C$2:$K$2</v>
      </c>
    </row>
    <row r="228" spans="13:15" x14ac:dyDescent="0.3">
      <c r="M228" s="5" t="str">
        <f>_xlfn.CONCAT("'",$B228,"'","!","$C$3:$K$23")</f>
        <v>''!$C$3:$K$23</v>
      </c>
      <c r="N228" s="5" t="str">
        <f>_xlfn.CONCAT("'",$B228,"'","!","$B$3:$B$22")</f>
        <v>''!$B$3:$B$22</v>
      </c>
      <c r="O228" s="5" t="str">
        <f>_xlfn.CONCAT("'",$B228,"'","!","$C$2:$K$2")</f>
        <v>''!$C$2:$K$2</v>
      </c>
    </row>
    <row r="229" spans="13:15" x14ac:dyDescent="0.3">
      <c r="M229" s="5" t="str">
        <f>_xlfn.CONCAT("'",$B229,"'","!","$C$3:$K$23")</f>
        <v>''!$C$3:$K$23</v>
      </c>
      <c r="N229" s="5" t="str">
        <f>_xlfn.CONCAT("'",$B229,"'","!","$B$3:$B$22")</f>
        <v>''!$B$3:$B$22</v>
      </c>
      <c r="O229" s="5" t="str">
        <f>_xlfn.CONCAT("'",$B229,"'","!","$C$2:$K$2")</f>
        <v>''!$C$2:$K$2</v>
      </c>
    </row>
    <row r="230" spans="13:15" x14ac:dyDescent="0.3">
      <c r="M230" s="5" t="str">
        <f>_xlfn.CONCAT("'",$B230,"'","!","$C$3:$K$23")</f>
        <v>''!$C$3:$K$23</v>
      </c>
      <c r="N230" s="5" t="str">
        <f>_xlfn.CONCAT("'",$B230,"'","!","$B$3:$B$22")</f>
        <v>''!$B$3:$B$22</v>
      </c>
      <c r="O230" s="5" t="str">
        <f>_xlfn.CONCAT("'",$B230,"'","!","$C$2:$K$2")</f>
        <v>''!$C$2:$K$2</v>
      </c>
    </row>
    <row r="231" spans="13:15" x14ac:dyDescent="0.3">
      <c r="M231" s="5" t="str">
        <f>_xlfn.CONCAT("'",$B231,"'","!","$C$3:$K$23")</f>
        <v>''!$C$3:$K$23</v>
      </c>
      <c r="N231" s="5" t="str">
        <f>_xlfn.CONCAT("'",$B231,"'","!","$B$3:$B$22")</f>
        <v>''!$B$3:$B$22</v>
      </c>
      <c r="O231" s="5" t="str">
        <f>_xlfn.CONCAT("'",$B231,"'","!","$C$2:$K$2")</f>
        <v>''!$C$2:$K$2</v>
      </c>
    </row>
    <row r="232" spans="13:15" x14ac:dyDescent="0.3">
      <c r="M232" s="5" t="str">
        <f>_xlfn.CONCAT("'",$B232,"'","!","$C$3:$K$23")</f>
        <v>''!$C$3:$K$23</v>
      </c>
      <c r="N232" s="5" t="str">
        <f>_xlfn.CONCAT("'",$B232,"'","!","$B$3:$B$22")</f>
        <v>''!$B$3:$B$22</v>
      </c>
      <c r="O232" s="5" t="str">
        <f>_xlfn.CONCAT("'",$B232,"'","!","$C$2:$K$2")</f>
        <v>''!$C$2:$K$2</v>
      </c>
    </row>
    <row r="233" spans="13:15" x14ac:dyDescent="0.3">
      <c r="M233" s="5" t="str">
        <f>_xlfn.CONCAT("'",$B233,"'","!","$C$3:$K$23")</f>
        <v>''!$C$3:$K$23</v>
      </c>
      <c r="N233" s="5" t="str">
        <f>_xlfn.CONCAT("'",$B233,"'","!","$B$3:$B$22")</f>
        <v>''!$B$3:$B$22</v>
      </c>
      <c r="O233" s="5" t="str">
        <f>_xlfn.CONCAT("'",$B233,"'","!","$C$2:$K$2")</f>
        <v>''!$C$2:$K$2</v>
      </c>
    </row>
    <row r="234" spans="13:15" x14ac:dyDescent="0.3">
      <c r="M234" s="5" t="str">
        <f>_xlfn.CONCAT("'",$B234,"'","!","$C$3:$K$23")</f>
        <v>''!$C$3:$K$23</v>
      </c>
      <c r="N234" s="5" t="str">
        <f>_xlfn.CONCAT("'",$B234,"'","!","$B$3:$B$22")</f>
        <v>''!$B$3:$B$22</v>
      </c>
      <c r="O234" s="5" t="str">
        <f>_xlfn.CONCAT("'",$B234,"'","!","$C$2:$K$2")</f>
        <v>''!$C$2:$K$2</v>
      </c>
    </row>
    <row r="235" spans="13:15" x14ac:dyDescent="0.3">
      <c r="M235" s="5" t="str">
        <f>_xlfn.CONCAT("'",$B235,"'","!","$C$3:$K$23")</f>
        <v>''!$C$3:$K$23</v>
      </c>
      <c r="N235" s="5" t="str">
        <f>_xlfn.CONCAT("'",$B235,"'","!","$B$3:$B$22")</f>
        <v>''!$B$3:$B$22</v>
      </c>
      <c r="O235" s="5" t="str">
        <f>_xlfn.CONCAT("'",$B235,"'","!","$C$2:$K$2")</f>
        <v>''!$C$2:$K$2</v>
      </c>
    </row>
    <row r="236" spans="13:15" x14ac:dyDescent="0.3">
      <c r="M236" s="5" t="str">
        <f>_xlfn.CONCAT("'",$B236,"'","!","$C$3:$K$23")</f>
        <v>''!$C$3:$K$23</v>
      </c>
      <c r="N236" s="5" t="str">
        <f>_xlfn.CONCAT("'",$B236,"'","!","$B$3:$B$22")</f>
        <v>''!$B$3:$B$22</v>
      </c>
      <c r="O236" s="5" t="str">
        <f>_xlfn.CONCAT("'",$B236,"'","!","$C$2:$K$2")</f>
        <v>''!$C$2:$K$2</v>
      </c>
    </row>
    <row r="237" spans="13:15" x14ac:dyDescent="0.3">
      <c r="M237" s="5" t="str">
        <f>_xlfn.CONCAT("'",$B237,"'","!","$C$3:$K$23")</f>
        <v>''!$C$3:$K$23</v>
      </c>
      <c r="N237" s="5" t="str">
        <f>_xlfn.CONCAT("'",$B237,"'","!","$B$3:$B$22")</f>
        <v>''!$B$3:$B$22</v>
      </c>
      <c r="O237" s="5" t="str">
        <f>_xlfn.CONCAT("'",$B237,"'","!","$C$2:$K$2")</f>
        <v>''!$C$2:$K$2</v>
      </c>
    </row>
    <row r="238" spans="13:15" x14ac:dyDescent="0.3">
      <c r="M238" s="5" t="str">
        <f>_xlfn.CONCAT("'",$B238,"'","!","$C$3:$K$23")</f>
        <v>''!$C$3:$K$23</v>
      </c>
      <c r="N238" s="5" t="str">
        <f>_xlfn.CONCAT("'",$B238,"'","!","$B$3:$B$22")</f>
        <v>''!$B$3:$B$22</v>
      </c>
      <c r="O238" s="5" t="str">
        <f>_xlfn.CONCAT("'",$B238,"'","!","$C$2:$K$2")</f>
        <v>''!$C$2:$K$2</v>
      </c>
    </row>
    <row r="239" spans="13:15" x14ac:dyDescent="0.3">
      <c r="M239" s="5" t="str">
        <f>_xlfn.CONCAT("'",$B239,"'","!","$C$3:$K$23")</f>
        <v>''!$C$3:$K$23</v>
      </c>
      <c r="N239" s="5" t="str">
        <f>_xlfn.CONCAT("'",$B239,"'","!","$B$3:$B$22")</f>
        <v>''!$B$3:$B$22</v>
      </c>
      <c r="O239" s="5" t="str">
        <f>_xlfn.CONCAT("'",$B239,"'","!","$C$2:$K$2")</f>
        <v>''!$C$2:$K$2</v>
      </c>
    </row>
    <row r="240" spans="13:15" x14ac:dyDescent="0.3">
      <c r="M240" s="5" t="str">
        <f>_xlfn.CONCAT("'",$B240,"'","!","$C$3:$K$23")</f>
        <v>''!$C$3:$K$23</v>
      </c>
      <c r="N240" s="5" t="str">
        <f>_xlfn.CONCAT("'",$B240,"'","!","$B$3:$B$22")</f>
        <v>''!$B$3:$B$22</v>
      </c>
      <c r="O240" s="5" t="str">
        <f>_xlfn.CONCAT("'",$B240,"'","!","$C$2:$K$2")</f>
        <v>''!$C$2:$K$2</v>
      </c>
    </row>
    <row r="241" spans="13:15" x14ac:dyDescent="0.3">
      <c r="M241" s="5" t="str">
        <f>_xlfn.CONCAT("'",$B241,"'","!","$C$3:$K$23")</f>
        <v>''!$C$3:$K$23</v>
      </c>
      <c r="N241" s="5" t="str">
        <f>_xlfn.CONCAT("'",$B241,"'","!","$B$3:$B$22")</f>
        <v>''!$B$3:$B$22</v>
      </c>
      <c r="O241" s="5" t="str">
        <f>_xlfn.CONCAT("'",$B241,"'","!","$C$2:$K$2")</f>
        <v>''!$C$2:$K$2</v>
      </c>
    </row>
    <row r="242" spans="13:15" x14ac:dyDescent="0.3">
      <c r="M242" s="5" t="str">
        <f>_xlfn.CONCAT("'",$B242,"'","!","$C$3:$K$23")</f>
        <v>''!$C$3:$K$23</v>
      </c>
      <c r="N242" s="5" t="str">
        <f>_xlfn.CONCAT("'",$B242,"'","!","$B$3:$B$22")</f>
        <v>''!$B$3:$B$22</v>
      </c>
      <c r="O242" s="5" t="str">
        <f>_xlfn.CONCAT("'",$B242,"'","!","$C$2:$K$2")</f>
        <v>''!$C$2:$K$2</v>
      </c>
    </row>
    <row r="243" spans="13:15" x14ac:dyDescent="0.3">
      <c r="M243" s="5" t="str">
        <f>_xlfn.CONCAT("'",$B243,"'","!","$C$3:$K$23")</f>
        <v>''!$C$3:$K$23</v>
      </c>
      <c r="N243" s="5" t="str">
        <f>_xlfn.CONCAT("'",$B243,"'","!","$B$3:$B$22")</f>
        <v>''!$B$3:$B$22</v>
      </c>
      <c r="O243" s="5" t="str">
        <f>_xlfn.CONCAT("'",$B243,"'","!","$C$2:$K$2")</f>
        <v>''!$C$2:$K$2</v>
      </c>
    </row>
    <row r="244" spans="13:15" x14ac:dyDescent="0.3">
      <c r="M244" s="5" t="str">
        <f>_xlfn.CONCAT("'",$B244,"'","!","$C$3:$K$23")</f>
        <v>''!$C$3:$K$23</v>
      </c>
      <c r="N244" s="5" t="str">
        <f>_xlfn.CONCAT("'",$B244,"'","!","$B$3:$B$22")</f>
        <v>''!$B$3:$B$22</v>
      </c>
      <c r="O244" s="5" t="str">
        <f>_xlfn.CONCAT("'",$B244,"'","!","$C$2:$K$2")</f>
        <v>''!$C$2:$K$2</v>
      </c>
    </row>
    <row r="245" spans="13:15" x14ac:dyDescent="0.3">
      <c r="M245" s="5" t="str">
        <f>_xlfn.CONCAT("'",$B245,"'","!","$C$3:$K$23")</f>
        <v>''!$C$3:$K$23</v>
      </c>
      <c r="N245" s="5" t="str">
        <f>_xlfn.CONCAT("'",$B245,"'","!","$B$3:$B$22")</f>
        <v>''!$B$3:$B$22</v>
      </c>
      <c r="O245" s="5" t="str">
        <f>_xlfn.CONCAT("'",$B245,"'","!","$C$2:$K$2")</f>
        <v>''!$C$2:$K$2</v>
      </c>
    </row>
    <row r="246" spans="13:15" x14ac:dyDescent="0.3">
      <c r="M246" s="5" t="str">
        <f>_xlfn.CONCAT("'",$B246,"'","!","$C$3:$K$23")</f>
        <v>''!$C$3:$K$23</v>
      </c>
      <c r="N246" s="5" t="str">
        <f>_xlfn.CONCAT("'",$B246,"'","!","$B$3:$B$22")</f>
        <v>''!$B$3:$B$22</v>
      </c>
      <c r="O246" s="5" t="str">
        <f>_xlfn.CONCAT("'",$B246,"'","!","$C$2:$K$2")</f>
        <v>''!$C$2:$K$2</v>
      </c>
    </row>
    <row r="247" spans="13:15" x14ac:dyDescent="0.3">
      <c r="M247" s="5" t="str">
        <f>_xlfn.CONCAT("'",$B247,"'","!","$C$3:$K$23")</f>
        <v>''!$C$3:$K$23</v>
      </c>
      <c r="N247" s="5" t="str">
        <f>_xlfn.CONCAT("'",$B247,"'","!","$B$3:$B$22")</f>
        <v>''!$B$3:$B$22</v>
      </c>
      <c r="O247" s="5" t="str">
        <f>_xlfn.CONCAT("'",$B247,"'","!","$C$2:$K$2")</f>
        <v>''!$C$2:$K$2</v>
      </c>
    </row>
    <row r="248" spans="13:15" x14ac:dyDescent="0.3">
      <c r="M248" s="5" t="str">
        <f>_xlfn.CONCAT("'",$B248,"'","!","$C$3:$K$23")</f>
        <v>''!$C$3:$K$23</v>
      </c>
      <c r="N248" s="5" t="str">
        <f>_xlfn.CONCAT("'",$B248,"'","!","$B$3:$B$22")</f>
        <v>''!$B$3:$B$22</v>
      </c>
      <c r="O248" s="5" t="str">
        <f>_xlfn.CONCAT("'",$B248,"'","!","$C$2:$K$2")</f>
        <v>''!$C$2:$K$2</v>
      </c>
    </row>
    <row r="249" spans="13:15" x14ac:dyDescent="0.3">
      <c r="M249" s="5" t="str">
        <f>_xlfn.CONCAT("'",$B249,"'","!","$C$3:$K$23")</f>
        <v>''!$C$3:$K$23</v>
      </c>
      <c r="N249" s="5" t="str">
        <f>_xlfn.CONCAT("'",$B249,"'","!","$B$3:$B$22")</f>
        <v>''!$B$3:$B$22</v>
      </c>
      <c r="O249" s="5" t="str">
        <f>_xlfn.CONCAT("'",$B249,"'","!","$C$2:$K$2")</f>
        <v>''!$C$2:$K$2</v>
      </c>
    </row>
    <row r="250" spans="13:15" x14ac:dyDescent="0.3">
      <c r="M250" s="5" t="str">
        <f>_xlfn.CONCAT("'",$B250,"'","!","$C$3:$K$23")</f>
        <v>''!$C$3:$K$23</v>
      </c>
      <c r="N250" s="5" t="str">
        <f>_xlfn.CONCAT("'",$B250,"'","!","$B$3:$B$22")</f>
        <v>''!$B$3:$B$22</v>
      </c>
      <c r="O250" s="5" t="str">
        <f>_xlfn.CONCAT("'",$B250,"'","!","$C$2:$K$2")</f>
        <v>''!$C$2:$K$2</v>
      </c>
    </row>
    <row r="251" spans="13:15" x14ac:dyDescent="0.3">
      <c r="M251" s="5" t="str">
        <f>_xlfn.CONCAT("'",$B251,"'","!","$C$3:$K$23")</f>
        <v>''!$C$3:$K$23</v>
      </c>
      <c r="N251" s="5" t="str">
        <f>_xlfn.CONCAT("'",$B251,"'","!","$B$3:$B$22")</f>
        <v>''!$B$3:$B$22</v>
      </c>
      <c r="O251" s="5" t="str">
        <f>_xlfn.CONCAT("'",$B251,"'","!","$C$2:$K$2")</f>
        <v>''!$C$2:$K$2</v>
      </c>
    </row>
    <row r="252" spans="13:15" x14ac:dyDescent="0.3">
      <c r="M252" s="5" t="str">
        <f>_xlfn.CONCAT("'",$B252,"'","!","$C$3:$K$23")</f>
        <v>''!$C$3:$K$23</v>
      </c>
      <c r="N252" s="5" t="str">
        <f>_xlfn.CONCAT("'",$B252,"'","!","$B$3:$B$22")</f>
        <v>''!$B$3:$B$22</v>
      </c>
      <c r="O252" s="5" t="str">
        <f>_xlfn.CONCAT("'",$B252,"'","!","$C$2:$K$2")</f>
        <v>''!$C$2:$K$2</v>
      </c>
    </row>
    <row r="253" spans="13:15" x14ac:dyDescent="0.3">
      <c r="M253" s="5" t="str">
        <f>_xlfn.CONCAT("'",$B253,"'","!","$C$3:$K$23")</f>
        <v>''!$C$3:$K$23</v>
      </c>
      <c r="N253" s="5" t="str">
        <f>_xlfn.CONCAT("'",$B253,"'","!","$B$3:$B$22")</f>
        <v>''!$B$3:$B$22</v>
      </c>
      <c r="O253" s="5" t="str">
        <f>_xlfn.CONCAT("'",$B253,"'","!","$C$2:$K$2")</f>
        <v>''!$C$2:$K$2</v>
      </c>
    </row>
    <row r="254" spans="13:15" x14ac:dyDescent="0.3">
      <c r="M254" s="5" t="str">
        <f>_xlfn.CONCAT("'",$B254,"'","!","$C$3:$K$23")</f>
        <v>''!$C$3:$K$23</v>
      </c>
      <c r="N254" s="5" t="str">
        <f>_xlfn.CONCAT("'",$B254,"'","!","$B$3:$B$22")</f>
        <v>''!$B$3:$B$22</v>
      </c>
      <c r="O254" s="5" t="str">
        <f>_xlfn.CONCAT("'",$B254,"'","!","$C$2:$K$2")</f>
        <v>''!$C$2:$K$2</v>
      </c>
    </row>
    <row r="255" spans="13:15" x14ac:dyDescent="0.3">
      <c r="M255" s="5" t="str">
        <f>_xlfn.CONCAT("'",$B255,"'","!","$C$3:$K$23")</f>
        <v>''!$C$3:$K$23</v>
      </c>
      <c r="N255" s="5" t="str">
        <f>_xlfn.CONCAT("'",$B255,"'","!","$B$3:$B$22")</f>
        <v>''!$B$3:$B$22</v>
      </c>
      <c r="O255" s="5" t="str">
        <f>_xlfn.CONCAT("'",$B255,"'","!","$C$2:$K$2")</f>
        <v>''!$C$2:$K$2</v>
      </c>
    </row>
    <row r="256" spans="13:15" x14ac:dyDescent="0.3">
      <c r="M256" s="5" t="str">
        <f>_xlfn.CONCAT("'",$B256,"'","!","$C$3:$K$23")</f>
        <v>''!$C$3:$K$23</v>
      </c>
      <c r="N256" s="5" t="str">
        <f>_xlfn.CONCAT("'",$B256,"'","!","$B$3:$B$22")</f>
        <v>''!$B$3:$B$22</v>
      </c>
      <c r="O256" s="5" t="str">
        <f>_xlfn.CONCAT("'",$B256,"'","!","$C$2:$K$2")</f>
        <v>''!$C$2:$K$2</v>
      </c>
    </row>
    <row r="257" spans="13:15" x14ac:dyDescent="0.3">
      <c r="M257" s="5" t="str">
        <f>_xlfn.CONCAT("'",$B257,"'","!","$C$3:$K$23")</f>
        <v>''!$C$3:$K$23</v>
      </c>
      <c r="N257" s="5" t="str">
        <f>_xlfn.CONCAT("'",$B257,"'","!","$B$3:$B$22")</f>
        <v>''!$B$3:$B$22</v>
      </c>
      <c r="O257" s="5" t="str">
        <f>_xlfn.CONCAT("'",$B257,"'","!","$C$2:$K$2")</f>
        <v>''!$C$2:$K$2</v>
      </c>
    </row>
    <row r="258" spans="13:15" x14ac:dyDescent="0.3">
      <c r="M258" s="5" t="str">
        <f>_xlfn.CONCAT("'",$B258,"'","!","$C$3:$K$23")</f>
        <v>''!$C$3:$K$23</v>
      </c>
      <c r="N258" s="5" t="str">
        <f>_xlfn.CONCAT("'",$B258,"'","!","$B$3:$B$22")</f>
        <v>''!$B$3:$B$22</v>
      </c>
      <c r="O258" s="5" t="str">
        <f>_xlfn.CONCAT("'",$B258,"'","!","$C$2:$K$2")</f>
        <v>''!$C$2:$K$2</v>
      </c>
    </row>
    <row r="259" spans="13:15" x14ac:dyDescent="0.3">
      <c r="M259" s="5" t="str">
        <f>_xlfn.CONCAT("'",$B259,"'","!","$C$3:$K$23")</f>
        <v>''!$C$3:$K$23</v>
      </c>
      <c r="N259" s="5" t="str">
        <f>_xlfn.CONCAT("'",$B259,"'","!","$B$3:$B$22")</f>
        <v>''!$B$3:$B$22</v>
      </c>
      <c r="O259" s="5" t="str">
        <f>_xlfn.CONCAT("'",$B259,"'","!","$C$2:$K$2")</f>
        <v>''!$C$2:$K$2</v>
      </c>
    </row>
    <row r="260" spans="13:15" x14ac:dyDescent="0.3">
      <c r="M260" s="5" t="str">
        <f>_xlfn.CONCAT("'",$B260,"'","!","$C$3:$K$23")</f>
        <v>''!$C$3:$K$23</v>
      </c>
      <c r="N260" s="5" t="str">
        <f>_xlfn.CONCAT("'",$B260,"'","!","$B$3:$B$22")</f>
        <v>''!$B$3:$B$22</v>
      </c>
      <c r="O260" s="5" t="str">
        <f>_xlfn.CONCAT("'",$B260,"'","!","$C$2:$K$2")</f>
        <v>''!$C$2:$K$2</v>
      </c>
    </row>
    <row r="261" spans="13:15" x14ac:dyDescent="0.3">
      <c r="M261" s="5" t="str">
        <f>_xlfn.CONCAT("'",$B261,"'","!","$C$3:$K$23")</f>
        <v>''!$C$3:$K$23</v>
      </c>
      <c r="N261" s="5" t="str">
        <f>_xlfn.CONCAT("'",$B261,"'","!","$B$3:$B$22")</f>
        <v>''!$B$3:$B$22</v>
      </c>
      <c r="O261" s="5" t="str">
        <f>_xlfn.CONCAT("'",$B261,"'","!","$C$2:$K$2")</f>
        <v>''!$C$2:$K$2</v>
      </c>
    </row>
    <row r="262" spans="13:15" x14ac:dyDescent="0.3">
      <c r="M262" s="5" t="str">
        <f>_xlfn.CONCAT("'",$B262,"'","!","$C$3:$K$23")</f>
        <v>''!$C$3:$K$23</v>
      </c>
      <c r="N262" s="5" t="str">
        <f>_xlfn.CONCAT("'",$B262,"'","!","$B$3:$B$22")</f>
        <v>''!$B$3:$B$22</v>
      </c>
      <c r="O262" s="5" t="str">
        <f>_xlfn.CONCAT("'",$B262,"'","!","$C$2:$K$2")</f>
        <v>''!$C$2:$K$2</v>
      </c>
    </row>
    <row r="263" spans="13:15" x14ac:dyDescent="0.3">
      <c r="M263" s="5" t="str">
        <f>_xlfn.CONCAT("'",$B263,"'","!","$C$3:$K$23")</f>
        <v>''!$C$3:$K$23</v>
      </c>
      <c r="N263" s="5" t="str">
        <f>_xlfn.CONCAT("'",$B263,"'","!","$B$3:$B$22")</f>
        <v>''!$B$3:$B$22</v>
      </c>
      <c r="O263" s="5" t="str">
        <f>_xlfn.CONCAT("'",$B263,"'","!","$C$2:$K$2")</f>
        <v>''!$C$2:$K$2</v>
      </c>
    </row>
    <row r="264" spans="13:15" x14ac:dyDescent="0.3">
      <c r="M264" s="5" t="str">
        <f>_xlfn.CONCAT("'",$B264,"'","!","$C$3:$K$23")</f>
        <v>''!$C$3:$K$23</v>
      </c>
      <c r="N264" s="5" t="str">
        <f>_xlfn.CONCAT("'",$B264,"'","!","$B$3:$B$22")</f>
        <v>''!$B$3:$B$22</v>
      </c>
      <c r="O264" s="5" t="str">
        <f>_xlfn.CONCAT("'",$B264,"'","!","$C$2:$K$2")</f>
        <v>''!$C$2:$K$2</v>
      </c>
    </row>
    <row r="265" spans="13:15" x14ac:dyDescent="0.3">
      <c r="M265" s="5" t="str">
        <f>_xlfn.CONCAT("'",$B265,"'","!","$C$3:$K$23")</f>
        <v>''!$C$3:$K$23</v>
      </c>
      <c r="N265" s="5" t="str">
        <f>_xlfn.CONCAT("'",$B265,"'","!","$B$3:$B$22")</f>
        <v>''!$B$3:$B$22</v>
      </c>
      <c r="O265" s="5" t="str">
        <f>_xlfn.CONCAT("'",$B265,"'","!","$C$2:$K$2")</f>
        <v>''!$C$2:$K$2</v>
      </c>
    </row>
    <row r="266" spans="13:15" x14ac:dyDescent="0.3">
      <c r="M266" s="5" t="str">
        <f>_xlfn.CONCAT("'",$B266,"'","!","$C$3:$K$23")</f>
        <v>''!$C$3:$K$23</v>
      </c>
      <c r="N266" s="5" t="str">
        <f>_xlfn.CONCAT("'",$B266,"'","!","$B$3:$B$22")</f>
        <v>''!$B$3:$B$22</v>
      </c>
      <c r="O266" s="5" t="str">
        <f>_xlfn.CONCAT("'",$B266,"'","!","$C$2:$K$2")</f>
        <v>''!$C$2:$K$2</v>
      </c>
    </row>
    <row r="267" spans="13:15" x14ac:dyDescent="0.3">
      <c r="M267" s="5" t="str">
        <f>_xlfn.CONCAT("'",$B267,"'","!","$C$3:$K$23")</f>
        <v>''!$C$3:$K$23</v>
      </c>
      <c r="N267" s="5" t="str">
        <f>_xlfn.CONCAT("'",$B267,"'","!","$B$3:$B$22")</f>
        <v>''!$B$3:$B$22</v>
      </c>
      <c r="O267" s="5" t="str">
        <f>_xlfn.CONCAT("'",$B267,"'","!","$C$2:$K$2")</f>
        <v>''!$C$2:$K$2</v>
      </c>
    </row>
    <row r="268" spans="13:15" x14ac:dyDescent="0.3">
      <c r="M268" s="5" t="str">
        <f>_xlfn.CONCAT("'",$B268,"'","!","$C$3:$K$23")</f>
        <v>''!$C$3:$K$23</v>
      </c>
      <c r="N268" s="5" t="str">
        <f>_xlfn.CONCAT("'",$B268,"'","!","$B$3:$B$22")</f>
        <v>''!$B$3:$B$22</v>
      </c>
      <c r="O268" s="5" t="str">
        <f>_xlfn.CONCAT("'",$B268,"'","!","$C$2:$K$2")</f>
        <v>''!$C$2:$K$2</v>
      </c>
    </row>
    <row r="269" spans="13:15" x14ac:dyDescent="0.3">
      <c r="M269" s="5" t="str">
        <f>_xlfn.CONCAT("'",$B269,"'","!","$C$3:$K$23")</f>
        <v>''!$C$3:$K$23</v>
      </c>
      <c r="N269" s="5" t="str">
        <f>_xlfn.CONCAT("'",$B269,"'","!","$B$3:$B$22")</f>
        <v>''!$B$3:$B$22</v>
      </c>
      <c r="O269" s="5" t="str">
        <f>_xlfn.CONCAT("'",$B269,"'","!","$C$2:$K$2")</f>
        <v>''!$C$2:$K$2</v>
      </c>
    </row>
    <row r="270" spans="13:15" x14ac:dyDescent="0.3">
      <c r="M270" s="5" t="str">
        <f>_xlfn.CONCAT("'",$B270,"'","!","$C$3:$K$23")</f>
        <v>''!$C$3:$K$23</v>
      </c>
      <c r="N270" s="5" t="str">
        <f>_xlfn.CONCAT("'",$B270,"'","!","$B$3:$B$22")</f>
        <v>''!$B$3:$B$22</v>
      </c>
      <c r="O270" s="5" t="str">
        <f>_xlfn.CONCAT("'",$B270,"'","!","$C$2:$K$2")</f>
        <v>''!$C$2:$K$2</v>
      </c>
    </row>
    <row r="271" spans="13:15" x14ac:dyDescent="0.3">
      <c r="M271" s="5" t="str">
        <f>_xlfn.CONCAT("'",$B271,"'","!","$C$3:$K$23")</f>
        <v>''!$C$3:$K$23</v>
      </c>
      <c r="N271" s="5" t="str">
        <f>_xlfn.CONCAT("'",$B271,"'","!","$B$3:$B$22")</f>
        <v>''!$B$3:$B$22</v>
      </c>
      <c r="O271" s="5" t="str">
        <f>_xlfn.CONCAT("'",$B271,"'","!","$C$2:$K$2")</f>
        <v>''!$C$2:$K$2</v>
      </c>
    </row>
    <row r="272" spans="13:15" x14ac:dyDescent="0.3">
      <c r="M272" s="5" t="str">
        <f>_xlfn.CONCAT("'",$B272,"'","!","$C$3:$K$23")</f>
        <v>''!$C$3:$K$23</v>
      </c>
      <c r="N272" s="5" t="str">
        <f>_xlfn.CONCAT("'",$B272,"'","!","$B$3:$B$22")</f>
        <v>''!$B$3:$B$22</v>
      </c>
      <c r="O272" s="5" t="str">
        <f>_xlfn.CONCAT("'",$B272,"'","!","$C$2:$K$2")</f>
        <v>''!$C$2:$K$2</v>
      </c>
    </row>
    <row r="273" spans="13:15" x14ac:dyDescent="0.3">
      <c r="M273" s="5" t="str">
        <f>_xlfn.CONCAT("'",$B273,"'","!","$C$3:$K$23")</f>
        <v>''!$C$3:$K$23</v>
      </c>
      <c r="N273" s="5" t="str">
        <f>_xlfn.CONCAT("'",$B273,"'","!","$B$3:$B$22")</f>
        <v>''!$B$3:$B$22</v>
      </c>
      <c r="O273" s="5" t="str">
        <f>_xlfn.CONCAT("'",$B273,"'","!","$C$2:$K$2")</f>
        <v>''!$C$2:$K$2</v>
      </c>
    </row>
    <row r="274" spans="13:15" x14ac:dyDescent="0.3">
      <c r="M274" s="5" t="str">
        <f>_xlfn.CONCAT("'",$B274,"'","!","$C$3:$K$23")</f>
        <v>''!$C$3:$K$23</v>
      </c>
      <c r="N274" s="5" t="str">
        <f>_xlfn.CONCAT("'",$B274,"'","!","$B$3:$B$22")</f>
        <v>''!$B$3:$B$22</v>
      </c>
      <c r="O274" s="5" t="str">
        <f>_xlfn.CONCAT("'",$B274,"'","!","$C$2:$K$2")</f>
        <v>''!$C$2:$K$2</v>
      </c>
    </row>
    <row r="275" spans="13:15" x14ac:dyDescent="0.3">
      <c r="M275" s="5" t="str">
        <f>_xlfn.CONCAT("'",$B275,"'","!","$C$3:$K$23")</f>
        <v>''!$C$3:$K$23</v>
      </c>
      <c r="N275" s="5" t="str">
        <f>_xlfn.CONCAT("'",$B275,"'","!","$B$3:$B$22")</f>
        <v>''!$B$3:$B$22</v>
      </c>
      <c r="O275" s="5" t="str">
        <f>_xlfn.CONCAT("'",$B275,"'","!","$C$2:$K$2")</f>
        <v>''!$C$2:$K$2</v>
      </c>
    </row>
    <row r="276" spans="13:15" x14ac:dyDescent="0.3">
      <c r="M276" s="5" t="str">
        <f>_xlfn.CONCAT("'",$B276,"'","!","$C$3:$K$23")</f>
        <v>''!$C$3:$K$23</v>
      </c>
      <c r="N276" s="5" t="str">
        <f>_xlfn.CONCAT("'",$B276,"'","!","$B$3:$B$22")</f>
        <v>''!$B$3:$B$22</v>
      </c>
      <c r="O276" s="5" t="str">
        <f>_xlfn.CONCAT("'",$B276,"'","!","$C$2:$K$2")</f>
        <v>''!$C$2:$K$2</v>
      </c>
    </row>
    <row r="277" spans="13:15" x14ac:dyDescent="0.3">
      <c r="M277" s="5" t="str">
        <f>_xlfn.CONCAT("'",$B277,"'","!","$C$3:$K$23")</f>
        <v>''!$C$3:$K$23</v>
      </c>
      <c r="N277" s="5" t="str">
        <f>_xlfn.CONCAT("'",$B277,"'","!","$B$3:$B$22")</f>
        <v>''!$B$3:$B$22</v>
      </c>
      <c r="O277" s="5" t="str">
        <f>_xlfn.CONCAT("'",$B277,"'","!","$C$2:$K$2")</f>
        <v>''!$C$2:$K$2</v>
      </c>
    </row>
    <row r="278" spans="13:15" x14ac:dyDescent="0.3">
      <c r="M278" s="5" t="str">
        <f>_xlfn.CONCAT("'",$B278,"'","!","$C$3:$K$23")</f>
        <v>''!$C$3:$K$23</v>
      </c>
      <c r="N278" s="5" t="str">
        <f>_xlfn.CONCAT("'",$B278,"'","!","$B$3:$B$22")</f>
        <v>''!$B$3:$B$22</v>
      </c>
      <c r="O278" s="5" t="str">
        <f>_xlfn.CONCAT("'",$B278,"'","!","$C$2:$K$2")</f>
        <v>''!$C$2:$K$2</v>
      </c>
    </row>
    <row r="279" spans="13:15" x14ac:dyDescent="0.3">
      <c r="M279" s="5" t="str">
        <f>_xlfn.CONCAT("'",$B279,"'","!","$C$3:$K$23")</f>
        <v>''!$C$3:$K$23</v>
      </c>
      <c r="N279" s="5" t="str">
        <f>_xlfn.CONCAT("'",$B279,"'","!","$B$3:$B$22")</f>
        <v>''!$B$3:$B$22</v>
      </c>
      <c r="O279" s="5" t="str">
        <f>_xlfn.CONCAT("'",$B279,"'","!","$C$2:$K$2")</f>
        <v>''!$C$2:$K$2</v>
      </c>
    </row>
    <row r="280" spans="13:15" x14ac:dyDescent="0.3">
      <c r="M280" s="5" t="str">
        <f>_xlfn.CONCAT("'",$B280,"'","!","$C$3:$K$23")</f>
        <v>''!$C$3:$K$23</v>
      </c>
      <c r="N280" s="5" t="str">
        <f>_xlfn.CONCAT("'",$B280,"'","!","$B$3:$B$22")</f>
        <v>''!$B$3:$B$22</v>
      </c>
      <c r="O280" s="5" t="str">
        <f>_xlfn.CONCAT("'",$B280,"'","!","$C$2:$K$2")</f>
        <v>''!$C$2:$K$2</v>
      </c>
    </row>
    <row r="281" spans="13:15" x14ac:dyDescent="0.3">
      <c r="M281" s="5" t="str">
        <f>_xlfn.CONCAT("'",$B281,"'","!","$C$3:$K$23")</f>
        <v>''!$C$3:$K$23</v>
      </c>
      <c r="N281" s="5" t="str">
        <f>_xlfn.CONCAT("'",$B281,"'","!","$B$3:$B$22")</f>
        <v>''!$B$3:$B$22</v>
      </c>
      <c r="O281" s="5" t="str">
        <f>_xlfn.CONCAT("'",$B281,"'","!","$C$2:$K$2")</f>
        <v>''!$C$2:$K$2</v>
      </c>
    </row>
    <row r="282" spans="13:15" x14ac:dyDescent="0.3">
      <c r="M282" s="5" t="str">
        <f>_xlfn.CONCAT("'",$B282,"'","!","$C$3:$K$23")</f>
        <v>''!$C$3:$K$23</v>
      </c>
      <c r="N282" s="5" t="str">
        <f>_xlfn.CONCAT("'",$B282,"'","!","$B$3:$B$22")</f>
        <v>''!$B$3:$B$22</v>
      </c>
      <c r="O282" s="5" t="str">
        <f>_xlfn.CONCAT("'",$B282,"'","!","$C$2:$K$2")</f>
        <v>''!$C$2:$K$2</v>
      </c>
    </row>
    <row r="283" spans="13:15" x14ac:dyDescent="0.3">
      <c r="M283" s="5" t="str">
        <f>_xlfn.CONCAT("'",$B283,"'","!","$C$3:$K$23")</f>
        <v>''!$C$3:$K$23</v>
      </c>
      <c r="N283" s="5" t="str">
        <f>_xlfn.CONCAT("'",$B283,"'","!","$B$3:$B$22")</f>
        <v>''!$B$3:$B$22</v>
      </c>
      <c r="O283" s="5" t="str">
        <f>_xlfn.CONCAT("'",$B283,"'","!","$C$2:$K$2")</f>
        <v>''!$C$2:$K$2</v>
      </c>
    </row>
    <row r="284" spans="13:15" x14ac:dyDescent="0.3">
      <c r="M284" s="5" t="str">
        <f>_xlfn.CONCAT("'",$B284,"'","!","$C$3:$K$23")</f>
        <v>''!$C$3:$K$23</v>
      </c>
      <c r="N284" s="5" t="str">
        <f>_xlfn.CONCAT("'",$B284,"'","!","$B$3:$B$22")</f>
        <v>''!$B$3:$B$22</v>
      </c>
      <c r="O284" s="5" t="str">
        <f>_xlfn.CONCAT("'",$B284,"'","!","$C$2:$K$2")</f>
        <v>''!$C$2:$K$2</v>
      </c>
    </row>
    <row r="285" spans="13:15" x14ac:dyDescent="0.3">
      <c r="M285" s="5" t="str">
        <f>_xlfn.CONCAT("'",$B285,"'","!","$C$3:$K$23")</f>
        <v>''!$C$3:$K$23</v>
      </c>
      <c r="N285" s="5" t="str">
        <f>_xlfn.CONCAT("'",$B285,"'","!","$B$3:$B$22")</f>
        <v>''!$B$3:$B$22</v>
      </c>
      <c r="O285" s="5" t="str">
        <f>_xlfn.CONCAT("'",$B285,"'","!","$C$2:$K$2")</f>
        <v>''!$C$2:$K$2</v>
      </c>
    </row>
    <row r="286" spans="13:15" x14ac:dyDescent="0.3">
      <c r="M286" s="5" t="str">
        <f>_xlfn.CONCAT("'",$B286,"'","!","$C$3:$K$23")</f>
        <v>''!$C$3:$K$23</v>
      </c>
      <c r="N286" s="5" t="str">
        <f>_xlfn.CONCAT("'",$B286,"'","!","$B$3:$B$22")</f>
        <v>''!$B$3:$B$22</v>
      </c>
      <c r="O286" s="5" t="str">
        <f>_xlfn.CONCAT("'",$B286,"'","!","$C$2:$K$2")</f>
        <v>''!$C$2:$K$2</v>
      </c>
    </row>
    <row r="287" spans="13:15" x14ac:dyDescent="0.3">
      <c r="M287" s="5" t="str">
        <f>_xlfn.CONCAT("'",$B287,"'","!","$C$3:$K$23")</f>
        <v>''!$C$3:$K$23</v>
      </c>
      <c r="N287" s="5" t="str">
        <f>_xlfn.CONCAT("'",$B287,"'","!","$B$3:$B$22")</f>
        <v>''!$B$3:$B$22</v>
      </c>
      <c r="O287" s="5" t="str">
        <f>_xlfn.CONCAT("'",$B287,"'","!","$C$2:$K$2")</f>
        <v>''!$C$2:$K$2</v>
      </c>
    </row>
    <row r="288" spans="13:15" x14ac:dyDescent="0.3">
      <c r="M288" s="5" t="str">
        <f>_xlfn.CONCAT("'",$B288,"'","!","$C$3:$K$23")</f>
        <v>''!$C$3:$K$23</v>
      </c>
      <c r="N288" s="5" t="str">
        <f>_xlfn.CONCAT("'",$B288,"'","!","$B$3:$B$22")</f>
        <v>''!$B$3:$B$22</v>
      </c>
      <c r="O288" s="5" t="str">
        <f>_xlfn.CONCAT("'",$B288,"'","!","$C$2:$K$2")</f>
        <v>''!$C$2:$K$2</v>
      </c>
    </row>
    <row r="289" spans="13:15" x14ac:dyDescent="0.3">
      <c r="M289" s="5" t="str">
        <f>_xlfn.CONCAT("'",$B289,"'","!","$C$3:$K$23")</f>
        <v>''!$C$3:$K$23</v>
      </c>
      <c r="N289" s="5" t="str">
        <f>_xlfn.CONCAT("'",$B289,"'","!","$B$3:$B$22")</f>
        <v>''!$B$3:$B$22</v>
      </c>
      <c r="O289" s="5" t="str">
        <f>_xlfn.CONCAT("'",$B289,"'","!","$C$2:$K$2")</f>
        <v>''!$C$2:$K$2</v>
      </c>
    </row>
    <row r="290" spans="13:15" x14ac:dyDescent="0.3">
      <c r="M290" s="5" t="str">
        <f>_xlfn.CONCAT("'",$B290,"'","!","$C$3:$K$23")</f>
        <v>''!$C$3:$K$23</v>
      </c>
      <c r="N290" s="5" t="str">
        <f>_xlfn.CONCAT("'",$B290,"'","!","$B$3:$B$22")</f>
        <v>''!$B$3:$B$22</v>
      </c>
      <c r="O290" s="5" t="str">
        <f>_xlfn.CONCAT("'",$B290,"'","!","$C$2:$K$2")</f>
        <v>''!$C$2:$K$2</v>
      </c>
    </row>
    <row r="291" spans="13:15" x14ac:dyDescent="0.3">
      <c r="M291" s="5" t="str">
        <f>_xlfn.CONCAT("'",$B291,"'","!","$C$3:$K$23")</f>
        <v>''!$C$3:$K$23</v>
      </c>
      <c r="N291" s="5" t="str">
        <f>_xlfn.CONCAT("'",$B291,"'","!","$B$3:$B$22")</f>
        <v>''!$B$3:$B$22</v>
      </c>
      <c r="O291" s="5" t="str">
        <f>_xlfn.CONCAT("'",$B291,"'","!","$C$2:$K$2")</f>
        <v>''!$C$2:$K$2</v>
      </c>
    </row>
    <row r="292" spans="13:15" x14ac:dyDescent="0.3">
      <c r="M292" s="5" t="str">
        <f>_xlfn.CONCAT("'",$B292,"'","!","$C$3:$K$23")</f>
        <v>''!$C$3:$K$23</v>
      </c>
      <c r="N292" s="5" t="str">
        <f>_xlfn.CONCAT("'",$B292,"'","!","$B$3:$B$22")</f>
        <v>''!$B$3:$B$22</v>
      </c>
      <c r="O292" s="5" t="str">
        <f>_xlfn.CONCAT("'",$B292,"'","!","$C$2:$K$2")</f>
        <v>''!$C$2:$K$2</v>
      </c>
    </row>
    <row r="293" spans="13:15" x14ac:dyDescent="0.3">
      <c r="M293" s="5" t="str">
        <f>_xlfn.CONCAT("'",$B293,"'","!","$C$3:$K$23")</f>
        <v>''!$C$3:$K$23</v>
      </c>
      <c r="N293" s="5" t="str">
        <f>_xlfn.CONCAT("'",$B293,"'","!","$B$3:$B$22")</f>
        <v>''!$B$3:$B$22</v>
      </c>
      <c r="O293" s="5" t="str">
        <f>_xlfn.CONCAT("'",$B293,"'","!","$C$2:$K$2")</f>
        <v>''!$C$2:$K$2</v>
      </c>
    </row>
    <row r="294" spans="13:15" x14ac:dyDescent="0.3">
      <c r="M294" s="5" t="str">
        <f>_xlfn.CONCAT("'",$B294,"'","!","$C$3:$K$23")</f>
        <v>''!$C$3:$K$23</v>
      </c>
      <c r="N294" s="5" t="str">
        <f>_xlfn.CONCAT("'",$B294,"'","!","$B$3:$B$22")</f>
        <v>''!$B$3:$B$22</v>
      </c>
      <c r="O294" s="5" t="str">
        <f>_xlfn.CONCAT("'",$B294,"'","!","$C$2:$K$2")</f>
        <v>''!$C$2:$K$2</v>
      </c>
    </row>
    <row r="295" spans="13:15" x14ac:dyDescent="0.3">
      <c r="M295" s="5" t="str">
        <f>_xlfn.CONCAT("'",$B295,"'","!","$C$3:$K$23")</f>
        <v>''!$C$3:$K$23</v>
      </c>
      <c r="N295" s="5" t="str">
        <f>_xlfn.CONCAT("'",$B295,"'","!","$B$3:$B$22")</f>
        <v>''!$B$3:$B$22</v>
      </c>
      <c r="O295" s="5" t="str">
        <f>_xlfn.CONCAT("'",$B295,"'","!","$C$2:$K$2")</f>
        <v>''!$C$2:$K$2</v>
      </c>
    </row>
    <row r="296" spans="13:15" x14ac:dyDescent="0.3">
      <c r="M296" s="5" t="str">
        <f>_xlfn.CONCAT("'",$B296,"'","!","$C$3:$K$23")</f>
        <v>''!$C$3:$K$23</v>
      </c>
      <c r="N296" s="5" t="str">
        <f>_xlfn.CONCAT("'",$B296,"'","!","$B$3:$B$22")</f>
        <v>''!$B$3:$B$22</v>
      </c>
      <c r="O296" s="5" t="str">
        <f>_xlfn.CONCAT("'",$B296,"'","!","$C$2:$K$2")</f>
        <v>''!$C$2:$K$2</v>
      </c>
    </row>
    <row r="297" spans="13:15" x14ac:dyDescent="0.3">
      <c r="M297" s="5" t="str">
        <f>_xlfn.CONCAT("'",$B297,"'","!","$C$3:$K$23")</f>
        <v>''!$C$3:$K$23</v>
      </c>
      <c r="N297" s="5" t="str">
        <f>_xlfn.CONCAT("'",$B297,"'","!","$B$3:$B$22")</f>
        <v>''!$B$3:$B$22</v>
      </c>
      <c r="O297" s="5" t="str">
        <f>_xlfn.CONCAT("'",$B297,"'","!","$C$2:$K$2")</f>
        <v>''!$C$2:$K$2</v>
      </c>
    </row>
    <row r="298" spans="13:15" x14ac:dyDescent="0.3">
      <c r="M298" s="5" t="str">
        <f>_xlfn.CONCAT("'",$B298,"'","!","$C$3:$K$23")</f>
        <v>''!$C$3:$K$23</v>
      </c>
      <c r="N298" s="5" t="str">
        <f>_xlfn.CONCAT("'",$B298,"'","!","$B$3:$B$22")</f>
        <v>''!$B$3:$B$22</v>
      </c>
      <c r="O298" s="5" t="str">
        <f>_xlfn.CONCAT("'",$B298,"'","!","$C$2:$K$2")</f>
        <v>''!$C$2:$K$2</v>
      </c>
    </row>
    <row r="299" spans="13:15" x14ac:dyDescent="0.3">
      <c r="M299" s="5" t="str">
        <f>_xlfn.CONCAT("'",$B299,"'","!","$C$3:$K$23")</f>
        <v>''!$C$3:$K$23</v>
      </c>
      <c r="N299" s="5" t="str">
        <f>_xlfn.CONCAT("'",$B299,"'","!","$B$3:$B$22")</f>
        <v>''!$B$3:$B$22</v>
      </c>
      <c r="O299" s="5" t="str">
        <f>_xlfn.CONCAT("'",$B299,"'","!","$C$2:$K$2")</f>
        <v>''!$C$2:$K$2</v>
      </c>
    </row>
    <row r="300" spans="13:15" x14ac:dyDescent="0.3">
      <c r="M300" s="5" t="str">
        <f>_xlfn.CONCAT("'",$B300,"'","!","$C$3:$K$23")</f>
        <v>''!$C$3:$K$23</v>
      </c>
      <c r="N300" s="5" t="str">
        <f>_xlfn.CONCAT("'",$B300,"'","!","$B$3:$B$22")</f>
        <v>''!$B$3:$B$22</v>
      </c>
      <c r="O300" s="5" t="str">
        <f>_xlfn.CONCAT("'",$B300,"'","!","$C$2:$K$2")</f>
        <v>''!$C$2:$K$2</v>
      </c>
    </row>
    <row r="301" spans="13:15" x14ac:dyDescent="0.3">
      <c r="M301" s="5" t="str">
        <f>_xlfn.CONCAT("'",$B301,"'","!","$C$3:$K$23")</f>
        <v>''!$C$3:$K$23</v>
      </c>
      <c r="N301" s="5" t="str">
        <f>_xlfn.CONCAT("'",$B301,"'","!","$B$3:$B$22")</f>
        <v>''!$B$3:$B$22</v>
      </c>
      <c r="O301" s="5" t="str">
        <f>_xlfn.CONCAT("'",$B301,"'","!","$C$2:$K$2")</f>
        <v>''!$C$2:$K$2</v>
      </c>
    </row>
    <row r="302" spans="13:15" x14ac:dyDescent="0.3">
      <c r="M302" s="5" t="str">
        <f>_xlfn.CONCAT("'",$B302,"'","!","$C$3:$K$23")</f>
        <v>''!$C$3:$K$23</v>
      </c>
      <c r="N302" s="5" t="str">
        <f>_xlfn.CONCAT("'",$B302,"'","!","$B$3:$B$22")</f>
        <v>''!$B$3:$B$22</v>
      </c>
      <c r="O302" s="5" t="str">
        <f>_xlfn.CONCAT("'",$B302,"'","!","$C$2:$K$2")</f>
        <v>''!$C$2:$K$2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7862-5E7D-4A4C-810A-DB4471658D19}">
  <sheetPr codeName="Sheet14">
    <tabColor theme="9" tint="0.59999389629810485"/>
  </sheetPr>
  <dimension ref="A1:Y632"/>
  <sheetViews>
    <sheetView tabSelected="1" workbookViewId="0">
      <pane xSplit="2" ySplit="2" topLeftCell="G3" activePane="bottomRight" state="frozen"/>
      <selection pane="topRight" activeCell="C1" sqref="C1"/>
      <selection pane="bottomLeft" activeCell="A3" sqref="A3"/>
      <selection pane="bottomRight" activeCell="K11" sqref="K11"/>
    </sheetView>
  </sheetViews>
  <sheetFormatPr defaultRowHeight="14.4" x14ac:dyDescent="0.3"/>
  <cols>
    <col min="2" max="2" width="7.77734375" style="9" bestFit="1" customWidth="1"/>
    <col min="3" max="3" width="14.6640625" style="9" bestFit="1" customWidth="1"/>
    <col min="4" max="4" width="15.33203125" style="11" bestFit="1" customWidth="1"/>
    <col min="5" max="5" width="23.33203125" style="9" bestFit="1" customWidth="1"/>
    <col min="6" max="6" width="27.6640625" style="11" bestFit="1" customWidth="1"/>
    <col min="7" max="7" width="21.109375" style="11" bestFit="1" customWidth="1"/>
    <col min="8" max="8" width="25.109375" style="9" bestFit="1" customWidth="1"/>
    <col min="9" max="9" width="29" style="11" bestFit="1" customWidth="1"/>
    <col min="10" max="10" width="24.6640625" style="9" bestFit="1" customWidth="1"/>
    <col min="11" max="11" width="34.109375" style="11" bestFit="1" customWidth="1"/>
    <col min="12" max="12" width="53.5546875" style="11" bestFit="1" customWidth="1"/>
    <col min="13" max="14" width="12.109375" style="5" bestFit="1" customWidth="1"/>
    <col min="15" max="15" width="16" style="5" bestFit="1" customWidth="1"/>
    <col min="22" max="22" width="12.5546875" bestFit="1" customWidth="1"/>
    <col min="23" max="23" width="12.44140625" bestFit="1" customWidth="1"/>
    <col min="24" max="24" width="10.77734375" bestFit="1" customWidth="1"/>
    <col min="25" max="25" width="35.21875" bestFit="1" customWidth="1"/>
  </cols>
  <sheetData>
    <row r="1" spans="1:25" x14ac:dyDescent="0.3">
      <c r="D1" s="10" t="s">
        <v>70</v>
      </c>
      <c r="G1" s="10" t="s">
        <v>68</v>
      </c>
      <c r="J1" s="8" t="s">
        <v>69</v>
      </c>
    </row>
    <row r="2" spans="1:25" s="1" customFormat="1" x14ac:dyDescent="0.3">
      <c r="A2" s="8" t="s">
        <v>66</v>
      </c>
      <c r="B2" s="1" t="s">
        <v>104</v>
      </c>
      <c r="C2" s="8" t="s">
        <v>74</v>
      </c>
      <c r="D2" s="10" t="s">
        <v>75</v>
      </c>
      <c r="E2" s="8" t="s">
        <v>76</v>
      </c>
      <c r="F2" s="10" t="s">
        <v>72</v>
      </c>
      <c r="G2" s="10" t="s">
        <v>99</v>
      </c>
      <c r="H2" s="8" t="s">
        <v>100</v>
      </c>
      <c r="I2" s="10" t="s">
        <v>101</v>
      </c>
      <c r="J2" s="8" t="s">
        <v>73</v>
      </c>
      <c r="K2" s="10" t="s">
        <v>77</v>
      </c>
      <c r="L2" s="10" t="s">
        <v>71</v>
      </c>
      <c r="M2" s="4" t="s">
        <v>63</v>
      </c>
      <c r="N2" s="4" t="s">
        <v>64</v>
      </c>
      <c r="O2" s="4" t="s">
        <v>65</v>
      </c>
    </row>
    <row r="3" spans="1:25" x14ac:dyDescent="0.3">
      <c r="A3">
        <v>1</v>
      </c>
      <c r="B3" s="9">
        <v>2015</v>
      </c>
      <c r="C3" t="s">
        <v>0</v>
      </c>
      <c r="D3" s="11" cm="1">
        <f t="array" aca="1" ref="D3" ca="1">INDEX(INDIRECT($M3),
       MATCH(TRIM($C3), TRIM(INDIRECT($N3)), 0),
       MATCH(TRIM(D$2), TRIM(INDIRECT($O3)), 0))</f>
        <v>50</v>
      </c>
      <c r="E3" s="9" cm="1">
        <f t="array" aca="1" ref="E3" ca="1">INDEX(INDIRECT($M3),
       MATCH(TRIM($C3), TRIM(INDIRECT($N3)), 0),
       MATCH(TRIM(E$2), TRIM(INDIRECT($O3)), 0))</f>
        <v>654164626</v>
      </c>
      <c r="F3" s="11" cm="1">
        <f t="array" aca="1" ref="F3" ca="1">INDEX(INDIRECT($M3),
       MATCH(TRIM($C3), TRIM(INDIRECT($N3)), 0),
       MATCH(TRIM(F$2), TRIM(INDIRECT($O3)), 0))</f>
        <v>654.164626</v>
      </c>
      <c r="G3" s="11" cm="1">
        <f t="array" aca="1" ref="G3" ca="1">INDEX(INDIRECT($M3),
       MATCH(TRIM($C3), TRIM(INDIRECT($N3)), 0),
       MATCH(TRIM(G$2), TRIM(INDIRECT($O3)), 0))</f>
        <v>38</v>
      </c>
      <c r="H3" s="9" cm="1">
        <f t="array" aca="1" ref="H3" ca="1">INDEX(INDIRECT($M3),
       MATCH(TRIM($C3), TRIM(INDIRECT($N3)), 0),
       MATCH(TRIM(H$2), TRIM(INDIRECT($O3)), 0))</f>
        <v>248564520</v>
      </c>
      <c r="I3" s="11" cm="1">
        <f t="array" aca="1" ref="I3" ca="1">INDEX(INDIRECT($M3),
       MATCH(TRIM($C3), TRIM(INDIRECT($N3)), 0),
       MATCH(TRIM(I$2), TRIM(INDIRECT($O3)), 0))</f>
        <v>248.56451999999999</v>
      </c>
      <c r="J3" s="9" t="e" cm="1">
        <f t="array" aca="1" ref="J3" ca="1">INDEX(INDIRECT($M3),
       MATCH(TRIM($C3), TRIM(INDIRECT($N3)), 0),
       MATCH(TRIM(J$2), TRIM(INDIRECT($O3)), 0))</f>
        <v>#N/A</v>
      </c>
      <c r="K3" s="11" t="e" cm="1">
        <f t="array" aca="1" ref="K3" ca="1">INDEX(INDIRECT($M3),
       MATCH(TRIM($C3), TRIM(INDIRECT($N3)), 0),
       MATCH(TRIM(K$2), TRIM(INDIRECT($O3)), 0))</f>
        <v>#N/A</v>
      </c>
      <c r="L3" s="11" cm="1">
        <f t="array" aca="1" ref="L3" ca="1">INDEX(INDIRECT($M3),
       MATCH(TRIM($C3), TRIM(INDIRECT($N3)), 0),
       MATCH(TRIM(L$2), TRIM(INDIRECT($O3)), 0))</f>
        <v>902.72914600000001</v>
      </c>
      <c r="M3" s="5" t="str">
        <f>_xlfn.CONCAT("'",$B3,"'","!","$N$3:$V$80")</f>
        <v>'2015'!$N$3:$V$80</v>
      </c>
      <c r="N3" s="5" t="str">
        <f>_xlfn.CONCAT("'",$B3,"'","!","$M$2:$M$80")</f>
        <v>'2015'!$M$2:$M$80</v>
      </c>
      <c r="O3" s="5" t="str">
        <f>_xlfn.CONCAT("'",$B3,"'","!","$N$2:$W$2")</f>
        <v>'2015'!$N$2:$W$2</v>
      </c>
      <c r="V3" s="2"/>
    </row>
    <row r="4" spans="1:25" x14ac:dyDescent="0.3">
      <c r="A4">
        <v>2</v>
      </c>
      <c r="B4" s="9">
        <v>2015</v>
      </c>
      <c r="C4" t="s">
        <v>1</v>
      </c>
      <c r="D4" s="11" cm="1">
        <f t="array" aca="1" ref="D4" ca="1">INDEX(INDIRECT($M4),
       MATCH(TRIM($C4), TRIM(INDIRECT($N4)), 0),
       MATCH(TRIM(D$2), TRIM(INDIRECT($O4)), 0))</f>
        <v>136</v>
      </c>
      <c r="E4" s="9" cm="1">
        <f t="array" aca="1" ref="E4" ca="1">INDEX(INDIRECT($M4),
       MATCH(TRIM($C4), TRIM(INDIRECT($N4)), 0),
       MATCH(TRIM(E$2), TRIM(INDIRECT($O4)), 0))</f>
        <v>150582243</v>
      </c>
      <c r="F4" s="11" cm="1">
        <f t="array" aca="1" ref="F4" ca="1">INDEX(INDIRECT($M4),
       MATCH(TRIM($C4), TRIM(INDIRECT($N4)), 0),
       MATCH(TRIM(F$2), TRIM(INDIRECT($O4)), 0))</f>
        <v>150.58224300000001</v>
      </c>
      <c r="G4" s="11" cm="1">
        <f t="array" aca="1" ref="G4" ca="1">INDEX(INDIRECT($M4),
       MATCH(TRIM($C4), TRIM(INDIRECT($N4)), 0),
       MATCH(TRIM(G$2), TRIM(INDIRECT($O4)), 0))</f>
        <v>107</v>
      </c>
      <c r="H4" s="9" cm="1">
        <f t="array" aca="1" ref="H4" ca="1">INDEX(INDIRECT($M4),
       MATCH(TRIM($C4), TRIM(INDIRECT($N4)), 0),
       MATCH(TRIM(H$2), TRIM(INDIRECT($O4)), 0))</f>
        <v>3512455324</v>
      </c>
      <c r="I4" s="11" cm="1">
        <f t="array" aca="1" ref="I4" ca="1">INDEX(INDIRECT($M4),
       MATCH(TRIM($C4), TRIM(INDIRECT($N4)), 0),
       MATCH(TRIM(I$2), TRIM(INDIRECT($O4)), 0))</f>
        <v>3512.455324</v>
      </c>
      <c r="J4" s="9" t="e" cm="1">
        <f t="array" aca="1" ref="J4" ca="1">INDEX(INDIRECT($M4),
       MATCH(TRIM($C4), TRIM(INDIRECT($N4)), 0),
       MATCH(TRIM(J$2), TRIM(INDIRECT($O4)), 0))</f>
        <v>#N/A</v>
      </c>
      <c r="K4" s="11" t="e" cm="1">
        <f t="array" aca="1" ref="K4" ca="1">INDEX(INDIRECT($M4),
       MATCH(TRIM($C4), TRIM(INDIRECT($N4)), 0),
       MATCH(TRIM(K$2), TRIM(INDIRECT($O4)), 0))</f>
        <v>#N/A</v>
      </c>
      <c r="L4" s="11" cm="1">
        <f t="array" aca="1" ref="L4" ca="1">INDEX(INDIRECT($M4),
       MATCH(TRIM($C4), TRIM(INDIRECT($N4)), 0),
       MATCH(TRIM(L$2), TRIM(INDIRECT($O4)), 0))</f>
        <v>3663.0375669999999</v>
      </c>
      <c r="M4" s="5" t="str">
        <f t="shared" ref="M4:M67" si="0">_xlfn.CONCAT("'",$B4,"'","!","$N$3:$V$80")</f>
        <v>'2015'!$N$3:$V$80</v>
      </c>
      <c r="N4" s="5" t="str">
        <f t="shared" ref="N4:N67" si="1">_xlfn.CONCAT("'",$B4,"'","!","$M$2:$M$80")</f>
        <v>'2015'!$M$2:$M$80</v>
      </c>
      <c r="O4" s="5" t="str">
        <f t="shared" ref="O4:O67" si="2">_xlfn.CONCAT("'",$B4,"'","!","$N$2:$W$2")</f>
        <v>'2015'!$N$2:$W$2</v>
      </c>
      <c r="V4" s="3"/>
    </row>
    <row r="5" spans="1:25" x14ac:dyDescent="0.3">
      <c r="A5">
        <v>3</v>
      </c>
      <c r="B5" s="9">
        <v>2015</v>
      </c>
      <c r="C5" t="s">
        <v>2</v>
      </c>
      <c r="D5" s="11" cm="1">
        <f t="array" aca="1" ref="D5" ca="1">INDEX(INDIRECT($M5),
       MATCH(TRIM($C5), TRIM(INDIRECT($N5)), 0),
       MATCH(TRIM(D$2), TRIM(INDIRECT($O5)), 0))</f>
        <v>2</v>
      </c>
      <c r="E5" s="9" cm="1">
        <f t="array" aca="1" ref="E5" ca="1">INDEX(INDIRECT($M5),
       MATCH(TRIM($C5), TRIM(INDIRECT($N5)), 0),
       MATCH(TRIM(E$2), TRIM(INDIRECT($O5)), 0))</f>
        <v>2526800000</v>
      </c>
      <c r="F5" s="11" cm="1">
        <f t="array" aca="1" ref="F5" ca="1">INDEX(INDIRECT($M5),
       MATCH(TRIM($C5), TRIM(INDIRECT($N5)), 0),
       MATCH(TRIM(F$2), TRIM(INDIRECT($O5)), 0))</f>
        <v>2526.8000000000002</v>
      </c>
      <c r="G5" s="11" cm="1">
        <f t="array" aca="1" ref="G5" ca="1">INDEX(INDIRECT($M5),
       MATCH(TRIM($C5), TRIM(INDIRECT($N5)), 0),
       MATCH(TRIM(G$2), TRIM(INDIRECT($O5)), 0))</f>
        <v>0</v>
      </c>
      <c r="H5" s="9" cm="1">
        <f t="array" aca="1" ref="H5" ca="1">INDEX(INDIRECT($M5),
       MATCH(TRIM($C5), TRIM(INDIRECT($N5)), 0),
       MATCH(TRIM(H$2), TRIM(INDIRECT($O5)), 0))</f>
        <v>0</v>
      </c>
      <c r="I5" s="11" cm="1">
        <f t="array" aca="1" ref="I5" ca="1">INDEX(INDIRECT($M5),
       MATCH(TRIM($C5), TRIM(INDIRECT($N5)), 0),
       MATCH(TRIM(I$2), TRIM(INDIRECT($O5)), 0))</f>
        <v>0</v>
      </c>
      <c r="J5" s="9" t="e" cm="1">
        <f t="array" aca="1" ref="J5" ca="1">INDEX(INDIRECT($M5),
       MATCH(TRIM($C5), TRIM(INDIRECT($N5)), 0),
       MATCH(TRIM(J$2), TRIM(INDIRECT($O5)), 0))</f>
        <v>#N/A</v>
      </c>
      <c r="K5" s="11" t="e" cm="1">
        <f t="array" aca="1" ref="K5" ca="1">INDEX(INDIRECT($M5),
       MATCH(TRIM($C5), TRIM(INDIRECT($N5)), 0),
       MATCH(TRIM(K$2), TRIM(INDIRECT($O5)), 0))</f>
        <v>#N/A</v>
      </c>
      <c r="L5" s="11" cm="1">
        <f t="array" aca="1" ref="L5" ca="1">INDEX(INDIRECT($M5),
       MATCH(TRIM($C5), TRIM(INDIRECT($N5)), 0),
       MATCH(TRIM(L$2), TRIM(INDIRECT($O5)), 0))</f>
        <v>2526.8000000000002</v>
      </c>
      <c r="M5" s="5" t="str">
        <f t="shared" si="0"/>
        <v>'2015'!$N$3:$V$80</v>
      </c>
      <c r="N5" s="5" t="str">
        <f t="shared" si="1"/>
        <v>'2015'!$M$2:$M$80</v>
      </c>
      <c r="O5" s="5" t="str">
        <f t="shared" si="2"/>
        <v>'2015'!$N$2:$W$2</v>
      </c>
      <c r="V5" s="3"/>
    </row>
    <row r="6" spans="1:25" x14ac:dyDescent="0.3">
      <c r="A6">
        <v>4</v>
      </c>
      <c r="B6" s="9">
        <v>2015</v>
      </c>
      <c r="C6" t="s">
        <v>3</v>
      </c>
      <c r="D6" s="11" cm="1">
        <f t="array" aca="1" ref="D6" ca="1">INDEX(INDIRECT($M6),
       MATCH(TRIM($C6), TRIM(INDIRECT($N6)), 0),
       MATCH(TRIM(D$2), TRIM(INDIRECT($O6)), 0))</f>
        <v>364</v>
      </c>
      <c r="E6" s="9" cm="1">
        <f t="array" aca="1" ref="E6" ca="1">INDEX(INDIRECT($M6),
       MATCH(TRIM($C6), TRIM(INDIRECT($N6)), 0),
       MATCH(TRIM(E$2), TRIM(INDIRECT($O6)), 0))</f>
        <v>943160678.24000001</v>
      </c>
      <c r="F6" s="11" cm="1">
        <f t="array" aca="1" ref="F6" ca="1">INDEX(INDIRECT($M6),
       MATCH(TRIM($C6), TRIM(INDIRECT($N6)), 0),
       MATCH(TRIM(F$2), TRIM(INDIRECT($O6)), 0))</f>
        <v>943.16067824000004</v>
      </c>
      <c r="G6" s="11" cm="1">
        <f t="array" aca="1" ref="G6" ca="1">INDEX(INDIRECT($M6),
       MATCH(TRIM($C6), TRIM(INDIRECT($N6)), 0),
       MATCH(TRIM(G$2), TRIM(INDIRECT($O6)), 0))</f>
        <v>77</v>
      </c>
      <c r="H6" s="9" cm="1">
        <f t="array" aca="1" ref="H6" ca="1">INDEX(INDIRECT($M6),
       MATCH(TRIM($C6), TRIM(INDIRECT($N6)), 0),
       MATCH(TRIM(H$2), TRIM(INDIRECT($O6)), 0))</f>
        <v>183712309</v>
      </c>
      <c r="I6" s="11" cm="1">
        <f t="array" aca="1" ref="I6" ca="1">INDEX(INDIRECT($M6),
       MATCH(TRIM($C6), TRIM(INDIRECT($N6)), 0),
       MATCH(TRIM(I$2), TRIM(INDIRECT($O6)), 0))</f>
        <v>183.712309</v>
      </c>
      <c r="J6" s="9" t="e" cm="1">
        <f t="array" aca="1" ref="J6" ca="1">INDEX(INDIRECT($M6),
       MATCH(TRIM($C6), TRIM(INDIRECT($N6)), 0),
       MATCH(TRIM(J$2), TRIM(INDIRECT($O6)), 0))</f>
        <v>#N/A</v>
      </c>
      <c r="K6" s="11" t="e" cm="1">
        <f t="array" aca="1" ref="K6" ca="1">INDEX(INDIRECT($M6),
       MATCH(TRIM($C6), TRIM(INDIRECT($N6)), 0),
       MATCH(TRIM(K$2), TRIM(INDIRECT($O6)), 0))</f>
        <v>#N/A</v>
      </c>
      <c r="L6" s="11" cm="1">
        <f t="array" aca="1" ref="L6" ca="1">INDEX(INDIRECT($M6),
       MATCH(TRIM($C6), TRIM(INDIRECT($N6)), 0),
       MATCH(TRIM(L$2), TRIM(INDIRECT($O6)), 0))</f>
        <v>1126.8729872399999</v>
      </c>
      <c r="M6" s="5" t="str">
        <f t="shared" si="0"/>
        <v>'2015'!$N$3:$V$80</v>
      </c>
      <c r="N6" s="5" t="str">
        <f t="shared" si="1"/>
        <v>'2015'!$M$2:$M$80</v>
      </c>
      <c r="O6" s="5" t="str">
        <f t="shared" si="2"/>
        <v>'2015'!$N$2:$W$2</v>
      </c>
      <c r="V6" s="3"/>
    </row>
    <row r="7" spans="1:25" x14ac:dyDescent="0.3">
      <c r="A7">
        <v>5</v>
      </c>
      <c r="B7" s="9">
        <v>2015</v>
      </c>
      <c r="C7" t="s">
        <v>4</v>
      </c>
      <c r="D7" s="11" cm="1">
        <f t="array" aca="1" ref="D7" ca="1">INDEX(INDIRECT($M7),
       MATCH(TRIM($C7), TRIM(INDIRECT($N7)), 0),
       MATCH(TRIM(D$2), TRIM(INDIRECT($O7)), 0))</f>
        <v>212</v>
      </c>
      <c r="E7" s="9" cm="1">
        <f t="array" aca="1" ref="E7" ca="1">INDEX(INDIRECT($M7),
       MATCH(TRIM($C7), TRIM(INDIRECT($N7)), 0),
       MATCH(TRIM(E$2), TRIM(INDIRECT($O7)), 0))</f>
        <v>2635591980</v>
      </c>
      <c r="F7" s="11" cm="1">
        <f t="array" aca="1" ref="F7" ca="1">INDEX(INDIRECT($M7),
       MATCH(TRIM($C7), TRIM(INDIRECT($N7)), 0),
       MATCH(TRIM(F$2), TRIM(INDIRECT($O7)), 0))</f>
        <v>2635.5919800000001</v>
      </c>
      <c r="G7" s="11" cm="1">
        <f t="array" aca="1" ref="G7" ca="1">INDEX(INDIRECT($M7),
       MATCH(TRIM($C7), TRIM(INDIRECT($N7)), 0),
       MATCH(TRIM(G$2), TRIM(INDIRECT($O7)), 0))</f>
        <v>105</v>
      </c>
      <c r="H7" s="9" cm="1">
        <f t="array" aca="1" ref="H7" ca="1">INDEX(INDIRECT($M7),
       MATCH(TRIM($C7), TRIM(INDIRECT($N7)), 0),
       MATCH(TRIM(H$2), TRIM(INDIRECT($O7)), 0))</f>
        <v>493054604</v>
      </c>
      <c r="I7" s="11" cm="1">
        <f t="array" aca="1" ref="I7" ca="1">INDEX(INDIRECT($M7),
       MATCH(TRIM($C7), TRIM(INDIRECT($N7)), 0),
       MATCH(TRIM(I$2), TRIM(INDIRECT($O7)), 0))</f>
        <v>493.05460399999998</v>
      </c>
      <c r="J7" s="9" t="e" cm="1">
        <f t="array" aca="1" ref="J7" ca="1">INDEX(INDIRECT($M7),
       MATCH(TRIM($C7), TRIM(INDIRECT($N7)), 0),
       MATCH(TRIM(J$2), TRIM(INDIRECT($O7)), 0))</f>
        <v>#N/A</v>
      </c>
      <c r="K7" s="11" t="e" cm="1">
        <f t="array" aca="1" ref="K7" ca="1">INDEX(INDIRECT($M7),
       MATCH(TRIM($C7), TRIM(INDIRECT($N7)), 0),
       MATCH(TRIM(K$2), TRIM(INDIRECT($O7)), 0))</f>
        <v>#N/A</v>
      </c>
      <c r="L7" s="11" cm="1">
        <f t="array" aca="1" ref="L7" ca="1">INDEX(INDIRECT($M7),
       MATCH(TRIM($C7), TRIM(INDIRECT($N7)), 0),
       MATCH(TRIM(L$2), TRIM(INDIRECT($O7)), 0))</f>
        <v>3128.6465840000001</v>
      </c>
      <c r="M7" s="5" t="str">
        <f t="shared" si="0"/>
        <v>'2015'!$N$3:$V$80</v>
      </c>
      <c r="N7" s="5" t="str">
        <f t="shared" si="1"/>
        <v>'2015'!$M$2:$M$80</v>
      </c>
      <c r="O7" s="5" t="str">
        <f t="shared" si="2"/>
        <v>'2015'!$N$2:$W$2</v>
      </c>
    </row>
    <row r="8" spans="1:25" x14ac:dyDescent="0.3">
      <c r="A8">
        <v>6</v>
      </c>
      <c r="B8" s="9">
        <v>2015</v>
      </c>
      <c r="C8" t="s">
        <v>5</v>
      </c>
      <c r="D8" s="11" cm="1">
        <f t="array" aca="1" ref="D8" ca="1">INDEX(INDIRECT($M8),
       MATCH(TRIM($C8), TRIM(INDIRECT($N8)), 0),
       MATCH(TRIM(D$2), TRIM(INDIRECT($O8)), 0))</f>
        <v>14</v>
      </c>
      <c r="E8" s="9" cm="1">
        <f t="array" aca="1" ref="E8" ca="1">INDEX(INDIRECT($M8),
       MATCH(TRIM($C8), TRIM(INDIRECT($N8)), 0),
       MATCH(TRIM(E$2), TRIM(INDIRECT($O8)), 0))</f>
        <v>327610000</v>
      </c>
      <c r="F8" s="11" cm="1">
        <f t="array" aca="1" ref="F8" ca="1">INDEX(INDIRECT($M8),
       MATCH(TRIM($C8), TRIM(INDIRECT($N8)), 0),
       MATCH(TRIM(F$2), TRIM(INDIRECT($O8)), 0))</f>
        <v>327.61</v>
      </c>
      <c r="G8" s="11" cm="1">
        <f t="array" aca="1" ref="G8" ca="1">INDEX(INDIRECT($M8),
       MATCH(TRIM($C8), TRIM(INDIRECT($N8)), 0),
       MATCH(TRIM(G$2), TRIM(INDIRECT($O8)), 0))</f>
        <v>22</v>
      </c>
      <c r="H8" s="9" cm="1">
        <f t="array" aca="1" ref="H8" ca="1">INDEX(INDIRECT($M8),
       MATCH(TRIM($C8), TRIM(INDIRECT($N8)), 0),
       MATCH(TRIM(H$2), TRIM(INDIRECT($O8)), 0))</f>
        <v>432099000</v>
      </c>
      <c r="I8" s="11" cm="1">
        <f t="array" aca="1" ref="I8" ca="1">INDEX(INDIRECT($M8),
       MATCH(TRIM($C8), TRIM(INDIRECT($N8)), 0),
       MATCH(TRIM(I$2), TRIM(INDIRECT($O8)), 0))</f>
        <v>432.09899999999999</v>
      </c>
      <c r="J8" s="9" t="e" cm="1">
        <f t="array" aca="1" ref="J8" ca="1">INDEX(INDIRECT($M8),
       MATCH(TRIM($C8), TRIM(INDIRECT($N8)), 0),
       MATCH(TRIM(J$2), TRIM(INDIRECT($O8)), 0))</f>
        <v>#N/A</v>
      </c>
      <c r="K8" s="11" t="e" cm="1">
        <f t="array" aca="1" ref="K8" ca="1">INDEX(INDIRECT($M8),
       MATCH(TRIM($C8), TRIM(INDIRECT($N8)), 0),
       MATCH(TRIM(K$2), TRIM(INDIRECT($O8)), 0))</f>
        <v>#N/A</v>
      </c>
      <c r="L8" s="11" cm="1">
        <f t="array" aca="1" ref="L8" ca="1">INDEX(INDIRECT($M8),
       MATCH(TRIM($C8), TRIM(INDIRECT($N8)), 0),
       MATCH(TRIM(L$2), TRIM(INDIRECT($O8)), 0))</f>
        <v>759.70900000000006</v>
      </c>
      <c r="M8" s="5" t="str">
        <f t="shared" si="0"/>
        <v>'2015'!$N$3:$V$80</v>
      </c>
      <c r="N8" s="5" t="str">
        <f t="shared" si="1"/>
        <v>'2015'!$M$2:$M$80</v>
      </c>
      <c r="O8" s="5" t="str">
        <f t="shared" si="2"/>
        <v>'2015'!$N$2:$W$2</v>
      </c>
    </row>
    <row r="9" spans="1:25" x14ac:dyDescent="0.3">
      <c r="A9">
        <v>7</v>
      </c>
      <c r="B9" s="9">
        <v>2015</v>
      </c>
      <c r="C9" t="s">
        <v>6</v>
      </c>
      <c r="D9" s="11" cm="1">
        <f t="array" aca="1" ref="D9" ca="1">INDEX(INDIRECT($M9),
       MATCH(TRIM($C9), TRIM(INDIRECT($N9)), 0),
       MATCH(TRIM(D$2), TRIM(INDIRECT($O9)), 0))</f>
        <v>57</v>
      </c>
      <c r="E9" s="9" cm="1">
        <f t="array" aca="1" ref="E9" ca="1">INDEX(INDIRECT($M9),
       MATCH(TRIM($C9), TRIM(INDIRECT($N9)), 0),
       MATCH(TRIM(E$2), TRIM(INDIRECT($O9)), 0))</f>
        <v>264571571</v>
      </c>
      <c r="F9" s="11" cm="1">
        <f t="array" aca="1" ref="F9" ca="1">INDEX(INDIRECT($M9),
       MATCH(TRIM($C9), TRIM(INDIRECT($N9)), 0),
       MATCH(TRIM(F$2), TRIM(INDIRECT($O9)), 0))</f>
        <v>264.57157100000001</v>
      </c>
      <c r="G9" s="11" cm="1">
        <f t="array" aca="1" ref="G9" ca="1">INDEX(INDIRECT($M9),
       MATCH(TRIM($C9), TRIM(INDIRECT($N9)), 0),
       MATCH(TRIM(G$2), TRIM(INDIRECT($O9)), 0))</f>
        <v>24</v>
      </c>
      <c r="H9" s="9" cm="1">
        <f t="array" aca="1" ref="H9" ca="1">INDEX(INDIRECT($M9),
       MATCH(TRIM($C9), TRIM(INDIRECT($N9)), 0),
       MATCH(TRIM(H$2), TRIM(INDIRECT($O9)), 0))</f>
        <v>182891176</v>
      </c>
      <c r="I9" s="11" cm="1">
        <f t="array" aca="1" ref="I9" ca="1">INDEX(INDIRECT($M9),
       MATCH(TRIM($C9), TRIM(INDIRECT($N9)), 0),
       MATCH(TRIM(I$2), TRIM(INDIRECT($O9)), 0))</f>
        <v>182.891176</v>
      </c>
      <c r="J9" s="9" t="e" cm="1">
        <f t="array" aca="1" ref="J9" ca="1">INDEX(INDIRECT($M9),
       MATCH(TRIM($C9), TRIM(INDIRECT($N9)), 0),
       MATCH(TRIM(J$2), TRIM(INDIRECT($O9)), 0))</f>
        <v>#N/A</v>
      </c>
      <c r="K9" s="11" t="e" cm="1">
        <f t="array" aca="1" ref="K9" ca="1">INDEX(INDIRECT($M9),
       MATCH(TRIM($C9), TRIM(INDIRECT($N9)), 0),
       MATCH(TRIM(K$2), TRIM(INDIRECT($O9)), 0))</f>
        <v>#N/A</v>
      </c>
      <c r="L9" s="11" cm="1">
        <f t="array" aca="1" ref="L9" ca="1">INDEX(INDIRECT($M9),
       MATCH(TRIM($C9), TRIM(INDIRECT($N9)), 0),
       MATCH(TRIM(L$2), TRIM(INDIRECT($O9)), 0))</f>
        <v>447.46274700000004</v>
      </c>
      <c r="M9" s="5" t="str">
        <f t="shared" si="0"/>
        <v>'2015'!$N$3:$V$80</v>
      </c>
      <c r="N9" s="5" t="str">
        <f t="shared" si="1"/>
        <v>'2015'!$M$2:$M$80</v>
      </c>
      <c r="O9" s="5" t="str">
        <f t="shared" si="2"/>
        <v>'2015'!$N$2:$W$2</v>
      </c>
    </row>
    <row r="10" spans="1:25" x14ac:dyDescent="0.3">
      <c r="A10">
        <v>8</v>
      </c>
      <c r="B10" s="9">
        <v>2015</v>
      </c>
      <c r="C10" t="s">
        <v>7</v>
      </c>
      <c r="D10" s="11" cm="1">
        <f t="array" aca="1" ref="D10" ca="1">INDEX(INDIRECT($M10),
       MATCH(TRIM($C10), TRIM(INDIRECT($N10)), 0),
       MATCH(TRIM(D$2), TRIM(INDIRECT($O10)), 0))</f>
        <v>11</v>
      </c>
      <c r="E10" s="9" cm="1">
        <f t="array" aca="1" ref="E10" ca="1">INDEX(INDIRECT($M10),
       MATCH(TRIM($C10), TRIM(INDIRECT($N10)), 0),
       MATCH(TRIM(E$2), TRIM(INDIRECT($O10)), 0))</f>
        <v>373938400</v>
      </c>
      <c r="F10" s="11" cm="1">
        <f t="array" aca="1" ref="F10" ca="1">INDEX(INDIRECT($M10),
       MATCH(TRIM($C10), TRIM(INDIRECT($N10)), 0),
       MATCH(TRIM(F$2), TRIM(INDIRECT($O10)), 0))</f>
        <v>373.9384</v>
      </c>
      <c r="G10" s="11" cm="1">
        <f t="array" aca="1" ref="G10" ca="1">INDEX(INDIRECT($M10),
       MATCH(TRIM($C10), TRIM(INDIRECT($N10)), 0),
       MATCH(TRIM(G$2), TRIM(INDIRECT($O10)), 0))</f>
        <v>6</v>
      </c>
      <c r="H10" s="9" cm="1">
        <f t="array" aca="1" ref="H10" ca="1">INDEX(INDIRECT($M10),
       MATCH(TRIM($C10), TRIM(INDIRECT($N10)), 0),
       MATCH(TRIM(H$2), TRIM(INDIRECT($O10)), 0))</f>
        <v>64952229</v>
      </c>
      <c r="I10" s="11" cm="1">
        <f t="array" aca="1" ref="I10" ca="1">INDEX(INDIRECT($M10),
       MATCH(TRIM($C10), TRIM(INDIRECT($N10)), 0),
       MATCH(TRIM(I$2), TRIM(INDIRECT($O10)), 0))</f>
        <v>64.952229000000003</v>
      </c>
      <c r="J10" s="9" t="e" cm="1">
        <f t="array" aca="1" ref="J10" ca="1">INDEX(INDIRECT($M10),
       MATCH(TRIM($C10), TRIM(INDIRECT($N10)), 0),
       MATCH(TRIM(J$2), TRIM(INDIRECT($O10)), 0))</f>
        <v>#N/A</v>
      </c>
      <c r="K10" s="11" t="e" cm="1">
        <f t="array" aca="1" ref="K10" ca="1">INDEX(INDIRECT($M10),
       MATCH(TRIM($C10), TRIM(INDIRECT($N10)), 0),
       MATCH(TRIM(K$2), TRIM(INDIRECT($O10)), 0))</f>
        <v>#N/A</v>
      </c>
      <c r="L10" s="11" cm="1">
        <f t="array" aca="1" ref="L10" ca="1">INDEX(INDIRECT($M10),
       MATCH(TRIM($C10), TRIM(INDIRECT($N10)), 0),
       MATCH(TRIM(L$2), TRIM(INDIRECT($O10)), 0))</f>
        <v>438.89062899999999</v>
      </c>
      <c r="M10" s="5" t="str">
        <f t="shared" si="0"/>
        <v>'2015'!$N$3:$V$80</v>
      </c>
      <c r="N10" s="5" t="str">
        <f t="shared" si="1"/>
        <v>'2015'!$M$2:$M$80</v>
      </c>
      <c r="O10" s="5" t="str">
        <f t="shared" si="2"/>
        <v>'2015'!$N$2:$W$2</v>
      </c>
    </row>
    <row r="11" spans="1:25" x14ac:dyDescent="0.3">
      <c r="A11">
        <v>9</v>
      </c>
      <c r="B11" s="9">
        <v>2015</v>
      </c>
      <c r="C11" t="s">
        <v>8</v>
      </c>
      <c r="D11" s="11" cm="1">
        <f t="array" aca="1" ref="D11" ca="1">INDEX(INDIRECT($M11),
       MATCH(TRIM($C11), TRIM(INDIRECT($N11)), 0),
       MATCH(TRIM(D$2), TRIM(INDIRECT($O11)), 0))</f>
        <v>126</v>
      </c>
      <c r="E11" s="9" cm="1">
        <f t="array" aca="1" ref="E11" ca="1">INDEX(INDIRECT($M11),
       MATCH(TRIM($C11), TRIM(INDIRECT($N11)), 0),
       MATCH(TRIM(E$2), TRIM(INDIRECT($O11)), 0))</f>
        <v>383484907</v>
      </c>
      <c r="F11" s="11" cm="1">
        <f t="array" aca="1" ref="F11" ca="1">INDEX(INDIRECT($M11),
       MATCH(TRIM($C11), TRIM(INDIRECT($N11)), 0),
       MATCH(TRIM(F$2), TRIM(INDIRECT($O11)), 0))</f>
        <v>383.48490700000002</v>
      </c>
      <c r="G11" s="11" cm="1">
        <f t="array" aca="1" ref="G11" ca="1">INDEX(INDIRECT($M11),
       MATCH(TRIM($C11), TRIM(INDIRECT($N11)), 0),
       MATCH(TRIM(G$2), TRIM(INDIRECT($O11)), 0))</f>
        <v>47</v>
      </c>
      <c r="H11" s="9" cm="1">
        <f t="array" aca="1" ref="H11" ca="1">INDEX(INDIRECT($M11),
       MATCH(TRIM($C11), TRIM(INDIRECT($N11)), 0),
       MATCH(TRIM(H$2), TRIM(INDIRECT($O11)), 0))</f>
        <v>268356416</v>
      </c>
      <c r="I11" s="11" cm="1">
        <f t="array" aca="1" ref="I11" ca="1">INDEX(INDIRECT($M11),
       MATCH(TRIM($C11), TRIM(INDIRECT($N11)), 0),
       MATCH(TRIM(I$2), TRIM(INDIRECT($O11)), 0))</f>
        <v>268.35641600000002</v>
      </c>
      <c r="J11" s="9" t="e" cm="1">
        <f t="array" aca="1" ref="J11" ca="1">INDEX(INDIRECT($M11),
       MATCH(TRIM($C11), TRIM(INDIRECT($N11)), 0),
       MATCH(TRIM(J$2), TRIM(INDIRECT($O11)), 0))</f>
        <v>#N/A</v>
      </c>
      <c r="K11" s="11" t="e" cm="1">
        <f t="array" aca="1" ref="K11" ca="1">INDEX(INDIRECT($M11),
       MATCH(TRIM($C11), TRIM(INDIRECT($N11)), 0),
       MATCH(TRIM(K$2), TRIM(INDIRECT($O11)), 0))</f>
        <v>#N/A</v>
      </c>
      <c r="L11" s="11" cm="1">
        <f t="array" aca="1" ref="L11" ca="1">INDEX(INDIRECT($M11),
       MATCH(TRIM($C11), TRIM(INDIRECT($N11)), 0),
       MATCH(TRIM(L$2), TRIM(INDIRECT($O11)), 0))</f>
        <v>651.8413230000001</v>
      </c>
      <c r="M11" s="5" t="str">
        <f t="shared" si="0"/>
        <v>'2015'!$N$3:$V$80</v>
      </c>
      <c r="N11" s="5" t="str">
        <f t="shared" si="1"/>
        <v>'2015'!$M$2:$M$80</v>
      </c>
      <c r="O11" s="5" t="str">
        <f t="shared" si="2"/>
        <v>'2015'!$N$2:$W$2</v>
      </c>
    </row>
    <row r="12" spans="1:25" x14ac:dyDescent="0.3">
      <c r="A12">
        <v>10</v>
      </c>
      <c r="B12" s="9">
        <v>2015</v>
      </c>
      <c r="C12" t="s">
        <v>9</v>
      </c>
      <c r="D12" s="11" cm="1">
        <f t="array" aca="1" ref="D12" ca="1">INDEX(INDIRECT($M12),
       MATCH(TRIM($C12), TRIM(INDIRECT($N12)), 0),
       MATCH(TRIM(D$2), TRIM(INDIRECT($O12)), 0))</f>
        <v>34</v>
      </c>
      <c r="E12" s="9" cm="1">
        <f t="array" aca="1" ref="E12" ca="1">INDEX(INDIRECT($M12),
       MATCH(TRIM($C12), TRIM(INDIRECT($N12)), 0),
       MATCH(TRIM(E$2), TRIM(INDIRECT($O12)), 0))</f>
        <v>270078933</v>
      </c>
      <c r="F12" s="11" cm="1">
        <f t="array" aca="1" ref="F12" ca="1">INDEX(INDIRECT($M12),
       MATCH(TRIM($C12), TRIM(INDIRECT($N12)), 0),
       MATCH(TRIM(F$2), TRIM(INDIRECT($O12)), 0))</f>
        <v>270.07893300000001</v>
      </c>
      <c r="G12" s="11" cm="1">
        <f t="array" aca="1" ref="G12" ca="1">INDEX(INDIRECT($M12),
       MATCH(TRIM($C12), TRIM(INDIRECT($N12)), 0),
       MATCH(TRIM(G$2), TRIM(INDIRECT($O12)), 0))</f>
        <v>24</v>
      </c>
      <c r="H12" s="9" cm="1">
        <f t="array" aca="1" ref="H12" ca="1">INDEX(INDIRECT($M12),
       MATCH(TRIM($C12), TRIM(INDIRECT($N12)), 0),
       MATCH(TRIM(H$2), TRIM(INDIRECT($O12)), 0))</f>
        <v>59552420</v>
      </c>
      <c r="I12" s="11" cm="1">
        <f t="array" aca="1" ref="I12" ca="1">INDEX(INDIRECT($M12),
       MATCH(TRIM($C12), TRIM(INDIRECT($N12)), 0),
       MATCH(TRIM(I$2), TRIM(INDIRECT($O12)), 0))</f>
        <v>59.552419999999998</v>
      </c>
      <c r="J12" s="9" t="e" cm="1">
        <f t="array" aca="1" ref="J12" ca="1">INDEX(INDIRECT($M12),
       MATCH(TRIM($C12), TRIM(INDIRECT($N12)), 0),
       MATCH(TRIM(J$2), TRIM(INDIRECT($O12)), 0))</f>
        <v>#N/A</v>
      </c>
      <c r="K12" s="11" t="e" cm="1">
        <f t="array" aca="1" ref="K12" ca="1">INDEX(INDIRECT($M12),
       MATCH(TRIM($C12), TRIM(INDIRECT($N12)), 0),
       MATCH(TRIM(K$2), TRIM(INDIRECT($O12)), 0))</f>
        <v>#N/A</v>
      </c>
      <c r="L12" s="11" cm="1">
        <f t="array" aca="1" ref="L12" ca="1">INDEX(INDIRECT($M12),
       MATCH(TRIM($C12), TRIM(INDIRECT($N12)), 0),
       MATCH(TRIM(L$2), TRIM(INDIRECT($O12)), 0))</f>
        <v>329.63135299999999</v>
      </c>
      <c r="M12" s="5" t="str">
        <f t="shared" si="0"/>
        <v>'2015'!$N$3:$V$80</v>
      </c>
      <c r="N12" s="5" t="str">
        <f t="shared" si="1"/>
        <v>'2015'!$M$2:$M$80</v>
      </c>
      <c r="O12" s="5" t="str">
        <f t="shared" si="2"/>
        <v>'2015'!$N$2:$W$2</v>
      </c>
    </row>
    <row r="13" spans="1:25" x14ac:dyDescent="0.3">
      <c r="A13">
        <v>11</v>
      </c>
      <c r="B13" s="9">
        <v>2015</v>
      </c>
      <c r="C13" t="s">
        <v>10</v>
      </c>
      <c r="D13" s="11" cm="1">
        <f t="array" aca="1" ref="D13" ca="1">INDEX(INDIRECT($M13),
       MATCH(TRIM($C13), TRIM(INDIRECT($N13)), 0),
       MATCH(TRIM(D$2), TRIM(INDIRECT($O13)), 0))</f>
        <v>17</v>
      </c>
      <c r="E13" s="9" cm="1">
        <f t="array" aca="1" ref="E13" ca="1">INDEX(INDIRECT($M13),
       MATCH(TRIM($C13), TRIM(INDIRECT($N13)), 0),
       MATCH(TRIM(E$2), TRIM(INDIRECT($O13)), 0))</f>
        <v>515280000</v>
      </c>
      <c r="F13" s="11" cm="1">
        <f t="array" aca="1" ref="F13" ca="1">INDEX(INDIRECT($M13),
       MATCH(TRIM($C13), TRIM(INDIRECT($N13)), 0),
       MATCH(TRIM(F$2), TRIM(INDIRECT($O13)), 0))</f>
        <v>515.28</v>
      </c>
      <c r="G13" s="11" cm="1">
        <f t="array" aca="1" ref="G13" ca="1">INDEX(INDIRECT($M13),
       MATCH(TRIM($C13), TRIM(INDIRECT($N13)), 0),
       MATCH(TRIM(G$2), TRIM(INDIRECT($O13)), 0))</f>
        <v>8</v>
      </c>
      <c r="H13" s="9" cm="1">
        <f t="array" aca="1" ref="H13" ca="1">INDEX(INDIRECT($M13),
       MATCH(TRIM($C13), TRIM(INDIRECT($N13)), 0),
       MATCH(TRIM(H$2), TRIM(INDIRECT($O13)), 0))</f>
        <v>25299000</v>
      </c>
      <c r="I13" s="11" cm="1">
        <f t="array" aca="1" ref="I13" ca="1">INDEX(INDIRECT($M13),
       MATCH(TRIM($C13), TRIM(INDIRECT($N13)), 0),
       MATCH(TRIM(I$2), TRIM(INDIRECT($O13)), 0))</f>
        <v>25.298999999999999</v>
      </c>
      <c r="J13" s="9" t="e" cm="1">
        <f t="array" aca="1" ref="J13" ca="1">INDEX(INDIRECT($M13),
       MATCH(TRIM($C13), TRIM(INDIRECT($N13)), 0),
       MATCH(TRIM(J$2), TRIM(INDIRECT($O13)), 0))</f>
        <v>#N/A</v>
      </c>
      <c r="K13" s="11" t="e" cm="1">
        <f t="array" aca="1" ref="K13" ca="1">INDEX(INDIRECT($M13),
       MATCH(TRIM($C13), TRIM(INDIRECT($N13)), 0),
       MATCH(TRIM(K$2), TRIM(INDIRECT($O13)), 0))</f>
        <v>#N/A</v>
      </c>
      <c r="L13" s="11" cm="1">
        <f t="array" aca="1" ref="L13" ca="1">INDEX(INDIRECT($M13),
       MATCH(TRIM($C13), TRIM(INDIRECT($N13)), 0),
       MATCH(TRIM(L$2), TRIM(INDIRECT($O13)), 0))</f>
        <v>540.57899999999995</v>
      </c>
      <c r="M13" s="5" t="str">
        <f t="shared" si="0"/>
        <v>'2015'!$N$3:$V$80</v>
      </c>
      <c r="N13" s="5" t="str">
        <f t="shared" si="1"/>
        <v>'2015'!$M$2:$M$80</v>
      </c>
      <c r="O13" s="5" t="str">
        <f t="shared" si="2"/>
        <v>'2015'!$N$2:$W$2</v>
      </c>
      <c r="V13" s="2"/>
      <c r="W13" s="3"/>
      <c r="X13" s="3"/>
      <c r="Y13" s="3"/>
    </row>
    <row r="14" spans="1:25" x14ac:dyDescent="0.3">
      <c r="A14">
        <v>12</v>
      </c>
      <c r="B14" s="9">
        <v>2015</v>
      </c>
      <c r="C14" t="s">
        <v>11</v>
      </c>
      <c r="D14" s="11" cm="1">
        <f t="array" aca="1" ref="D14" ca="1">INDEX(INDIRECT($M14),
       MATCH(TRIM($C14), TRIM(INDIRECT($N14)), 0),
       MATCH(TRIM(D$2), TRIM(INDIRECT($O14)), 0))</f>
        <v>35</v>
      </c>
      <c r="E14" s="9" cm="1">
        <f t="array" aca="1" ref="E14" ca="1">INDEX(INDIRECT($M14),
       MATCH(TRIM($C14), TRIM(INDIRECT($N14)), 0),
       MATCH(TRIM(E$2), TRIM(INDIRECT($O14)), 0))</f>
        <v>275246605</v>
      </c>
      <c r="F14" s="11" cm="1">
        <f t="array" aca="1" ref="F14" ca="1">INDEX(INDIRECT($M14),
       MATCH(TRIM($C14), TRIM(INDIRECT($N14)), 0),
       MATCH(TRIM(F$2), TRIM(INDIRECT($O14)), 0))</f>
        <v>275.24660499999999</v>
      </c>
      <c r="G14" s="11" cm="1">
        <f t="array" aca="1" ref="G14" ca="1">INDEX(INDIRECT($M14),
       MATCH(TRIM($C14), TRIM(INDIRECT($N14)), 0),
       MATCH(TRIM(G$2), TRIM(INDIRECT($O14)), 0))</f>
        <v>23</v>
      </c>
      <c r="H14" s="9" cm="1">
        <f t="array" aca="1" ref="H14" ca="1">INDEX(INDIRECT($M14),
       MATCH(TRIM($C14), TRIM(INDIRECT($N14)), 0),
       MATCH(TRIM(H$2), TRIM(INDIRECT($O14)), 0))</f>
        <v>104380000</v>
      </c>
      <c r="I14" s="11" cm="1">
        <f t="array" aca="1" ref="I14" ca="1">INDEX(INDIRECT($M14),
       MATCH(TRIM($C14), TRIM(INDIRECT($N14)), 0),
       MATCH(TRIM(I$2), TRIM(INDIRECT($O14)), 0))</f>
        <v>104.38</v>
      </c>
      <c r="J14" s="9" t="e" cm="1">
        <f t="array" aca="1" ref="J14" ca="1">INDEX(INDIRECT($M14),
       MATCH(TRIM($C14), TRIM(INDIRECT($N14)), 0),
       MATCH(TRIM(J$2), TRIM(INDIRECT($O14)), 0))</f>
        <v>#N/A</v>
      </c>
      <c r="K14" s="11" t="e" cm="1">
        <f t="array" aca="1" ref="K14" ca="1">INDEX(INDIRECT($M14),
       MATCH(TRIM($C14), TRIM(INDIRECT($N14)), 0),
       MATCH(TRIM(K$2), TRIM(INDIRECT($O14)), 0))</f>
        <v>#N/A</v>
      </c>
      <c r="L14" s="11" cm="1">
        <f t="array" aca="1" ref="L14" ca="1">INDEX(INDIRECT($M14),
       MATCH(TRIM($C14), TRIM(INDIRECT($N14)), 0),
       MATCH(TRIM(L$2), TRIM(INDIRECT($O14)), 0))</f>
        <v>379.62660499999998</v>
      </c>
      <c r="M14" s="5" t="str">
        <f t="shared" si="0"/>
        <v>'2015'!$N$3:$V$80</v>
      </c>
      <c r="N14" s="5" t="str">
        <f t="shared" si="1"/>
        <v>'2015'!$M$2:$M$80</v>
      </c>
      <c r="O14" s="5" t="str">
        <f t="shared" si="2"/>
        <v>'2015'!$N$2:$W$2</v>
      </c>
    </row>
    <row r="15" spans="1:25" x14ac:dyDescent="0.3">
      <c r="A15">
        <v>13</v>
      </c>
      <c r="B15" s="9">
        <v>2015</v>
      </c>
      <c r="C15" t="s">
        <v>12</v>
      </c>
      <c r="D15" s="11" cm="1">
        <f t="array" aca="1" ref="D15" ca="1">INDEX(INDIRECT($M15),
       MATCH(TRIM($C15), TRIM(INDIRECT($N15)), 0),
       MATCH(TRIM(D$2), TRIM(INDIRECT($O15)), 0))</f>
        <v>15</v>
      </c>
      <c r="E15" s="9" cm="1">
        <f t="array" aca="1" ref="E15" ca="1">INDEX(INDIRECT($M15),
       MATCH(TRIM($C15), TRIM(INDIRECT($N15)), 0),
       MATCH(TRIM(E$2), TRIM(INDIRECT($O15)), 0))</f>
        <v>196463000</v>
      </c>
      <c r="F15" s="11" cm="1">
        <f t="array" aca="1" ref="F15" ca="1">INDEX(INDIRECT($M15),
       MATCH(TRIM($C15), TRIM(INDIRECT($N15)), 0),
       MATCH(TRIM(F$2), TRIM(INDIRECT($O15)), 0))</f>
        <v>196.46299999999999</v>
      </c>
      <c r="G15" s="11" cm="1">
        <f t="array" aca="1" ref="G15" ca="1">INDEX(INDIRECT($M15),
       MATCH(TRIM($C15), TRIM(INDIRECT($N15)), 0),
       MATCH(TRIM(G$2), TRIM(INDIRECT($O15)), 0))</f>
        <v>2</v>
      </c>
      <c r="H15" s="9" cm="1">
        <f t="array" aca="1" ref="H15" ca="1">INDEX(INDIRECT($M15),
       MATCH(TRIM($C15), TRIM(INDIRECT($N15)), 0),
       MATCH(TRIM(H$2), TRIM(INDIRECT($O15)), 0))</f>
        <v>9826320</v>
      </c>
      <c r="I15" s="11" cm="1">
        <f t="array" aca="1" ref="I15" ca="1">INDEX(INDIRECT($M15),
       MATCH(TRIM($C15), TRIM(INDIRECT($N15)), 0),
       MATCH(TRIM(I$2), TRIM(INDIRECT($O15)), 0))</f>
        <v>9.8263200000000008</v>
      </c>
      <c r="J15" s="9" t="e" cm="1">
        <f t="array" aca="1" ref="J15" ca="1">INDEX(INDIRECT($M15),
       MATCH(TRIM($C15), TRIM(INDIRECT($N15)), 0),
       MATCH(TRIM(J$2), TRIM(INDIRECT($O15)), 0))</f>
        <v>#N/A</v>
      </c>
      <c r="K15" s="11" t="e" cm="1">
        <f t="array" aca="1" ref="K15" ca="1">INDEX(INDIRECT($M15),
       MATCH(TRIM($C15), TRIM(INDIRECT($N15)), 0),
       MATCH(TRIM(K$2), TRIM(INDIRECT($O15)), 0))</f>
        <v>#N/A</v>
      </c>
      <c r="L15" s="11" cm="1">
        <f t="array" aca="1" ref="L15" ca="1">INDEX(INDIRECT($M15),
       MATCH(TRIM($C15), TRIM(INDIRECT($N15)), 0),
       MATCH(TRIM(L$2), TRIM(INDIRECT($O15)), 0))</f>
        <v>206.28932</v>
      </c>
      <c r="M15" s="5" t="str">
        <f t="shared" si="0"/>
        <v>'2015'!$N$3:$V$80</v>
      </c>
      <c r="N15" s="5" t="str">
        <f t="shared" si="1"/>
        <v>'2015'!$M$2:$M$80</v>
      </c>
      <c r="O15" s="5" t="str">
        <f t="shared" si="2"/>
        <v>'2015'!$N$2:$W$2</v>
      </c>
    </row>
    <row r="16" spans="1:25" x14ac:dyDescent="0.3">
      <c r="A16">
        <v>14</v>
      </c>
      <c r="B16" s="9">
        <v>2015</v>
      </c>
      <c r="C16" t="s">
        <v>13</v>
      </c>
      <c r="D16" s="11" cm="1">
        <f t="array" aca="1" ref="D16" ca="1">INDEX(INDIRECT($M16),
       MATCH(TRIM($C16), TRIM(INDIRECT($N16)), 0),
       MATCH(TRIM(D$2), TRIM(INDIRECT($O16)), 0))</f>
        <v>36</v>
      </c>
      <c r="E16" s="9" cm="1">
        <f t="array" aca="1" ref="E16" ca="1">INDEX(INDIRECT($M16),
       MATCH(TRIM($C16), TRIM(INDIRECT($N16)), 0),
       MATCH(TRIM(E$2), TRIM(INDIRECT($O16)), 0))</f>
        <v>304863564</v>
      </c>
      <c r="F16" s="11" cm="1">
        <f t="array" aca="1" ref="F16" ca="1">INDEX(INDIRECT($M16),
       MATCH(TRIM($C16), TRIM(INDIRECT($N16)), 0),
       MATCH(TRIM(F$2), TRIM(INDIRECT($O16)), 0))</f>
        <v>304.863564</v>
      </c>
      <c r="G16" s="11" cm="1">
        <f t="array" aca="1" ref="G16" ca="1">INDEX(INDIRECT($M16),
       MATCH(TRIM($C16), TRIM(INDIRECT($N16)), 0),
       MATCH(TRIM(G$2), TRIM(INDIRECT($O16)), 0))</f>
        <v>19</v>
      </c>
      <c r="H16" s="9" cm="1">
        <f t="array" aca="1" ref="H16" ca="1">INDEX(INDIRECT($M16),
       MATCH(TRIM($C16), TRIM(INDIRECT($N16)), 0),
       MATCH(TRIM(H$2), TRIM(INDIRECT($O16)), 0))</f>
        <v>50377950</v>
      </c>
      <c r="I16" s="11" cm="1">
        <f t="array" aca="1" ref="I16" ca="1">INDEX(INDIRECT($M16),
       MATCH(TRIM($C16), TRIM(INDIRECT($N16)), 0),
       MATCH(TRIM(I$2), TRIM(INDIRECT($O16)), 0))</f>
        <v>50.377949999999998</v>
      </c>
      <c r="J16" s="9" t="e" cm="1">
        <f t="array" aca="1" ref="J16" ca="1">INDEX(INDIRECT($M16),
       MATCH(TRIM($C16), TRIM(INDIRECT($N16)), 0),
       MATCH(TRIM(J$2), TRIM(INDIRECT($O16)), 0))</f>
        <v>#N/A</v>
      </c>
      <c r="K16" s="11" t="e" cm="1">
        <f t="array" aca="1" ref="K16" ca="1">INDEX(INDIRECT($M16),
       MATCH(TRIM($C16), TRIM(INDIRECT($N16)), 0),
       MATCH(TRIM(K$2), TRIM(INDIRECT($O16)), 0))</f>
        <v>#N/A</v>
      </c>
      <c r="L16" s="11" cm="1">
        <f t="array" aca="1" ref="L16" ca="1">INDEX(INDIRECT($M16),
       MATCH(TRIM($C16), TRIM(INDIRECT($N16)), 0),
       MATCH(TRIM(L$2), TRIM(INDIRECT($O16)), 0))</f>
        <v>355.241514</v>
      </c>
      <c r="M16" s="5" t="str">
        <f t="shared" si="0"/>
        <v>'2015'!$N$3:$V$80</v>
      </c>
      <c r="N16" s="5" t="str">
        <f t="shared" si="1"/>
        <v>'2015'!$M$2:$M$80</v>
      </c>
      <c r="O16" s="5" t="str">
        <f t="shared" si="2"/>
        <v>'2015'!$N$2:$W$2</v>
      </c>
    </row>
    <row r="17" spans="1:15" x14ac:dyDescent="0.3">
      <c r="A17">
        <v>15</v>
      </c>
      <c r="B17" s="9">
        <v>2015</v>
      </c>
      <c r="C17" t="s">
        <v>14</v>
      </c>
      <c r="D17" s="11" cm="1">
        <f t="array" aca="1" ref="D17" ca="1">INDEX(INDIRECT($M17),
       MATCH(TRIM($C17), TRIM(INDIRECT($N17)), 0),
       MATCH(TRIM(D$2), TRIM(INDIRECT($O17)), 0))</f>
        <v>7</v>
      </c>
      <c r="E17" s="9" cm="1">
        <f t="array" aca="1" ref="E17" ca="1">INDEX(INDIRECT($M17),
       MATCH(TRIM($C17), TRIM(INDIRECT($N17)), 0),
       MATCH(TRIM(E$2), TRIM(INDIRECT($O17)), 0))</f>
        <v>43975742</v>
      </c>
      <c r="F17" s="11" cm="1">
        <f t="array" aca="1" ref="F17" ca="1">INDEX(INDIRECT($M17),
       MATCH(TRIM($C17), TRIM(INDIRECT($N17)), 0),
       MATCH(TRIM(F$2), TRIM(INDIRECT($O17)), 0))</f>
        <v>43.975741999999997</v>
      </c>
      <c r="G17" s="11" cm="1">
        <f t="array" aca="1" ref="G17" ca="1">INDEX(INDIRECT($M17),
       MATCH(TRIM($C17), TRIM(INDIRECT($N17)), 0),
       MATCH(TRIM(G$2), TRIM(INDIRECT($O17)), 0))</f>
        <v>0</v>
      </c>
      <c r="H17" s="9" cm="1">
        <f t="array" aca="1" ref="H17" ca="1">INDEX(INDIRECT($M17),
       MATCH(TRIM($C17), TRIM(INDIRECT($N17)), 0),
       MATCH(TRIM(H$2), TRIM(INDIRECT($O17)), 0))</f>
        <v>0</v>
      </c>
      <c r="I17" s="11" cm="1">
        <f t="array" aca="1" ref="I17" ca="1">INDEX(INDIRECT($M17),
       MATCH(TRIM($C17), TRIM(INDIRECT($N17)), 0),
       MATCH(TRIM(I$2), TRIM(INDIRECT($O17)), 0))</f>
        <v>0</v>
      </c>
      <c r="J17" s="9" t="e" cm="1">
        <f t="array" aca="1" ref="J17" ca="1">INDEX(INDIRECT($M17),
       MATCH(TRIM($C17), TRIM(INDIRECT($N17)), 0),
       MATCH(TRIM(J$2), TRIM(INDIRECT($O17)), 0))</f>
        <v>#N/A</v>
      </c>
      <c r="K17" s="11" t="e" cm="1">
        <f t="array" aca="1" ref="K17" ca="1">INDEX(INDIRECT($M17),
       MATCH(TRIM($C17), TRIM(INDIRECT($N17)), 0),
       MATCH(TRIM(K$2), TRIM(INDIRECT($O17)), 0))</f>
        <v>#N/A</v>
      </c>
      <c r="L17" s="11" cm="1">
        <f t="array" aca="1" ref="L17" ca="1">INDEX(INDIRECT($M17),
       MATCH(TRIM($C17), TRIM(INDIRECT($N17)), 0),
       MATCH(TRIM(L$2), TRIM(INDIRECT($O17)), 0))</f>
        <v>43.975741999999997</v>
      </c>
      <c r="M17" s="5" t="str">
        <f t="shared" si="0"/>
        <v>'2015'!$N$3:$V$80</v>
      </c>
      <c r="N17" s="5" t="str">
        <f t="shared" si="1"/>
        <v>'2015'!$M$2:$M$80</v>
      </c>
      <c r="O17" s="5" t="str">
        <f t="shared" si="2"/>
        <v>'2015'!$N$2:$W$2</v>
      </c>
    </row>
    <row r="18" spans="1:15" x14ac:dyDescent="0.3">
      <c r="A18">
        <v>16</v>
      </c>
      <c r="B18" s="9">
        <v>2015</v>
      </c>
      <c r="C18" t="s">
        <v>15</v>
      </c>
      <c r="D18" s="11" cm="1">
        <f t="array" aca="1" ref="D18" ca="1">INDEX(INDIRECT($M18),
       MATCH(TRIM($C18), TRIM(INDIRECT($N18)), 0),
       MATCH(TRIM(D$2), TRIM(INDIRECT($O18)), 0))</f>
        <v>24</v>
      </c>
      <c r="E18" s="9" cm="1">
        <f t="array" aca="1" ref="E18" ca="1">INDEX(INDIRECT($M18),
       MATCH(TRIM($C18), TRIM(INDIRECT($N18)), 0),
       MATCH(TRIM(E$2), TRIM(INDIRECT($O18)), 0))</f>
        <v>95872000</v>
      </c>
      <c r="F18" s="11" cm="1">
        <f t="array" aca="1" ref="F18" ca="1">INDEX(INDIRECT($M18),
       MATCH(TRIM($C18), TRIM(INDIRECT($N18)), 0),
       MATCH(TRIM(F$2), TRIM(INDIRECT($O18)), 0))</f>
        <v>95.872</v>
      </c>
      <c r="G18" s="11" cm="1">
        <f t="array" aca="1" ref="G18" ca="1">INDEX(INDIRECT($M18),
       MATCH(TRIM($C18), TRIM(INDIRECT($N18)), 0),
       MATCH(TRIM(G$2), TRIM(INDIRECT($O18)), 0))</f>
        <v>20</v>
      </c>
      <c r="H18" s="9" cm="1">
        <f t="array" aca="1" ref="H18" ca="1">INDEX(INDIRECT($M18),
       MATCH(TRIM($C18), TRIM(INDIRECT($N18)), 0),
       MATCH(TRIM(H$2), TRIM(INDIRECT($O18)), 0))</f>
        <v>164387466</v>
      </c>
      <c r="I18" s="11" cm="1">
        <f t="array" aca="1" ref="I18" ca="1">INDEX(INDIRECT($M18),
       MATCH(TRIM($C18), TRIM(INDIRECT($N18)), 0),
       MATCH(TRIM(I$2), TRIM(INDIRECT($O18)), 0))</f>
        <v>164.38746599999999</v>
      </c>
      <c r="J18" s="9" t="e" cm="1">
        <f t="array" aca="1" ref="J18" ca="1">INDEX(INDIRECT($M18),
       MATCH(TRIM($C18), TRIM(INDIRECT($N18)), 0),
       MATCH(TRIM(J$2), TRIM(INDIRECT($O18)), 0))</f>
        <v>#N/A</v>
      </c>
      <c r="K18" s="11" t="e" cm="1">
        <f t="array" aca="1" ref="K18" ca="1">INDEX(INDIRECT($M18),
       MATCH(TRIM($C18), TRIM(INDIRECT($N18)), 0),
       MATCH(TRIM(K$2), TRIM(INDIRECT($O18)), 0))</f>
        <v>#N/A</v>
      </c>
      <c r="L18" s="11" cm="1">
        <f t="array" aca="1" ref="L18" ca="1">INDEX(INDIRECT($M18),
       MATCH(TRIM($C18), TRIM(INDIRECT($N18)), 0),
       MATCH(TRIM(L$2), TRIM(INDIRECT($O18)), 0))</f>
        <v>260.25946599999997</v>
      </c>
      <c r="M18" s="5" t="str">
        <f t="shared" si="0"/>
        <v>'2015'!$N$3:$V$80</v>
      </c>
      <c r="N18" s="5" t="str">
        <f t="shared" si="1"/>
        <v>'2015'!$M$2:$M$80</v>
      </c>
      <c r="O18" s="5" t="str">
        <f t="shared" si="2"/>
        <v>'2015'!$N$2:$W$2</v>
      </c>
    </row>
    <row r="19" spans="1:15" x14ac:dyDescent="0.3">
      <c r="A19">
        <v>17</v>
      </c>
      <c r="B19" s="9">
        <v>2015</v>
      </c>
      <c r="C19" t="s">
        <v>16</v>
      </c>
      <c r="D19" s="11" cm="1">
        <f t="array" aca="1" ref="D19" ca="1">INDEX(INDIRECT($M19),
       MATCH(TRIM($C19), TRIM(INDIRECT($N19)), 0),
       MATCH(TRIM(D$2), TRIM(INDIRECT($O19)), 0))</f>
        <v>18</v>
      </c>
      <c r="E19" s="9" cm="1">
        <f t="array" aca="1" ref="E19" ca="1">INDEX(INDIRECT($M19),
       MATCH(TRIM($C19), TRIM(INDIRECT($N19)), 0),
       MATCH(TRIM(E$2), TRIM(INDIRECT($O19)), 0))</f>
        <v>178859228</v>
      </c>
      <c r="F19" s="11" cm="1">
        <f t="array" aca="1" ref="F19" ca="1">INDEX(INDIRECT($M19),
       MATCH(TRIM($C19), TRIM(INDIRECT($N19)), 0),
       MATCH(TRIM(F$2), TRIM(INDIRECT($O19)), 0))</f>
        <v>178.859228</v>
      </c>
      <c r="G19" s="11" cm="1">
        <f t="array" aca="1" ref="G19" ca="1">INDEX(INDIRECT($M19),
       MATCH(TRIM($C19), TRIM(INDIRECT($N19)), 0),
       MATCH(TRIM(G$2), TRIM(INDIRECT($O19)), 0))</f>
        <v>7</v>
      </c>
      <c r="H19" s="9" cm="1">
        <f t="array" aca="1" ref="H19" ca="1">INDEX(INDIRECT($M19),
       MATCH(TRIM($C19), TRIM(INDIRECT($N19)), 0),
       MATCH(TRIM(H$2), TRIM(INDIRECT($O19)), 0))</f>
        <v>77349940</v>
      </c>
      <c r="I19" s="11" cm="1">
        <f t="array" aca="1" ref="I19" ca="1">INDEX(INDIRECT($M19),
       MATCH(TRIM($C19), TRIM(INDIRECT($N19)), 0),
       MATCH(TRIM(I$2), TRIM(INDIRECT($O19)), 0))</f>
        <v>77.349940000000004</v>
      </c>
      <c r="J19" s="9" t="e" cm="1">
        <f t="array" aca="1" ref="J19" ca="1">INDEX(INDIRECT($M19),
       MATCH(TRIM($C19), TRIM(INDIRECT($N19)), 0),
       MATCH(TRIM(J$2), TRIM(INDIRECT($O19)), 0))</f>
        <v>#N/A</v>
      </c>
      <c r="K19" s="11" t="e" cm="1">
        <f t="array" aca="1" ref="K19" ca="1">INDEX(INDIRECT($M19),
       MATCH(TRIM($C19), TRIM(INDIRECT($N19)), 0),
       MATCH(TRIM(K$2), TRIM(INDIRECT($O19)), 0))</f>
        <v>#N/A</v>
      </c>
      <c r="L19" s="11" cm="1">
        <f t="array" aca="1" ref="L19" ca="1">INDEX(INDIRECT($M19),
       MATCH(TRIM($C19), TRIM(INDIRECT($N19)), 0),
       MATCH(TRIM(L$2), TRIM(INDIRECT($O19)), 0))</f>
        <v>256.20916799999998</v>
      </c>
      <c r="M19" s="5" t="str">
        <f t="shared" si="0"/>
        <v>'2015'!$N$3:$V$80</v>
      </c>
      <c r="N19" s="5" t="str">
        <f t="shared" si="1"/>
        <v>'2015'!$M$2:$M$80</v>
      </c>
      <c r="O19" s="5" t="str">
        <f t="shared" si="2"/>
        <v>'2015'!$N$2:$W$2</v>
      </c>
    </row>
    <row r="20" spans="1:15" x14ac:dyDescent="0.3">
      <c r="A20">
        <v>18</v>
      </c>
      <c r="B20" s="9">
        <v>2015</v>
      </c>
      <c r="C20" t="s">
        <v>17</v>
      </c>
      <c r="D20" s="11" cm="1">
        <f t="array" aca="1" ref="D20" ca="1">INDEX(INDIRECT($M20),
       MATCH(TRIM($C20), TRIM(INDIRECT($N20)), 0),
       MATCH(TRIM(D$2), TRIM(INDIRECT($O20)), 0))</f>
        <v>2</v>
      </c>
      <c r="E20" s="9" cm="1">
        <f t="array" aca="1" ref="E20" ca="1">INDEX(INDIRECT($M20),
       MATCH(TRIM($C20), TRIM(INDIRECT($N20)), 0),
       MATCH(TRIM(E$2), TRIM(INDIRECT($O20)), 0))</f>
        <v>64304155</v>
      </c>
      <c r="F20" s="11" cm="1">
        <f t="array" aca="1" ref="F20" ca="1">INDEX(INDIRECT($M20),
       MATCH(TRIM($C20), TRIM(INDIRECT($N20)), 0),
       MATCH(TRIM(F$2), TRIM(INDIRECT($O20)), 0))</f>
        <v>64.304154999999994</v>
      </c>
      <c r="G20" s="11" cm="1">
        <f t="array" aca="1" ref="G20" ca="1">INDEX(INDIRECT($M20),
       MATCH(TRIM($C20), TRIM(INDIRECT($N20)), 0),
       MATCH(TRIM(G$2), TRIM(INDIRECT($O20)), 0))</f>
        <v>4</v>
      </c>
      <c r="H20" s="9" cm="1">
        <f t="array" aca="1" ref="H20" ca="1">INDEX(INDIRECT($M20),
       MATCH(TRIM($C20), TRIM(INDIRECT($N20)), 0),
       MATCH(TRIM(H$2), TRIM(INDIRECT($O20)), 0))</f>
        <v>26500000</v>
      </c>
      <c r="I20" s="11" cm="1">
        <f t="array" aca="1" ref="I20" ca="1">INDEX(INDIRECT($M20),
       MATCH(TRIM($C20), TRIM(INDIRECT($N20)), 0),
       MATCH(TRIM(I$2), TRIM(INDIRECT($O20)), 0))</f>
        <v>26.5</v>
      </c>
      <c r="J20" s="9" t="e" cm="1">
        <f t="array" aca="1" ref="J20" ca="1">INDEX(INDIRECT($M20),
       MATCH(TRIM($C20), TRIM(INDIRECT($N20)), 0),
       MATCH(TRIM(J$2), TRIM(INDIRECT($O20)), 0))</f>
        <v>#N/A</v>
      </c>
      <c r="K20" s="11" t="e" cm="1">
        <f t="array" aca="1" ref="K20" ca="1">INDEX(INDIRECT($M20),
       MATCH(TRIM($C20), TRIM(INDIRECT($N20)), 0),
       MATCH(TRIM(K$2), TRIM(INDIRECT($O20)), 0))</f>
        <v>#N/A</v>
      </c>
      <c r="L20" s="11" cm="1">
        <f t="array" aca="1" ref="L20" ca="1">INDEX(INDIRECT($M20),
       MATCH(TRIM($C20), TRIM(INDIRECT($N20)), 0),
       MATCH(TRIM(L$2), TRIM(INDIRECT($O20)), 0))</f>
        <v>90.804154999999994</v>
      </c>
      <c r="M20" s="5" t="str">
        <f t="shared" si="0"/>
        <v>'2015'!$N$3:$V$80</v>
      </c>
      <c r="N20" s="5" t="str">
        <f t="shared" si="1"/>
        <v>'2015'!$M$2:$M$80</v>
      </c>
      <c r="O20" s="5" t="str">
        <f t="shared" si="2"/>
        <v>'2015'!$N$2:$W$2</v>
      </c>
    </row>
    <row r="21" spans="1:15" x14ac:dyDescent="0.3">
      <c r="A21">
        <v>19</v>
      </c>
      <c r="B21" s="9">
        <v>2015</v>
      </c>
      <c r="C21" t="s">
        <v>18</v>
      </c>
      <c r="D21" s="11" cm="1">
        <f t="array" aca="1" ref="D21" ca="1">INDEX(INDIRECT($M21),
       MATCH(TRIM($C21), TRIM(INDIRECT($N21)), 0),
       MATCH(TRIM(D$2), TRIM(INDIRECT($O21)), 0))</f>
        <v>8</v>
      </c>
      <c r="E21" s="9" cm="1">
        <f t="array" aca="1" ref="E21" ca="1">INDEX(INDIRECT($M21),
       MATCH(TRIM($C21), TRIM(INDIRECT($N21)), 0),
       MATCH(TRIM(E$2), TRIM(INDIRECT($O21)), 0))</f>
        <v>38054545</v>
      </c>
      <c r="F21" s="11" cm="1">
        <f t="array" aca="1" ref="F21" ca="1">INDEX(INDIRECT($M21),
       MATCH(TRIM($C21), TRIM(INDIRECT($N21)), 0),
       MATCH(TRIM(F$2), TRIM(INDIRECT($O21)), 0))</f>
        <v>38.054544999999997</v>
      </c>
      <c r="G21" s="11" cm="1">
        <f t="array" aca="1" ref="G21" ca="1">INDEX(INDIRECT($M21),
       MATCH(TRIM($C21), TRIM(INDIRECT($N21)), 0),
       MATCH(TRIM(G$2), TRIM(INDIRECT($O21)), 0))</f>
        <v>5</v>
      </c>
      <c r="H21" s="9" cm="1">
        <f t="array" aca="1" ref="H21" ca="1">INDEX(INDIRECT($M21),
       MATCH(TRIM($C21), TRIM(INDIRECT($N21)), 0),
       MATCH(TRIM(H$2), TRIM(INDIRECT($O21)), 0))</f>
        <v>5423794</v>
      </c>
      <c r="I21" s="11" cm="1">
        <f t="array" aca="1" ref="I21" ca="1">INDEX(INDIRECT($M21),
       MATCH(TRIM($C21), TRIM(INDIRECT($N21)), 0),
       MATCH(TRIM(I$2), TRIM(INDIRECT($O21)), 0))</f>
        <v>5.423794</v>
      </c>
      <c r="J21" s="9" t="e" cm="1">
        <f t="array" aca="1" ref="J21" ca="1">INDEX(INDIRECT($M21),
       MATCH(TRIM($C21), TRIM(INDIRECT($N21)), 0),
       MATCH(TRIM(J$2), TRIM(INDIRECT($O21)), 0))</f>
        <v>#N/A</v>
      </c>
      <c r="K21" s="11" t="e" cm="1">
        <f t="array" aca="1" ref="K21" ca="1">INDEX(INDIRECT($M21),
       MATCH(TRIM($C21), TRIM(INDIRECT($N21)), 0),
       MATCH(TRIM(K$2), TRIM(INDIRECT($O21)), 0))</f>
        <v>#N/A</v>
      </c>
      <c r="L21" s="11" cm="1">
        <f t="array" aca="1" ref="L21" ca="1">INDEX(INDIRECT($M21),
       MATCH(TRIM($C21), TRIM(INDIRECT($N21)), 0),
       MATCH(TRIM(L$2), TRIM(INDIRECT($O21)), 0))</f>
        <v>43.478338999999998</v>
      </c>
      <c r="M21" s="5" t="str">
        <f t="shared" si="0"/>
        <v>'2015'!$N$3:$V$80</v>
      </c>
      <c r="N21" s="5" t="str">
        <f t="shared" si="1"/>
        <v>'2015'!$M$2:$M$80</v>
      </c>
      <c r="O21" s="5" t="str">
        <f t="shared" si="2"/>
        <v>'2015'!$N$2:$W$2</v>
      </c>
    </row>
    <row r="22" spans="1:15" x14ac:dyDescent="0.3">
      <c r="A22">
        <v>20</v>
      </c>
      <c r="B22" s="9">
        <v>2015</v>
      </c>
      <c r="C22" t="s">
        <v>19</v>
      </c>
      <c r="D22" s="11" cm="1">
        <f t="array" aca="1" ref="D22" ca="1">INDEX(INDIRECT($M22),
       MATCH(TRIM($C22), TRIM(INDIRECT($N22)), 0),
       MATCH(TRIM(D$2), TRIM(INDIRECT($O22)), 0))</f>
        <v>9</v>
      </c>
      <c r="E22" s="9" cm="1">
        <f t="array" aca="1" ref="E22" ca="1">INDEX(INDIRECT($M22),
       MATCH(TRIM($C22), TRIM(INDIRECT($N22)), 0),
       MATCH(TRIM(E$2), TRIM(INDIRECT($O22)), 0))</f>
        <v>92226205</v>
      </c>
      <c r="F22" s="11" cm="1">
        <f t="array" aca="1" ref="F22" ca="1">INDEX(INDIRECT($M22),
       MATCH(TRIM($C22), TRIM(INDIRECT($N22)), 0),
       MATCH(TRIM(F$2), TRIM(INDIRECT($O22)), 0))</f>
        <v>92.226204999999993</v>
      </c>
      <c r="G22" s="11" cm="1">
        <f t="array" aca="1" ref="G22" ca="1">INDEX(INDIRECT($M22),
       MATCH(TRIM($C22), TRIM(INDIRECT($N22)), 0),
       MATCH(TRIM(G$2), TRIM(INDIRECT($O22)), 0))</f>
        <v>1</v>
      </c>
      <c r="H22" s="9" cm="1">
        <f t="array" aca="1" ref="H22" ca="1">INDEX(INDIRECT($M22),
       MATCH(TRIM($C22), TRIM(INDIRECT($N22)), 0),
       MATCH(TRIM(H$2), TRIM(INDIRECT($O22)), 0))</f>
        <v>1600000</v>
      </c>
      <c r="I22" s="11" cm="1">
        <f t="array" aca="1" ref="I22" ca="1">INDEX(INDIRECT($M22),
       MATCH(TRIM($C22), TRIM(INDIRECT($N22)), 0),
       MATCH(TRIM(I$2), TRIM(INDIRECT($O22)), 0))</f>
        <v>1.6</v>
      </c>
      <c r="J22" s="9" t="e" cm="1">
        <f t="array" aca="1" ref="J22" ca="1">INDEX(INDIRECT($M22),
       MATCH(TRIM($C22), TRIM(INDIRECT($N22)), 0),
       MATCH(TRIM(J$2), TRIM(INDIRECT($O22)), 0))</f>
        <v>#N/A</v>
      </c>
      <c r="K22" s="11" t="e" cm="1">
        <f t="array" aca="1" ref="K22" ca="1">INDEX(INDIRECT($M22),
       MATCH(TRIM($C22), TRIM(INDIRECT($N22)), 0),
       MATCH(TRIM(K$2), TRIM(INDIRECT($O22)), 0))</f>
        <v>#N/A</v>
      </c>
      <c r="L22" s="11" cm="1">
        <f t="array" aca="1" ref="L22" ca="1">INDEX(INDIRECT($M22),
       MATCH(TRIM($C22), TRIM(INDIRECT($N22)), 0),
       MATCH(TRIM(L$2), TRIM(INDIRECT($O22)), 0))</f>
        <v>93.826204999999987</v>
      </c>
      <c r="M22" s="5" t="str">
        <f t="shared" si="0"/>
        <v>'2015'!$N$3:$V$80</v>
      </c>
      <c r="N22" s="5" t="str">
        <f t="shared" si="1"/>
        <v>'2015'!$M$2:$M$80</v>
      </c>
      <c r="O22" s="5" t="str">
        <f t="shared" si="2"/>
        <v>'2015'!$N$2:$W$2</v>
      </c>
    </row>
    <row r="23" spans="1:15" x14ac:dyDescent="0.3">
      <c r="A23">
        <v>21</v>
      </c>
      <c r="B23" s="9">
        <v>2015</v>
      </c>
      <c r="C23" t="s">
        <v>20</v>
      </c>
      <c r="D23" s="11" cm="1">
        <f t="array" aca="1" ref="D23" ca="1">INDEX(INDIRECT($M23),
       MATCH(TRIM($C23), TRIM(INDIRECT($N23)), 0),
       MATCH(TRIM(D$2), TRIM(INDIRECT($O23)), 0))</f>
        <v>15</v>
      </c>
      <c r="E23" s="9" cm="1">
        <f t="array" aca="1" ref="E23" ca="1">INDEX(INDIRECT($M23),
       MATCH(TRIM($C23), TRIM(INDIRECT($N23)), 0),
       MATCH(TRIM(E$2), TRIM(INDIRECT($O23)), 0))</f>
        <v>104660000</v>
      </c>
      <c r="F23" s="11" cm="1">
        <f t="array" aca="1" ref="F23" ca="1">INDEX(INDIRECT($M23),
       MATCH(TRIM($C23), TRIM(INDIRECT($N23)), 0),
       MATCH(TRIM(F$2), TRIM(INDIRECT($O23)), 0))</f>
        <v>104.66</v>
      </c>
      <c r="G23" s="11" cm="1">
        <f t="array" aca="1" ref="G23" ca="1">INDEX(INDIRECT($M23),
       MATCH(TRIM($C23), TRIM(INDIRECT($N23)), 0),
       MATCH(TRIM(G$2), TRIM(INDIRECT($O23)), 0))</f>
        <v>2</v>
      </c>
      <c r="H23" s="9" cm="1">
        <f t="array" aca="1" ref="H23" ca="1">INDEX(INDIRECT($M23),
       MATCH(TRIM($C23), TRIM(INDIRECT($N23)), 0),
       MATCH(TRIM(H$2), TRIM(INDIRECT($O23)), 0))</f>
        <v>11000000</v>
      </c>
      <c r="I23" s="11" cm="1">
        <f t="array" aca="1" ref="I23" ca="1">INDEX(INDIRECT($M23),
       MATCH(TRIM($C23), TRIM(INDIRECT($N23)), 0),
       MATCH(TRIM(I$2), TRIM(INDIRECT($O23)), 0))</f>
        <v>11</v>
      </c>
      <c r="J23" s="9" t="e" cm="1">
        <f t="array" aca="1" ref="J23" ca="1">INDEX(INDIRECT($M23),
       MATCH(TRIM($C23), TRIM(INDIRECT($N23)), 0),
       MATCH(TRIM(J$2), TRIM(INDIRECT($O23)), 0))</f>
        <v>#N/A</v>
      </c>
      <c r="K23" s="11" t="e" cm="1">
        <f t="array" aca="1" ref="K23" ca="1">INDEX(INDIRECT($M23),
       MATCH(TRIM($C23), TRIM(INDIRECT($N23)), 0),
       MATCH(TRIM(K$2), TRIM(INDIRECT($O23)), 0))</f>
        <v>#N/A</v>
      </c>
      <c r="L23" s="11" cm="1">
        <f t="array" aca="1" ref="L23" ca="1">INDEX(INDIRECT($M23),
       MATCH(TRIM($C23), TRIM(INDIRECT($N23)), 0),
       MATCH(TRIM(L$2), TRIM(INDIRECT($O23)), 0))</f>
        <v>115.66</v>
      </c>
      <c r="M23" s="5" t="str">
        <f t="shared" si="0"/>
        <v>'2015'!$N$3:$V$80</v>
      </c>
      <c r="N23" s="5" t="str">
        <f t="shared" si="1"/>
        <v>'2015'!$M$2:$M$80</v>
      </c>
      <c r="O23" s="5" t="str">
        <f t="shared" si="2"/>
        <v>'2015'!$N$2:$W$2</v>
      </c>
    </row>
    <row r="24" spans="1:15" x14ac:dyDescent="0.3">
      <c r="A24">
        <v>22</v>
      </c>
      <c r="B24" s="9">
        <v>2015</v>
      </c>
      <c r="C24" t="s">
        <v>21</v>
      </c>
      <c r="D24" s="11" cm="1">
        <f t="array" aca="1" ref="D24" ca="1">INDEX(INDIRECT($M24),
       MATCH(TRIM($C24), TRIM(INDIRECT($N24)), 0),
       MATCH(TRIM(D$2), TRIM(INDIRECT($O24)), 0))</f>
        <v>2</v>
      </c>
      <c r="E24" s="9" cm="1">
        <f t="array" aca="1" ref="E24" ca="1">INDEX(INDIRECT($M24),
       MATCH(TRIM($C24), TRIM(INDIRECT($N24)), 0),
       MATCH(TRIM(E$2), TRIM(INDIRECT($O24)), 0))</f>
        <v>157432000</v>
      </c>
      <c r="F24" s="11" cm="1">
        <f t="array" aca="1" ref="F24" ca="1">INDEX(INDIRECT($M24),
       MATCH(TRIM($C24), TRIM(INDIRECT($N24)), 0),
       MATCH(TRIM(F$2), TRIM(INDIRECT($O24)), 0))</f>
        <v>157.43199999999999</v>
      </c>
      <c r="G24" s="11" cm="1">
        <f t="array" aca="1" ref="G24" ca="1">INDEX(INDIRECT($M24),
       MATCH(TRIM($C24), TRIM(INDIRECT($N24)), 0),
       MATCH(TRIM(G$2), TRIM(INDIRECT($O24)), 0))</f>
        <v>4</v>
      </c>
      <c r="H24" s="9" cm="1">
        <f t="array" aca="1" ref="H24" ca="1">INDEX(INDIRECT($M24),
       MATCH(TRIM($C24), TRIM(INDIRECT($N24)), 0),
       MATCH(TRIM(H$2), TRIM(INDIRECT($O24)), 0))</f>
        <v>16200000</v>
      </c>
      <c r="I24" s="11" cm="1">
        <f t="array" aca="1" ref="I24" ca="1">INDEX(INDIRECT($M24),
       MATCH(TRIM($C24), TRIM(INDIRECT($N24)), 0),
       MATCH(TRIM(I$2), TRIM(INDIRECT($O24)), 0))</f>
        <v>16.2</v>
      </c>
      <c r="J24" s="9" t="e" cm="1">
        <f t="array" aca="1" ref="J24" ca="1">INDEX(INDIRECT($M24),
       MATCH(TRIM($C24), TRIM(INDIRECT($N24)), 0),
       MATCH(TRIM(J$2), TRIM(INDIRECT($O24)), 0))</f>
        <v>#N/A</v>
      </c>
      <c r="K24" s="11" t="e" cm="1">
        <f t="array" aca="1" ref="K24" ca="1">INDEX(INDIRECT($M24),
       MATCH(TRIM($C24), TRIM(INDIRECT($N24)), 0),
       MATCH(TRIM(K$2), TRIM(INDIRECT($O24)), 0))</f>
        <v>#N/A</v>
      </c>
      <c r="L24" s="11" cm="1">
        <f t="array" aca="1" ref="L24" ca="1">INDEX(INDIRECT($M24),
       MATCH(TRIM($C24), TRIM(INDIRECT($N24)), 0),
       MATCH(TRIM(L$2), TRIM(INDIRECT($O24)), 0))</f>
        <v>173.63199999999998</v>
      </c>
      <c r="M24" s="5" t="str">
        <f t="shared" si="0"/>
        <v>'2015'!$N$3:$V$80</v>
      </c>
      <c r="N24" s="5" t="str">
        <f t="shared" si="1"/>
        <v>'2015'!$M$2:$M$80</v>
      </c>
      <c r="O24" s="5" t="str">
        <f t="shared" si="2"/>
        <v>'2015'!$N$2:$W$2</v>
      </c>
    </row>
    <row r="25" spans="1:15" x14ac:dyDescent="0.3">
      <c r="A25">
        <v>23</v>
      </c>
      <c r="B25" s="9">
        <v>2015</v>
      </c>
      <c r="C25" t="s">
        <v>22</v>
      </c>
      <c r="D25" s="11" cm="1">
        <f t="array" aca="1" ref="D25" ca="1">INDEX(INDIRECT($M25),
       MATCH(TRIM($C25), TRIM(INDIRECT($N25)), 0),
       MATCH(TRIM(D$2), TRIM(INDIRECT($O25)), 0))</f>
        <v>28</v>
      </c>
      <c r="E25" s="9" cm="1">
        <f t="array" aca="1" ref="E25" ca="1">INDEX(INDIRECT($M25),
       MATCH(TRIM($C25), TRIM(INDIRECT($N25)), 0),
       MATCH(TRIM(E$2), TRIM(INDIRECT($O25)), 0))</f>
        <v>269901340</v>
      </c>
      <c r="F25" s="11" cm="1">
        <f t="array" aca="1" ref="F25" ca="1">INDEX(INDIRECT($M25),
       MATCH(TRIM($C25), TRIM(INDIRECT($N25)), 0),
       MATCH(TRIM(F$2), TRIM(INDIRECT($O25)), 0))</f>
        <v>269.90134</v>
      </c>
      <c r="G25" s="11" cm="1">
        <f t="array" aca="1" ref="G25" ca="1">INDEX(INDIRECT($M25),
       MATCH(TRIM($C25), TRIM(INDIRECT($N25)), 0),
       MATCH(TRIM(G$2), TRIM(INDIRECT($O25)), 0))</f>
        <v>23</v>
      </c>
      <c r="H25" s="9" cm="1">
        <f t="array" aca="1" ref="H25" ca="1">INDEX(INDIRECT($M25),
       MATCH(TRIM($C25), TRIM(INDIRECT($N25)), 0),
       MATCH(TRIM(H$2), TRIM(INDIRECT($O25)), 0))</f>
        <v>137282641</v>
      </c>
      <c r="I25" s="11" cm="1">
        <f t="array" aca="1" ref="I25" ca="1">INDEX(INDIRECT($M25),
       MATCH(TRIM($C25), TRIM(INDIRECT($N25)), 0),
       MATCH(TRIM(I$2), TRIM(INDIRECT($O25)), 0))</f>
        <v>137.28264100000001</v>
      </c>
      <c r="J25" s="9" t="e" cm="1">
        <f t="array" aca="1" ref="J25" ca="1">INDEX(INDIRECT($M25),
       MATCH(TRIM($C25), TRIM(INDIRECT($N25)), 0),
       MATCH(TRIM(J$2), TRIM(INDIRECT($O25)), 0))</f>
        <v>#N/A</v>
      </c>
      <c r="K25" s="11" t="e" cm="1">
        <f t="array" aca="1" ref="K25" ca="1">INDEX(INDIRECT($M25),
       MATCH(TRIM($C25), TRIM(INDIRECT($N25)), 0),
       MATCH(TRIM(K$2), TRIM(INDIRECT($O25)), 0))</f>
        <v>#N/A</v>
      </c>
      <c r="L25" s="11" cm="1">
        <f t="array" aca="1" ref="L25" ca="1">INDEX(INDIRECT($M25),
       MATCH(TRIM($C25), TRIM(INDIRECT($N25)), 0),
       MATCH(TRIM(L$2), TRIM(INDIRECT($O25)), 0))</f>
        <v>407.18398100000002</v>
      </c>
      <c r="M25" s="5" t="str">
        <f t="shared" si="0"/>
        <v>'2015'!$N$3:$V$80</v>
      </c>
      <c r="N25" s="5" t="str">
        <f t="shared" si="1"/>
        <v>'2015'!$M$2:$M$80</v>
      </c>
      <c r="O25" s="5" t="str">
        <f t="shared" si="2"/>
        <v>'2015'!$N$2:$W$2</v>
      </c>
    </row>
    <row r="26" spans="1:15" x14ac:dyDescent="0.3">
      <c r="A26">
        <v>24</v>
      </c>
      <c r="B26" s="9">
        <v>2015</v>
      </c>
      <c r="C26" t="s">
        <v>23</v>
      </c>
      <c r="D26" s="11" cm="1">
        <f t="array" aca="1" ref="D26" ca="1">INDEX(INDIRECT($M26),
       MATCH(TRIM($C26), TRIM(INDIRECT($N26)), 0),
       MATCH(TRIM(D$2), TRIM(INDIRECT($O26)), 0))</f>
        <v>2</v>
      </c>
      <c r="E26" s="9" cm="1">
        <f t="array" aca="1" ref="E26" ca="1">INDEX(INDIRECT($M26),
       MATCH(TRIM($C26), TRIM(INDIRECT($N26)), 0),
       MATCH(TRIM(E$2), TRIM(INDIRECT($O26)), 0))</f>
        <v>33000000</v>
      </c>
      <c r="F26" s="11" cm="1">
        <f t="array" aca="1" ref="F26" ca="1">INDEX(INDIRECT($M26),
       MATCH(TRIM($C26), TRIM(INDIRECT($N26)), 0),
       MATCH(TRIM(F$2), TRIM(INDIRECT($O26)), 0))</f>
        <v>33</v>
      </c>
      <c r="G26" s="11" cm="1">
        <f t="array" aca="1" ref="G26" ca="1">INDEX(INDIRECT($M26),
       MATCH(TRIM($C26), TRIM(INDIRECT($N26)), 0),
       MATCH(TRIM(G$2), TRIM(INDIRECT($O26)), 0))</f>
        <v>0</v>
      </c>
      <c r="H26" s="9" cm="1">
        <f t="array" aca="1" ref="H26" ca="1">INDEX(INDIRECT($M26),
       MATCH(TRIM($C26), TRIM(INDIRECT($N26)), 0),
       MATCH(TRIM(H$2), TRIM(INDIRECT($O26)), 0))</f>
        <v>0</v>
      </c>
      <c r="I26" s="11" cm="1">
        <f t="array" aca="1" ref="I26" ca="1">INDEX(INDIRECT($M26),
       MATCH(TRIM($C26), TRIM(INDIRECT($N26)), 0),
       MATCH(TRIM(I$2), TRIM(INDIRECT($O26)), 0))</f>
        <v>0</v>
      </c>
      <c r="J26" s="9" t="e" cm="1">
        <f t="array" aca="1" ref="J26" ca="1">INDEX(INDIRECT($M26),
       MATCH(TRIM($C26), TRIM(INDIRECT($N26)), 0),
       MATCH(TRIM(J$2), TRIM(INDIRECT($O26)), 0))</f>
        <v>#N/A</v>
      </c>
      <c r="K26" s="11" t="e" cm="1">
        <f t="array" aca="1" ref="K26" ca="1">INDEX(INDIRECT($M26),
       MATCH(TRIM($C26), TRIM(INDIRECT($N26)), 0),
       MATCH(TRIM(K$2), TRIM(INDIRECT($O26)), 0))</f>
        <v>#N/A</v>
      </c>
      <c r="L26" s="11" cm="1">
        <f t="array" aca="1" ref="L26" ca="1">INDEX(INDIRECT($M26),
       MATCH(TRIM($C26), TRIM(INDIRECT($N26)), 0),
       MATCH(TRIM(L$2), TRIM(INDIRECT($O26)), 0))</f>
        <v>33</v>
      </c>
      <c r="M26" s="5" t="str">
        <f t="shared" si="0"/>
        <v>'2015'!$N$3:$V$80</v>
      </c>
      <c r="N26" s="5" t="str">
        <f t="shared" si="1"/>
        <v>'2015'!$M$2:$M$80</v>
      </c>
      <c r="O26" s="5" t="str">
        <f t="shared" si="2"/>
        <v>'2015'!$N$2:$W$2</v>
      </c>
    </row>
    <row r="27" spans="1:15" x14ac:dyDescent="0.3">
      <c r="A27">
        <v>25</v>
      </c>
      <c r="B27" s="9">
        <v>2015</v>
      </c>
      <c r="C27" t="s">
        <v>24</v>
      </c>
      <c r="D27" s="11" cm="1">
        <f t="array" aca="1" ref="D27" ca="1">INDEX(INDIRECT($M27),
       MATCH(TRIM($C27), TRIM(INDIRECT($N27)), 0),
       MATCH(TRIM(D$2), TRIM(INDIRECT($O27)), 0))</f>
        <v>8</v>
      </c>
      <c r="E27" s="9" cm="1">
        <f t="array" aca="1" ref="E27" ca="1">INDEX(INDIRECT($M27),
       MATCH(TRIM($C27), TRIM(INDIRECT($N27)), 0),
       MATCH(TRIM(E$2), TRIM(INDIRECT($O27)), 0))</f>
        <v>49638220</v>
      </c>
      <c r="F27" s="11" cm="1">
        <f t="array" aca="1" ref="F27" ca="1">INDEX(INDIRECT($M27),
       MATCH(TRIM($C27), TRIM(INDIRECT($N27)), 0),
       MATCH(TRIM(F$2), TRIM(INDIRECT($O27)), 0))</f>
        <v>49.638219999999997</v>
      </c>
      <c r="G27" s="11" cm="1">
        <f t="array" aca="1" ref="G27" ca="1">INDEX(INDIRECT($M27),
       MATCH(TRIM($C27), TRIM(INDIRECT($N27)), 0),
       MATCH(TRIM(G$2), TRIM(INDIRECT($O27)), 0))</f>
        <v>0</v>
      </c>
      <c r="H27" s="9" cm="1">
        <f t="array" aca="1" ref="H27" ca="1">INDEX(INDIRECT($M27),
       MATCH(TRIM($C27), TRIM(INDIRECT($N27)), 0),
       MATCH(TRIM(H$2), TRIM(INDIRECT($O27)), 0))</f>
        <v>0</v>
      </c>
      <c r="I27" s="11" cm="1">
        <f t="array" aca="1" ref="I27" ca="1">INDEX(INDIRECT($M27),
       MATCH(TRIM($C27), TRIM(INDIRECT($N27)), 0),
       MATCH(TRIM(I$2), TRIM(INDIRECT($O27)), 0))</f>
        <v>0</v>
      </c>
      <c r="J27" s="9" t="e" cm="1">
        <f t="array" aca="1" ref="J27" ca="1">INDEX(INDIRECT($M27),
       MATCH(TRIM($C27), TRIM(INDIRECT($N27)), 0),
       MATCH(TRIM(J$2), TRIM(INDIRECT($O27)), 0))</f>
        <v>#N/A</v>
      </c>
      <c r="K27" s="11" t="e" cm="1">
        <f t="array" aca="1" ref="K27" ca="1">INDEX(INDIRECT($M27),
       MATCH(TRIM($C27), TRIM(INDIRECT($N27)), 0),
       MATCH(TRIM(K$2), TRIM(INDIRECT($O27)), 0))</f>
        <v>#N/A</v>
      </c>
      <c r="L27" s="11" cm="1">
        <f t="array" aca="1" ref="L27" ca="1">INDEX(INDIRECT($M27),
       MATCH(TRIM($C27), TRIM(INDIRECT($N27)), 0),
       MATCH(TRIM(L$2), TRIM(INDIRECT($O27)), 0))</f>
        <v>49.638219999999997</v>
      </c>
      <c r="M27" s="5" t="str">
        <f t="shared" si="0"/>
        <v>'2015'!$N$3:$V$80</v>
      </c>
      <c r="N27" s="5" t="str">
        <f t="shared" si="1"/>
        <v>'2015'!$M$2:$M$80</v>
      </c>
      <c r="O27" s="5" t="str">
        <f t="shared" si="2"/>
        <v>'2015'!$N$2:$W$2</v>
      </c>
    </row>
    <row r="28" spans="1:15" x14ac:dyDescent="0.3">
      <c r="A28">
        <v>26</v>
      </c>
      <c r="B28" s="9">
        <v>2015</v>
      </c>
      <c r="C28" t="s">
        <v>25</v>
      </c>
      <c r="D28" s="11" cm="1">
        <f t="array" aca="1" ref="D28" ca="1">INDEX(INDIRECT($M28),
       MATCH(TRIM($C28), TRIM(INDIRECT($N28)), 0),
       MATCH(TRIM(D$2), TRIM(INDIRECT($O28)), 0))</f>
        <v>26</v>
      </c>
      <c r="E28" s="9" cm="1">
        <f t="array" aca="1" ref="E28" ca="1">INDEX(INDIRECT($M28),
       MATCH(TRIM($C28), TRIM(INDIRECT($N28)), 0),
       MATCH(TRIM(E$2), TRIM(INDIRECT($O28)), 0))</f>
        <v>203850281</v>
      </c>
      <c r="F28" s="11" cm="1">
        <f t="array" aca="1" ref="F28" ca="1">INDEX(INDIRECT($M28),
       MATCH(TRIM($C28), TRIM(INDIRECT($N28)), 0),
       MATCH(TRIM(F$2), TRIM(INDIRECT($O28)), 0))</f>
        <v>203.850281</v>
      </c>
      <c r="G28" s="11" cm="1">
        <f t="array" aca="1" ref="G28" ca="1">INDEX(INDIRECT($M28),
       MATCH(TRIM($C28), TRIM(INDIRECT($N28)), 0),
       MATCH(TRIM(G$2), TRIM(INDIRECT($O28)), 0))</f>
        <v>9</v>
      </c>
      <c r="H28" s="9" cm="1">
        <f t="array" aca="1" ref="H28" ca="1">INDEX(INDIRECT($M28),
       MATCH(TRIM($C28), TRIM(INDIRECT($N28)), 0),
       MATCH(TRIM(H$2), TRIM(INDIRECT($O28)), 0))</f>
        <v>22276455</v>
      </c>
      <c r="I28" s="11" cm="1">
        <f t="array" aca="1" ref="I28" ca="1">INDEX(INDIRECT($M28),
       MATCH(TRIM($C28), TRIM(INDIRECT($N28)), 0),
       MATCH(TRIM(I$2), TRIM(INDIRECT($O28)), 0))</f>
        <v>22.276454999999999</v>
      </c>
      <c r="J28" s="9" t="e" cm="1">
        <f t="array" aca="1" ref="J28" ca="1">INDEX(INDIRECT($M28),
       MATCH(TRIM($C28), TRIM(INDIRECT($N28)), 0),
       MATCH(TRIM(J$2), TRIM(INDIRECT($O28)), 0))</f>
        <v>#N/A</v>
      </c>
      <c r="K28" s="11" t="e" cm="1">
        <f t="array" aca="1" ref="K28" ca="1">INDEX(INDIRECT($M28),
       MATCH(TRIM($C28), TRIM(INDIRECT($N28)), 0),
       MATCH(TRIM(K$2), TRIM(INDIRECT($O28)), 0))</f>
        <v>#N/A</v>
      </c>
      <c r="L28" s="11" cm="1">
        <f t="array" aca="1" ref="L28" ca="1">INDEX(INDIRECT($M28),
       MATCH(TRIM($C28), TRIM(INDIRECT($N28)), 0),
       MATCH(TRIM(L$2), TRIM(INDIRECT($O28)), 0))</f>
        <v>226.12673599999999</v>
      </c>
      <c r="M28" s="5" t="str">
        <f t="shared" si="0"/>
        <v>'2015'!$N$3:$V$80</v>
      </c>
      <c r="N28" s="5" t="str">
        <f t="shared" si="1"/>
        <v>'2015'!$M$2:$M$80</v>
      </c>
      <c r="O28" s="5" t="str">
        <f t="shared" si="2"/>
        <v>'2015'!$N$2:$W$2</v>
      </c>
    </row>
    <row r="29" spans="1:15" x14ac:dyDescent="0.3">
      <c r="A29">
        <v>27</v>
      </c>
      <c r="B29" s="9">
        <v>2015</v>
      </c>
      <c r="C29" t="s">
        <v>26</v>
      </c>
      <c r="D29" s="11" cm="1">
        <f t="array" aca="1" ref="D29" ca="1">INDEX(INDIRECT($M29),
       MATCH(TRIM($C29), TRIM(INDIRECT($N29)), 0),
       MATCH(TRIM(D$2), TRIM(INDIRECT($O29)), 0))</f>
        <v>2</v>
      </c>
      <c r="E29" s="9" cm="1">
        <f t="array" aca="1" ref="E29" ca="1">INDEX(INDIRECT($M29),
       MATCH(TRIM($C29), TRIM(INDIRECT($N29)), 0),
       MATCH(TRIM(E$2), TRIM(INDIRECT($O29)), 0))</f>
        <v>78700000</v>
      </c>
      <c r="F29" s="11" cm="1">
        <f t="array" aca="1" ref="F29" ca="1">INDEX(INDIRECT($M29),
       MATCH(TRIM($C29), TRIM(INDIRECT($N29)), 0),
       MATCH(TRIM(F$2), TRIM(INDIRECT($O29)), 0))</f>
        <v>78.7</v>
      </c>
      <c r="G29" s="11" cm="1">
        <f t="array" aca="1" ref="G29" ca="1">INDEX(INDIRECT($M29),
       MATCH(TRIM($C29), TRIM(INDIRECT($N29)), 0),
       MATCH(TRIM(G$2), TRIM(INDIRECT($O29)), 0))</f>
        <v>0</v>
      </c>
      <c r="H29" s="9" cm="1">
        <f t="array" aca="1" ref="H29" ca="1">INDEX(INDIRECT($M29),
       MATCH(TRIM($C29), TRIM(INDIRECT($N29)), 0),
       MATCH(TRIM(H$2), TRIM(INDIRECT($O29)), 0))</f>
        <v>0</v>
      </c>
      <c r="I29" s="11" cm="1">
        <f t="array" aca="1" ref="I29" ca="1">INDEX(INDIRECT($M29),
       MATCH(TRIM($C29), TRIM(INDIRECT($N29)), 0),
       MATCH(TRIM(I$2), TRIM(INDIRECT($O29)), 0))</f>
        <v>0</v>
      </c>
      <c r="J29" s="9" t="e" cm="1">
        <f t="array" aca="1" ref="J29" ca="1">INDEX(INDIRECT($M29),
       MATCH(TRIM($C29), TRIM(INDIRECT($N29)), 0),
       MATCH(TRIM(J$2), TRIM(INDIRECT($O29)), 0))</f>
        <v>#N/A</v>
      </c>
      <c r="K29" s="11" t="e" cm="1">
        <f t="array" aca="1" ref="K29" ca="1">INDEX(INDIRECT($M29),
       MATCH(TRIM($C29), TRIM(INDIRECT($N29)), 0),
       MATCH(TRIM(K$2), TRIM(INDIRECT($O29)), 0))</f>
        <v>#N/A</v>
      </c>
      <c r="L29" s="11" cm="1">
        <f t="array" aca="1" ref="L29" ca="1">INDEX(INDIRECT($M29),
       MATCH(TRIM($C29), TRIM(INDIRECT($N29)), 0),
       MATCH(TRIM(L$2), TRIM(INDIRECT($O29)), 0))</f>
        <v>78.7</v>
      </c>
      <c r="M29" s="5" t="str">
        <f t="shared" si="0"/>
        <v>'2015'!$N$3:$V$80</v>
      </c>
      <c r="N29" s="5" t="str">
        <f t="shared" si="1"/>
        <v>'2015'!$M$2:$M$80</v>
      </c>
      <c r="O29" s="5" t="str">
        <f t="shared" si="2"/>
        <v>'2015'!$N$2:$W$2</v>
      </c>
    </row>
    <row r="30" spans="1:15" x14ac:dyDescent="0.3">
      <c r="A30">
        <v>28</v>
      </c>
      <c r="B30" s="9">
        <v>2015</v>
      </c>
      <c r="C30" t="s">
        <v>27</v>
      </c>
      <c r="D30" s="11" cm="1">
        <f t="array" aca="1" ref="D30" ca="1">INDEX(INDIRECT($M30),
       MATCH(TRIM($C30), TRIM(INDIRECT($N30)), 0),
       MATCH(TRIM(D$2), TRIM(INDIRECT($O30)), 0))</f>
        <v>1</v>
      </c>
      <c r="E30" s="9" cm="1">
        <f t="array" aca="1" ref="E30" ca="1">INDEX(INDIRECT($M30),
       MATCH(TRIM($C30), TRIM(INDIRECT($N30)), 0),
       MATCH(TRIM(E$2), TRIM(INDIRECT($O30)), 0))</f>
        <v>190381</v>
      </c>
      <c r="F30" s="11" cm="1">
        <f t="array" aca="1" ref="F30" ca="1">INDEX(INDIRECT($M30),
       MATCH(TRIM($C30), TRIM(INDIRECT($N30)), 0),
       MATCH(TRIM(F$2), TRIM(INDIRECT($O30)), 0))</f>
        <v>0.19038099999999999</v>
      </c>
      <c r="G30" s="11" cm="1">
        <f t="array" aca="1" ref="G30" ca="1">INDEX(INDIRECT($M30),
       MATCH(TRIM($C30), TRIM(INDIRECT($N30)), 0),
       MATCH(TRIM(G$2), TRIM(INDIRECT($O30)), 0))</f>
        <v>2</v>
      </c>
      <c r="H30" s="9" cm="1">
        <f t="array" aca="1" ref="H30" ca="1">INDEX(INDIRECT($M30),
       MATCH(TRIM($C30), TRIM(INDIRECT($N30)), 0),
       MATCH(TRIM(H$2), TRIM(INDIRECT($O30)), 0))</f>
        <v>10237676</v>
      </c>
      <c r="I30" s="11" cm="1">
        <f t="array" aca="1" ref="I30" ca="1">INDEX(INDIRECT($M30),
       MATCH(TRIM($C30), TRIM(INDIRECT($N30)), 0),
       MATCH(TRIM(I$2), TRIM(INDIRECT($O30)), 0))</f>
        <v>10.237676</v>
      </c>
      <c r="J30" s="9" t="e" cm="1">
        <f t="array" aca="1" ref="J30" ca="1">INDEX(INDIRECT($M30),
       MATCH(TRIM($C30), TRIM(INDIRECT($N30)), 0),
       MATCH(TRIM(J$2), TRIM(INDIRECT($O30)), 0))</f>
        <v>#N/A</v>
      </c>
      <c r="K30" s="11" t="e" cm="1">
        <f t="array" aca="1" ref="K30" ca="1">INDEX(INDIRECT($M30),
       MATCH(TRIM($C30), TRIM(INDIRECT($N30)), 0),
       MATCH(TRIM(K$2), TRIM(INDIRECT($O30)), 0))</f>
        <v>#N/A</v>
      </c>
      <c r="L30" s="11" cm="1">
        <f t="array" aca="1" ref="L30" ca="1">INDEX(INDIRECT($M30),
       MATCH(TRIM($C30), TRIM(INDIRECT($N30)), 0),
       MATCH(TRIM(L$2), TRIM(INDIRECT($O30)), 0))</f>
        <v>10.428057000000001</v>
      </c>
      <c r="M30" s="5" t="str">
        <f t="shared" si="0"/>
        <v>'2015'!$N$3:$V$80</v>
      </c>
      <c r="N30" s="5" t="str">
        <f t="shared" si="1"/>
        <v>'2015'!$M$2:$M$80</v>
      </c>
      <c r="O30" s="5" t="str">
        <f t="shared" si="2"/>
        <v>'2015'!$N$2:$W$2</v>
      </c>
    </row>
    <row r="31" spans="1:15" x14ac:dyDescent="0.3">
      <c r="A31">
        <v>29</v>
      </c>
      <c r="B31" s="9">
        <v>2015</v>
      </c>
      <c r="C31" t="s">
        <v>28</v>
      </c>
      <c r="D31" s="11" cm="1">
        <f t="array" aca="1" ref="D31" ca="1">INDEX(INDIRECT($M31),
       MATCH(TRIM($C31), TRIM(INDIRECT($N31)), 0),
       MATCH(TRIM(D$2), TRIM(INDIRECT($O31)), 0))</f>
        <v>4</v>
      </c>
      <c r="E31" s="9" cm="1">
        <f t="array" aca="1" ref="E31" ca="1">INDEX(INDIRECT($M31),
       MATCH(TRIM($C31), TRIM(INDIRECT($N31)), 0),
       MATCH(TRIM(E$2), TRIM(INDIRECT($O31)), 0))</f>
        <v>49985714</v>
      </c>
      <c r="F31" s="11" cm="1">
        <f t="array" aca="1" ref="F31" ca="1">INDEX(INDIRECT($M31),
       MATCH(TRIM($C31), TRIM(INDIRECT($N31)), 0),
       MATCH(TRIM(F$2), TRIM(INDIRECT($O31)), 0))</f>
        <v>49.985714000000002</v>
      </c>
      <c r="G31" s="11" cm="1">
        <f t="array" aca="1" ref="G31" ca="1">INDEX(INDIRECT($M31),
       MATCH(TRIM($C31), TRIM(INDIRECT($N31)), 0),
       MATCH(TRIM(G$2), TRIM(INDIRECT($O31)), 0))</f>
        <v>3</v>
      </c>
      <c r="H31" s="9" cm="1">
        <f t="array" aca="1" ref="H31" ca="1">INDEX(INDIRECT($M31),
       MATCH(TRIM($C31), TRIM(INDIRECT($N31)), 0),
       MATCH(TRIM(H$2), TRIM(INDIRECT($O31)), 0))</f>
        <v>-10000000</v>
      </c>
      <c r="I31" s="11" cm="1">
        <f t="array" aca="1" ref="I31" ca="1">INDEX(INDIRECT($M31),
       MATCH(TRIM($C31), TRIM(INDIRECT($N31)), 0),
       MATCH(TRIM(I$2), TRIM(INDIRECT($O31)), 0))</f>
        <v>-10</v>
      </c>
      <c r="J31" s="9" t="e" cm="1">
        <f t="array" aca="1" ref="J31" ca="1">INDEX(INDIRECT($M31),
       MATCH(TRIM($C31), TRIM(INDIRECT($N31)), 0),
       MATCH(TRIM(J$2), TRIM(INDIRECT($O31)), 0))</f>
        <v>#N/A</v>
      </c>
      <c r="K31" s="11" t="e" cm="1">
        <f t="array" aca="1" ref="K31" ca="1">INDEX(INDIRECT($M31),
       MATCH(TRIM($C31), TRIM(INDIRECT($N31)), 0),
       MATCH(TRIM(K$2), TRIM(INDIRECT($O31)), 0))</f>
        <v>#N/A</v>
      </c>
      <c r="L31" s="11" cm="1">
        <f t="array" aca="1" ref="L31" ca="1">INDEX(INDIRECT($M31),
       MATCH(TRIM($C31), TRIM(INDIRECT($N31)), 0),
       MATCH(TRIM(L$2), TRIM(INDIRECT($O31)), 0))</f>
        <v>39.985714000000002</v>
      </c>
      <c r="M31" s="5" t="str">
        <f t="shared" si="0"/>
        <v>'2015'!$N$3:$V$80</v>
      </c>
      <c r="N31" s="5" t="str">
        <f t="shared" si="1"/>
        <v>'2015'!$M$2:$M$80</v>
      </c>
      <c r="O31" s="5" t="str">
        <f t="shared" si="2"/>
        <v>'2015'!$N$2:$W$2</v>
      </c>
    </row>
    <row r="32" spans="1:15" x14ac:dyDescent="0.3">
      <c r="A32">
        <v>30</v>
      </c>
      <c r="B32" s="9">
        <v>2015</v>
      </c>
      <c r="C32" t="s">
        <v>29</v>
      </c>
      <c r="D32" s="11" cm="1">
        <f t="array" aca="1" ref="D32" ca="1">INDEX(INDIRECT($M32),
       MATCH(TRIM($C32), TRIM(INDIRECT($N32)), 0),
       MATCH(TRIM(D$2), TRIM(INDIRECT($O32)), 0))</f>
        <v>5</v>
      </c>
      <c r="E32" s="9" cm="1">
        <f t="array" aca="1" ref="E32" ca="1">INDEX(INDIRECT($M32),
       MATCH(TRIM($C32), TRIM(INDIRECT($N32)), 0),
       MATCH(TRIM(E$2), TRIM(INDIRECT($O32)), 0))</f>
        <v>17901809</v>
      </c>
      <c r="F32" s="11" cm="1">
        <f t="array" aca="1" ref="F32" ca="1">INDEX(INDIRECT($M32),
       MATCH(TRIM($C32), TRIM(INDIRECT($N32)), 0),
       MATCH(TRIM(F$2), TRIM(INDIRECT($O32)), 0))</f>
        <v>17.901809</v>
      </c>
      <c r="G32" s="11" cm="1">
        <f t="array" aca="1" ref="G32" ca="1">INDEX(INDIRECT($M32),
       MATCH(TRIM($C32), TRIM(INDIRECT($N32)), 0),
       MATCH(TRIM(G$2), TRIM(INDIRECT($O32)), 0))</f>
        <v>0</v>
      </c>
      <c r="H32" s="9" cm="1">
        <f t="array" aca="1" ref="H32" ca="1">INDEX(INDIRECT($M32),
       MATCH(TRIM($C32), TRIM(INDIRECT($N32)), 0),
       MATCH(TRIM(H$2), TRIM(INDIRECT($O32)), 0))</f>
        <v>0</v>
      </c>
      <c r="I32" s="11" cm="1">
        <f t="array" aca="1" ref="I32" ca="1">INDEX(INDIRECT($M32),
       MATCH(TRIM($C32), TRIM(INDIRECT($N32)), 0),
       MATCH(TRIM(I$2), TRIM(INDIRECT($O32)), 0))</f>
        <v>0</v>
      </c>
      <c r="J32" s="9" t="e" cm="1">
        <f t="array" aca="1" ref="J32" ca="1">INDEX(INDIRECT($M32),
       MATCH(TRIM($C32), TRIM(INDIRECT($N32)), 0),
       MATCH(TRIM(J$2), TRIM(INDIRECT($O32)), 0))</f>
        <v>#N/A</v>
      </c>
      <c r="K32" s="11" t="e" cm="1">
        <f t="array" aca="1" ref="K32" ca="1">INDEX(INDIRECT($M32),
       MATCH(TRIM($C32), TRIM(INDIRECT($N32)), 0),
       MATCH(TRIM(K$2), TRIM(INDIRECT($O32)), 0))</f>
        <v>#N/A</v>
      </c>
      <c r="L32" s="11" cm="1">
        <f t="array" aca="1" ref="L32" ca="1">INDEX(INDIRECT($M32),
       MATCH(TRIM($C32), TRIM(INDIRECT($N32)), 0),
       MATCH(TRIM(L$2), TRIM(INDIRECT($O32)), 0))</f>
        <v>17.901809</v>
      </c>
      <c r="M32" s="5" t="str">
        <f t="shared" si="0"/>
        <v>'2015'!$N$3:$V$80</v>
      </c>
      <c r="N32" s="5" t="str">
        <f t="shared" si="1"/>
        <v>'2015'!$M$2:$M$80</v>
      </c>
      <c r="O32" s="5" t="str">
        <f t="shared" si="2"/>
        <v>'2015'!$N$2:$W$2</v>
      </c>
    </row>
    <row r="33" spans="1:15" x14ac:dyDescent="0.3">
      <c r="A33">
        <v>31</v>
      </c>
      <c r="B33" s="9">
        <v>2015</v>
      </c>
      <c r="C33" t="s">
        <v>30</v>
      </c>
      <c r="D33" s="11" cm="1">
        <f t="array" aca="1" ref="D33" ca="1">INDEX(INDIRECT($M33),
       MATCH(TRIM($C33), TRIM(INDIRECT($N33)), 0),
       MATCH(TRIM(D$2), TRIM(INDIRECT($O33)), 0))</f>
        <v>2</v>
      </c>
      <c r="E33" s="9" cm="1">
        <f t="array" aca="1" ref="E33" ca="1">INDEX(INDIRECT($M33),
       MATCH(TRIM($C33), TRIM(INDIRECT($N33)), 0),
       MATCH(TRIM(E$2), TRIM(INDIRECT($O33)), 0))</f>
        <v>298321</v>
      </c>
      <c r="F33" s="11" cm="1">
        <f t="array" aca="1" ref="F33" ca="1">INDEX(INDIRECT($M33),
       MATCH(TRIM($C33), TRIM(INDIRECT($N33)), 0),
       MATCH(TRIM(F$2), TRIM(INDIRECT($O33)), 0))</f>
        <v>0.298321</v>
      </c>
      <c r="G33" s="11" cm="1">
        <f t="array" aca="1" ref="G33" ca="1">INDEX(INDIRECT($M33),
       MATCH(TRIM($C33), TRIM(INDIRECT($N33)), 0),
       MATCH(TRIM(G$2), TRIM(INDIRECT($O33)), 0))</f>
        <v>0</v>
      </c>
      <c r="H33" s="9" cm="1">
        <f t="array" aca="1" ref="H33" ca="1">INDEX(INDIRECT($M33),
       MATCH(TRIM($C33), TRIM(INDIRECT($N33)), 0),
       MATCH(TRIM(H$2), TRIM(INDIRECT($O33)), 0))</f>
        <v>0</v>
      </c>
      <c r="I33" s="11" cm="1">
        <f t="array" aca="1" ref="I33" ca="1">INDEX(INDIRECT($M33),
       MATCH(TRIM($C33), TRIM(INDIRECT($N33)), 0),
       MATCH(TRIM(I$2), TRIM(INDIRECT($O33)), 0))</f>
        <v>0</v>
      </c>
      <c r="J33" s="9" t="e" cm="1">
        <f t="array" aca="1" ref="J33" ca="1">INDEX(INDIRECT($M33),
       MATCH(TRIM($C33), TRIM(INDIRECT($N33)), 0),
       MATCH(TRIM(J$2), TRIM(INDIRECT($O33)), 0))</f>
        <v>#N/A</v>
      </c>
      <c r="K33" s="11" t="e" cm="1">
        <f t="array" aca="1" ref="K33" ca="1">INDEX(INDIRECT($M33),
       MATCH(TRIM($C33), TRIM(INDIRECT($N33)), 0),
       MATCH(TRIM(K$2), TRIM(INDIRECT($O33)), 0))</f>
        <v>#N/A</v>
      </c>
      <c r="L33" s="11" cm="1">
        <f t="array" aca="1" ref="L33" ca="1">INDEX(INDIRECT($M33),
       MATCH(TRIM($C33), TRIM(INDIRECT($N33)), 0),
       MATCH(TRIM(L$2), TRIM(INDIRECT($O33)), 0))</f>
        <v>0.298321</v>
      </c>
      <c r="M33" s="5" t="str">
        <f t="shared" si="0"/>
        <v>'2015'!$N$3:$V$80</v>
      </c>
      <c r="N33" s="5" t="str">
        <f t="shared" si="1"/>
        <v>'2015'!$M$2:$M$80</v>
      </c>
      <c r="O33" s="5" t="str">
        <f t="shared" si="2"/>
        <v>'2015'!$N$2:$W$2</v>
      </c>
    </row>
    <row r="34" spans="1:15" x14ac:dyDescent="0.3">
      <c r="A34">
        <v>32</v>
      </c>
      <c r="B34" s="9">
        <v>2015</v>
      </c>
      <c r="C34" t="s">
        <v>31</v>
      </c>
      <c r="D34" s="11" cm="1">
        <f t="array" aca="1" ref="D34" ca="1">INDEX(INDIRECT($M34),
       MATCH(TRIM($C34), TRIM(INDIRECT($N34)), 0),
       MATCH(TRIM(D$2), TRIM(INDIRECT($O34)), 0))</f>
        <v>0</v>
      </c>
      <c r="E34" s="9" cm="1">
        <f t="array" aca="1" ref="E34" ca="1">INDEX(INDIRECT($M34),
       MATCH(TRIM($C34), TRIM(INDIRECT($N34)), 0),
       MATCH(TRIM(E$2), TRIM(INDIRECT($O34)), 0))</f>
        <v>0</v>
      </c>
      <c r="F34" s="11" cm="1">
        <f t="array" aca="1" ref="F34" ca="1">INDEX(INDIRECT($M34),
       MATCH(TRIM($C34), TRIM(INDIRECT($N34)), 0),
       MATCH(TRIM(F$2), TRIM(INDIRECT($O34)), 0))</f>
        <v>0</v>
      </c>
      <c r="G34" s="11" cm="1">
        <f t="array" aca="1" ref="G34" ca="1">INDEX(INDIRECT($M34),
       MATCH(TRIM($C34), TRIM(INDIRECT($N34)), 0),
       MATCH(TRIM(G$2), TRIM(INDIRECT($O34)), 0))</f>
        <v>2</v>
      </c>
      <c r="H34" s="9" cm="1">
        <f t="array" aca="1" ref="H34" ca="1">INDEX(INDIRECT($M34),
       MATCH(TRIM($C34), TRIM(INDIRECT($N34)), 0),
       MATCH(TRIM(H$2), TRIM(INDIRECT($O34)), 0))</f>
        <v>5399905</v>
      </c>
      <c r="I34" s="11" cm="1">
        <f t="array" aca="1" ref="I34" ca="1">INDEX(INDIRECT($M34),
       MATCH(TRIM($C34), TRIM(INDIRECT($N34)), 0),
       MATCH(TRIM(I$2), TRIM(INDIRECT($O34)), 0))</f>
        <v>5.3999050000000004</v>
      </c>
      <c r="J34" s="9" t="e" cm="1">
        <f t="array" aca="1" ref="J34" ca="1">INDEX(INDIRECT($M34),
       MATCH(TRIM($C34), TRIM(INDIRECT($N34)), 0),
       MATCH(TRIM(J$2), TRIM(INDIRECT($O34)), 0))</f>
        <v>#N/A</v>
      </c>
      <c r="K34" s="11" t="e" cm="1">
        <f t="array" aca="1" ref="K34" ca="1">INDEX(INDIRECT($M34),
       MATCH(TRIM($C34), TRIM(INDIRECT($N34)), 0),
       MATCH(TRIM(K$2), TRIM(INDIRECT($O34)), 0))</f>
        <v>#N/A</v>
      </c>
      <c r="L34" s="11" cm="1">
        <f t="array" aca="1" ref="L34" ca="1">INDEX(INDIRECT($M34),
       MATCH(TRIM($C34), TRIM(INDIRECT($N34)), 0),
       MATCH(TRIM(L$2), TRIM(INDIRECT($O34)), 0))</f>
        <v>5.3999050000000004</v>
      </c>
      <c r="M34" s="5" t="str">
        <f t="shared" si="0"/>
        <v>'2015'!$N$3:$V$80</v>
      </c>
      <c r="N34" s="5" t="str">
        <f t="shared" si="1"/>
        <v>'2015'!$M$2:$M$80</v>
      </c>
      <c r="O34" s="5" t="str">
        <f t="shared" si="2"/>
        <v>'2015'!$N$2:$W$2</v>
      </c>
    </row>
    <row r="35" spans="1:15" x14ac:dyDescent="0.3">
      <c r="A35">
        <v>33</v>
      </c>
      <c r="B35" s="9">
        <v>2015</v>
      </c>
      <c r="C35" t="s">
        <v>32</v>
      </c>
      <c r="D35" s="11" cm="1">
        <f t="array" aca="1" ref="D35" ca="1">INDEX(INDIRECT($M35),
       MATCH(TRIM($C35), TRIM(INDIRECT($N35)), 0),
       MATCH(TRIM(D$2), TRIM(INDIRECT($O35)), 0))</f>
        <v>4</v>
      </c>
      <c r="E35" s="9" cm="1">
        <f t="array" aca="1" ref="E35" ca="1">INDEX(INDIRECT($M35),
       MATCH(TRIM($C35), TRIM(INDIRECT($N35)), 0),
       MATCH(TRIM(E$2), TRIM(INDIRECT($O35)), 0))</f>
        <v>12821500</v>
      </c>
      <c r="F35" s="11" cm="1">
        <f t="array" aca="1" ref="F35" ca="1">INDEX(INDIRECT($M35),
       MATCH(TRIM($C35), TRIM(INDIRECT($N35)), 0),
       MATCH(TRIM(F$2), TRIM(INDIRECT($O35)), 0))</f>
        <v>12.8215</v>
      </c>
      <c r="G35" s="11" cm="1">
        <f t="array" aca="1" ref="G35" ca="1">INDEX(INDIRECT($M35),
       MATCH(TRIM($C35), TRIM(INDIRECT($N35)), 0),
       MATCH(TRIM(G$2), TRIM(INDIRECT($O35)), 0))</f>
        <v>0</v>
      </c>
      <c r="H35" s="9" cm="1">
        <f t="array" aca="1" ref="H35" ca="1">INDEX(INDIRECT($M35),
       MATCH(TRIM($C35), TRIM(INDIRECT($N35)), 0),
       MATCH(TRIM(H$2), TRIM(INDIRECT($O35)), 0))</f>
        <v>0</v>
      </c>
      <c r="I35" s="11" cm="1">
        <f t="array" aca="1" ref="I35" ca="1">INDEX(INDIRECT($M35),
       MATCH(TRIM($C35), TRIM(INDIRECT($N35)), 0),
       MATCH(TRIM(I$2), TRIM(INDIRECT($O35)), 0))</f>
        <v>0</v>
      </c>
      <c r="J35" s="9" t="e" cm="1">
        <f t="array" aca="1" ref="J35" ca="1">INDEX(INDIRECT($M35),
       MATCH(TRIM($C35), TRIM(INDIRECT($N35)), 0),
       MATCH(TRIM(J$2), TRIM(INDIRECT($O35)), 0))</f>
        <v>#N/A</v>
      </c>
      <c r="K35" s="11" t="e" cm="1">
        <f t="array" aca="1" ref="K35" ca="1">INDEX(INDIRECT($M35),
       MATCH(TRIM($C35), TRIM(INDIRECT($N35)), 0),
       MATCH(TRIM(K$2), TRIM(INDIRECT($O35)), 0))</f>
        <v>#N/A</v>
      </c>
      <c r="L35" s="11" cm="1">
        <f t="array" aca="1" ref="L35" ca="1">INDEX(INDIRECT($M35),
       MATCH(TRIM($C35), TRIM(INDIRECT($N35)), 0),
       MATCH(TRIM(L$2), TRIM(INDIRECT($O35)), 0))</f>
        <v>12.8215</v>
      </c>
      <c r="M35" s="5" t="str">
        <f t="shared" si="0"/>
        <v>'2015'!$N$3:$V$80</v>
      </c>
      <c r="N35" s="5" t="str">
        <f t="shared" si="1"/>
        <v>'2015'!$M$2:$M$80</v>
      </c>
      <c r="O35" s="5" t="str">
        <f t="shared" si="2"/>
        <v>'2015'!$N$2:$W$2</v>
      </c>
    </row>
    <row r="36" spans="1:15" x14ac:dyDescent="0.3">
      <c r="A36">
        <v>34</v>
      </c>
      <c r="B36" s="9">
        <v>2015</v>
      </c>
      <c r="C36" t="s">
        <v>33</v>
      </c>
      <c r="D36" s="11" cm="1">
        <f t="array" aca="1" ref="D36" ca="1">INDEX(INDIRECT($M36),
       MATCH(TRIM($C36), TRIM(INDIRECT($N36)), 0),
       MATCH(TRIM(D$2), TRIM(INDIRECT($O36)), 0))</f>
        <v>104</v>
      </c>
      <c r="E36" s="9" cm="1">
        <f t="array" aca="1" ref="E36" ca="1">INDEX(INDIRECT($M36),
       MATCH(TRIM($C36), TRIM(INDIRECT($N36)), 0),
       MATCH(TRIM(E$2), TRIM(INDIRECT($O36)), 0))</f>
        <v>1472213761</v>
      </c>
      <c r="F36" s="11" cm="1">
        <f t="array" aca="1" ref="F36" ca="1">INDEX(INDIRECT($M36),
       MATCH(TRIM($C36), TRIM(INDIRECT($N36)), 0),
       MATCH(TRIM(F$2), TRIM(INDIRECT($O36)), 0))</f>
        <v>1472.213761</v>
      </c>
      <c r="G36" s="11" cm="1">
        <f t="array" aca="1" ref="G36" ca="1">INDEX(INDIRECT($M36),
       MATCH(TRIM($C36), TRIM(INDIRECT($N36)), 0),
       MATCH(TRIM(G$2), TRIM(INDIRECT($O36)), 0))</f>
        <v>92</v>
      </c>
      <c r="H36" s="9" cm="1">
        <f t="array" aca="1" ref="H36" ca="1">INDEX(INDIRECT($M36),
       MATCH(TRIM($C36), TRIM(INDIRECT($N36)), 0),
       MATCH(TRIM(H$2), TRIM(INDIRECT($O36)), 0))</f>
        <v>332922524</v>
      </c>
      <c r="I36" s="11" cm="1">
        <f t="array" aca="1" ref="I36" ca="1">INDEX(INDIRECT($M36),
       MATCH(TRIM($C36), TRIM(INDIRECT($N36)), 0),
       MATCH(TRIM(I$2), TRIM(INDIRECT($O36)), 0))</f>
        <v>332.92252400000001</v>
      </c>
      <c r="J36" s="9" t="e" cm="1">
        <f t="array" aca="1" ref="J36" ca="1">INDEX(INDIRECT($M36),
       MATCH(TRIM($C36), TRIM(INDIRECT($N36)), 0),
       MATCH(TRIM(J$2), TRIM(INDIRECT($O36)), 0))</f>
        <v>#N/A</v>
      </c>
      <c r="K36" s="11" t="e" cm="1">
        <f t="array" aca="1" ref="K36" ca="1">INDEX(INDIRECT($M36),
       MATCH(TRIM($C36), TRIM(INDIRECT($N36)), 0),
       MATCH(TRIM(K$2), TRIM(INDIRECT($O36)), 0))</f>
        <v>#N/A</v>
      </c>
      <c r="L36" s="11" cm="1">
        <f t="array" aca="1" ref="L36" ca="1">INDEX(INDIRECT($M36),
       MATCH(TRIM($C36), TRIM(INDIRECT($N36)), 0),
       MATCH(TRIM(L$2), TRIM(INDIRECT($O36)), 0))</f>
        <v>1805.136285</v>
      </c>
      <c r="M36" s="5" t="str">
        <f t="shared" si="0"/>
        <v>'2015'!$N$3:$V$80</v>
      </c>
      <c r="N36" s="5" t="str">
        <f t="shared" si="1"/>
        <v>'2015'!$M$2:$M$80</v>
      </c>
      <c r="O36" s="5" t="str">
        <f t="shared" si="2"/>
        <v>'2015'!$N$2:$W$2</v>
      </c>
    </row>
    <row r="37" spans="1:15" x14ac:dyDescent="0.3">
      <c r="A37">
        <v>35</v>
      </c>
      <c r="B37" s="9">
        <v>2015</v>
      </c>
      <c r="C37" t="s">
        <v>34</v>
      </c>
      <c r="D37" s="11" cm="1">
        <f t="array" aca="1" ref="D37" ca="1">INDEX(INDIRECT($M37),
       MATCH(TRIM($C37), TRIM(INDIRECT($N37)), 0),
       MATCH(TRIM(D$2), TRIM(INDIRECT($O37)), 0))</f>
        <v>6</v>
      </c>
      <c r="E37" s="9" cm="1">
        <f t="array" aca="1" ref="E37" ca="1">INDEX(INDIRECT($M37),
       MATCH(TRIM($C37), TRIM(INDIRECT($N37)), 0),
       MATCH(TRIM(E$2), TRIM(INDIRECT($O37)), 0))</f>
        <v>53608857</v>
      </c>
      <c r="F37" s="11" cm="1">
        <f t="array" aca="1" ref="F37" ca="1">INDEX(INDIRECT($M37),
       MATCH(TRIM($C37), TRIM(INDIRECT($N37)), 0),
       MATCH(TRIM(F$2), TRIM(INDIRECT($O37)), 0))</f>
        <v>53.608857</v>
      </c>
      <c r="G37" s="11" cm="1">
        <f t="array" aca="1" ref="G37" ca="1">INDEX(INDIRECT($M37),
       MATCH(TRIM($C37), TRIM(INDIRECT($N37)), 0),
       MATCH(TRIM(G$2), TRIM(INDIRECT($O37)), 0))</f>
        <v>2</v>
      </c>
      <c r="H37" s="9" cm="1">
        <f t="array" aca="1" ref="H37" ca="1">INDEX(INDIRECT($M37),
       MATCH(TRIM($C37), TRIM(INDIRECT($N37)), 0),
       MATCH(TRIM(H$2), TRIM(INDIRECT($O37)), 0))</f>
        <v>2050000</v>
      </c>
      <c r="I37" s="11" cm="1">
        <f t="array" aca="1" ref="I37" ca="1">INDEX(INDIRECT($M37),
       MATCH(TRIM($C37), TRIM(INDIRECT($N37)), 0),
       MATCH(TRIM(I$2), TRIM(INDIRECT($O37)), 0))</f>
        <v>2.0499999999999998</v>
      </c>
      <c r="J37" s="9" t="e" cm="1">
        <f t="array" aca="1" ref="J37" ca="1">INDEX(INDIRECT($M37),
       MATCH(TRIM($C37), TRIM(INDIRECT($N37)), 0),
       MATCH(TRIM(J$2), TRIM(INDIRECT($O37)), 0))</f>
        <v>#N/A</v>
      </c>
      <c r="K37" s="11" t="e" cm="1">
        <f t="array" aca="1" ref="K37" ca="1">INDEX(INDIRECT($M37),
       MATCH(TRIM($C37), TRIM(INDIRECT($N37)), 0),
       MATCH(TRIM(K$2), TRIM(INDIRECT($O37)), 0))</f>
        <v>#N/A</v>
      </c>
      <c r="L37" s="11" cm="1">
        <f t="array" aca="1" ref="L37" ca="1">INDEX(INDIRECT($M37),
       MATCH(TRIM($C37), TRIM(INDIRECT($N37)), 0),
       MATCH(TRIM(L$2), TRIM(INDIRECT($O37)), 0))</f>
        <v>55.658856999999998</v>
      </c>
      <c r="M37" s="5" t="str">
        <f t="shared" si="0"/>
        <v>'2015'!$N$3:$V$80</v>
      </c>
      <c r="N37" s="5" t="str">
        <f t="shared" si="1"/>
        <v>'2015'!$M$2:$M$80</v>
      </c>
      <c r="O37" s="5" t="str">
        <f t="shared" si="2"/>
        <v>'2015'!$N$2:$W$2</v>
      </c>
    </row>
    <row r="38" spans="1:15" x14ac:dyDescent="0.3">
      <c r="A38">
        <v>36</v>
      </c>
      <c r="B38" s="9">
        <v>2015</v>
      </c>
      <c r="C38" t="s">
        <v>35</v>
      </c>
      <c r="D38" s="11" t="e" cm="1">
        <f t="array" aca="1" ref="D38" ca="1">INDEX(INDIRECT($M38),
       MATCH(TRIM($C38), TRIM(INDIRECT($N38)), 0),
       MATCH(TRIM(D$2), TRIM(INDIRECT($O38)), 0))</f>
        <v>#N/A</v>
      </c>
      <c r="E38" s="9" t="e" cm="1">
        <f t="array" aca="1" ref="E38" ca="1">INDEX(INDIRECT($M38),
       MATCH(TRIM($C38), TRIM(INDIRECT($N38)), 0),
       MATCH(TRIM(E$2), TRIM(INDIRECT($O38)), 0))</f>
        <v>#N/A</v>
      </c>
      <c r="F38" s="11" t="e" cm="1">
        <f t="array" aca="1" ref="F38" ca="1">INDEX(INDIRECT($M38),
       MATCH(TRIM($C38), TRIM(INDIRECT($N38)), 0),
       MATCH(TRIM(F$2), TRIM(INDIRECT($O38)), 0))</f>
        <v>#N/A</v>
      </c>
      <c r="G38" s="11" t="e" cm="1">
        <f t="array" aca="1" ref="G38" ca="1">INDEX(INDIRECT($M38),
       MATCH(TRIM($C38), TRIM(INDIRECT($N38)), 0),
       MATCH(TRIM(G$2), TRIM(INDIRECT($O38)), 0))</f>
        <v>#N/A</v>
      </c>
      <c r="H38" s="9" t="e" cm="1">
        <f t="array" aca="1" ref="H38" ca="1">INDEX(INDIRECT($M38),
       MATCH(TRIM($C38), TRIM(INDIRECT($N38)), 0),
       MATCH(TRIM(H$2), TRIM(INDIRECT($O38)), 0))</f>
        <v>#N/A</v>
      </c>
      <c r="I38" s="11" t="e" cm="1">
        <f t="array" aca="1" ref="I38" ca="1">INDEX(INDIRECT($M38),
       MATCH(TRIM($C38), TRIM(INDIRECT($N38)), 0),
       MATCH(TRIM(I$2), TRIM(INDIRECT($O38)), 0))</f>
        <v>#N/A</v>
      </c>
      <c r="J38" s="9" t="e" cm="1">
        <f t="array" aca="1" ref="J38" ca="1">INDEX(INDIRECT($M38),
       MATCH(TRIM($C38), TRIM(INDIRECT($N38)), 0),
       MATCH(TRIM(J$2), TRIM(INDIRECT($O38)), 0))</f>
        <v>#N/A</v>
      </c>
      <c r="K38" s="11" t="e" cm="1">
        <f t="array" aca="1" ref="K38" ca="1">INDEX(INDIRECT($M38),
       MATCH(TRIM($C38), TRIM(INDIRECT($N38)), 0),
       MATCH(TRIM(K$2), TRIM(INDIRECT($O38)), 0))</f>
        <v>#N/A</v>
      </c>
      <c r="L38" s="11" t="e" cm="1">
        <f t="array" aca="1" ref="L38" ca="1">INDEX(INDIRECT($M38),
       MATCH(TRIM($C38), TRIM(INDIRECT($N38)), 0),
       MATCH(TRIM(L$2), TRIM(INDIRECT($O38)), 0))</f>
        <v>#N/A</v>
      </c>
      <c r="M38" s="5" t="str">
        <f t="shared" si="0"/>
        <v>'2015'!$N$3:$V$80</v>
      </c>
      <c r="N38" s="5" t="str">
        <f t="shared" si="1"/>
        <v>'2015'!$M$2:$M$80</v>
      </c>
      <c r="O38" s="5" t="str">
        <f t="shared" si="2"/>
        <v>'2015'!$N$2:$W$2</v>
      </c>
    </row>
    <row r="39" spans="1:15" x14ac:dyDescent="0.3">
      <c r="A39">
        <v>37</v>
      </c>
      <c r="B39" s="9">
        <v>2015</v>
      </c>
      <c r="C39" t="s">
        <v>36</v>
      </c>
      <c r="D39" s="11" cm="1">
        <f t="array" aca="1" ref="D39" ca="1">INDEX(INDIRECT($M39),
       MATCH(TRIM($C39), TRIM(INDIRECT($N39)), 0),
       MATCH(TRIM(D$2), TRIM(INDIRECT($O39)), 0))</f>
        <v>6</v>
      </c>
      <c r="E39" s="9" cm="1">
        <f t="array" aca="1" ref="E39" ca="1">INDEX(INDIRECT($M39),
       MATCH(TRIM($C39), TRIM(INDIRECT($N39)), 0),
       MATCH(TRIM(E$2), TRIM(INDIRECT($O39)), 0))</f>
        <v>24100000</v>
      </c>
      <c r="F39" s="11" cm="1">
        <f t="array" aca="1" ref="F39" ca="1">INDEX(INDIRECT($M39),
       MATCH(TRIM($C39), TRIM(INDIRECT($N39)), 0),
       MATCH(TRIM(F$2), TRIM(INDIRECT($O39)), 0))</f>
        <v>24.1</v>
      </c>
      <c r="G39" s="11" cm="1">
        <f t="array" aca="1" ref="G39" ca="1">INDEX(INDIRECT($M39),
       MATCH(TRIM($C39), TRIM(INDIRECT($N39)), 0),
       MATCH(TRIM(G$2), TRIM(INDIRECT($O39)), 0))</f>
        <v>0</v>
      </c>
      <c r="H39" s="9" cm="1">
        <f t="array" aca="1" ref="H39" ca="1">INDEX(INDIRECT($M39),
       MATCH(TRIM($C39), TRIM(INDIRECT($N39)), 0),
       MATCH(TRIM(H$2), TRIM(INDIRECT($O39)), 0))</f>
        <v>0</v>
      </c>
      <c r="I39" s="11" cm="1">
        <f t="array" aca="1" ref="I39" ca="1">INDEX(INDIRECT($M39),
       MATCH(TRIM($C39), TRIM(INDIRECT($N39)), 0),
       MATCH(TRIM(I$2), TRIM(INDIRECT($O39)), 0))</f>
        <v>0</v>
      </c>
      <c r="J39" s="9" t="e" cm="1">
        <f t="array" aca="1" ref="J39" ca="1">INDEX(INDIRECT($M39),
       MATCH(TRIM($C39), TRIM(INDIRECT($N39)), 0),
       MATCH(TRIM(J$2), TRIM(INDIRECT($O39)), 0))</f>
        <v>#N/A</v>
      </c>
      <c r="K39" s="11" t="e" cm="1">
        <f t="array" aca="1" ref="K39" ca="1">INDEX(INDIRECT($M39),
       MATCH(TRIM($C39), TRIM(INDIRECT($N39)), 0),
       MATCH(TRIM(K$2), TRIM(INDIRECT($O39)), 0))</f>
        <v>#N/A</v>
      </c>
      <c r="L39" s="11" cm="1">
        <f t="array" aca="1" ref="L39" ca="1">INDEX(INDIRECT($M39),
       MATCH(TRIM($C39), TRIM(INDIRECT($N39)), 0),
       MATCH(TRIM(L$2), TRIM(INDIRECT($O39)), 0))</f>
        <v>24.1</v>
      </c>
      <c r="M39" s="5" t="str">
        <f t="shared" si="0"/>
        <v>'2015'!$N$3:$V$80</v>
      </c>
      <c r="N39" s="5" t="str">
        <f t="shared" si="1"/>
        <v>'2015'!$M$2:$M$80</v>
      </c>
      <c r="O39" s="5" t="str">
        <f t="shared" si="2"/>
        <v>'2015'!$N$2:$W$2</v>
      </c>
    </row>
    <row r="40" spans="1:15" x14ac:dyDescent="0.3">
      <c r="A40">
        <v>38</v>
      </c>
      <c r="B40" s="9">
        <v>2015</v>
      </c>
      <c r="C40" t="s">
        <v>37</v>
      </c>
      <c r="D40" s="11" cm="1">
        <f t="array" aca="1" ref="D40" ca="1">INDEX(INDIRECT($M40),
       MATCH(TRIM($C40), TRIM(INDIRECT($N40)), 0),
       MATCH(TRIM(D$2), TRIM(INDIRECT($O40)), 0))</f>
        <v>2</v>
      </c>
      <c r="E40" s="9" cm="1">
        <f t="array" aca="1" ref="E40" ca="1">INDEX(INDIRECT($M40),
       MATCH(TRIM($C40), TRIM(INDIRECT($N40)), 0),
       MATCH(TRIM(E$2), TRIM(INDIRECT($O40)), 0))</f>
        <v>1225000</v>
      </c>
      <c r="F40" s="11" cm="1">
        <f t="array" aca="1" ref="F40" ca="1">INDEX(INDIRECT($M40),
       MATCH(TRIM($C40), TRIM(INDIRECT($N40)), 0),
       MATCH(TRIM(F$2), TRIM(INDIRECT($O40)), 0))</f>
        <v>1.2250000000000001</v>
      </c>
      <c r="G40" s="11" cm="1">
        <f t="array" aca="1" ref="G40" ca="1">INDEX(INDIRECT($M40),
       MATCH(TRIM($C40), TRIM(INDIRECT($N40)), 0),
       MATCH(TRIM(G$2), TRIM(INDIRECT($O40)), 0))</f>
        <v>1</v>
      </c>
      <c r="H40" s="9" cm="1">
        <f t="array" aca="1" ref="H40" ca="1">INDEX(INDIRECT($M40),
       MATCH(TRIM($C40), TRIM(INDIRECT($N40)), 0),
       MATCH(TRIM(H$2), TRIM(INDIRECT($O40)), 0))</f>
        <v>15377541</v>
      </c>
      <c r="I40" s="11" cm="1">
        <f t="array" aca="1" ref="I40" ca="1">INDEX(INDIRECT($M40),
       MATCH(TRIM($C40), TRIM(INDIRECT($N40)), 0),
       MATCH(TRIM(I$2), TRIM(INDIRECT($O40)), 0))</f>
        <v>15.377541000000001</v>
      </c>
      <c r="J40" s="9" t="e" cm="1">
        <f t="array" aca="1" ref="J40" ca="1">INDEX(INDIRECT($M40),
       MATCH(TRIM($C40), TRIM(INDIRECT($N40)), 0),
       MATCH(TRIM(J$2), TRIM(INDIRECT($O40)), 0))</f>
        <v>#N/A</v>
      </c>
      <c r="K40" s="11" t="e" cm="1">
        <f t="array" aca="1" ref="K40" ca="1">INDEX(INDIRECT($M40),
       MATCH(TRIM($C40), TRIM(INDIRECT($N40)), 0),
       MATCH(TRIM(K$2), TRIM(INDIRECT($O40)), 0))</f>
        <v>#N/A</v>
      </c>
      <c r="L40" s="11" cm="1">
        <f t="array" aca="1" ref="L40" ca="1">INDEX(INDIRECT($M40),
       MATCH(TRIM($C40), TRIM(INDIRECT($N40)), 0),
       MATCH(TRIM(L$2), TRIM(INDIRECT($O40)), 0))</f>
        <v>16.602541000000002</v>
      </c>
      <c r="M40" s="5" t="str">
        <f t="shared" si="0"/>
        <v>'2015'!$N$3:$V$80</v>
      </c>
      <c r="N40" s="5" t="str">
        <f t="shared" si="1"/>
        <v>'2015'!$M$2:$M$80</v>
      </c>
      <c r="O40" s="5" t="str">
        <f t="shared" si="2"/>
        <v>'2015'!$N$2:$W$2</v>
      </c>
    </row>
    <row r="41" spans="1:15" x14ac:dyDescent="0.3">
      <c r="A41">
        <v>39</v>
      </c>
      <c r="B41" s="9">
        <v>2015</v>
      </c>
      <c r="C41" t="s">
        <v>38</v>
      </c>
      <c r="D41" s="11" cm="1">
        <f t="array" aca="1" ref="D41" ca="1">INDEX(INDIRECT($M41),
       MATCH(TRIM($C41), TRIM(INDIRECT($N41)), 0),
       MATCH(TRIM(D$2), TRIM(INDIRECT($O41)), 0))</f>
        <v>59</v>
      </c>
      <c r="E41" s="9" cm="1">
        <f t="array" aca="1" ref="E41" ca="1">INDEX(INDIRECT($M41),
       MATCH(TRIM($C41), TRIM(INDIRECT($N41)), 0),
       MATCH(TRIM(E$2), TRIM(INDIRECT($O41)), 0))</f>
        <v>52587792</v>
      </c>
      <c r="F41" s="11" cm="1">
        <f t="array" aca="1" ref="F41" ca="1">INDEX(INDIRECT($M41),
       MATCH(TRIM($C41), TRIM(INDIRECT($N41)), 0),
       MATCH(TRIM(F$2), TRIM(INDIRECT($O41)), 0))</f>
        <v>52.587792</v>
      </c>
      <c r="G41" s="11" cm="1">
        <f t="array" aca="1" ref="G41" ca="1">INDEX(INDIRECT($M41),
       MATCH(TRIM($C41), TRIM(INDIRECT($N41)), 0),
       MATCH(TRIM(G$2), TRIM(INDIRECT($O41)), 0))</f>
        <v>17</v>
      </c>
      <c r="H41" s="9" cm="1">
        <f t="array" aca="1" ref="H41" ca="1">INDEX(INDIRECT($M41),
       MATCH(TRIM($C41), TRIM(INDIRECT($N41)), 0),
       MATCH(TRIM(H$2), TRIM(INDIRECT($O41)), 0))</f>
        <v>-8305598</v>
      </c>
      <c r="I41" s="11" cm="1">
        <f t="array" aca="1" ref="I41" ca="1">INDEX(INDIRECT($M41),
       MATCH(TRIM($C41), TRIM(INDIRECT($N41)), 0),
       MATCH(TRIM(I$2), TRIM(INDIRECT($O41)), 0))</f>
        <v>-8.3055979999999998</v>
      </c>
      <c r="J41" s="9" t="e" cm="1">
        <f t="array" aca="1" ref="J41" ca="1">INDEX(INDIRECT($M41),
       MATCH(TRIM($C41), TRIM(INDIRECT($N41)), 0),
       MATCH(TRIM(J$2), TRIM(INDIRECT($O41)), 0))</f>
        <v>#N/A</v>
      </c>
      <c r="K41" s="11" t="e" cm="1">
        <f t="array" aca="1" ref="K41" ca="1">INDEX(INDIRECT($M41),
       MATCH(TRIM($C41), TRIM(INDIRECT($N41)), 0),
       MATCH(TRIM(K$2), TRIM(INDIRECT($O41)), 0))</f>
        <v>#N/A</v>
      </c>
      <c r="L41" s="11" cm="1">
        <f t="array" aca="1" ref="L41" ca="1">INDEX(INDIRECT($M41),
       MATCH(TRIM($C41), TRIM(INDIRECT($N41)), 0),
       MATCH(TRIM(L$2), TRIM(INDIRECT($O41)), 0))</f>
        <v>44.282194000000004</v>
      </c>
      <c r="M41" s="5" t="str">
        <f t="shared" si="0"/>
        <v>'2015'!$N$3:$V$80</v>
      </c>
      <c r="N41" s="5" t="str">
        <f t="shared" si="1"/>
        <v>'2015'!$M$2:$M$80</v>
      </c>
      <c r="O41" s="5" t="str">
        <f t="shared" si="2"/>
        <v>'2015'!$N$2:$W$2</v>
      </c>
    </row>
    <row r="42" spans="1:15" x14ac:dyDescent="0.3">
      <c r="A42">
        <v>40</v>
      </c>
      <c r="B42" s="9">
        <v>2015</v>
      </c>
      <c r="C42" t="s">
        <v>39</v>
      </c>
      <c r="D42" s="11" cm="1">
        <f t="array" aca="1" ref="D42" ca="1">INDEX(INDIRECT($M42),
       MATCH(TRIM($C42), TRIM(INDIRECT($N42)), 0),
       MATCH(TRIM(D$2), TRIM(INDIRECT($O42)), 0))</f>
        <v>6</v>
      </c>
      <c r="E42" s="9" cm="1">
        <f t="array" aca="1" ref="E42" ca="1">INDEX(INDIRECT($M42),
       MATCH(TRIM($C42), TRIM(INDIRECT($N42)), 0),
       MATCH(TRIM(E$2), TRIM(INDIRECT($O42)), 0))</f>
        <v>55096000</v>
      </c>
      <c r="F42" s="11" cm="1">
        <f t="array" aca="1" ref="F42" ca="1">INDEX(INDIRECT($M42),
       MATCH(TRIM($C42), TRIM(INDIRECT($N42)), 0),
       MATCH(TRIM(F$2), TRIM(INDIRECT($O42)), 0))</f>
        <v>55.095999999999997</v>
      </c>
      <c r="G42" s="11" cm="1">
        <f t="array" aca="1" ref="G42" ca="1">INDEX(INDIRECT($M42),
       MATCH(TRIM($C42), TRIM(INDIRECT($N42)), 0),
       MATCH(TRIM(G$2), TRIM(INDIRECT($O42)), 0))</f>
        <v>6</v>
      </c>
      <c r="H42" s="9" cm="1">
        <f t="array" aca="1" ref="H42" ca="1">INDEX(INDIRECT($M42),
       MATCH(TRIM($C42), TRIM(INDIRECT($N42)), 0),
       MATCH(TRIM(H$2), TRIM(INDIRECT($O42)), 0))</f>
        <v>37014893</v>
      </c>
      <c r="I42" s="11" cm="1">
        <f t="array" aca="1" ref="I42" ca="1">INDEX(INDIRECT($M42),
       MATCH(TRIM($C42), TRIM(INDIRECT($N42)), 0),
       MATCH(TRIM(I$2), TRIM(INDIRECT($O42)), 0))</f>
        <v>37.014893000000001</v>
      </c>
      <c r="J42" s="9" t="e" cm="1">
        <f t="array" aca="1" ref="J42" ca="1">INDEX(INDIRECT($M42),
       MATCH(TRIM($C42), TRIM(INDIRECT($N42)), 0),
       MATCH(TRIM(J$2), TRIM(INDIRECT($O42)), 0))</f>
        <v>#N/A</v>
      </c>
      <c r="K42" s="11" t="e" cm="1">
        <f t="array" aca="1" ref="K42" ca="1">INDEX(INDIRECT($M42),
       MATCH(TRIM($C42), TRIM(INDIRECT($N42)), 0),
       MATCH(TRIM(K$2), TRIM(INDIRECT($O42)), 0))</f>
        <v>#N/A</v>
      </c>
      <c r="L42" s="11" cm="1">
        <f t="array" aca="1" ref="L42" ca="1">INDEX(INDIRECT($M42),
       MATCH(TRIM($C42), TRIM(INDIRECT($N42)), 0),
       MATCH(TRIM(L$2), TRIM(INDIRECT($O42)), 0))</f>
        <v>92.110893000000004</v>
      </c>
      <c r="M42" s="5" t="str">
        <f t="shared" si="0"/>
        <v>'2015'!$N$3:$V$80</v>
      </c>
      <c r="N42" s="5" t="str">
        <f t="shared" si="1"/>
        <v>'2015'!$M$2:$M$80</v>
      </c>
      <c r="O42" s="5" t="str">
        <f t="shared" si="2"/>
        <v>'2015'!$N$2:$W$2</v>
      </c>
    </row>
    <row r="43" spans="1:15" x14ac:dyDescent="0.3">
      <c r="A43">
        <v>41</v>
      </c>
      <c r="B43" s="9">
        <v>2015</v>
      </c>
      <c r="C43" t="s">
        <v>40</v>
      </c>
      <c r="D43" s="11" cm="1">
        <f t="array" aca="1" ref="D43" ca="1">INDEX(INDIRECT($M43),
       MATCH(TRIM($C43), TRIM(INDIRECT($N43)), 0),
       MATCH(TRIM(D$2), TRIM(INDIRECT($O43)), 0))</f>
        <v>13</v>
      </c>
      <c r="E43" s="9" cm="1">
        <f t="array" aca="1" ref="E43" ca="1">INDEX(INDIRECT($M43),
       MATCH(TRIM($C43), TRIM(INDIRECT($N43)), 0),
       MATCH(TRIM(E$2), TRIM(INDIRECT($O43)), 0))</f>
        <v>89076000</v>
      </c>
      <c r="F43" s="11" cm="1">
        <f t="array" aca="1" ref="F43" ca="1">INDEX(INDIRECT($M43),
       MATCH(TRIM($C43), TRIM(INDIRECT($N43)), 0),
       MATCH(TRIM(F$2), TRIM(INDIRECT($O43)), 0))</f>
        <v>89.075999999999993</v>
      </c>
      <c r="G43" s="11" cm="1">
        <f t="array" aca="1" ref="G43" ca="1">INDEX(INDIRECT($M43),
       MATCH(TRIM($C43), TRIM(INDIRECT($N43)), 0),
       MATCH(TRIM(G$2), TRIM(INDIRECT($O43)), 0))</f>
        <v>5</v>
      </c>
      <c r="H43" s="9" cm="1">
        <f t="array" aca="1" ref="H43" ca="1">INDEX(INDIRECT($M43),
       MATCH(TRIM($C43), TRIM(INDIRECT($N43)), 0),
       MATCH(TRIM(H$2), TRIM(INDIRECT($O43)), 0))</f>
        <v>5913000</v>
      </c>
      <c r="I43" s="11" cm="1">
        <f t="array" aca="1" ref="I43" ca="1">INDEX(INDIRECT($M43),
       MATCH(TRIM($C43), TRIM(INDIRECT($N43)), 0),
       MATCH(TRIM(I$2), TRIM(INDIRECT($O43)), 0))</f>
        <v>5.9130000000000003</v>
      </c>
      <c r="J43" s="9" t="e" cm="1">
        <f t="array" aca="1" ref="J43" ca="1">INDEX(INDIRECT($M43),
       MATCH(TRIM($C43), TRIM(INDIRECT($N43)), 0),
       MATCH(TRIM(J$2), TRIM(INDIRECT($O43)), 0))</f>
        <v>#N/A</v>
      </c>
      <c r="K43" s="11" t="e" cm="1">
        <f t="array" aca="1" ref="K43" ca="1">INDEX(INDIRECT($M43),
       MATCH(TRIM($C43), TRIM(INDIRECT($N43)), 0),
       MATCH(TRIM(K$2), TRIM(INDIRECT($O43)), 0))</f>
        <v>#N/A</v>
      </c>
      <c r="L43" s="11" cm="1">
        <f t="array" aca="1" ref="L43" ca="1">INDEX(INDIRECT($M43),
       MATCH(TRIM($C43), TRIM(INDIRECT($N43)), 0),
       MATCH(TRIM(L$2), TRIM(INDIRECT($O43)), 0))</f>
        <v>94.98899999999999</v>
      </c>
      <c r="M43" s="5" t="str">
        <f t="shared" si="0"/>
        <v>'2015'!$N$3:$V$80</v>
      </c>
      <c r="N43" s="5" t="str">
        <f t="shared" si="1"/>
        <v>'2015'!$M$2:$M$80</v>
      </c>
      <c r="O43" s="5" t="str">
        <f t="shared" si="2"/>
        <v>'2015'!$N$2:$W$2</v>
      </c>
    </row>
    <row r="44" spans="1:15" x14ac:dyDescent="0.3">
      <c r="A44">
        <v>42</v>
      </c>
      <c r="B44" s="9">
        <v>2015</v>
      </c>
      <c r="C44" t="s">
        <v>41</v>
      </c>
      <c r="D44" s="11" cm="1">
        <f t="array" aca="1" ref="D44" ca="1">INDEX(INDIRECT($M44),
       MATCH(TRIM($C44), TRIM(INDIRECT($N44)), 0),
       MATCH(TRIM(D$2), TRIM(INDIRECT($O44)), 0))</f>
        <v>10</v>
      </c>
      <c r="E44" s="9" cm="1">
        <f t="array" aca="1" ref="E44" ca="1">INDEX(INDIRECT($M44),
       MATCH(TRIM($C44), TRIM(INDIRECT($N44)), 0),
       MATCH(TRIM(E$2), TRIM(INDIRECT($O44)), 0))</f>
        <v>120958789</v>
      </c>
      <c r="F44" s="11" cm="1">
        <f t="array" aca="1" ref="F44" ca="1">INDEX(INDIRECT($M44),
       MATCH(TRIM($C44), TRIM(INDIRECT($N44)), 0),
       MATCH(TRIM(F$2), TRIM(INDIRECT($O44)), 0))</f>
        <v>120.958789</v>
      </c>
      <c r="G44" s="11" cm="1">
        <f t="array" aca="1" ref="G44" ca="1">INDEX(INDIRECT($M44),
       MATCH(TRIM($C44), TRIM(INDIRECT($N44)), 0),
       MATCH(TRIM(G$2), TRIM(INDIRECT($O44)), 0))</f>
        <v>1</v>
      </c>
      <c r="H44" s="9" cm="1">
        <f t="array" aca="1" ref="H44" ca="1">INDEX(INDIRECT($M44),
       MATCH(TRIM($C44), TRIM(INDIRECT($N44)), 0),
       MATCH(TRIM(H$2), TRIM(INDIRECT($O44)), 0))</f>
        <v>41276965</v>
      </c>
      <c r="I44" s="11" cm="1">
        <f t="array" aca="1" ref="I44" ca="1">INDEX(INDIRECT($M44),
       MATCH(TRIM($C44), TRIM(INDIRECT($N44)), 0),
       MATCH(TRIM(I$2), TRIM(INDIRECT($O44)), 0))</f>
        <v>41.276964999999997</v>
      </c>
      <c r="J44" s="9" t="e" cm="1">
        <f t="array" aca="1" ref="J44" ca="1">INDEX(INDIRECT($M44),
       MATCH(TRIM($C44), TRIM(INDIRECT($N44)), 0),
       MATCH(TRIM(J$2), TRIM(INDIRECT($O44)), 0))</f>
        <v>#N/A</v>
      </c>
      <c r="K44" s="11" t="e" cm="1">
        <f t="array" aca="1" ref="K44" ca="1">INDEX(INDIRECT($M44),
       MATCH(TRIM($C44), TRIM(INDIRECT($N44)), 0),
       MATCH(TRIM(K$2), TRIM(INDIRECT($O44)), 0))</f>
        <v>#N/A</v>
      </c>
      <c r="L44" s="11" cm="1">
        <f t="array" aca="1" ref="L44" ca="1">INDEX(INDIRECT($M44),
       MATCH(TRIM($C44), TRIM(INDIRECT($N44)), 0),
       MATCH(TRIM(L$2), TRIM(INDIRECT($O44)), 0))</f>
        <v>162.23575399999999</v>
      </c>
      <c r="M44" s="5" t="str">
        <f t="shared" si="0"/>
        <v>'2015'!$N$3:$V$80</v>
      </c>
      <c r="N44" s="5" t="str">
        <f t="shared" si="1"/>
        <v>'2015'!$M$2:$M$80</v>
      </c>
      <c r="O44" s="5" t="str">
        <f t="shared" si="2"/>
        <v>'2015'!$N$2:$W$2</v>
      </c>
    </row>
    <row r="45" spans="1:15" x14ac:dyDescent="0.3">
      <c r="A45">
        <v>43</v>
      </c>
      <c r="B45" s="9">
        <v>2015</v>
      </c>
      <c r="C45" t="s">
        <v>42</v>
      </c>
      <c r="D45" s="11" cm="1">
        <f t="array" aca="1" ref="D45" ca="1">INDEX(INDIRECT($M45),
       MATCH(TRIM($C45), TRIM(INDIRECT($N45)), 0),
       MATCH(TRIM(D$2), TRIM(INDIRECT($O45)), 0))</f>
        <v>8</v>
      </c>
      <c r="E45" s="9" cm="1">
        <f t="array" aca="1" ref="E45" ca="1">INDEX(INDIRECT($M45),
       MATCH(TRIM($C45), TRIM(INDIRECT($N45)), 0),
       MATCH(TRIM(E$2), TRIM(INDIRECT($O45)), 0))</f>
        <v>78560943</v>
      </c>
      <c r="F45" s="11" cm="1">
        <f t="array" aca="1" ref="F45" ca="1">INDEX(INDIRECT($M45),
       MATCH(TRIM($C45), TRIM(INDIRECT($N45)), 0),
       MATCH(TRIM(F$2), TRIM(INDIRECT($O45)), 0))</f>
        <v>78.560942999999995</v>
      </c>
      <c r="G45" s="11" cm="1">
        <f t="array" aca="1" ref="G45" ca="1">INDEX(INDIRECT($M45),
       MATCH(TRIM($C45), TRIM(INDIRECT($N45)), 0),
       MATCH(TRIM(G$2), TRIM(INDIRECT($O45)), 0))</f>
        <v>3</v>
      </c>
      <c r="H45" s="9" cm="1">
        <f t="array" aca="1" ref="H45" ca="1">INDEX(INDIRECT($M45),
       MATCH(TRIM($C45), TRIM(INDIRECT($N45)), 0),
       MATCH(TRIM(H$2), TRIM(INDIRECT($O45)), 0))</f>
        <v>61948781</v>
      </c>
      <c r="I45" s="11" cm="1">
        <f t="array" aca="1" ref="I45" ca="1">INDEX(INDIRECT($M45),
       MATCH(TRIM($C45), TRIM(INDIRECT($N45)), 0),
       MATCH(TRIM(I$2), TRIM(INDIRECT($O45)), 0))</f>
        <v>61.948780999999997</v>
      </c>
      <c r="J45" s="9" t="e" cm="1">
        <f t="array" aca="1" ref="J45" ca="1">INDEX(INDIRECT($M45),
       MATCH(TRIM($C45), TRIM(INDIRECT($N45)), 0),
       MATCH(TRIM(J$2), TRIM(INDIRECT($O45)), 0))</f>
        <v>#N/A</v>
      </c>
      <c r="K45" s="11" t="e" cm="1">
        <f t="array" aca="1" ref="K45" ca="1">INDEX(INDIRECT($M45),
       MATCH(TRIM($C45), TRIM(INDIRECT($N45)), 0),
       MATCH(TRIM(K$2), TRIM(INDIRECT($O45)), 0))</f>
        <v>#N/A</v>
      </c>
      <c r="L45" s="11" cm="1">
        <f t="array" aca="1" ref="L45" ca="1">INDEX(INDIRECT($M45),
       MATCH(TRIM($C45), TRIM(INDIRECT($N45)), 0),
       MATCH(TRIM(L$2), TRIM(INDIRECT($O45)), 0))</f>
        <v>140.50972400000001</v>
      </c>
      <c r="M45" s="5" t="str">
        <f t="shared" si="0"/>
        <v>'2015'!$N$3:$V$80</v>
      </c>
      <c r="N45" s="5" t="str">
        <f t="shared" si="1"/>
        <v>'2015'!$M$2:$M$80</v>
      </c>
      <c r="O45" s="5" t="str">
        <f t="shared" si="2"/>
        <v>'2015'!$N$2:$W$2</v>
      </c>
    </row>
    <row r="46" spans="1:15" x14ac:dyDescent="0.3">
      <c r="A46">
        <v>44</v>
      </c>
      <c r="B46" s="9">
        <v>2015</v>
      </c>
      <c r="C46" t="s">
        <v>43</v>
      </c>
      <c r="D46" s="11" cm="1">
        <f t="array" aca="1" ref="D46" ca="1">INDEX(INDIRECT($M46),
       MATCH(TRIM($C46), TRIM(INDIRECT($N46)), 0),
       MATCH(TRIM(D$2), TRIM(INDIRECT($O46)), 0))</f>
        <v>0</v>
      </c>
      <c r="E46" s="9" cm="1">
        <f t="array" aca="1" ref="E46" ca="1">INDEX(INDIRECT($M46),
       MATCH(TRIM($C46), TRIM(INDIRECT($N46)), 0),
       MATCH(TRIM(E$2), TRIM(INDIRECT($O46)), 0))</f>
        <v>0</v>
      </c>
      <c r="F46" s="11" cm="1">
        <f t="array" aca="1" ref="F46" ca="1">INDEX(INDIRECT($M46),
       MATCH(TRIM($C46), TRIM(INDIRECT($N46)), 0),
       MATCH(TRIM(F$2), TRIM(INDIRECT($O46)), 0))</f>
        <v>0</v>
      </c>
      <c r="G46" s="11" cm="1">
        <f t="array" aca="1" ref="G46" ca="1">INDEX(INDIRECT($M46),
       MATCH(TRIM($C46), TRIM(INDIRECT($N46)), 0),
       MATCH(TRIM(G$2), TRIM(INDIRECT($O46)), 0))</f>
        <v>3</v>
      </c>
      <c r="H46" s="9" cm="1">
        <f t="array" aca="1" ref="H46" ca="1">INDEX(INDIRECT($M46),
       MATCH(TRIM($C46), TRIM(INDIRECT($N46)), 0),
       MATCH(TRIM(H$2), TRIM(INDIRECT($O46)), 0))</f>
        <v>5691000</v>
      </c>
      <c r="I46" s="11" cm="1">
        <f t="array" aca="1" ref="I46" ca="1">INDEX(INDIRECT($M46),
       MATCH(TRIM($C46), TRIM(INDIRECT($N46)), 0),
       MATCH(TRIM(I$2), TRIM(INDIRECT($O46)), 0))</f>
        <v>5.6909999999999998</v>
      </c>
      <c r="J46" s="9" t="e" cm="1">
        <f t="array" aca="1" ref="J46" ca="1">INDEX(INDIRECT($M46),
       MATCH(TRIM($C46), TRIM(INDIRECT($N46)), 0),
       MATCH(TRIM(J$2), TRIM(INDIRECT($O46)), 0))</f>
        <v>#N/A</v>
      </c>
      <c r="K46" s="11" t="e" cm="1">
        <f t="array" aca="1" ref="K46" ca="1">INDEX(INDIRECT($M46),
       MATCH(TRIM($C46), TRIM(INDIRECT($N46)), 0),
       MATCH(TRIM(K$2), TRIM(INDIRECT($O46)), 0))</f>
        <v>#N/A</v>
      </c>
      <c r="L46" s="11" cm="1">
        <f t="array" aca="1" ref="L46" ca="1">INDEX(INDIRECT($M46),
       MATCH(TRIM($C46), TRIM(INDIRECT($N46)), 0),
       MATCH(TRIM(L$2), TRIM(INDIRECT($O46)), 0))</f>
        <v>5.6909999999999998</v>
      </c>
      <c r="M46" s="5" t="str">
        <f t="shared" si="0"/>
        <v>'2015'!$N$3:$V$80</v>
      </c>
      <c r="N46" s="5" t="str">
        <f t="shared" si="1"/>
        <v>'2015'!$M$2:$M$80</v>
      </c>
      <c r="O46" s="5" t="str">
        <f t="shared" si="2"/>
        <v>'2015'!$N$2:$W$2</v>
      </c>
    </row>
    <row r="47" spans="1:15" x14ac:dyDescent="0.3">
      <c r="A47">
        <v>45</v>
      </c>
      <c r="B47" s="9">
        <v>2015</v>
      </c>
      <c r="C47" t="s">
        <v>44</v>
      </c>
      <c r="D47" s="11" cm="1">
        <f t="array" aca="1" ref="D47" ca="1">INDEX(INDIRECT($M47),
       MATCH(TRIM($C47), TRIM(INDIRECT($N47)), 0),
       MATCH(TRIM(D$2), TRIM(INDIRECT($O47)), 0))</f>
        <v>3</v>
      </c>
      <c r="E47" s="9" cm="1">
        <f t="array" aca="1" ref="E47" ca="1">INDEX(INDIRECT($M47),
       MATCH(TRIM($C47), TRIM(INDIRECT($N47)), 0),
       MATCH(TRIM(E$2), TRIM(INDIRECT($O47)), 0))</f>
        <v>20750000</v>
      </c>
      <c r="F47" s="11" cm="1">
        <f t="array" aca="1" ref="F47" ca="1">INDEX(INDIRECT($M47),
       MATCH(TRIM($C47), TRIM(INDIRECT($N47)), 0),
       MATCH(TRIM(F$2), TRIM(INDIRECT($O47)), 0))</f>
        <v>20.75</v>
      </c>
      <c r="G47" s="11" cm="1">
        <f t="array" aca="1" ref="G47" ca="1">INDEX(INDIRECT($M47),
       MATCH(TRIM($C47), TRIM(INDIRECT($N47)), 0),
       MATCH(TRIM(G$2), TRIM(INDIRECT($O47)), 0))</f>
        <v>1</v>
      </c>
      <c r="H47" s="9" cm="1">
        <f t="array" aca="1" ref="H47" ca="1">INDEX(INDIRECT($M47),
       MATCH(TRIM($C47), TRIM(INDIRECT($N47)), 0),
       MATCH(TRIM(H$2), TRIM(INDIRECT($O47)), 0))</f>
        <v>10000000</v>
      </c>
      <c r="I47" s="11" cm="1">
        <f t="array" aca="1" ref="I47" ca="1">INDEX(INDIRECT($M47),
       MATCH(TRIM($C47), TRIM(INDIRECT($N47)), 0),
       MATCH(TRIM(I$2), TRIM(INDIRECT($O47)), 0))</f>
        <v>10</v>
      </c>
      <c r="J47" s="9" t="e" cm="1">
        <f t="array" aca="1" ref="J47" ca="1">INDEX(INDIRECT($M47),
       MATCH(TRIM($C47), TRIM(INDIRECT($N47)), 0),
       MATCH(TRIM(J$2), TRIM(INDIRECT($O47)), 0))</f>
        <v>#N/A</v>
      </c>
      <c r="K47" s="11" t="e" cm="1">
        <f t="array" aca="1" ref="K47" ca="1">INDEX(INDIRECT($M47),
       MATCH(TRIM($C47), TRIM(INDIRECT($N47)), 0),
       MATCH(TRIM(K$2), TRIM(INDIRECT($O47)), 0))</f>
        <v>#N/A</v>
      </c>
      <c r="L47" s="11" cm="1">
        <f t="array" aca="1" ref="L47" ca="1">INDEX(INDIRECT($M47),
       MATCH(TRIM($C47), TRIM(INDIRECT($N47)), 0),
       MATCH(TRIM(L$2), TRIM(INDIRECT($O47)), 0))</f>
        <v>30.75</v>
      </c>
      <c r="M47" s="5" t="str">
        <f t="shared" si="0"/>
        <v>'2015'!$N$3:$V$80</v>
      </c>
      <c r="N47" s="5" t="str">
        <f t="shared" si="1"/>
        <v>'2015'!$M$2:$M$80</v>
      </c>
      <c r="O47" s="5" t="str">
        <f t="shared" si="2"/>
        <v>'2015'!$N$2:$W$2</v>
      </c>
    </row>
    <row r="48" spans="1:15" x14ac:dyDescent="0.3">
      <c r="A48">
        <v>46</v>
      </c>
      <c r="B48" s="9">
        <v>2015</v>
      </c>
      <c r="C48" t="s">
        <v>45</v>
      </c>
      <c r="D48" s="11" cm="1">
        <f t="array" aca="1" ref="D48" ca="1">INDEX(INDIRECT($M48),
       MATCH(TRIM($C48), TRIM(INDIRECT($N48)), 0),
       MATCH(TRIM(D$2), TRIM(INDIRECT($O48)), 0))</f>
        <v>1</v>
      </c>
      <c r="E48" s="9" cm="1">
        <f t="array" aca="1" ref="E48" ca="1">INDEX(INDIRECT($M48),
       MATCH(TRIM($C48), TRIM(INDIRECT($N48)), 0),
       MATCH(TRIM(E$2), TRIM(INDIRECT($O48)), 0))</f>
        <v>10000</v>
      </c>
      <c r="F48" s="11" cm="1">
        <f t="array" aca="1" ref="F48" ca="1">INDEX(INDIRECT($M48),
       MATCH(TRIM($C48), TRIM(INDIRECT($N48)), 0),
       MATCH(TRIM(F$2), TRIM(INDIRECT($O48)), 0))</f>
        <v>0.01</v>
      </c>
      <c r="G48" s="11" cm="1">
        <f t="array" aca="1" ref="G48" ca="1">INDEX(INDIRECT($M48),
       MATCH(TRIM($C48), TRIM(INDIRECT($N48)), 0),
       MATCH(TRIM(G$2), TRIM(INDIRECT($O48)), 0))</f>
        <v>1</v>
      </c>
      <c r="H48" s="9" cm="1">
        <f t="array" aca="1" ref="H48" ca="1">INDEX(INDIRECT($M48),
       MATCH(TRIM($C48), TRIM(INDIRECT($N48)), 0),
       MATCH(TRIM(H$2), TRIM(INDIRECT($O48)), 0))</f>
        <v>598540</v>
      </c>
      <c r="I48" s="11" cm="1">
        <f t="array" aca="1" ref="I48" ca="1">INDEX(INDIRECT($M48),
       MATCH(TRIM($C48), TRIM(INDIRECT($N48)), 0),
       MATCH(TRIM(I$2), TRIM(INDIRECT($O48)), 0))</f>
        <v>0.59853999999999996</v>
      </c>
      <c r="J48" s="9" t="e" cm="1">
        <f t="array" aca="1" ref="J48" ca="1">INDEX(INDIRECT($M48),
       MATCH(TRIM($C48), TRIM(INDIRECT($N48)), 0),
       MATCH(TRIM(J$2), TRIM(INDIRECT($O48)), 0))</f>
        <v>#N/A</v>
      </c>
      <c r="K48" s="11" t="e" cm="1">
        <f t="array" aca="1" ref="K48" ca="1">INDEX(INDIRECT($M48),
       MATCH(TRIM($C48), TRIM(INDIRECT($N48)), 0),
       MATCH(TRIM(K$2), TRIM(INDIRECT($O48)), 0))</f>
        <v>#N/A</v>
      </c>
      <c r="L48" s="11" cm="1">
        <f t="array" aca="1" ref="L48" ca="1">INDEX(INDIRECT($M48),
       MATCH(TRIM($C48), TRIM(INDIRECT($N48)), 0),
       MATCH(TRIM(L$2), TRIM(INDIRECT($O48)), 0))</f>
        <v>0.60853999999999997</v>
      </c>
      <c r="M48" s="5" t="str">
        <f t="shared" si="0"/>
        <v>'2015'!$N$3:$V$80</v>
      </c>
      <c r="N48" s="5" t="str">
        <f t="shared" si="1"/>
        <v>'2015'!$M$2:$M$80</v>
      </c>
      <c r="O48" s="5" t="str">
        <f t="shared" si="2"/>
        <v>'2015'!$N$2:$W$2</v>
      </c>
    </row>
    <row r="49" spans="1:15" x14ac:dyDescent="0.3">
      <c r="A49">
        <v>47</v>
      </c>
      <c r="B49" s="9">
        <v>2015</v>
      </c>
      <c r="C49" t="s">
        <v>46</v>
      </c>
      <c r="D49" s="11" cm="1">
        <f t="array" aca="1" ref="D49" ca="1">INDEX(INDIRECT($M49),
       MATCH(TRIM($C49), TRIM(INDIRECT($N49)), 0),
       MATCH(TRIM(D$2), TRIM(INDIRECT($O49)), 0))</f>
        <v>5</v>
      </c>
      <c r="E49" s="9" cm="1">
        <f t="array" aca="1" ref="E49" ca="1">INDEX(INDIRECT($M49),
       MATCH(TRIM($C49), TRIM(INDIRECT($N49)), 0),
       MATCH(TRIM(E$2), TRIM(INDIRECT($O49)), 0))</f>
        <v>3000003</v>
      </c>
      <c r="F49" s="11" cm="1">
        <f t="array" aca="1" ref="F49" ca="1">INDEX(INDIRECT($M49),
       MATCH(TRIM($C49), TRIM(INDIRECT($N49)), 0),
       MATCH(TRIM(F$2), TRIM(INDIRECT($O49)), 0))</f>
        <v>3.000003</v>
      </c>
      <c r="G49" s="11" cm="1">
        <f t="array" aca="1" ref="G49" ca="1">INDEX(INDIRECT($M49),
       MATCH(TRIM($C49), TRIM(INDIRECT($N49)), 0),
       MATCH(TRIM(G$2), TRIM(INDIRECT($O49)), 0))</f>
        <v>0</v>
      </c>
      <c r="H49" s="9" cm="1">
        <f t="array" aca="1" ref="H49" ca="1">INDEX(INDIRECT($M49),
       MATCH(TRIM($C49), TRIM(INDIRECT($N49)), 0),
       MATCH(TRIM(H$2), TRIM(INDIRECT($O49)), 0))</f>
        <v>0</v>
      </c>
      <c r="I49" s="11" cm="1">
        <f t="array" aca="1" ref="I49" ca="1">INDEX(INDIRECT($M49),
       MATCH(TRIM($C49), TRIM(INDIRECT($N49)), 0),
       MATCH(TRIM(I$2), TRIM(INDIRECT($O49)), 0))</f>
        <v>0</v>
      </c>
      <c r="J49" s="9" t="e" cm="1">
        <f t="array" aca="1" ref="J49" ca="1">INDEX(INDIRECT($M49),
       MATCH(TRIM($C49), TRIM(INDIRECT($N49)), 0),
       MATCH(TRIM(J$2), TRIM(INDIRECT($O49)), 0))</f>
        <v>#N/A</v>
      </c>
      <c r="K49" s="11" t="e" cm="1">
        <f t="array" aca="1" ref="K49" ca="1">INDEX(INDIRECT($M49),
       MATCH(TRIM($C49), TRIM(INDIRECT($N49)), 0),
       MATCH(TRIM(K$2), TRIM(INDIRECT($O49)), 0))</f>
        <v>#N/A</v>
      </c>
      <c r="L49" s="11" cm="1">
        <f t="array" aca="1" ref="L49" ca="1">INDEX(INDIRECT($M49),
       MATCH(TRIM($C49), TRIM(INDIRECT($N49)), 0),
       MATCH(TRIM(L$2), TRIM(INDIRECT($O49)), 0))</f>
        <v>3.000003</v>
      </c>
      <c r="M49" s="5" t="str">
        <f t="shared" si="0"/>
        <v>'2015'!$N$3:$V$80</v>
      </c>
      <c r="N49" s="5" t="str">
        <f t="shared" si="1"/>
        <v>'2015'!$M$2:$M$80</v>
      </c>
      <c r="O49" s="5" t="str">
        <f t="shared" si="2"/>
        <v>'2015'!$N$2:$W$2</v>
      </c>
    </row>
    <row r="50" spans="1:15" x14ac:dyDescent="0.3">
      <c r="A50">
        <v>48</v>
      </c>
      <c r="B50" s="9">
        <v>2015</v>
      </c>
      <c r="C50" t="s">
        <v>47</v>
      </c>
      <c r="D50" s="11" cm="1">
        <f t="array" aca="1" ref="D50" ca="1">INDEX(INDIRECT($M50),
       MATCH(TRIM($C50), TRIM(INDIRECT($N50)), 0),
       MATCH(TRIM(D$2), TRIM(INDIRECT($O50)), 0))</f>
        <v>5</v>
      </c>
      <c r="E50" s="9" cm="1">
        <f t="array" aca="1" ref="E50" ca="1">INDEX(INDIRECT($M50),
       MATCH(TRIM($C50), TRIM(INDIRECT($N50)), 0),
       MATCH(TRIM(E$2), TRIM(INDIRECT($O50)), 0))</f>
        <v>7615094</v>
      </c>
      <c r="F50" s="11" cm="1">
        <f t="array" aca="1" ref="F50" ca="1">INDEX(INDIRECT($M50),
       MATCH(TRIM($C50), TRIM(INDIRECT($N50)), 0),
       MATCH(TRIM(F$2), TRIM(INDIRECT($O50)), 0))</f>
        <v>7.615094</v>
      </c>
      <c r="G50" s="11" cm="1">
        <f t="array" aca="1" ref="G50" ca="1">INDEX(INDIRECT($M50),
       MATCH(TRIM($C50), TRIM(INDIRECT($N50)), 0),
       MATCH(TRIM(G$2), TRIM(INDIRECT($O50)), 0))</f>
        <v>4</v>
      </c>
      <c r="H50" s="9" cm="1">
        <f t="array" aca="1" ref="H50" ca="1">INDEX(INDIRECT($M50),
       MATCH(TRIM($C50), TRIM(INDIRECT($N50)), 0),
       MATCH(TRIM(H$2), TRIM(INDIRECT($O50)), 0))</f>
        <v>2500000</v>
      </c>
      <c r="I50" s="11" cm="1">
        <f t="array" aca="1" ref="I50" ca="1">INDEX(INDIRECT($M50),
       MATCH(TRIM($C50), TRIM(INDIRECT($N50)), 0),
       MATCH(TRIM(I$2), TRIM(INDIRECT($O50)), 0))</f>
        <v>2.5</v>
      </c>
      <c r="J50" s="9" t="e" cm="1">
        <f t="array" aca="1" ref="J50" ca="1">INDEX(INDIRECT($M50),
       MATCH(TRIM($C50), TRIM(INDIRECT($N50)), 0),
       MATCH(TRIM(J$2), TRIM(INDIRECT($O50)), 0))</f>
        <v>#N/A</v>
      </c>
      <c r="K50" s="11" t="e" cm="1">
        <f t="array" aca="1" ref="K50" ca="1">INDEX(INDIRECT($M50),
       MATCH(TRIM($C50), TRIM(INDIRECT($N50)), 0),
       MATCH(TRIM(K$2), TRIM(INDIRECT($O50)), 0))</f>
        <v>#N/A</v>
      </c>
      <c r="L50" s="11" cm="1">
        <f t="array" aca="1" ref="L50" ca="1">INDEX(INDIRECT($M50),
       MATCH(TRIM($C50), TRIM(INDIRECT($N50)), 0),
       MATCH(TRIM(L$2), TRIM(INDIRECT($O50)), 0))</f>
        <v>10.115093999999999</v>
      </c>
      <c r="M50" s="5" t="str">
        <f t="shared" si="0"/>
        <v>'2015'!$N$3:$V$80</v>
      </c>
      <c r="N50" s="5" t="str">
        <f t="shared" si="1"/>
        <v>'2015'!$M$2:$M$80</v>
      </c>
      <c r="O50" s="5" t="str">
        <f t="shared" si="2"/>
        <v>'2015'!$N$2:$W$2</v>
      </c>
    </row>
    <row r="51" spans="1:15" x14ac:dyDescent="0.3">
      <c r="A51">
        <v>49</v>
      </c>
      <c r="B51" s="9">
        <v>2015</v>
      </c>
      <c r="C51" t="s">
        <v>48</v>
      </c>
      <c r="D51" s="11" cm="1">
        <f t="array" aca="1" ref="D51" ca="1">INDEX(INDIRECT($M51),
       MATCH(TRIM($C51), TRIM(INDIRECT($N51)), 0),
       MATCH(TRIM(D$2), TRIM(INDIRECT($O51)), 0))</f>
        <v>7</v>
      </c>
      <c r="E51" s="9" cm="1">
        <f t="array" aca="1" ref="E51" ca="1">INDEX(INDIRECT($M51),
       MATCH(TRIM($C51), TRIM(INDIRECT($N51)), 0),
       MATCH(TRIM(E$2), TRIM(INDIRECT($O51)), 0))</f>
        <v>44106853</v>
      </c>
      <c r="F51" s="11" cm="1">
        <f t="array" aca="1" ref="F51" ca="1">INDEX(INDIRECT($M51),
       MATCH(TRIM($C51), TRIM(INDIRECT($N51)), 0),
       MATCH(TRIM(F$2), TRIM(INDIRECT($O51)), 0))</f>
        <v>44.106853000000001</v>
      </c>
      <c r="G51" s="11" cm="1">
        <f t="array" aca="1" ref="G51" ca="1">INDEX(INDIRECT($M51),
       MATCH(TRIM($C51), TRIM(INDIRECT($N51)), 0),
       MATCH(TRIM(G$2), TRIM(INDIRECT($O51)), 0))</f>
        <v>5</v>
      </c>
      <c r="H51" s="9" cm="1">
        <f t="array" aca="1" ref="H51" ca="1">INDEX(INDIRECT($M51),
       MATCH(TRIM($C51), TRIM(INDIRECT($N51)), 0),
       MATCH(TRIM(H$2), TRIM(INDIRECT($O51)), 0))</f>
        <v>14289900</v>
      </c>
      <c r="I51" s="11" cm="1">
        <f t="array" aca="1" ref="I51" ca="1">INDEX(INDIRECT($M51),
       MATCH(TRIM($C51), TRIM(INDIRECT($N51)), 0),
       MATCH(TRIM(I$2), TRIM(INDIRECT($O51)), 0))</f>
        <v>14.289899999999999</v>
      </c>
      <c r="J51" s="9" t="e" cm="1">
        <f t="array" aca="1" ref="J51" ca="1">INDEX(INDIRECT($M51),
       MATCH(TRIM($C51), TRIM(INDIRECT($N51)), 0),
       MATCH(TRIM(J$2), TRIM(INDIRECT($O51)), 0))</f>
        <v>#N/A</v>
      </c>
      <c r="K51" s="11" t="e" cm="1">
        <f t="array" aca="1" ref="K51" ca="1">INDEX(INDIRECT($M51),
       MATCH(TRIM($C51), TRIM(INDIRECT($N51)), 0),
       MATCH(TRIM(K$2), TRIM(INDIRECT($O51)), 0))</f>
        <v>#N/A</v>
      </c>
      <c r="L51" s="11" cm="1">
        <f t="array" aca="1" ref="L51" ca="1">INDEX(INDIRECT($M51),
       MATCH(TRIM($C51), TRIM(INDIRECT($N51)), 0),
       MATCH(TRIM(L$2), TRIM(INDIRECT($O51)), 0))</f>
        <v>58.396753000000004</v>
      </c>
      <c r="M51" s="5" t="str">
        <f t="shared" si="0"/>
        <v>'2015'!$N$3:$V$80</v>
      </c>
      <c r="N51" s="5" t="str">
        <f t="shared" si="1"/>
        <v>'2015'!$M$2:$M$80</v>
      </c>
      <c r="O51" s="5" t="str">
        <f t="shared" si="2"/>
        <v>'2015'!$N$2:$W$2</v>
      </c>
    </row>
    <row r="52" spans="1:15" x14ac:dyDescent="0.3">
      <c r="A52">
        <v>50</v>
      </c>
      <c r="B52" s="9">
        <v>2015</v>
      </c>
      <c r="C52" t="s">
        <v>49</v>
      </c>
      <c r="D52" s="11" t="e" cm="1">
        <f t="array" aca="1" ref="D52" ca="1">INDEX(INDIRECT($M52),
       MATCH(TRIM($C52), TRIM(INDIRECT($N52)), 0),
       MATCH(TRIM(D$2), TRIM(INDIRECT($O52)), 0))</f>
        <v>#N/A</v>
      </c>
      <c r="E52" s="9" t="e" cm="1">
        <f t="array" aca="1" ref="E52" ca="1">INDEX(INDIRECT($M52),
       MATCH(TRIM($C52), TRIM(INDIRECT($N52)), 0),
       MATCH(TRIM(E$2), TRIM(INDIRECT($O52)), 0))</f>
        <v>#N/A</v>
      </c>
      <c r="F52" s="11" t="e" cm="1">
        <f t="array" aca="1" ref="F52" ca="1">INDEX(INDIRECT($M52),
       MATCH(TRIM($C52), TRIM(INDIRECT($N52)), 0),
       MATCH(TRIM(F$2), TRIM(INDIRECT($O52)), 0))</f>
        <v>#N/A</v>
      </c>
      <c r="G52" s="11" t="e" cm="1">
        <f t="array" aca="1" ref="G52" ca="1">INDEX(INDIRECT($M52),
       MATCH(TRIM($C52), TRIM(INDIRECT($N52)), 0),
       MATCH(TRIM(G$2), TRIM(INDIRECT($O52)), 0))</f>
        <v>#N/A</v>
      </c>
      <c r="H52" s="9" t="e" cm="1">
        <f t="array" aca="1" ref="H52" ca="1">INDEX(INDIRECT($M52),
       MATCH(TRIM($C52), TRIM(INDIRECT($N52)), 0),
       MATCH(TRIM(H$2), TRIM(INDIRECT($O52)), 0))</f>
        <v>#N/A</v>
      </c>
      <c r="I52" s="11" t="e" cm="1">
        <f t="array" aca="1" ref="I52" ca="1">INDEX(INDIRECT($M52),
       MATCH(TRIM($C52), TRIM(INDIRECT($N52)), 0),
       MATCH(TRIM(I$2), TRIM(INDIRECT($O52)), 0))</f>
        <v>#N/A</v>
      </c>
      <c r="J52" s="9" t="e" cm="1">
        <f t="array" aca="1" ref="J52" ca="1">INDEX(INDIRECT($M52),
       MATCH(TRIM($C52), TRIM(INDIRECT($N52)), 0),
       MATCH(TRIM(J$2), TRIM(INDIRECT($O52)), 0))</f>
        <v>#N/A</v>
      </c>
      <c r="K52" s="11" t="e" cm="1">
        <f t="array" aca="1" ref="K52" ca="1">INDEX(INDIRECT($M52),
       MATCH(TRIM($C52), TRIM(INDIRECT($N52)), 0),
       MATCH(TRIM(K$2), TRIM(INDIRECT($O52)), 0))</f>
        <v>#N/A</v>
      </c>
      <c r="L52" s="11" t="e" cm="1">
        <f t="array" aca="1" ref="L52" ca="1">INDEX(INDIRECT($M52),
       MATCH(TRIM($C52), TRIM(INDIRECT($N52)), 0),
       MATCH(TRIM(L$2), TRIM(INDIRECT($O52)), 0))</f>
        <v>#N/A</v>
      </c>
      <c r="M52" s="5" t="str">
        <f t="shared" si="0"/>
        <v>'2015'!$N$3:$V$80</v>
      </c>
      <c r="N52" s="5" t="str">
        <f t="shared" si="1"/>
        <v>'2015'!$M$2:$M$80</v>
      </c>
      <c r="O52" s="5" t="str">
        <f t="shared" si="2"/>
        <v>'2015'!$N$2:$W$2</v>
      </c>
    </row>
    <row r="53" spans="1:15" x14ac:dyDescent="0.3">
      <c r="A53">
        <v>51</v>
      </c>
      <c r="B53" s="9">
        <v>2015</v>
      </c>
      <c r="C53" t="s">
        <v>50</v>
      </c>
      <c r="D53" s="11" cm="1">
        <f t="array" aca="1" ref="D53" ca="1">INDEX(INDIRECT($M53),
       MATCH(TRIM($C53), TRIM(INDIRECT($N53)), 0),
       MATCH(TRIM(D$2), TRIM(INDIRECT($O53)), 0))</f>
        <v>2120</v>
      </c>
      <c r="E53" s="9" cm="1">
        <f t="array" aca="1" ref="E53" ca="1">INDEX(INDIRECT($M53),
       MATCH(TRIM($C53), TRIM(INDIRECT($N53)), 0),
       MATCH(TRIM(E$2), TRIM(INDIRECT($O53)), 0))</f>
        <v>16341042203.24</v>
      </c>
      <c r="F53" s="11" cm="1">
        <f t="array" aca="1" ref="F53" ca="1">INDEX(INDIRECT($M53),
       MATCH(TRIM($C53), TRIM(INDIRECT($N53)), 0),
       MATCH(TRIM(F$2), TRIM(INDIRECT($O53)), 0))</f>
        <v>16341.042203240004</v>
      </c>
      <c r="G53" s="11" cm="1">
        <f t="array" aca="1" ref="G53" ca="1">INDEX(INDIRECT($M53),
       MATCH(TRIM($C53), TRIM(INDIRECT($N53)), 0),
       MATCH(TRIM(G$2), TRIM(INDIRECT($O53)), 0))</f>
        <v>918</v>
      </c>
      <c r="H53" s="9" cm="1">
        <f t="array" aca="1" ref="H53" ca="1">INDEX(INDIRECT($M53),
       MATCH(TRIM($C53), TRIM(INDIRECT($N53)), 0),
       MATCH(TRIM(H$2), TRIM(INDIRECT($O53)), 0))</f>
        <v>7773962973.4200001</v>
      </c>
      <c r="I53" s="11" cm="1">
        <f t="array" aca="1" ref="I53" ca="1">INDEX(INDIRECT($M53),
       MATCH(TRIM($C53), TRIM(INDIRECT($N53)), 0),
       MATCH(TRIM(I$2), TRIM(INDIRECT($O53)), 0))</f>
        <v>7773.9629734199989</v>
      </c>
      <c r="J53" s="9" t="e" cm="1">
        <f t="array" aca="1" ref="J53" ca="1">INDEX(INDIRECT($M53),
       MATCH(TRIM($C53), TRIM(INDIRECT($N53)), 0),
       MATCH(TRIM(J$2), TRIM(INDIRECT($O53)), 0))</f>
        <v>#N/A</v>
      </c>
      <c r="K53" s="11" t="e" cm="1">
        <f t="array" aca="1" ref="K53" ca="1">INDEX(INDIRECT($M53),
       MATCH(TRIM($C53), TRIM(INDIRECT($N53)), 0),
       MATCH(TRIM(K$2), TRIM(INDIRECT($O53)), 0))</f>
        <v>#N/A</v>
      </c>
      <c r="L53" s="11" cm="1">
        <f t="array" aca="1" ref="L53" ca="1">INDEX(INDIRECT($M53),
       MATCH(TRIM($C53), TRIM(INDIRECT($N53)), 0),
       MATCH(TRIM(L$2), TRIM(INDIRECT($O53)), 0))</f>
        <v>24115.005176660008</v>
      </c>
      <c r="M53" s="5" t="str">
        <f t="shared" si="0"/>
        <v>'2015'!$N$3:$V$80</v>
      </c>
      <c r="N53" s="5" t="str">
        <f t="shared" si="1"/>
        <v>'2015'!$M$2:$M$80</v>
      </c>
      <c r="O53" s="5" t="str">
        <f t="shared" si="2"/>
        <v>'2015'!$N$2:$W$2</v>
      </c>
    </row>
    <row r="54" spans="1:15" x14ac:dyDescent="0.3">
      <c r="A54">
        <v>52</v>
      </c>
      <c r="B54" s="9">
        <v>2015</v>
      </c>
      <c r="C54" t="s">
        <v>51</v>
      </c>
      <c r="D54" s="11" cm="1">
        <f t="array" aca="1" ref="D54" ca="1">INDEX(INDIRECT($M54),
       MATCH(TRIM($C54), TRIM(INDIRECT($N54)), 0),
       MATCH(TRIM(D$2), TRIM(INDIRECT($O54)), 0))</f>
        <v>0</v>
      </c>
      <c r="E54" s="9" cm="1">
        <f t="array" aca="1" ref="E54" ca="1">INDEX(INDIRECT($M54),
       MATCH(TRIM($C54), TRIM(INDIRECT($N54)), 0),
       MATCH(TRIM(E$2), TRIM(INDIRECT($O54)), 0))</f>
        <v>0</v>
      </c>
      <c r="F54" s="11" cm="1">
        <f t="array" aca="1" ref="F54" ca="1">INDEX(INDIRECT($M54),
       MATCH(TRIM($C54), TRIM(INDIRECT($N54)), 0),
       MATCH(TRIM(F$2), TRIM(INDIRECT($O54)), 0))</f>
        <v>0</v>
      </c>
      <c r="G54" s="11" cm="1">
        <f t="array" aca="1" ref="G54" ca="1">INDEX(INDIRECT($M54),
       MATCH(TRIM($C54), TRIM(INDIRECT($N54)), 0),
       MATCH(TRIM(G$2), TRIM(INDIRECT($O54)), 0))</f>
        <v>1</v>
      </c>
      <c r="H54" s="9" cm="1">
        <f t="array" aca="1" ref="H54" ca="1">INDEX(INDIRECT($M54),
       MATCH(TRIM($C54), TRIM(INDIRECT($N54)), 0),
       MATCH(TRIM(H$2), TRIM(INDIRECT($O54)), 0))</f>
        <v>25000000</v>
      </c>
      <c r="I54" s="11" cm="1">
        <f t="array" aca="1" ref="I54" ca="1">INDEX(INDIRECT($M54),
       MATCH(TRIM($C54), TRIM(INDIRECT($N54)), 0),
       MATCH(TRIM(I$2), TRIM(INDIRECT($O54)), 0))</f>
        <v>25</v>
      </c>
      <c r="J54" s="9" t="e" cm="1">
        <f t="array" aca="1" ref="J54" ca="1">INDEX(INDIRECT($M54),
       MATCH(TRIM($C54), TRIM(INDIRECT($N54)), 0),
       MATCH(TRIM(J$2), TRIM(INDIRECT($O54)), 0))</f>
        <v>#N/A</v>
      </c>
      <c r="K54" s="11" t="e" cm="1">
        <f t="array" aca="1" ref="K54" ca="1">INDEX(INDIRECT($M54),
       MATCH(TRIM($C54), TRIM(INDIRECT($N54)), 0),
       MATCH(TRIM(K$2), TRIM(INDIRECT($O54)), 0))</f>
        <v>#N/A</v>
      </c>
      <c r="L54" s="11" cm="1">
        <f t="array" aca="1" ref="L54" ca="1">INDEX(INDIRECT($M54),
       MATCH(TRIM($C54), TRIM(INDIRECT($N54)), 0),
       MATCH(TRIM(L$2), TRIM(INDIRECT($O54)), 0))</f>
        <v>25</v>
      </c>
      <c r="M54" s="5" t="str">
        <f t="shared" si="0"/>
        <v>'2015'!$N$3:$V$80</v>
      </c>
      <c r="N54" s="5" t="str">
        <f t="shared" si="1"/>
        <v>'2015'!$M$2:$M$80</v>
      </c>
      <c r="O54" s="5" t="str">
        <f t="shared" si="2"/>
        <v>'2015'!$N$2:$W$2</v>
      </c>
    </row>
    <row r="55" spans="1:15" x14ac:dyDescent="0.3">
      <c r="A55">
        <v>53</v>
      </c>
      <c r="B55" s="9">
        <v>2015</v>
      </c>
      <c r="C55" t="s">
        <v>52</v>
      </c>
      <c r="D55" s="11" t="e" cm="1">
        <f t="array" aca="1" ref="D55" ca="1">INDEX(INDIRECT($M55),
       MATCH(TRIM($C55), TRIM(INDIRECT($N55)), 0),
       MATCH(TRIM(D$2), TRIM(INDIRECT($O55)), 0))</f>
        <v>#N/A</v>
      </c>
      <c r="E55" s="9" t="e" cm="1">
        <f t="array" aca="1" ref="E55" ca="1">INDEX(INDIRECT($M55),
       MATCH(TRIM($C55), TRIM(INDIRECT($N55)), 0),
       MATCH(TRIM(E$2), TRIM(INDIRECT($O55)), 0))</f>
        <v>#N/A</v>
      </c>
      <c r="F55" s="11" t="e" cm="1">
        <f t="array" aca="1" ref="F55" ca="1">INDEX(INDIRECT($M55),
       MATCH(TRIM($C55), TRIM(INDIRECT($N55)), 0),
       MATCH(TRIM(F$2), TRIM(INDIRECT($O55)), 0))</f>
        <v>#N/A</v>
      </c>
      <c r="G55" s="11" t="e" cm="1">
        <f t="array" aca="1" ref="G55" ca="1">INDEX(INDIRECT($M55),
       MATCH(TRIM($C55), TRIM(INDIRECT($N55)), 0),
       MATCH(TRIM(G$2), TRIM(INDIRECT($O55)), 0))</f>
        <v>#N/A</v>
      </c>
      <c r="H55" s="9" t="e" cm="1">
        <f t="array" aca="1" ref="H55" ca="1">INDEX(INDIRECT($M55),
       MATCH(TRIM($C55), TRIM(INDIRECT($N55)), 0),
       MATCH(TRIM(H$2), TRIM(INDIRECT($O55)), 0))</f>
        <v>#N/A</v>
      </c>
      <c r="I55" s="11" t="e" cm="1">
        <f t="array" aca="1" ref="I55" ca="1">INDEX(INDIRECT($M55),
       MATCH(TRIM($C55), TRIM(INDIRECT($N55)), 0),
       MATCH(TRIM(I$2), TRIM(INDIRECT($O55)), 0))</f>
        <v>#N/A</v>
      </c>
      <c r="J55" s="9" t="e" cm="1">
        <f t="array" aca="1" ref="J55" ca="1">INDEX(INDIRECT($M55),
       MATCH(TRIM($C55), TRIM(INDIRECT($N55)), 0),
       MATCH(TRIM(J$2), TRIM(INDIRECT($O55)), 0))</f>
        <v>#N/A</v>
      </c>
      <c r="K55" s="11" t="e" cm="1">
        <f t="array" aca="1" ref="K55" ca="1">INDEX(INDIRECT($M55),
       MATCH(TRIM($C55), TRIM(INDIRECT($N55)), 0),
       MATCH(TRIM(K$2), TRIM(INDIRECT($O55)), 0))</f>
        <v>#N/A</v>
      </c>
      <c r="L55" s="11" t="e" cm="1">
        <f t="array" aca="1" ref="L55" ca="1">INDEX(INDIRECT($M55),
       MATCH(TRIM($C55), TRIM(INDIRECT($N55)), 0),
       MATCH(TRIM(L$2), TRIM(INDIRECT($O55)), 0))</f>
        <v>#N/A</v>
      </c>
      <c r="M55" s="5" t="str">
        <f t="shared" si="0"/>
        <v>'2015'!$N$3:$V$80</v>
      </c>
      <c r="N55" s="5" t="str">
        <f t="shared" si="1"/>
        <v>'2015'!$M$2:$M$80</v>
      </c>
      <c r="O55" s="5" t="str">
        <f t="shared" si="2"/>
        <v>'2015'!$N$2:$W$2</v>
      </c>
    </row>
    <row r="56" spans="1:15" x14ac:dyDescent="0.3">
      <c r="A56">
        <v>54</v>
      </c>
      <c r="B56" s="9">
        <v>2015</v>
      </c>
      <c r="C56" t="s">
        <v>53</v>
      </c>
      <c r="D56" s="11" t="e" cm="1">
        <f t="array" aca="1" ref="D56" ca="1">INDEX(INDIRECT($M56),
       MATCH(TRIM($C56), TRIM(INDIRECT($N56)), 0),
       MATCH(TRIM(D$2), TRIM(INDIRECT($O56)), 0))</f>
        <v>#N/A</v>
      </c>
      <c r="E56" s="9" t="e" cm="1">
        <f t="array" aca="1" ref="E56" ca="1">INDEX(INDIRECT($M56),
       MATCH(TRIM($C56), TRIM(INDIRECT($N56)), 0),
       MATCH(TRIM(E$2), TRIM(INDIRECT($O56)), 0))</f>
        <v>#N/A</v>
      </c>
      <c r="F56" s="11" t="e" cm="1">
        <f t="array" aca="1" ref="F56" ca="1">INDEX(INDIRECT($M56),
       MATCH(TRIM($C56), TRIM(INDIRECT($N56)), 0),
       MATCH(TRIM(F$2), TRIM(INDIRECT($O56)), 0))</f>
        <v>#N/A</v>
      </c>
      <c r="G56" s="11" t="e" cm="1">
        <f t="array" aca="1" ref="G56" ca="1">INDEX(INDIRECT($M56),
       MATCH(TRIM($C56), TRIM(INDIRECT($N56)), 0),
       MATCH(TRIM(G$2), TRIM(INDIRECT($O56)), 0))</f>
        <v>#N/A</v>
      </c>
      <c r="H56" s="9" t="e" cm="1">
        <f t="array" aca="1" ref="H56" ca="1">INDEX(INDIRECT($M56),
       MATCH(TRIM($C56), TRIM(INDIRECT($N56)), 0),
       MATCH(TRIM(H$2), TRIM(INDIRECT($O56)), 0))</f>
        <v>#N/A</v>
      </c>
      <c r="I56" s="11" t="e" cm="1">
        <f t="array" aca="1" ref="I56" ca="1">INDEX(INDIRECT($M56),
       MATCH(TRIM($C56), TRIM(INDIRECT($N56)), 0),
       MATCH(TRIM(I$2), TRIM(INDIRECT($O56)), 0))</f>
        <v>#N/A</v>
      </c>
      <c r="J56" s="9" t="e" cm="1">
        <f t="array" aca="1" ref="J56" ca="1">INDEX(INDIRECT($M56),
       MATCH(TRIM($C56), TRIM(INDIRECT($N56)), 0),
       MATCH(TRIM(J$2), TRIM(INDIRECT($O56)), 0))</f>
        <v>#N/A</v>
      </c>
      <c r="K56" s="11" t="e" cm="1">
        <f t="array" aca="1" ref="K56" ca="1">INDEX(INDIRECT($M56),
       MATCH(TRIM($C56), TRIM(INDIRECT($N56)), 0),
       MATCH(TRIM(K$2), TRIM(INDIRECT($O56)), 0))</f>
        <v>#N/A</v>
      </c>
      <c r="L56" s="11" t="e" cm="1">
        <f t="array" aca="1" ref="L56" ca="1">INDEX(INDIRECT($M56),
       MATCH(TRIM($C56), TRIM(INDIRECT($N56)), 0),
       MATCH(TRIM(L$2), TRIM(INDIRECT($O56)), 0))</f>
        <v>#N/A</v>
      </c>
      <c r="M56" s="5" t="str">
        <f t="shared" si="0"/>
        <v>'2015'!$N$3:$V$80</v>
      </c>
      <c r="N56" s="5" t="str">
        <f t="shared" si="1"/>
        <v>'2015'!$M$2:$M$80</v>
      </c>
      <c r="O56" s="5" t="str">
        <f t="shared" si="2"/>
        <v>'2015'!$N$2:$W$2</v>
      </c>
    </row>
    <row r="57" spans="1:15" x14ac:dyDescent="0.3">
      <c r="A57">
        <v>55</v>
      </c>
      <c r="B57" s="9">
        <v>2015</v>
      </c>
      <c r="C57" t="s">
        <v>54</v>
      </c>
      <c r="D57" s="11" t="e" cm="1">
        <f t="array" aca="1" ref="D57" ca="1">INDEX(INDIRECT($M57),
       MATCH(TRIM($C57), TRIM(INDIRECT($N57)), 0),
       MATCH(TRIM(D$2), TRIM(INDIRECT($O57)), 0))</f>
        <v>#N/A</v>
      </c>
      <c r="E57" s="9" t="e" cm="1">
        <f t="array" aca="1" ref="E57" ca="1">INDEX(INDIRECT($M57),
       MATCH(TRIM($C57), TRIM(INDIRECT($N57)), 0),
       MATCH(TRIM(E$2), TRIM(INDIRECT($O57)), 0))</f>
        <v>#N/A</v>
      </c>
      <c r="F57" s="11" t="e" cm="1">
        <f t="array" aca="1" ref="F57" ca="1">INDEX(INDIRECT($M57),
       MATCH(TRIM($C57), TRIM(INDIRECT($N57)), 0),
       MATCH(TRIM(F$2), TRIM(INDIRECT($O57)), 0))</f>
        <v>#N/A</v>
      </c>
      <c r="G57" s="11" t="e" cm="1">
        <f t="array" aca="1" ref="G57" ca="1">INDEX(INDIRECT($M57),
       MATCH(TRIM($C57), TRIM(INDIRECT($N57)), 0),
       MATCH(TRIM(G$2), TRIM(INDIRECT($O57)), 0))</f>
        <v>#N/A</v>
      </c>
      <c r="H57" s="9" t="e" cm="1">
        <f t="array" aca="1" ref="H57" ca="1">INDEX(INDIRECT($M57),
       MATCH(TRIM($C57), TRIM(INDIRECT($N57)), 0),
       MATCH(TRIM(H$2), TRIM(INDIRECT($O57)), 0))</f>
        <v>#N/A</v>
      </c>
      <c r="I57" s="11" t="e" cm="1">
        <f t="array" aca="1" ref="I57" ca="1">INDEX(INDIRECT($M57),
       MATCH(TRIM($C57), TRIM(INDIRECT($N57)), 0),
       MATCH(TRIM(I$2), TRIM(INDIRECT($O57)), 0))</f>
        <v>#N/A</v>
      </c>
      <c r="J57" s="9" t="e" cm="1">
        <f t="array" aca="1" ref="J57" ca="1">INDEX(INDIRECT($M57),
       MATCH(TRIM($C57), TRIM(INDIRECT($N57)), 0),
       MATCH(TRIM(J$2), TRIM(INDIRECT($O57)), 0))</f>
        <v>#N/A</v>
      </c>
      <c r="K57" s="11" t="e" cm="1">
        <f t="array" aca="1" ref="K57" ca="1">INDEX(INDIRECT($M57),
       MATCH(TRIM($C57), TRIM(INDIRECT($N57)), 0),
       MATCH(TRIM(K$2), TRIM(INDIRECT($O57)), 0))</f>
        <v>#N/A</v>
      </c>
      <c r="L57" s="11" t="e" cm="1">
        <f t="array" aca="1" ref="L57" ca="1">INDEX(INDIRECT($M57),
       MATCH(TRIM($C57), TRIM(INDIRECT($N57)), 0),
       MATCH(TRIM(L$2), TRIM(INDIRECT($O57)), 0))</f>
        <v>#N/A</v>
      </c>
      <c r="M57" s="5" t="str">
        <f t="shared" si="0"/>
        <v>'2015'!$N$3:$V$80</v>
      </c>
      <c r="N57" s="5" t="str">
        <f t="shared" si="1"/>
        <v>'2015'!$M$2:$M$80</v>
      </c>
      <c r="O57" s="5" t="str">
        <f t="shared" si="2"/>
        <v>'2015'!$N$2:$W$2</v>
      </c>
    </row>
    <row r="58" spans="1:15" x14ac:dyDescent="0.3">
      <c r="A58">
        <v>56</v>
      </c>
      <c r="B58" s="9">
        <v>2015</v>
      </c>
      <c r="C58" t="s">
        <v>55</v>
      </c>
      <c r="D58" s="11" cm="1">
        <f t="array" aca="1" ref="D58" ca="1">INDEX(INDIRECT($M58),
       MATCH(TRIM($C58), TRIM(INDIRECT($N58)), 0),
       MATCH(TRIM(D$2), TRIM(INDIRECT($O58)), 0))</f>
        <v>1</v>
      </c>
      <c r="E58" s="9" cm="1">
        <f t="array" aca="1" ref="E58" ca="1">INDEX(INDIRECT($M58),
       MATCH(TRIM($C58), TRIM(INDIRECT($N58)), 0),
       MATCH(TRIM(E$2), TRIM(INDIRECT($O58)), 0))</f>
        <v>15000000</v>
      </c>
      <c r="F58" s="11" cm="1">
        <f t="array" aca="1" ref="F58" ca="1">INDEX(INDIRECT($M58),
       MATCH(TRIM($C58), TRIM(INDIRECT($N58)), 0),
       MATCH(TRIM(F$2), TRIM(INDIRECT($O58)), 0))</f>
        <v>15</v>
      </c>
      <c r="G58" s="11" cm="1">
        <f t="array" aca="1" ref="G58" ca="1">INDEX(INDIRECT($M58),
       MATCH(TRIM($C58), TRIM(INDIRECT($N58)), 0),
       MATCH(TRIM(G$2), TRIM(INDIRECT($O58)), 0))</f>
        <v>0</v>
      </c>
      <c r="H58" s="9" cm="1">
        <f t="array" aca="1" ref="H58" ca="1">INDEX(INDIRECT($M58),
       MATCH(TRIM($C58), TRIM(INDIRECT($N58)), 0),
       MATCH(TRIM(H$2), TRIM(INDIRECT($O58)), 0))</f>
        <v>0</v>
      </c>
      <c r="I58" s="11" cm="1">
        <f t="array" aca="1" ref="I58" ca="1">INDEX(INDIRECT($M58),
       MATCH(TRIM($C58), TRIM(INDIRECT($N58)), 0),
       MATCH(TRIM(I$2), TRIM(INDIRECT($O58)), 0))</f>
        <v>0</v>
      </c>
      <c r="J58" s="9" t="e" cm="1">
        <f t="array" aca="1" ref="J58" ca="1">INDEX(INDIRECT($M58),
       MATCH(TRIM($C58), TRIM(INDIRECT($N58)), 0),
       MATCH(TRIM(J$2), TRIM(INDIRECT($O58)), 0))</f>
        <v>#N/A</v>
      </c>
      <c r="K58" s="11" t="e" cm="1">
        <f t="array" aca="1" ref="K58" ca="1">INDEX(INDIRECT($M58),
       MATCH(TRIM($C58), TRIM(INDIRECT($N58)), 0),
       MATCH(TRIM(K$2), TRIM(INDIRECT($O58)), 0))</f>
        <v>#N/A</v>
      </c>
      <c r="L58" s="11" cm="1">
        <f t="array" aca="1" ref="L58" ca="1">INDEX(INDIRECT($M58),
       MATCH(TRIM($C58), TRIM(INDIRECT($N58)), 0),
       MATCH(TRIM(L$2), TRIM(INDIRECT($O58)), 0))</f>
        <v>15</v>
      </c>
      <c r="M58" s="5" t="str">
        <f t="shared" si="0"/>
        <v>'2015'!$N$3:$V$80</v>
      </c>
      <c r="N58" s="5" t="str">
        <f t="shared" si="1"/>
        <v>'2015'!$M$2:$M$80</v>
      </c>
      <c r="O58" s="5" t="str">
        <f t="shared" si="2"/>
        <v>'2015'!$N$2:$W$2</v>
      </c>
    </row>
    <row r="59" spans="1:15" x14ac:dyDescent="0.3">
      <c r="A59">
        <v>57</v>
      </c>
      <c r="B59" s="9">
        <v>2015</v>
      </c>
      <c r="C59" t="s">
        <v>56</v>
      </c>
      <c r="D59" s="11" t="e" cm="1">
        <f t="array" aca="1" ref="D59" ca="1">INDEX(INDIRECT($M59),
       MATCH(TRIM($C59), TRIM(INDIRECT($N59)), 0),
       MATCH(TRIM(D$2), TRIM(INDIRECT($O59)), 0))</f>
        <v>#N/A</v>
      </c>
      <c r="E59" s="9" t="e" cm="1">
        <f t="array" aca="1" ref="E59" ca="1">INDEX(INDIRECT($M59),
       MATCH(TRIM($C59), TRIM(INDIRECT($N59)), 0),
       MATCH(TRIM(E$2), TRIM(INDIRECT($O59)), 0))</f>
        <v>#N/A</v>
      </c>
      <c r="F59" s="11" t="e" cm="1">
        <f t="array" aca="1" ref="F59" ca="1">INDEX(INDIRECT($M59),
       MATCH(TRIM($C59), TRIM(INDIRECT($N59)), 0),
       MATCH(TRIM(F$2), TRIM(INDIRECT($O59)), 0))</f>
        <v>#N/A</v>
      </c>
      <c r="G59" s="11" t="e" cm="1">
        <f t="array" aca="1" ref="G59" ca="1">INDEX(INDIRECT($M59),
       MATCH(TRIM($C59), TRIM(INDIRECT($N59)), 0),
       MATCH(TRIM(G$2), TRIM(INDIRECT($O59)), 0))</f>
        <v>#N/A</v>
      </c>
      <c r="H59" s="9" t="e" cm="1">
        <f t="array" aca="1" ref="H59" ca="1">INDEX(INDIRECT($M59),
       MATCH(TRIM($C59), TRIM(INDIRECT($N59)), 0),
       MATCH(TRIM(H$2), TRIM(INDIRECT($O59)), 0))</f>
        <v>#N/A</v>
      </c>
      <c r="I59" s="11" t="e" cm="1">
        <f t="array" aca="1" ref="I59" ca="1">INDEX(INDIRECT($M59),
       MATCH(TRIM($C59), TRIM(INDIRECT($N59)), 0),
       MATCH(TRIM(I$2), TRIM(INDIRECT($O59)), 0))</f>
        <v>#N/A</v>
      </c>
      <c r="J59" s="9" t="e" cm="1">
        <f t="array" aca="1" ref="J59" ca="1">INDEX(INDIRECT($M59),
       MATCH(TRIM($C59), TRIM(INDIRECT($N59)), 0),
       MATCH(TRIM(J$2), TRIM(INDIRECT($O59)), 0))</f>
        <v>#N/A</v>
      </c>
      <c r="K59" s="11" t="e" cm="1">
        <f t="array" aca="1" ref="K59" ca="1">INDEX(INDIRECT($M59),
       MATCH(TRIM($C59), TRIM(INDIRECT($N59)), 0),
       MATCH(TRIM(K$2), TRIM(INDIRECT($O59)), 0))</f>
        <v>#N/A</v>
      </c>
      <c r="L59" s="11" t="e" cm="1">
        <f t="array" aca="1" ref="L59" ca="1">INDEX(INDIRECT($M59),
       MATCH(TRIM($C59), TRIM(INDIRECT($N59)), 0),
       MATCH(TRIM(L$2), TRIM(INDIRECT($O59)), 0))</f>
        <v>#N/A</v>
      </c>
      <c r="M59" s="5" t="str">
        <f t="shared" si="0"/>
        <v>'2015'!$N$3:$V$80</v>
      </c>
      <c r="N59" s="5" t="str">
        <f t="shared" si="1"/>
        <v>'2015'!$M$2:$M$80</v>
      </c>
      <c r="O59" s="5" t="str">
        <f t="shared" si="2"/>
        <v>'2015'!$N$2:$W$2</v>
      </c>
    </row>
    <row r="60" spans="1:15" x14ac:dyDescent="0.3">
      <c r="A60">
        <v>58</v>
      </c>
      <c r="B60" s="9">
        <v>2015</v>
      </c>
      <c r="C60" t="s">
        <v>57</v>
      </c>
      <c r="D60" s="11" t="e" cm="1">
        <f t="array" aca="1" ref="D60" ca="1">INDEX(INDIRECT($M60),
       MATCH(TRIM($C60), TRIM(INDIRECT($N60)), 0),
       MATCH(TRIM(D$2), TRIM(INDIRECT($O60)), 0))</f>
        <v>#N/A</v>
      </c>
      <c r="E60" s="9" t="e" cm="1">
        <f t="array" aca="1" ref="E60" ca="1">INDEX(INDIRECT($M60),
       MATCH(TRIM($C60), TRIM(INDIRECT($N60)), 0),
       MATCH(TRIM(E$2), TRIM(INDIRECT($O60)), 0))</f>
        <v>#N/A</v>
      </c>
      <c r="F60" s="11" t="e" cm="1">
        <f t="array" aca="1" ref="F60" ca="1">INDEX(INDIRECT($M60),
       MATCH(TRIM($C60), TRIM(INDIRECT($N60)), 0),
       MATCH(TRIM(F$2), TRIM(INDIRECT($O60)), 0))</f>
        <v>#N/A</v>
      </c>
      <c r="G60" s="11" t="e" cm="1">
        <f t="array" aca="1" ref="G60" ca="1">INDEX(INDIRECT($M60),
       MATCH(TRIM($C60), TRIM(INDIRECT($N60)), 0),
       MATCH(TRIM(G$2), TRIM(INDIRECT($O60)), 0))</f>
        <v>#N/A</v>
      </c>
      <c r="H60" s="9" t="e" cm="1">
        <f t="array" aca="1" ref="H60" ca="1">INDEX(INDIRECT($M60),
       MATCH(TRIM($C60), TRIM(INDIRECT($N60)), 0),
       MATCH(TRIM(H$2), TRIM(INDIRECT($O60)), 0))</f>
        <v>#N/A</v>
      </c>
      <c r="I60" s="11" t="e" cm="1">
        <f t="array" aca="1" ref="I60" ca="1">INDEX(INDIRECT($M60),
       MATCH(TRIM($C60), TRIM(INDIRECT($N60)), 0),
       MATCH(TRIM(I$2), TRIM(INDIRECT($O60)), 0))</f>
        <v>#N/A</v>
      </c>
      <c r="J60" s="9" t="e" cm="1">
        <f t="array" aca="1" ref="J60" ca="1">INDEX(INDIRECT($M60),
       MATCH(TRIM($C60), TRIM(INDIRECT($N60)), 0),
       MATCH(TRIM(J$2), TRIM(INDIRECT($O60)), 0))</f>
        <v>#N/A</v>
      </c>
      <c r="K60" s="11" t="e" cm="1">
        <f t="array" aca="1" ref="K60" ca="1">INDEX(INDIRECT($M60),
       MATCH(TRIM($C60), TRIM(INDIRECT($N60)), 0),
       MATCH(TRIM(K$2), TRIM(INDIRECT($O60)), 0))</f>
        <v>#N/A</v>
      </c>
      <c r="L60" s="11" t="e" cm="1">
        <f t="array" aca="1" ref="L60" ca="1">INDEX(INDIRECT($M60),
       MATCH(TRIM($C60), TRIM(INDIRECT($N60)), 0),
       MATCH(TRIM(L$2), TRIM(INDIRECT($O60)), 0))</f>
        <v>#N/A</v>
      </c>
      <c r="M60" s="5" t="str">
        <f t="shared" si="0"/>
        <v>'2015'!$N$3:$V$80</v>
      </c>
      <c r="N60" s="5" t="str">
        <f t="shared" si="1"/>
        <v>'2015'!$M$2:$M$80</v>
      </c>
      <c r="O60" s="5" t="str">
        <f t="shared" si="2"/>
        <v>'2015'!$N$2:$W$2</v>
      </c>
    </row>
    <row r="61" spans="1:15" x14ac:dyDescent="0.3">
      <c r="A61">
        <v>59</v>
      </c>
      <c r="B61" s="9">
        <v>2015</v>
      </c>
      <c r="C61" t="s">
        <v>58</v>
      </c>
      <c r="D61" s="11" t="e" cm="1">
        <f t="array" aca="1" ref="D61" ca="1">INDEX(INDIRECT($M61),
       MATCH(TRIM($C61), TRIM(INDIRECT($N61)), 0),
       MATCH(TRIM(D$2), TRIM(INDIRECT($O61)), 0))</f>
        <v>#N/A</v>
      </c>
      <c r="E61" s="9" t="e" cm="1">
        <f t="array" aca="1" ref="E61" ca="1">INDEX(INDIRECT($M61),
       MATCH(TRIM($C61), TRIM(INDIRECT($N61)), 0),
       MATCH(TRIM(E$2), TRIM(INDIRECT($O61)), 0))</f>
        <v>#N/A</v>
      </c>
      <c r="F61" s="11" t="e" cm="1">
        <f t="array" aca="1" ref="F61" ca="1">INDEX(INDIRECT($M61),
       MATCH(TRIM($C61), TRIM(INDIRECT($N61)), 0),
       MATCH(TRIM(F$2), TRIM(INDIRECT($O61)), 0))</f>
        <v>#N/A</v>
      </c>
      <c r="G61" s="11" t="e" cm="1">
        <f t="array" aca="1" ref="G61" ca="1">INDEX(INDIRECT($M61),
       MATCH(TRIM($C61), TRIM(INDIRECT($N61)), 0),
       MATCH(TRIM(G$2), TRIM(INDIRECT($O61)), 0))</f>
        <v>#N/A</v>
      </c>
      <c r="H61" s="9" t="e" cm="1">
        <f t="array" aca="1" ref="H61" ca="1">INDEX(INDIRECT($M61),
       MATCH(TRIM($C61), TRIM(INDIRECT($N61)), 0),
       MATCH(TRIM(H$2), TRIM(INDIRECT($O61)), 0))</f>
        <v>#N/A</v>
      </c>
      <c r="I61" s="11" t="e" cm="1">
        <f t="array" aca="1" ref="I61" ca="1">INDEX(INDIRECT($M61),
       MATCH(TRIM($C61), TRIM(INDIRECT($N61)), 0),
       MATCH(TRIM(I$2), TRIM(INDIRECT($O61)), 0))</f>
        <v>#N/A</v>
      </c>
      <c r="J61" s="9" t="e" cm="1">
        <f t="array" aca="1" ref="J61" ca="1">INDEX(INDIRECT($M61),
       MATCH(TRIM($C61), TRIM(INDIRECT($N61)), 0),
       MATCH(TRIM(J$2), TRIM(INDIRECT($O61)), 0))</f>
        <v>#N/A</v>
      </c>
      <c r="K61" s="11" t="e" cm="1">
        <f t="array" aca="1" ref="K61" ca="1">INDEX(INDIRECT($M61),
       MATCH(TRIM($C61), TRIM(INDIRECT($N61)), 0),
       MATCH(TRIM(K$2), TRIM(INDIRECT($O61)), 0))</f>
        <v>#N/A</v>
      </c>
      <c r="L61" s="11" t="e" cm="1">
        <f t="array" aca="1" ref="L61" ca="1">INDEX(INDIRECT($M61),
       MATCH(TRIM($C61), TRIM(INDIRECT($N61)), 0),
       MATCH(TRIM(L$2), TRIM(INDIRECT($O61)), 0))</f>
        <v>#N/A</v>
      </c>
      <c r="M61" s="5" t="str">
        <f t="shared" si="0"/>
        <v>'2015'!$N$3:$V$80</v>
      </c>
      <c r="N61" s="5" t="str">
        <f t="shared" si="1"/>
        <v>'2015'!$M$2:$M$80</v>
      </c>
      <c r="O61" s="5" t="str">
        <f t="shared" si="2"/>
        <v>'2015'!$N$2:$W$2</v>
      </c>
    </row>
    <row r="62" spans="1:15" x14ac:dyDescent="0.3">
      <c r="A62">
        <v>60</v>
      </c>
      <c r="B62" s="9">
        <v>2015</v>
      </c>
      <c r="C62" t="s">
        <v>59</v>
      </c>
      <c r="D62" s="11" t="e" cm="1">
        <f t="array" aca="1" ref="D62" ca="1">INDEX(INDIRECT($M62),
       MATCH(TRIM($C62), TRIM(INDIRECT($N62)), 0),
       MATCH(TRIM(D$2), TRIM(INDIRECT($O62)), 0))</f>
        <v>#N/A</v>
      </c>
      <c r="E62" s="9" t="e" cm="1">
        <f t="array" aca="1" ref="E62" ca="1">INDEX(INDIRECT($M62),
       MATCH(TRIM($C62), TRIM(INDIRECT($N62)), 0),
       MATCH(TRIM(E$2), TRIM(INDIRECT($O62)), 0))</f>
        <v>#N/A</v>
      </c>
      <c r="F62" s="11" t="e" cm="1">
        <f t="array" aca="1" ref="F62" ca="1">INDEX(INDIRECT($M62),
       MATCH(TRIM($C62), TRIM(INDIRECT($N62)), 0),
       MATCH(TRIM(F$2), TRIM(INDIRECT($O62)), 0))</f>
        <v>#N/A</v>
      </c>
      <c r="G62" s="11" t="e" cm="1">
        <f t="array" aca="1" ref="G62" ca="1">INDEX(INDIRECT($M62),
       MATCH(TRIM($C62), TRIM(INDIRECT($N62)), 0),
       MATCH(TRIM(G$2), TRIM(INDIRECT($O62)), 0))</f>
        <v>#N/A</v>
      </c>
      <c r="H62" s="9" t="e" cm="1">
        <f t="array" aca="1" ref="H62" ca="1">INDEX(INDIRECT($M62),
       MATCH(TRIM($C62), TRIM(INDIRECT($N62)), 0),
       MATCH(TRIM(H$2), TRIM(INDIRECT($O62)), 0))</f>
        <v>#N/A</v>
      </c>
      <c r="I62" s="11" t="e" cm="1">
        <f t="array" aca="1" ref="I62" ca="1">INDEX(INDIRECT($M62),
       MATCH(TRIM($C62), TRIM(INDIRECT($N62)), 0),
       MATCH(TRIM(I$2), TRIM(INDIRECT($O62)), 0))</f>
        <v>#N/A</v>
      </c>
      <c r="J62" s="9" t="e" cm="1">
        <f t="array" aca="1" ref="J62" ca="1">INDEX(INDIRECT($M62),
       MATCH(TRIM($C62), TRIM(INDIRECT($N62)), 0),
       MATCH(TRIM(J$2), TRIM(INDIRECT($O62)), 0))</f>
        <v>#N/A</v>
      </c>
      <c r="K62" s="11" t="e" cm="1">
        <f t="array" aca="1" ref="K62" ca="1">INDEX(INDIRECT($M62),
       MATCH(TRIM($C62), TRIM(INDIRECT($N62)), 0),
       MATCH(TRIM(K$2), TRIM(INDIRECT($O62)), 0))</f>
        <v>#N/A</v>
      </c>
      <c r="L62" s="11" t="e" cm="1">
        <f t="array" aca="1" ref="L62" ca="1">INDEX(INDIRECT($M62),
       MATCH(TRIM($C62), TRIM(INDIRECT($N62)), 0),
       MATCH(TRIM(L$2), TRIM(INDIRECT($O62)), 0))</f>
        <v>#N/A</v>
      </c>
      <c r="M62" s="5" t="str">
        <f t="shared" si="0"/>
        <v>'2015'!$N$3:$V$80</v>
      </c>
      <c r="N62" s="5" t="str">
        <f t="shared" si="1"/>
        <v>'2015'!$M$2:$M$80</v>
      </c>
      <c r="O62" s="5" t="str">
        <f t="shared" si="2"/>
        <v>'2015'!$N$2:$W$2</v>
      </c>
    </row>
    <row r="63" spans="1:15" x14ac:dyDescent="0.3">
      <c r="A63">
        <v>61</v>
      </c>
      <c r="B63" s="9">
        <v>2015</v>
      </c>
      <c r="C63" t="s">
        <v>60</v>
      </c>
      <c r="D63" s="11" t="e" cm="1">
        <f t="array" aca="1" ref="D63" ca="1">INDEX(INDIRECT($M63),
       MATCH(TRIM($C63), TRIM(INDIRECT($N63)), 0),
       MATCH(TRIM(D$2), TRIM(INDIRECT($O63)), 0))</f>
        <v>#N/A</v>
      </c>
      <c r="E63" s="9" t="e" cm="1">
        <f t="array" aca="1" ref="E63" ca="1">INDEX(INDIRECT($M63),
       MATCH(TRIM($C63), TRIM(INDIRECT($N63)), 0),
       MATCH(TRIM(E$2), TRIM(INDIRECT($O63)), 0))</f>
        <v>#N/A</v>
      </c>
      <c r="F63" s="11" t="e" cm="1">
        <f t="array" aca="1" ref="F63" ca="1">INDEX(INDIRECT($M63),
       MATCH(TRIM($C63), TRIM(INDIRECT($N63)), 0),
       MATCH(TRIM(F$2), TRIM(INDIRECT($O63)), 0))</f>
        <v>#N/A</v>
      </c>
      <c r="G63" s="11" t="e" cm="1">
        <f t="array" aca="1" ref="G63" ca="1">INDEX(INDIRECT($M63),
       MATCH(TRIM($C63), TRIM(INDIRECT($N63)), 0),
       MATCH(TRIM(G$2), TRIM(INDIRECT($O63)), 0))</f>
        <v>#N/A</v>
      </c>
      <c r="H63" s="9" t="e" cm="1">
        <f t="array" aca="1" ref="H63" ca="1">INDEX(INDIRECT($M63),
       MATCH(TRIM($C63), TRIM(INDIRECT($N63)), 0),
       MATCH(TRIM(H$2), TRIM(INDIRECT($O63)), 0))</f>
        <v>#N/A</v>
      </c>
      <c r="I63" s="11" t="e" cm="1">
        <f t="array" aca="1" ref="I63" ca="1">INDEX(INDIRECT($M63),
       MATCH(TRIM($C63), TRIM(INDIRECT($N63)), 0),
       MATCH(TRIM(I$2), TRIM(INDIRECT($O63)), 0))</f>
        <v>#N/A</v>
      </c>
      <c r="J63" s="9" t="e" cm="1">
        <f t="array" aca="1" ref="J63" ca="1">INDEX(INDIRECT($M63),
       MATCH(TRIM($C63), TRIM(INDIRECT($N63)), 0),
       MATCH(TRIM(J$2), TRIM(INDIRECT($O63)), 0))</f>
        <v>#N/A</v>
      </c>
      <c r="K63" s="11" t="e" cm="1">
        <f t="array" aca="1" ref="K63" ca="1">INDEX(INDIRECT($M63),
       MATCH(TRIM($C63), TRIM(INDIRECT($N63)), 0),
       MATCH(TRIM(K$2), TRIM(INDIRECT($O63)), 0))</f>
        <v>#N/A</v>
      </c>
      <c r="L63" s="11" t="e" cm="1">
        <f t="array" aca="1" ref="L63" ca="1">INDEX(INDIRECT($M63),
       MATCH(TRIM($C63), TRIM(INDIRECT($N63)), 0),
       MATCH(TRIM(L$2), TRIM(INDIRECT($O63)), 0))</f>
        <v>#N/A</v>
      </c>
      <c r="M63" s="5" t="str">
        <f t="shared" si="0"/>
        <v>'2015'!$N$3:$V$80</v>
      </c>
      <c r="N63" s="5" t="str">
        <f t="shared" si="1"/>
        <v>'2015'!$M$2:$M$80</v>
      </c>
      <c r="O63" s="5" t="str">
        <f t="shared" si="2"/>
        <v>'2015'!$N$2:$W$2</v>
      </c>
    </row>
    <row r="64" spans="1:15" x14ac:dyDescent="0.3">
      <c r="A64">
        <v>62</v>
      </c>
      <c r="B64" s="9">
        <v>2015</v>
      </c>
      <c r="C64" t="s">
        <v>61</v>
      </c>
      <c r="D64" s="11" cm="1">
        <f t="array" aca="1" ref="D64" ca="1">INDEX(INDIRECT($M64),
       MATCH(TRIM($C64), TRIM(INDIRECT($N64)), 0),
       MATCH(TRIM(D$2), TRIM(INDIRECT($O64)), 0))</f>
        <v>1</v>
      </c>
      <c r="E64" s="9" cm="1">
        <f t="array" aca="1" ref="E64" ca="1">INDEX(INDIRECT($M64),
       MATCH(TRIM($C64), TRIM(INDIRECT($N64)), 0),
       MATCH(TRIM(E$2), TRIM(INDIRECT($O64)), 0))</f>
        <v>888889</v>
      </c>
      <c r="F64" s="11" cm="1">
        <f t="array" aca="1" ref="F64" ca="1">INDEX(INDIRECT($M64),
       MATCH(TRIM($C64), TRIM(INDIRECT($N64)), 0),
       MATCH(TRIM(F$2), TRIM(INDIRECT($O64)), 0))</f>
        <v>0.88888900000000004</v>
      </c>
      <c r="G64" s="11" cm="1">
        <f t="array" aca="1" ref="G64" ca="1">INDEX(INDIRECT($M64),
       MATCH(TRIM($C64), TRIM(INDIRECT($N64)), 0),
       MATCH(TRIM(G$2), TRIM(INDIRECT($O64)), 0))</f>
        <v>0</v>
      </c>
      <c r="H64" s="9" cm="1">
        <f t="array" aca="1" ref="H64" ca="1">INDEX(INDIRECT($M64),
       MATCH(TRIM($C64), TRIM(INDIRECT($N64)), 0),
       MATCH(TRIM(H$2), TRIM(INDIRECT($O64)), 0))</f>
        <v>0</v>
      </c>
      <c r="I64" s="11" cm="1">
        <f t="array" aca="1" ref="I64" ca="1">INDEX(INDIRECT($M64),
       MATCH(TRIM($C64), TRIM(INDIRECT($N64)), 0),
       MATCH(TRIM(I$2), TRIM(INDIRECT($O64)), 0))</f>
        <v>0</v>
      </c>
      <c r="J64" s="9" t="e" cm="1">
        <f t="array" aca="1" ref="J64" ca="1">INDEX(INDIRECT($M64),
       MATCH(TRIM($C64), TRIM(INDIRECT($N64)), 0),
       MATCH(TRIM(J$2), TRIM(INDIRECT($O64)), 0))</f>
        <v>#N/A</v>
      </c>
      <c r="K64" s="11" t="e" cm="1">
        <f t="array" aca="1" ref="K64" ca="1">INDEX(INDIRECT($M64),
       MATCH(TRIM($C64), TRIM(INDIRECT($N64)), 0),
       MATCH(TRIM(K$2), TRIM(INDIRECT($O64)), 0))</f>
        <v>#N/A</v>
      </c>
      <c r="L64" s="11" cm="1">
        <f t="array" aca="1" ref="L64" ca="1">INDEX(INDIRECT($M64),
       MATCH(TRIM($C64), TRIM(INDIRECT($N64)), 0),
       MATCH(TRIM(L$2), TRIM(INDIRECT($O64)), 0))</f>
        <v>0.88888900000000004</v>
      </c>
      <c r="M64" s="5" t="str">
        <f t="shared" si="0"/>
        <v>'2015'!$N$3:$V$80</v>
      </c>
      <c r="N64" s="5" t="str">
        <f t="shared" si="1"/>
        <v>'2015'!$M$2:$M$80</v>
      </c>
      <c r="O64" s="5" t="str">
        <f t="shared" si="2"/>
        <v>'2015'!$N$2:$W$2</v>
      </c>
    </row>
    <row r="65" spans="1:15" x14ac:dyDescent="0.3">
      <c r="A65">
        <v>63</v>
      </c>
      <c r="B65" s="9">
        <v>2015</v>
      </c>
      <c r="C65" t="s">
        <v>62</v>
      </c>
      <c r="D65" s="11" t="e" cm="1">
        <f t="array" aca="1" ref="D65" ca="1">INDEX(INDIRECT($M65),
       MATCH(TRIM($C65), TRIM(INDIRECT($N65)), 0),
       MATCH(TRIM(D$2), TRIM(INDIRECT($O65)), 0))</f>
        <v>#N/A</v>
      </c>
      <c r="E65" s="9" t="e" cm="1">
        <f t="array" aca="1" ref="E65" ca="1">INDEX(INDIRECT($M65),
       MATCH(TRIM($C65), TRIM(INDIRECT($N65)), 0),
       MATCH(TRIM(E$2), TRIM(INDIRECT($O65)), 0))</f>
        <v>#N/A</v>
      </c>
      <c r="F65" s="11" t="e" cm="1">
        <f t="array" aca="1" ref="F65" ca="1">INDEX(INDIRECT($M65),
       MATCH(TRIM($C65), TRIM(INDIRECT($N65)), 0),
       MATCH(TRIM(F$2), TRIM(INDIRECT($O65)), 0))</f>
        <v>#N/A</v>
      </c>
      <c r="G65" s="11" t="e" cm="1">
        <f t="array" aca="1" ref="G65" ca="1">INDEX(INDIRECT($M65),
       MATCH(TRIM($C65), TRIM(INDIRECT($N65)), 0),
       MATCH(TRIM(G$2), TRIM(INDIRECT($O65)), 0))</f>
        <v>#N/A</v>
      </c>
      <c r="H65" s="9" t="e" cm="1">
        <f t="array" aca="1" ref="H65" ca="1">INDEX(INDIRECT($M65),
       MATCH(TRIM($C65), TRIM(INDIRECT($N65)), 0),
       MATCH(TRIM(H$2), TRIM(INDIRECT($O65)), 0))</f>
        <v>#N/A</v>
      </c>
      <c r="I65" s="11" t="e" cm="1">
        <f t="array" aca="1" ref="I65" ca="1">INDEX(INDIRECT($M65),
       MATCH(TRIM($C65), TRIM(INDIRECT($N65)), 0),
       MATCH(TRIM(I$2), TRIM(INDIRECT($O65)), 0))</f>
        <v>#N/A</v>
      </c>
      <c r="J65" s="9" t="e" cm="1">
        <f t="array" aca="1" ref="J65" ca="1">INDEX(INDIRECT($M65),
       MATCH(TRIM($C65), TRIM(INDIRECT($N65)), 0),
       MATCH(TRIM(J$2), TRIM(INDIRECT($O65)), 0))</f>
        <v>#N/A</v>
      </c>
      <c r="K65" s="11" t="e" cm="1">
        <f t="array" aca="1" ref="K65" ca="1">INDEX(INDIRECT($M65),
       MATCH(TRIM($C65), TRIM(INDIRECT($N65)), 0),
       MATCH(TRIM(K$2), TRIM(INDIRECT($O65)), 0))</f>
        <v>#N/A</v>
      </c>
      <c r="L65" s="11" t="e" cm="1">
        <f t="array" aca="1" ref="L65" ca="1">INDEX(INDIRECT($M65),
       MATCH(TRIM($C65), TRIM(INDIRECT($N65)), 0),
       MATCH(TRIM(L$2), TRIM(INDIRECT($O65)), 0))</f>
        <v>#N/A</v>
      </c>
      <c r="M65" s="5" t="str">
        <f t="shared" si="0"/>
        <v>'2015'!$N$3:$V$80</v>
      </c>
      <c r="N65" s="5" t="str">
        <f t="shared" si="1"/>
        <v>'2015'!$M$2:$M$80</v>
      </c>
      <c r="O65" s="5" t="str">
        <f t="shared" si="2"/>
        <v>'2015'!$N$2:$W$2</v>
      </c>
    </row>
    <row r="66" spans="1:15" x14ac:dyDescent="0.3">
      <c r="A66">
        <v>1</v>
      </c>
      <c r="B66" s="9">
        <v>2016</v>
      </c>
      <c r="C66" t="s">
        <v>0</v>
      </c>
      <c r="D66" s="11" cm="1">
        <f t="array" aca="1" ref="D66" ca="1">INDEX(INDIRECT($M66),
       MATCH(TRIM($C66), TRIM(INDIRECT($N66)), 0),
       MATCH(TRIM(D$2), TRIM(INDIRECT($O66)), 0))</f>
        <v>256</v>
      </c>
      <c r="E66" s="9" cm="1">
        <f t="array" aca="1" ref="E66" ca="1">INDEX(INDIRECT($M66),
       MATCH(TRIM($C66), TRIM(INDIRECT($N66)), 0),
       MATCH(TRIM(E$2), TRIM(INDIRECT($O66)), 0))</f>
        <v>1630516441</v>
      </c>
      <c r="F66" s="11" cm="1">
        <f t="array" aca="1" ref="F66" ca="1">INDEX(INDIRECT($M66),
       MATCH(TRIM($C66), TRIM(INDIRECT($N66)), 0),
       MATCH(TRIM(F$2), TRIM(INDIRECT($O66)), 0))</f>
        <v>1630.516441</v>
      </c>
      <c r="G66" s="11" cm="1">
        <f t="array" aca="1" ref="G66" ca="1">INDEX(INDIRECT($M66),
       MATCH(TRIM($C66), TRIM(INDIRECT($N66)), 0),
       MATCH(TRIM(G$2), TRIM(INDIRECT($O66)), 0))</f>
        <v>130</v>
      </c>
      <c r="H66" s="9" cm="1">
        <f t="array" aca="1" ref="H66" ca="1">INDEX(INDIRECT($M66),
       MATCH(TRIM($C66), TRIM(INDIRECT($N66)), 0),
       MATCH(TRIM(H$2), TRIM(INDIRECT($O66)), 0))</f>
        <v>641974756</v>
      </c>
      <c r="I66" s="11" cm="1">
        <f t="array" aca="1" ref="I66" ca="1">INDEX(INDIRECT($M66),
       MATCH(TRIM($C66), TRIM(INDIRECT($N66)), 0),
       MATCH(TRIM(I$2), TRIM(INDIRECT($O66)), 0))</f>
        <v>641.97475599999996</v>
      </c>
      <c r="J66" s="9" cm="1">
        <f t="array" aca="1" ref="J66" ca="1">INDEX(INDIRECT($M66),
       MATCH(TRIM($C66), TRIM(INDIRECT($N66)), 0),
       MATCH(TRIM(J$2), TRIM(INDIRECT($O66)), 0))</f>
        <v>25</v>
      </c>
      <c r="K66" s="11" cm="1">
        <f t="array" aca="1" ref="K66" ca="1">INDEX(INDIRECT($M66),
       MATCH(TRIM($C66), TRIM(INDIRECT($N66)), 0),
       MATCH(TRIM(K$2), TRIM(INDIRECT($O66)), 0))</f>
        <v>94.716414222222241</v>
      </c>
      <c r="L66" s="11" cm="1">
        <f t="array" aca="1" ref="L66" ca="1">INDEX(INDIRECT($M66),
       MATCH(TRIM($C66), TRIM(INDIRECT($N66)), 0),
       MATCH(TRIM(L$2), TRIM(INDIRECT($O66)), 0))</f>
        <v>2367.2076112222221</v>
      </c>
      <c r="M66" s="5" t="str">
        <f t="shared" si="0"/>
        <v>'2016'!$N$3:$V$80</v>
      </c>
      <c r="N66" s="5" t="str">
        <f t="shared" si="1"/>
        <v>'2016'!$M$2:$M$80</v>
      </c>
      <c r="O66" s="5" t="str">
        <f t="shared" si="2"/>
        <v>'2016'!$N$2:$W$2</v>
      </c>
    </row>
    <row r="67" spans="1:15" x14ac:dyDescent="0.3">
      <c r="A67">
        <v>2</v>
      </c>
      <c r="B67" s="9">
        <v>2016</v>
      </c>
      <c r="C67" t="s">
        <v>1</v>
      </c>
      <c r="D67" s="11" cm="1">
        <f t="array" aca="1" ref="D67" ca="1">INDEX(INDIRECT($M67),
       MATCH(TRIM($C67), TRIM(INDIRECT($N67)), 0),
       MATCH(TRIM(D$2), TRIM(INDIRECT($O67)), 0))</f>
        <v>52</v>
      </c>
      <c r="E67" s="9" cm="1">
        <f t="array" aca="1" ref="E67" ca="1">INDEX(INDIRECT($M67),
       MATCH(TRIM($C67), TRIM(INDIRECT($N67)), 0),
       MATCH(TRIM(E$2), TRIM(INDIRECT($O67)), 0))</f>
        <v>2464322981</v>
      </c>
      <c r="F67" s="11" cm="1">
        <f t="array" aca="1" ref="F67" ca="1">INDEX(INDIRECT($M67),
       MATCH(TRIM($C67), TRIM(INDIRECT($N67)), 0),
       MATCH(TRIM(F$2), TRIM(INDIRECT($O67)), 0))</f>
        <v>2464.3229809999998</v>
      </c>
      <c r="G67" s="11" cm="1">
        <f t="array" aca="1" ref="G67" ca="1">INDEX(INDIRECT($M67),
       MATCH(TRIM($C67), TRIM(INDIRECT($N67)), 0),
       MATCH(TRIM(G$2), TRIM(INDIRECT($O67)), 0))</f>
        <v>38</v>
      </c>
      <c r="H67" s="9" cm="1">
        <f t="array" aca="1" ref="H67" ca="1">INDEX(INDIRECT($M67),
       MATCH(TRIM($C67), TRIM(INDIRECT($N67)), 0),
       MATCH(TRIM(H$2), TRIM(INDIRECT($O67)), 0))</f>
        <v>429243946</v>
      </c>
      <c r="I67" s="11" cm="1">
        <f t="array" aca="1" ref="I67" ca="1">INDEX(INDIRECT($M67),
       MATCH(TRIM($C67), TRIM(INDIRECT($N67)), 0),
       MATCH(TRIM(I$2), TRIM(INDIRECT($O67)), 0))</f>
        <v>429.24394599999999</v>
      </c>
      <c r="J67" s="9" cm="1">
        <f t="array" aca="1" ref="J67" ca="1">INDEX(INDIRECT($M67),
       MATCH(TRIM($C67), TRIM(INDIRECT($N67)), 0),
       MATCH(TRIM(J$2), TRIM(INDIRECT($O67)), 0))</f>
        <v>27</v>
      </c>
      <c r="K67" s="11" cm="1">
        <f t="array" aca="1" ref="K67" ca="1">INDEX(INDIRECT($M67),
       MATCH(TRIM($C67), TRIM(INDIRECT($N67)), 0),
       MATCH(TRIM(K$2), TRIM(INDIRECT($O67)), 0))</f>
        <v>96.343049852533326</v>
      </c>
      <c r="L67" s="11" cm="1">
        <f t="array" aca="1" ref="L67" ca="1">INDEX(INDIRECT($M67),
       MATCH(TRIM($C67), TRIM(INDIRECT($N67)), 0),
       MATCH(TRIM(L$2), TRIM(INDIRECT($O67)), 0))</f>
        <v>2989.909976852533</v>
      </c>
      <c r="M67" s="5" t="str">
        <f t="shared" si="0"/>
        <v>'2016'!$N$3:$V$80</v>
      </c>
      <c r="N67" s="5" t="str">
        <f t="shared" si="1"/>
        <v>'2016'!$M$2:$M$80</v>
      </c>
      <c r="O67" s="5" t="str">
        <f t="shared" si="2"/>
        <v>'2016'!$N$2:$W$2</v>
      </c>
    </row>
    <row r="68" spans="1:15" x14ac:dyDescent="0.3">
      <c r="A68">
        <v>3</v>
      </c>
      <c r="B68" s="9">
        <v>2016</v>
      </c>
      <c r="C68" t="s">
        <v>2</v>
      </c>
      <c r="D68" s="11" cm="1">
        <f t="array" aca="1" ref="D68" ca="1">INDEX(INDIRECT($M68),
       MATCH(TRIM($C68), TRIM(INDIRECT($N68)), 0),
       MATCH(TRIM(D$2), TRIM(INDIRECT($O68)), 0))</f>
        <v>91</v>
      </c>
      <c r="E68" s="9" cm="1">
        <f t="array" aca="1" ref="E68" ca="1">INDEX(INDIRECT($M68),
       MATCH(TRIM($C68), TRIM(INDIRECT($N68)), 0),
       MATCH(TRIM(E$2), TRIM(INDIRECT($O68)), 0))</f>
        <v>1043736196</v>
      </c>
      <c r="F68" s="11" cm="1">
        <f t="array" aca="1" ref="F68" ca="1">INDEX(INDIRECT($M68),
       MATCH(TRIM($C68), TRIM(INDIRECT($N68)), 0),
       MATCH(TRIM(F$2), TRIM(INDIRECT($O68)), 0))</f>
        <v>1043.7361960000001</v>
      </c>
      <c r="G68" s="11" cm="1">
        <f t="array" aca="1" ref="G68" ca="1">INDEX(INDIRECT($M68),
       MATCH(TRIM($C68), TRIM(INDIRECT($N68)), 0),
       MATCH(TRIM(G$2), TRIM(INDIRECT($O68)), 0))</f>
        <v>136</v>
      </c>
      <c r="H68" s="9" cm="1">
        <f t="array" aca="1" ref="H68" ca="1">INDEX(INDIRECT($M68),
       MATCH(TRIM($C68), TRIM(INDIRECT($N68)), 0),
       MATCH(TRIM(H$2), TRIM(INDIRECT($O68)), 0))</f>
        <v>921047472.47000003</v>
      </c>
      <c r="I68" s="11" cm="1">
        <f t="array" aca="1" ref="I68" ca="1">INDEX(INDIRECT($M68),
       MATCH(TRIM($C68), TRIM(INDIRECT($N68)), 0),
       MATCH(TRIM(I$2), TRIM(INDIRECT($O68)), 0))</f>
        <v>921.04747247</v>
      </c>
      <c r="J68" s="9" cm="1">
        <f t="array" aca="1" ref="J68" ca="1">INDEX(INDIRECT($M68),
       MATCH(TRIM($C68), TRIM(INDIRECT($N68)), 0),
       MATCH(TRIM(J$2), TRIM(INDIRECT($O68)), 0))</f>
        <v>55</v>
      </c>
      <c r="K68" s="11" cm="1">
        <f t="array" aca="1" ref="K68" ca="1">INDEX(INDIRECT($M68),
       MATCH(TRIM($C68), TRIM(INDIRECT($N68)), 0),
       MATCH(TRIM(K$2), TRIM(INDIRECT($O68)), 0))</f>
        <v>273.440880997568</v>
      </c>
      <c r="L68" s="11" cm="1">
        <f t="array" aca="1" ref="L68" ca="1">INDEX(INDIRECT($M68),
       MATCH(TRIM($C68), TRIM(INDIRECT($N68)), 0),
       MATCH(TRIM(L$2), TRIM(INDIRECT($O68)), 0))</f>
        <v>2238.2245494675681</v>
      </c>
      <c r="M68" s="5" t="str">
        <f t="shared" ref="M68:M131" si="3">_xlfn.CONCAT("'",$B68,"'","!","$N$3:$V$80")</f>
        <v>'2016'!$N$3:$V$80</v>
      </c>
      <c r="N68" s="5" t="str">
        <f t="shared" ref="N68:N131" si="4">_xlfn.CONCAT("'",$B68,"'","!","$M$2:$M$80")</f>
        <v>'2016'!$M$2:$M$80</v>
      </c>
      <c r="O68" s="5" t="str">
        <f t="shared" ref="O68:O131" si="5">_xlfn.CONCAT("'",$B68,"'","!","$N$2:$W$2")</f>
        <v>'2016'!$N$2:$W$2</v>
      </c>
    </row>
    <row r="69" spans="1:15" x14ac:dyDescent="0.3">
      <c r="A69">
        <v>4</v>
      </c>
      <c r="B69" s="9">
        <v>2016</v>
      </c>
      <c r="C69" t="s">
        <v>3</v>
      </c>
      <c r="D69" s="11" cm="1">
        <f t="array" aca="1" ref="D69" ca="1">INDEX(INDIRECT($M69),
       MATCH(TRIM($C69), TRIM(INDIRECT($N69)), 0),
       MATCH(TRIM(D$2), TRIM(INDIRECT($O69)), 0))</f>
        <v>53</v>
      </c>
      <c r="E69" s="9" cm="1">
        <f t="array" aca="1" ref="E69" ca="1">INDEX(INDIRECT($M69),
       MATCH(TRIM($C69), TRIM(INDIRECT($N69)), 0),
       MATCH(TRIM(E$2), TRIM(INDIRECT($O69)), 0))</f>
        <v>937508229</v>
      </c>
      <c r="F69" s="11" cm="1">
        <f t="array" aca="1" ref="F69" ca="1">INDEX(INDIRECT($M69),
       MATCH(TRIM($C69), TRIM(INDIRECT($N69)), 0),
       MATCH(TRIM(F$2), TRIM(INDIRECT($O69)), 0))</f>
        <v>937.50822900000003</v>
      </c>
      <c r="G69" s="11" cm="1">
        <f t="array" aca="1" ref="G69" ca="1">INDEX(INDIRECT($M69),
       MATCH(TRIM($C69), TRIM(INDIRECT($N69)), 0),
       MATCH(TRIM(G$2), TRIM(INDIRECT($O69)), 0))</f>
        <v>20</v>
      </c>
      <c r="H69" s="9" cm="1">
        <f t="array" aca="1" ref="H69" ca="1">INDEX(INDIRECT($M69),
       MATCH(TRIM($C69), TRIM(INDIRECT($N69)), 0),
       MATCH(TRIM(H$2), TRIM(INDIRECT($O69)), 0))</f>
        <v>71063412.1875</v>
      </c>
      <c r="I69" s="11" cm="1">
        <f t="array" aca="1" ref="I69" ca="1">INDEX(INDIRECT($M69),
       MATCH(TRIM($C69), TRIM(INDIRECT($N69)), 0),
       MATCH(TRIM(I$2), TRIM(INDIRECT($O69)), 0))</f>
        <v>71.063412187500006</v>
      </c>
      <c r="J69" s="9" cm="1">
        <f t="array" aca="1" ref="J69" ca="1">INDEX(INDIRECT($M69),
       MATCH(TRIM($C69), TRIM(INDIRECT($N69)), 0),
       MATCH(TRIM(J$2), TRIM(INDIRECT($O69)), 0))</f>
        <v>10</v>
      </c>
      <c r="K69" s="11" cm="1">
        <f t="array" aca="1" ref="K69" ca="1">INDEX(INDIRECT($M69),
       MATCH(TRIM($C69), TRIM(INDIRECT($N69)), 0),
       MATCH(TRIM(K$2), TRIM(INDIRECT($O69)), 0))</f>
        <v>1.459111111111111</v>
      </c>
      <c r="L69" s="11" cm="1">
        <f t="array" aca="1" ref="L69" ca="1">INDEX(INDIRECT($M69),
       MATCH(TRIM($C69), TRIM(INDIRECT($N69)), 0),
       MATCH(TRIM(L$2), TRIM(INDIRECT($O69)), 0))</f>
        <v>1010.0307522986112</v>
      </c>
      <c r="M69" s="5" t="str">
        <f t="shared" si="3"/>
        <v>'2016'!$N$3:$V$80</v>
      </c>
      <c r="N69" s="5" t="str">
        <f t="shared" si="4"/>
        <v>'2016'!$M$2:$M$80</v>
      </c>
      <c r="O69" s="5" t="str">
        <f t="shared" si="5"/>
        <v>'2016'!$N$2:$W$2</v>
      </c>
    </row>
    <row r="70" spans="1:15" x14ac:dyDescent="0.3">
      <c r="A70">
        <v>5</v>
      </c>
      <c r="B70" s="9">
        <v>2016</v>
      </c>
      <c r="C70" t="s">
        <v>4</v>
      </c>
      <c r="D70" s="11" cm="1">
        <f t="array" aca="1" ref="D70" ca="1">INDEX(INDIRECT($M70),
       MATCH(TRIM($C70), TRIM(INDIRECT($N70)), 0),
       MATCH(TRIM(D$2), TRIM(INDIRECT($O70)), 0))</f>
        <v>122</v>
      </c>
      <c r="E70" s="9" cm="1">
        <f t="array" aca="1" ref="E70" ca="1">INDEX(INDIRECT($M70),
       MATCH(TRIM($C70), TRIM(INDIRECT($N70)), 0),
       MATCH(TRIM(E$2), TRIM(INDIRECT($O70)), 0))</f>
        <v>296851039</v>
      </c>
      <c r="F70" s="11" cm="1">
        <f t="array" aca="1" ref="F70" ca="1">INDEX(INDIRECT($M70),
       MATCH(TRIM($C70), TRIM(INDIRECT($N70)), 0),
       MATCH(TRIM(F$2), TRIM(INDIRECT($O70)), 0))</f>
        <v>296.85103900000001</v>
      </c>
      <c r="G70" s="11" cm="1">
        <f t="array" aca="1" ref="G70" ca="1">INDEX(INDIRECT($M70),
       MATCH(TRIM($C70), TRIM(INDIRECT($N70)), 0),
       MATCH(TRIM(G$2), TRIM(INDIRECT($O70)), 0))</f>
        <v>95</v>
      </c>
      <c r="H70" s="9" cm="1">
        <f t="array" aca="1" ref="H70" ca="1">INDEX(INDIRECT($M70),
       MATCH(TRIM($C70), TRIM(INDIRECT($N70)), 0),
       MATCH(TRIM(H$2), TRIM(INDIRECT($O70)), 0))</f>
        <v>448847553</v>
      </c>
      <c r="I70" s="11" cm="1">
        <f t="array" aca="1" ref="I70" ca="1">INDEX(INDIRECT($M70),
       MATCH(TRIM($C70), TRIM(INDIRECT($N70)), 0),
       MATCH(TRIM(I$2), TRIM(INDIRECT($O70)), 0))</f>
        <v>448.847553</v>
      </c>
      <c r="J70" s="9" cm="1">
        <f t="array" aca="1" ref="J70" ca="1">INDEX(INDIRECT($M70),
       MATCH(TRIM($C70), TRIM(INDIRECT($N70)), 0),
       MATCH(TRIM(J$2), TRIM(INDIRECT($O70)), 0))</f>
        <v>32</v>
      </c>
      <c r="K70" s="11" cm="1">
        <f t="array" aca="1" ref="K70" ca="1">INDEX(INDIRECT($M70),
       MATCH(TRIM($C70), TRIM(INDIRECT($N70)), 0),
       MATCH(TRIM(K$2), TRIM(INDIRECT($O70)), 0))</f>
        <v>77.214848459511117</v>
      </c>
      <c r="L70" s="11" cm="1">
        <f t="array" aca="1" ref="L70" ca="1">INDEX(INDIRECT($M70),
       MATCH(TRIM($C70), TRIM(INDIRECT($N70)), 0),
       MATCH(TRIM(L$2), TRIM(INDIRECT($O70)), 0))</f>
        <v>822.91344045951109</v>
      </c>
      <c r="M70" s="5" t="str">
        <f t="shared" si="3"/>
        <v>'2016'!$N$3:$V$80</v>
      </c>
      <c r="N70" s="5" t="str">
        <f t="shared" si="4"/>
        <v>'2016'!$M$2:$M$80</v>
      </c>
      <c r="O70" s="5" t="str">
        <f t="shared" si="5"/>
        <v>'2016'!$N$2:$W$2</v>
      </c>
    </row>
    <row r="71" spans="1:15" x14ac:dyDescent="0.3">
      <c r="A71">
        <v>6</v>
      </c>
      <c r="B71" s="9">
        <v>2016</v>
      </c>
      <c r="C71" t="s">
        <v>5</v>
      </c>
      <c r="D71" s="11" cm="1">
        <f t="array" aca="1" ref="D71" ca="1">INDEX(INDIRECT($M71),
       MATCH(TRIM($C71), TRIM(INDIRECT($N71)), 0),
       MATCH(TRIM(D$2), TRIM(INDIRECT($O71)), 0))</f>
        <v>453</v>
      </c>
      <c r="E71" s="9" cm="1">
        <f t="array" aca="1" ref="E71" ca="1">INDEX(INDIRECT($M71),
       MATCH(TRIM($C71), TRIM(INDIRECT($N71)), 0),
       MATCH(TRIM(E$2), TRIM(INDIRECT($O71)), 0))</f>
        <v>1922761198.6666665</v>
      </c>
      <c r="F71" s="11" cm="1">
        <f t="array" aca="1" ref="F71" ca="1">INDEX(INDIRECT($M71),
       MATCH(TRIM($C71), TRIM(INDIRECT($N71)), 0),
       MATCH(TRIM(F$2), TRIM(INDIRECT($O71)), 0))</f>
        <v>1922.7611986666666</v>
      </c>
      <c r="G71" s="11" cm="1">
        <f t="array" aca="1" ref="G71" ca="1">INDEX(INDIRECT($M71),
       MATCH(TRIM($C71), TRIM(INDIRECT($N71)), 0),
       MATCH(TRIM(G$2), TRIM(INDIRECT($O71)), 0))</f>
        <v>159</v>
      </c>
      <c r="H71" s="9" cm="1">
        <f t="array" aca="1" ref="H71" ca="1">INDEX(INDIRECT($M71),
       MATCH(TRIM($C71), TRIM(INDIRECT($N71)), 0),
       MATCH(TRIM(H$2), TRIM(INDIRECT($O71)), 0))</f>
        <v>504468849</v>
      </c>
      <c r="I71" s="11" cm="1">
        <f t="array" aca="1" ref="I71" ca="1">INDEX(INDIRECT($M71),
       MATCH(TRIM($C71), TRIM(INDIRECT($N71)), 0),
       MATCH(TRIM(I$2), TRIM(INDIRECT($O71)), 0))</f>
        <v>504.46884899999998</v>
      </c>
      <c r="J71" s="9" cm="1">
        <f t="array" aca="1" ref="J71" ca="1">INDEX(INDIRECT($M71),
       MATCH(TRIM($C71), TRIM(INDIRECT($N71)), 0),
       MATCH(TRIM(J$2), TRIM(INDIRECT($O71)), 0))</f>
        <v>228</v>
      </c>
      <c r="K71" s="11" cm="1">
        <f t="array" aca="1" ref="K71" ca="1">INDEX(INDIRECT($M71),
       MATCH(TRIM($C71), TRIM(INDIRECT($N71)), 0),
       MATCH(TRIM(K$2), TRIM(INDIRECT($O71)), 0))</f>
        <v>367.21449842488914</v>
      </c>
      <c r="L71" s="11" cm="1">
        <f t="array" aca="1" ref="L71" ca="1">INDEX(INDIRECT($M71),
       MATCH(TRIM($C71), TRIM(INDIRECT($N71)), 0),
       MATCH(TRIM(L$2), TRIM(INDIRECT($O71)), 0))</f>
        <v>2794.4445460915558</v>
      </c>
      <c r="M71" s="5" t="str">
        <f t="shared" si="3"/>
        <v>'2016'!$N$3:$V$80</v>
      </c>
      <c r="N71" s="5" t="str">
        <f t="shared" si="4"/>
        <v>'2016'!$M$2:$M$80</v>
      </c>
      <c r="O71" s="5" t="str">
        <f t="shared" si="5"/>
        <v>'2016'!$N$2:$W$2</v>
      </c>
    </row>
    <row r="72" spans="1:15" x14ac:dyDescent="0.3">
      <c r="A72">
        <v>7</v>
      </c>
      <c r="B72" s="9">
        <v>2016</v>
      </c>
      <c r="C72" t="s">
        <v>6</v>
      </c>
      <c r="D72" s="11" cm="1">
        <f t="array" aca="1" ref="D72" ca="1">INDEX(INDIRECT($M72),
       MATCH(TRIM($C72), TRIM(INDIRECT($N72)), 0),
       MATCH(TRIM(D$2), TRIM(INDIRECT($O72)), 0))</f>
        <v>2</v>
      </c>
      <c r="E72" s="9" cm="1">
        <f t="array" aca="1" ref="E72" ca="1">INDEX(INDIRECT($M72),
       MATCH(TRIM($C72), TRIM(INDIRECT($N72)), 0),
       MATCH(TRIM(E$2), TRIM(INDIRECT($O72)), 0))</f>
        <v>159217157</v>
      </c>
      <c r="F72" s="11" cm="1">
        <f t="array" aca="1" ref="F72" ca="1">INDEX(INDIRECT($M72),
       MATCH(TRIM($C72), TRIM(INDIRECT($N72)), 0),
       MATCH(TRIM(F$2), TRIM(INDIRECT($O72)), 0))</f>
        <v>159.21715699999999</v>
      </c>
      <c r="G72" s="11" cm="1">
        <f t="array" aca="1" ref="G72" ca="1">INDEX(INDIRECT($M72),
       MATCH(TRIM($C72), TRIM(INDIRECT($N72)), 0),
       MATCH(TRIM(G$2), TRIM(INDIRECT($O72)), 0))</f>
        <v>1</v>
      </c>
      <c r="H72" s="9" cm="1">
        <f t="array" aca="1" ref="H72" ca="1">INDEX(INDIRECT($M72),
       MATCH(TRIM($C72), TRIM(INDIRECT($N72)), 0),
       MATCH(TRIM(H$2), TRIM(INDIRECT($O72)), 0))</f>
        <v>95500000</v>
      </c>
      <c r="I72" s="11" cm="1">
        <f t="array" aca="1" ref="I72" ca="1">INDEX(INDIRECT($M72),
       MATCH(TRIM($C72), TRIM(INDIRECT($N72)), 0),
       MATCH(TRIM(I$2), TRIM(INDIRECT($O72)), 0))</f>
        <v>95.5</v>
      </c>
      <c r="J72" s="9" cm="1">
        <f t="array" aca="1" ref="J72" ca="1">INDEX(INDIRECT($M72),
       MATCH(TRIM($C72), TRIM(INDIRECT($N72)), 0),
       MATCH(TRIM(J$2), TRIM(INDIRECT($O72)), 0))</f>
        <v>4</v>
      </c>
      <c r="K72" s="11" cm="1">
        <f t="array" aca="1" ref="K72" ca="1">INDEX(INDIRECT($M72),
       MATCH(TRIM($C72), TRIM(INDIRECT($N72)), 0),
       MATCH(TRIM(K$2), TRIM(INDIRECT($O72)), 0))</f>
        <v>307.05649653857779</v>
      </c>
      <c r="L72" s="11" cm="1">
        <f t="array" aca="1" ref="L72" ca="1">INDEX(INDIRECT($M72),
       MATCH(TRIM($C72), TRIM(INDIRECT($N72)), 0),
       MATCH(TRIM(L$2), TRIM(INDIRECT($O72)), 0))</f>
        <v>561.77365353857772</v>
      </c>
      <c r="M72" s="5" t="str">
        <f t="shared" si="3"/>
        <v>'2016'!$N$3:$V$80</v>
      </c>
      <c r="N72" s="5" t="str">
        <f t="shared" si="4"/>
        <v>'2016'!$M$2:$M$80</v>
      </c>
      <c r="O72" s="5" t="str">
        <f t="shared" si="5"/>
        <v>'2016'!$N$2:$W$2</v>
      </c>
    </row>
    <row r="73" spans="1:15" x14ac:dyDescent="0.3">
      <c r="A73">
        <v>8</v>
      </c>
      <c r="B73" s="9">
        <v>2016</v>
      </c>
      <c r="C73" t="s">
        <v>7</v>
      </c>
      <c r="D73" s="11" cm="1">
        <f t="array" aca="1" ref="D73" ca="1">INDEX(INDIRECT($M73),
       MATCH(TRIM($C73), TRIM(INDIRECT($N73)), 0),
       MATCH(TRIM(D$2), TRIM(INDIRECT($O73)), 0))</f>
        <v>185</v>
      </c>
      <c r="E73" s="9" cm="1">
        <f t="array" aca="1" ref="E73" ca="1">INDEX(INDIRECT($M73),
       MATCH(TRIM($C73), TRIM(INDIRECT($N73)), 0),
       MATCH(TRIM(E$2), TRIM(INDIRECT($O73)), 0))</f>
        <v>578636698</v>
      </c>
      <c r="F73" s="11" cm="1">
        <f t="array" aca="1" ref="F73" ca="1">INDEX(INDIRECT($M73),
       MATCH(TRIM($C73), TRIM(INDIRECT($N73)), 0),
       MATCH(TRIM(F$2), TRIM(INDIRECT($O73)), 0))</f>
        <v>578.63669800000002</v>
      </c>
      <c r="G73" s="11" cm="1">
        <f t="array" aca="1" ref="G73" ca="1">INDEX(INDIRECT($M73),
       MATCH(TRIM($C73), TRIM(INDIRECT($N73)), 0),
       MATCH(TRIM(G$2), TRIM(INDIRECT($O73)), 0))</f>
        <v>130</v>
      </c>
      <c r="H73" s="9" cm="1">
        <f t="array" aca="1" ref="H73" ca="1">INDEX(INDIRECT($M73),
       MATCH(TRIM($C73), TRIM(INDIRECT($N73)), 0),
       MATCH(TRIM(H$2), TRIM(INDIRECT($O73)), 0))</f>
        <v>271487966</v>
      </c>
      <c r="I73" s="11" cm="1">
        <f t="array" aca="1" ref="I73" ca="1">INDEX(INDIRECT($M73),
       MATCH(TRIM($C73), TRIM(INDIRECT($N73)), 0),
       MATCH(TRIM(I$2), TRIM(INDIRECT($O73)), 0))</f>
        <v>271.48796599999997</v>
      </c>
      <c r="J73" s="9" cm="1">
        <f t="array" aca="1" ref="J73" ca="1">INDEX(INDIRECT($M73),
       MATCH(TRIM($C73), TRIM(INDIRECT($N73)), 0),
       MATCH(TRIM(J$2), TRIM(INDIRECT($O73)), 0))</f>
        <v>24</v>
      </c>
      <c r="K73" s="11" cm="1">
        <f t="array" aca="1" ref="K73" ca="1">INDEX(INDIRECT($M73),
       MATCH(TRIM($C73), TRIM(INDIRECT($N73)), 0),
       MATCH(TRIM(K$2), TRIM(INDIRECT($O73)), 0))</f>
        <v>49.869343466666678</v>
      </c>
      <c r="L73" s="11" cm="1">
        <f t="array" aca="1" ref="L73" ca="1">INDEX(INDIRECT($M73),
       MATCH(TRIM($C73), TRIM(INDIRECT($N73)), 0),
       MATCH(TRIM(L$2), TRIM(INDIRECT($O73)), 0))</f>
        <v>899.99400746666663</v>
      </c>
      <c r="M73" s="5" t="str">
        <f t="shared" si="3"/>
        <v>'2016'!$N$3:$V$80</v>
      </c>
      <c r="N73" s="5" t="str">
        <f t="shared" si="4"/>
        <v>'2016'!$M$2:$M$80</v>
      </c>
      <c r="O73" s="5" t="str">
        <f t="shared" si="5"/>
        <v>'2016'!$N$2:$W$2</v>
      </c>
    </row>
    <row r="74" spans="1:15" x14ac:dyDescent="0.3">
      <c r="A74">
        <v>9</v>
      </c>
      <c r="B74" s="9">
        <v>2016</v>
      </c>
      <c r="C74" t="s">
        <v>8</v>
      </c>
      <c r="D74" s="11" cm="1">
        <f t="array" aca="1" ref="D74" ca="1">INDEX(INDIRECT($M74),
       MATCH(TRIM($C74), TRIM(INDIRECT($N74)), 0),
       MATCH(TRIM(D$2), TRIM(INDIRECT($O74)), 0))</f>
        <v>29</v>
      </c>
      <c r="E74" s="9" cm="1">
        <f t="array" aca="1" ref="E74" ca="1">INDEX(INDIRECT($M74),
       MATCH(TRIM($C74), TRIM(INDIRECT($N74)), 0),
       MATCH(TRIM(E$2), TRIM(INDIRECT($O74)), 0))</f>
        <v>129591018</v>
      </c>
      <c r="F74" s="11" cm="1">
        <f t="array" aca="1" ref="F74" ca="1">INDEX(INDIRECT($M74),
       MATCH(TRIM($C74), TRIM(INDIRECT($N74)), 0),
       MATCH(TRIM(F$2), TRIM(INDIRECT($O74)), 0))</f>
        <v>129.59101799999999</v>
      </c>
      <c r="G74" s="11" cm="1">
        <f t="array" aca="1" ref="G74" ca="1">INDEX(INDIRECT($M74),
       MATCH(TRIM($C74), TRIM(INDIRECT($N74)), 0),
       MATCH(TRIM(G$2), TRIM(INDIRECT($O74)), 0))</f>
        <v>27</v>
      </c>
      <c r="H74" s="9" cm="1">
        <f t="array" aca="1" ref="H74" ca="1">INDEX(INDIRECT($M74),
       MATCH(TRIM($C74), TRIM(INDIRECT($N74)), 0),
       MATCH(TRIM(H$2), TRIM(INDIRECT($O74)), 0))</f>
        <v>242152685</v>
      </c>
      <c r="I74" s="11" cm="1">
        <f t="array" aca="1" ref="I74" ca="1">INDEX(INDIRECT($M74),
       MATCH(TRIM($C74), TRIM(INDIRECT($N74)), 0),
       MATCH(TRIM(I$2), TRIM(INDIRECT($O74)), 0))</f>
        <v>242.15268499999999</v>
      </c>
      <c r="J74" s="9" cm="1">
        <f t="array" aca="1" ref="J74" ca="1">INDEX(INDIRECT($M74),
       MATCH(TRIM($C74), TRIM(INDIRECT($N74)), 0),
       MATCH(TRIM(J$2), TRIM(INDIRECT($O74)), 0))</f>
        <v>11</v>
      </c>
      <c r="K74" s="11" cm="1">
        <f t="array" aca="1" ref="K74" ca="1">INDEX(INDIRECT($M74),
       MATCH(TRIM($C74), TRIM(INDIRECT($N74)), 0),
       MATCH(TRIM(K$2), TRIM(INDIRECT($O74)), 0))</f>
        <v>44.010951111111119</v>
      </c>
      <c r="L74" s="11" cm="1">
        <f t="array" aca="1" ref="L74" ca="1">INDEX(INDIRECT($M74),
       MATCH(TRIM($C74), TRIM(INDIRECT($N74)), 0),
       MATCH(TRIM(L$2), TRIM(INDIRECT($O74)), 0))</f>
        <v>415.75465411111111</v>
      </c>
      <c r="M74" s="5" t="str">
        <f t="shared" si="3"/>
        <v>'2016'!$N$3:$V$80</v>
      </c>
      <c r="N74" s="5" t="str">
        <f t="shared" si="4"/>
        <v>'2016'!$M$2:$M$80</v>
      </c>
      <c r="O74" s="5" t="str">
        <f t="shared" si="5"/>
        <v>'2016'!$N$2:$W$2</v>
      </c>
    </row>
    <row r="75" spans="1:15" x14ac:dyDescent="0.3">
      <c r="A75">
        <v>10</v>
      </c>
      <c r="B75" s="9">
        <v>2016</v>
      </c>
      <c r="C75" t="s">
        <v>9</v>
      </c>
      <c r="D75" s="11" cm="1">
        <f t="array" aca="1" ref="D75" ca="1">INDEX(INDIRECT($M75),
       MATCH(TRIM($C75), TRIM(INDIRECT($N75)), 0),
       MATCH(TRIM(D$2), TRIM(INDIRECT($O75)), 0))</f>
        <v>24</v>
      </c>
      <c r="E75" s="9" cm="1">
        <f t="array" aca="1" ref="E75" ca="1">INDEX(INDIRECT($M75),
       MATCH(TRIM($C75), TRIM(INDIRECT($N75)), 0),
       MATCH(TRIM(E$2), TRIM(INDIRECT($O75)), 0))</f>
        <v>273866538</v>
      </c>
      <c r="F75" s="11" cm="1">
        <f t="array" aca="1" ref="F75" ca="1">INDEX(INDIRECT($M75),
       MATCH(TRIM($C75), TRIM(INDIRECT($N75)), 0),
       MATCH(TRIM(F$2), TRIM(INDIRECT($O75)), 0))</f>
        <v>273.86653799999999</v>
      </c>
      <c r="G75" s="11" cm="1">
        <f t="array" aca="1" ref="G75" ca="1">INDEX(INDIRECT($M75),
       MATCH(TRIM($C75), TRIM(INDIRECT($N75)), 0),
       MATCH(TRIM(G$2), TRIM(INDIRECT($O75)), 0))</f>
        <v>25</v>
      </c>
      <c r="H75" s="9" cm="1">
        <f t="array" aca="1" ref="H75" ca="1">INDEX(INDIRECT($M75),
       MATCH(TRIM($C75), TRIM(INDIRECT($N75)), 0),
       MATCH(TRIM(H$2), TRIM(INDIRECT($O75)), 0))</f>
        <v>427571970</v>
      </c>
      <c r="I75" s="11" cm="1">
        <f t="array" aca="1" ref="I75" ca="1">INDEX(INDIRECT($M75),
       MATCH(TRIM($C75), TRIM(INDIRECT($N75)), 0),
       MATCH(TRIM(I$2), TRIM(INDIRECT($O75)), 0))</f>
        <v>427.57197000000002</v>
      </c>
      <c r="J75" s="9" cm="1">
        <f t="array" aca="1" ref="J75" ca="1">INDEX(INDIRECT($M75),
       MATCH(TRIM($C75), TRIM(INDIRECT($N75)), 0),
       MATCH(TRIM(J$2), TRIM(INDIRECT($O75)), 0))</f>
        <v>0</v>
      </c>
      <c r="K75" s="11" cm="1">
        <f t="array" aca="1" ref="K75" ca="1">INDEX(INDIRECT($M75),
       MATCH(TRIM($C75), TRIM(INDIRECT($N75)), 0),
       MATCH(TRIM(K$2), TRIM(INDIRECT($O75)), 0))</f>
        <v>0</v>
      </c>
      <c r="L75" s="11" cm="1">
        <f t="array" aca="1" ref="L75" ca="1">INDEX(INDIRECT($M75),
       MATCH(TRIM($C75), TRIM(INDIRECT($N75)), 0),
       MATCH(TRIM(L$2), TRIM(INDIRECT($O75)), 0))</f>
        <v>701.43850799999996</v>
      </c>
      <c r="M75" s="5" t="str">
        <f t="shared" si="3"/>
        <v>'2016'!$N$3:$V$80</v>
      </c>
      <c r="N75" s="5" t="str">
        <f t="shared" si="4"/>
        <v>'2016'!$M$2:$M$80</v>
      </c>
      <c r="O75" s="5" t="str">
        <f t="shared" si="5"/>
        <v>'2016'!$N$2:$W$2</v>
      </c>
    </row>
    <row r="76" spans="1:15" x14ac:dyDescent="0.3">
      <c r="A76">
        <v>11</v>
      </c>
      <c r="B76" s="9">
        <v>2016</v>
      </c>
      <c r="C76" t="s">
        <v>10</v>
      </c>
      <c r="D76" s="11" cm="1">
        <f t="array" aca="1" ref="D76" ca="1">INDEX(INDIRECT($M76),
       MATCH(TRIM($C76), TRIM(INDIRECT($N76)), 0),
       MATCH(TRIM(D$2), TRIM(INDIRECT($O76)), 0))</f>
        <v>31</v>
      </c>
      <c r="E76" s="9" cm="1">
        <f t="array" aca="1" ref="E76" ca="1">INDEX(INDIRECT($M76),
       MATCH(TRIM($C76), TRIM(INDIRECT($N76)), 0),
       MATCH(TRIM(E$2), TRIM(INDIRECT($O76)), 0))</f>
        <v>604333365</v>
      </c>
      <c r="F76" s="11" cm="1">
        <f t="array" aca="1" ref="F76" ca="1">INDEX(INDIRECT($M76),
       MATCH(TRIM($C76), TRIM(INDIRECT($N76)), 0),
       MATCH(TRIM(F$2), TRIM(INDIRECT($O76)), 0))</f>
        <v>604.33336499999996</v>
      </c>
      <c r="G76" s="11" cm="1">
        <f t="array" aca="1" ref="G76" ca="1">INDEX(INDIRECT($M76),
       MATCH(TRIM($C76), TRIM(INDIRECT($N76)), 0),
       MATCH(TRIM(G$2), TRIM(INDIRECT($O76)), 0))</f>
        <v>29</v>
      </c>
      <c r="H76" s="9" cm="1">
        <f t="array" aca="1" ref="H76" ca="1">INDEX(INDIRECT($M76),
       MATCH(TRIM($C76), TRIM(INDIRECT($N76)), 0),
       MATCH(TRIM(H$2), TRIM(INDIRECT($O76)), 0))</f>
        <v>100698750</v>
      </c>
      <c r="I76" s="11" cm="1">
        <f t="array" aca="1" ref="I76" ca="1">INDEX(INDIRECT($M76),
       MATCH(TRIM($C76), TRIM(INDIRECT($N76)), 0),
       MATCH(TRIM(I$2), TRIM(INDIRECT($O76)), 0))</f>
        <v>100.69875</v>
      </c>
      <c r="J76" s="9" cm="1">
        <f t="array" aca="1" ref="J76" ca="1">INDEX(INDIRECT($M76),
       MATCH(TRIM($C76), TRIM(INDIRECT($N76)), 0),
       MATCH(TRIM(J$2), TRIM(INDIRECT($O76)), 0))</f>
        <v>0</v>
      </c>
      <c r="K76" s="11" cm="1">
        <f t="array" aca="1" ref="K76" ca="1">INDEX(INDIRECT($M76),
       MATCH(TRIM($C76), TRIM(INDIRECT($N76)), 0),
       MATCH(TRIM(K$2), TRIM(INDIRECT($O76)), 0))</f>
        <v>0</v>
      </c>
      <c r="L76" s="11" cm="1">
        <f t="array" aca="1" ref="L76" ca="1">INDEX(INDIRECT($M76),
       MATCH(TRIM($C76), TRIM(INDIRECT($N76)), 0),
       MATCH(TRIM(L$2), TRIM(INDIRECT($O76)), 0))</f>
        <v>705.03211499999998</v>
      </c>
      <c r="M76" s="5" t="str">
        <f t="shared" si="3"/>
        <v>'2016'!$N$3:$V$80</v>
      </c>
      <c r="N76" s="5" t="str">
        <f t="shared" si="4"/>
        <v>'2016'!$M$2:$M$80</v>
      </c>
      <c r="O76" s="5" t="str">
        <f t="shared" si="5"/>
        <v>'2016'!$N$2:$W$2</v>
      </c>
    </row>
    <row r="77" spans="1:15" x14ac:dyDescent="0.3">
      <c r="A77">
        <v>12</v>
      </c>
      <c r="B77" s="9">
        <v>2016</v>
      </c>
      <c r="C77" t="s">
        <v>11</v>
      </c>
      <c r="D77" s="11" cm="1">
        <f t="array" aca="1" ref="D77" ca="1">INDEX(INDIRECT($M77),
       MATCH(TRIM($C77), TRIM(INDIRECT($N77)), 0),
       MATCH(TRIM(D$2), TRIM(INDIRECT($O77)), 0))</f>
        <v>14</v>
      </c>
      <c r="E77" s="9" cm="1">
        <f t="array" aca="1" ref="E77" ca="1">INDEX(INDIRECT($M77),
       MATCH(TRIM($C77), TRIM(INDIRECT($N77)), 0),
       MATCH(TRIM(E$2), TRIM(INDIRECT($O77)), 0))</f>
        <v>388483218</v>
      </c>
      <c r="F77" s="11" cm="1">
        <f t="array" aca="1" ref="F77" ca="1">INDEX(INDIRECT($M77),
       MATCH(TRIM($C77), TRIM(INDIRECT($N77)), 0),
       MATCH(TRIM(F$2), TRIM(INDIRECT($O77)), 0))</f>
        <v>388.48321800000002</v>
      </c>
      <c r="G77" s="11" cm="1">
        <f t="array" aca="1" ref="G77" ca="1">INDEX(INDIRECT($M77),
       MATCH(TRIM($C77), TRIM(INDIRECT($N77)), 0),
       MATCH(TRIM(G$2), TRIM(INDIRECT($O77)), 0))</f>
        <v>10</v>
      </c>
      <c r="H77" s="9" cm="1">
        <f t="array" aca="1" ref="H77" ca="1">INDEX(INDIRECT($M77),
       MATCH(TRIM($C77), TRIM(INDIRECT($N77)), 0),
       MATCH(TRIM(H$2), TRIM(INDIRECT($O77)), 0))</f>
        <v>24996748</v>
      </c>
      <c r="I77" s="11" cm="1">
        <f t="array" aca="1" ref="I77" ca="1">INDEX(INDIRECT($M77),
       MATCH(TRIM($C77), TRIM(INDIRECT($N77)), 0),
       MATCH(TRIM(I$2), TRIM(INDIRECT($O77)), 0))</f>
        <v>24.996748</v>
      </c>
      <c r="J77" s="9" cm="1">
        <f t="array" aca="1" ref="J77" ca="1">INDEX(INDIRECT($M77),
       MATCH(TRIM($C77), TRIM(INDIRECT($N77)), 0),
       MATCH(TRIM(J$2), TRIM(INDIRECT($O77)), 0))</f>
        <v>3</v>
      </c>
      <c r="K77" s="11" cm="1">
        <f t="array" aca="1" ref="K77" ca="1">INDEX(INDIRECT($M77),
       MATCH(TRIM($C77), TRIM(INDIRECT($N77)), 0),
       MATCH(TRIM(K$2), TRIM(INDIRECT($O77)), 0))</f>
        <v>1.0515555555555556</v>
      </c>
      <c r="L77" s="11" cm="1">
        <f t="array" aca="1" ref="L77" ca="1">INDEX(INDIRECT($M77),
       MATCH(TRIM($C77), TRIM(INDIRECT($N77)), 0),
       MATCH(TRIM(L$2), TRIM(INDIRECT($O77)), 0))</f>
        <v>414.53152155555563</v>
      </c>
      <c r="M77" s="5" t="str">
        <f t="shared" si="3"/>
        <v>'2016'!$N$3:$V$80</v>
      </c>
      <c r="N77" s="5" t="str">
        <f t="shared" si="4"/>
        <v>'2016'!$M$2:$M$80</v>
      </c>
      <c r="O77" s="5" t="str">
        <f t="shared" si="5"/>
        <v>'2016'!$N$2:$W$2</v>
      </c>
    </row>
    <row r="78" spans="1:15" x14ac:dyDescent="0.3">
      <c r="A78">
        <v>13</v>
      </c>
      <c r="B78" s="9">
        <v>2016</v>
      </c>
      <c r="C78" t="s">
        <v>12</v>
      </c>
      <c r="D78" s="11" cm="1">
        <f t="array" aca="1" ref="D78" ca="1">INDEX(INDIRECT($M78),
       MATCH(TRIM($C78), TRIM(INDIRECT($N78)), 0),
       MATCH(TRIM(D$2), TRIM(INDIRECT($O78)), 0))</f>
        <v>7</v>
      </c>
      <c r="E78" s="9" cm="1">
        <f t="array" aca="1" ref="E78" ca="1">INDEX(INDIRECT($M78),
       MATCH(TRIM($C78), TRIM(INDIRECT($N78)), 0),
       MATCH(TRIM(E$2), TRIM(INDIRECT($O78)), 0))</f>
        <v>136661537</v>
      </c>
      <c r="F78" s="11" cm="1">
        <f t="array" aca="1" ref="F78" ca="1">INDEX(INDIRECT($M78),
       MATCH(TRIM($C78), TRIM(INDIRECT($N78)), 0),
       MATCH(TRIM(F$2), TRIM(INDIRECT($O78)), 0))</f>
        <v>136.66153700000001</v>
      </c>
      <c r="G78" s="11" cm="1">
        <f t="array" aca="1" ref="G78" ca="1">INDEX(INDIRECT($M78),
       MATCH(TRIM($C78), TRIM(INDIRECT($N78)), 0),
       MATCH(TRIM(G$2), TRIM(INDIRECT($O78)), 0))</f>
        <v>3</v>
      </c>
      <c r="H78" s="9" cm="1">
        <f t="array" aca="1" ref="H78" ca="1">INDEX(INDIRECT($M78),
       MATCH(TRIM($C78), TRIM(INDIRECT($N78)), 0),
       MATCH(TRIM(H$2), TRIM(INDIRECT($O78)), 0))</f>
        <v>6300000</v>
      </c>
      <c r="I78" s="11" cm="1">
        <f t="array" aca="1" ref="I78" ca="1">INDEX(INDIRECT($M78),
       MATCH(TRIM($C78), TRIM(INDIRECT($N78)), 0),
       MATCH(TRIM(I$2), TRIM(INDIRECT($O78)), 0))</f>
        <v>6.3</v>
      </c>
      <c r="J78" s="9" cm="1">
        <f t="array" aca="1" ref="J78" ca="1">INDEX(INDIRECT($M78),
       MATCH(TRIM($C78), TRIM(INDIRECT($N78)), 0),
       MATCH(TRIM(J$2), TRIM(INDIRECT($O78)), 0))</f>
        <v>0</v>
      </c>
      <c r="K78" s="11" cm="1">
        <f t="array" aca="1" ref="K78" ca="1">INDEX(INDIRECT($M78),
       MATCH(TRIM($C78), TRIM(INDIRECT($N78)), 0),
       MATCH(TRIM(K$2), TRIM(INDIRECT($O78)), 0))</f>
        <v>0</v>
      </c>
      <c r="L78" s="11" cm="1">
        <f t="array" aca="1" ref="L78" ca="1">INDEX(INDIRECT($M78),
       MATCH(TRIM($C78), TRIM(INDIRECT($N78)), 0),
       MATCH(TRIM(L$2), TRIM(INDIRECT($O78)), 0))</f>
        <v>142.96153700000002</v>
      </c>
      <c r="M78" s="5" t="str">
        <f t="shared" si="3"/>
        <v>'2016'!$N$3:$V$80</v>
      </c>
      <c r="N78" s="5" t="str">
        <f t="shared" si="4"/>
        <v>'2016'!$M$2:$M$80</v>
      </c>
      <c r="O78" s="5" t="str">
        <f t="shared" si="5"/>
        <v>'2016'!$N$2:$W$2</v>
      </c>
    </row>
    <row r="79" spans="1:15" x14ac:dyDescent="0.3">
      <c r="A79">
        <v>14</v>
      </c>
      <c r="B79" s="9">
        <v>2016</v>
      </c>
      <c r="C79" t="s">
        <v>13</v>
      </c>
      <c r="D79" s="11" cm="1">
        <f t="array" aca="1" ref="D79" ca="1">INDEX(INDIRECT($M79),
       MATCH(TRIM($C79), TRIM(INDIRECT($N79)), 0),
       MATCH(TRIM(D$2), TRIM(INDIRECT($O79)), 0))</f>
        <v>14</v>
      </c>
      <c r="E79" s="9" cm="1">
        <f t="array" aca="1" ref="E79" ca="1">INDEX(INDIRECT($M79),
       MATCH(TRIM($C79), TRIM(INDIRECT($N79)), 0),
       MATCH(TRIM(E$2), TRIM(INDIRECT($O79)), 0))</f>
        <v>259147300</v>
      </c>
      <c r="F79" s="11" cm="1">
        <f t="array" aca="1" ref="F79" ca="1">INDEX(INDIRECT($M79),
       MATCH(TRIM($C79), TRIM(INDIRECT($N79)), 0),
       MATCH(TRIM(F$2), TRIM(INDIRECT($O79)), 0))</f>
        <v>259.14729999999997</v>
      </c>
      <c r="G79" s="11" cm="1">
        <f t="array" aca="1" ref="G79" ca="1">INDEX(INDIRECT($M79),
       MATCH(TRIM($C79), TRIM(INDIRECT($N79)), 0),
       MATCH(TRIM(G$2), TRIM(INDIRECT($O79)), 0))</f>
        <v>12</v>
      </c>
      <c r="H79" s="9" cm="1">
        <f t="array" aca="1" ref="H79" ca="1">INDEX(INDIRECT($M79),
       MATCH(TRIM($C79), TRIM(INDIRECT($N79)), 0),
       MATCH(TRIM(H$2), TRIM(INDIRECT($O79)), 0))</f>
        <v>23223318</v>
      </c>
      <c r="I79" s="11" cm="1">
        <f t="array" aca="1" ref="I79" ca="1">INDEX(INDIRECT($M79),
       MATCH(TRIM($C79), TRIM(INDIRECT($N79)), 0),
       MATCH(TRIM(I$2), TRIM(INDIRECT($O79)), 0))</f>
        <v>23.223317999999999</v>
      </c>
      <c r="J79" s="9" cm="1">
        <f t="array" aca="1" ref="J79" ca="1">INDEX(INDIRECT($M79),
       MATCH(TRIM($C79), TRIM(INDIRECT($N79)), 0),
       MATCH(TRIM(J$2), TRIM(INDIRECT($O79)), 0))</f>
        <v>4</v>
      </c>
      <c r="K79" s="11" cm="1">
        <f t="array" aca="1" ref="K79" ca="1">INDEX(INDIRECT($M79),
       MATCH(TRIM($C79), TRIM(INDIRECT($N79)), 0),
       MATCH(TRIM(K$2), TRIM(INDIRECT($O79)), 0))</f>
        <v>21.983022222222225</v>
      </c>
      <c r="L79" s="11" cm="1">
        <f t="array" aca="1" ref="L79" ca="1">INDEX(INDIRECT($M79),
       MATCH(TRIM($C79), TRIM(INDIRECT($N79)), 0),
       MATCH(TRIM(L$2), TRIM(INDIRECT($O79)), 0))</f>
        <v>304.35364022222223</v>
      </c>
      <c r="M79" s="5" t="str">
        <f t="shared" si="3"/>
        <v>'2016'!$N$3:$V$80</v>
      </c>
      <c r="N79" s="5" t="str">
        <f t="shared" si="4"/>
        <v>'2016'!$M$2:$M$80</v>
      </c>
      <c r="O79" s="5" t="str">
        <f t="shared" si="5"/>
        <v>'2016'!$N$2:$W$2</v>
      </c>
    </row>
    <row r="80" spans="1:15" x14ac:dyDescent="0.3">
      <c r="A80">
        <v>15</v>
      </c>
      <c r="B80" s="9">
        <v>2016</v>
      </c>
      <c r="C80" t="s">
        <v>14</v>
      </c>
      <c r="D80" s="11" cm="1">
        <f t="array" aca="1" ref="D80" ca="1">INDEX(INDIRECT($M80),
       MATCH(TRIM($C80), TRIM(INDIRECT($N80)), 0),
       MATCH(TRIM(D$2), TRIM(INDIRECT($O80)), 0))</f>
        <v>5</v>
      </c>
      <c r="E80" s="9" cm="1">
        <f t="array" aca="1" ref="E80" ca="1">INDEX(INDIRECT($M80),
       MATCH(TRIM($C80), TRIM(INDIRECT($N80)), 0),
       MATCH(TRIM(E$2), TRIM(INDIRECT($O80)), 0))</f>
        <v>89241000</v>
      </c>
      <c r="F80" s="11" cm="1">
        <f t="array" aca="1" ref="F80" ca="1">INDEX(INDIRECT($M80),
       MATCH(TRIM($C80), TRIM(INDIRECT($N80)), 0),
       MATCH(TRIM(F$2), TRIM(INDIRECT($O80)), 0))</f>
        <v>89.241</v>
      </c>
      <c r="G80" s="11" cm="1">
        <f t="array" aca="1" ref="G80" ca="1">INDEX(INDIRECT($M80),
       MATCH(TRIM($C80), TRIM(INDIRECT($N80)), 0),
       MATCH(TRIM(G$2), TRIM(INDIRECT($O80)), 0))</f>
        <v>2</v>
      </c>
      <c r="H80" s="9" cm="1">
        <f t="array" aca="1" ref="H80" ca="1">INDEX(INDIRECT($M80),
       MATCH(TRIM($C80), TRIM(INDIRECT($N80)), 0),
       MATCH(TRIM(H$2), TRIM(INDIRECT($O80)), 0))</f>
        <v>940000</v>
      </c>
      <c r="I80" s="11" cm="1">
        <f t="array" aca="1" ref="I80" ca="1">INDEX(INDIRECT($M80),
       MATCH(TRIM($C80), TRIM(INDIRECT($N80)), 0),
       MATCH(TRIM(I$2), TRIM(INDIRECT($O80)), 0))</f>
        <v>0.94</v>
      </c>
      <c r="J80" s="9" cm="1">
        <f t="array" aca="1" ref="J80" ca="1">INDEX(INDIRECT($M80),
       MATCH(TRIM($C80), TRIM(INDIRECT($N80)), 0),
       MATCH(TRIM(J$2), TRIM(INDIRECT($O80)), 0))</f>
        <v>0</v>
      </c>
      <c r="K80" s="11" cm="1">
        <f t="array" aca="1" ref="K80" ca="1">INDEX(INDIRECT($M80),
       MATCH(TRIM($C80), TRIM(INDIRECT($N80)), 0),
       MATCH(TRIM(K$2), TRIM(INDIRECT($O80)), 0))</f>
        <v>0</v>
      </c>
      <c r="L80" s="11" cm="1">
        <f t="array" aca="1" ref="L80" ca="1">INDEX(INDIRECT($M80),
       MATCH(TRIM($C80), TRIM(INDIRECT($N80)), 0),
       MATCH(TRIM(L$2), TRIM(INDIRECT($O80)), 0))</f>
        <v>90.180999999999997</v>
      </c>
      <c r="M80" s="5" t="str">
        <f t="shared" si="3"/>
        <v>'2016'!$N$3:$V$80</v>
      </c>
      <c r="N80" s="5" t="str">
        <f t="shared" si="4"/>
        <v>'2016'!$M$2:$M$80</v>
      </c>
      <c r="O80" s="5" t="str">
        <f t="shared" si="5"/>
        <v>'2016'!$N$2:$W$2</v>
      </c>
    </row>
    <row r="81" spans="1:15" x14ac:dyDescent="0.3">
      <c r="A81">
        <v>16</v>
      </c>
      <c r="B81" s="9">
        <v>2016</v>
      </c>
      <c r="C81" t="s">
        <v>15</v>
      </c>
      <c r="D81" s="11" cm="1">
        <f t="array" aca="1" ref="D81" ca="1">INDEX(INDIRECT($M81),
       MATCH(TRIM($C81), TRIM(INDIRECT($N81)), 0),
       MATCH(TRIM(D$2), TRIM(INDIRECT($O81)), 0))</f>
        <v>9</v>
      </c>
      <c r="E81" s="9" cm="1">
        <f t="array" aca="1" ref="E81" ca="1">INDEX(INDIRECT($M81),
       MATCH(TRIM($C81), TRIM(INDIRECT($N81)), 0),
       MATCH(TRIM(E$2), TRIM(INDIRECT($O81)), 0))</f>
        <v>244841603</v>
      </c>
      <c r="F81" s="11" cm="1">
        <f t="array" aca="1" ref="F81" ca="1">INDEX(INDIRECT($M81),
       MATCH(TRIM($C81), TRIM(INDIRECT($N81)), 0),
       MATCH(TRIM(F$2), TRIM(INDIRECT($O81)), 0))</f>
        <v>244.84160299999999</v>
      </c>
      <c r="G81" s="11" cm="1">
        <f t="array" aca="1" ref="G81" ca="1">INDEX(INDIRECT($M81),
       MATCH(TRIM($C81), TRIM(INDIRECT($N81)), 0),
       MATCH(TRIM(G$2), TRIM(INDIRECT($O81)), 0))</f>
        <v>2</v>
      </c>
      <c r="H81" s="9" cm="1">
        <f t="array" aca="1" ref="H81" ca="1">INDEX(INDIRECT($M81),
       MATCH(TRIM($C81), TRIM(INDIRECT($N81)), 0),
       MATCH(TRIM(H$2), TRIM(INDIRECT($O81)), 0))</f>
        <v>133470389</v>
      </c>
      <c r="I81" s="11" cm="1">
        <f t="array" aca="1" ref="I81" ca="1">INDEX(INDIRECT($M81),
       MATCH(TRIM($C81), TRIM(INDIRECT($N81)), 0),
       MATCH(TRIM(I$2), TRIM(INDIRECT($O81)), 0))</f>
        <v>133.47038900000001</v>
      </c>
      <c r="J81" s="9" cm="1">
        <f t="array" aca="1" ref="J81" ca="1">INDEX(INDIRECT($M81),
       MATCH(TRIM($C81), TRIM(INDIRECT($N81)), 0),
       MATCH(TRIM(J$2), TRIM(INDIRECT($O81)), 0))</f>
        <v>3</v>
      </c>
      <c r="K81" s="11" cm="1">
        <f t="array" aca="1" ref="K81" ca="1">INDEX(INDIRECT($M81),
       MATCH(TRIM($C81), TRIM(INDIRECT($N81)), 0),
       MATCH(TRIM(K$2), TRIM(INDIRECT($O81)), 0))</f>
        <v>12.952444444444444</v>
      </c>
      <c r="L81" s="11" cm="1">
        <f t="array" aca="1" ref="L81" ca="1">INDEX(INDIRECT($M81),
       MATCH(TRIM($C81), TRIM(INDIRECT($N81)), 0),
       MATCH(TRIM(L$2), TRIM(INDIRECT($O81)), 0))</f>
        <v>391.26443644444447</v>
      </c>
      <c r="M81" s="5" t="str">
        <f t="shared" si="3"/>
        <v>'2016'!$N$3:$V$80</v>
      </c>
      <c r="N81" s="5" t="str">
        <f t="shared" si="4"/>
        <v>'2016'!$M$2:$M$80</v>
      </c>
      <c r="O81" s="5" t="str">
        <f t="shared" si="5"/>
        <v>'2016'!$N$2:$W$2</v>
      </c>
    </row>
    <row r="82" spans="1:15" x14ac:dyDescent="0.3">
      <c r="A82">
        <v>17</v>
      </c>
      <c r="B82" s="9">
        <v>2016</v>
      </c>
      <c r="C82" t="s">
        <v>16</v>
      </c>
      <c r="D82" s="11" cm="1">
        <f t="array" aca="1" ref="D82" ca="1">INDEX(INDIRECT($M82),
       MATCH(TRIM($C82), TRIM(INDIRECT($N82)), 0),
       MATCH(TRIM(D$2), TRIM(INDIRECT($O82)), 0))</f>
        <v>74</v>
      </c>
      <c r="E82" s="9" cm="1">
        <f t="array" aca="1" ref="E82" ca="1">INDEX(INDIRECT($M82),
       MATCH(TRIM($C82), TRIM(INDIRECT($N82)), 0),
       MATCH(TRIM(E$2), TRIM(INDIRECT($O82)), 0))</f>
        <v>78018255</v>
      </c>
      <c r="F82" s="11" cm="1">
        <f t="array" aca="1" ref="F82" ca="1">INDEX(INDIRECT($M82),
       MATCH(TRIM($C82), TRIM(INDIRECT($N82)), 0),
       MATCH(TRIM(F$2), TRIM(INDIRECT($O82)), 0))</f>
        <v>78.018254999999996</v>
      </c>
      <c r="G82" s="11" cm="1">
        <f t="array" aca="1" ref="G82" ca="1">INDEX(INDIRECT($M82),
       MATCH(TRIM($C82), TRIM(INDIRECT($N82)), 0),
       MATCH(TRIM(G$2), TRIM(INDIRECT($O82)), 0))</f>
        <v>11</v>
      </c>
      <c r="H82" s="9" cm="1">
        <f t="array" aca="1" ref="H82" ca="1">INDEX(INDIRECT($M82),
       MATCH(TRIM($C82), TRIM(INDIRECT($N82)), 0),
       MATCH(TRIM(H$2), TRIM(INDIRECT($O82)), 0))</f>
        <v>-10038796</v>
      </c>
      <c r="I82" s="11" cm="1">
        <f t="array" aca="1" ref="I82" ca="1">INDEX(INDIRECT($M82),
       MATCH(TRIM($C82), TRIM(INDIRECT($N82)), 0),
       MATCH(TRIM(I$2), TRIM(INDIRECT($O82)), 0))</f>
        <v>-10.038796</v>
      </c>
      <c r="J82" s="9" cm="1">
        <f t="array" aca="1" ref="J82" ca="1">INDEX(INDIRECT($M82),
       MATCH(TRIM($C82), TRIM(INDIRECT($N82)), 0),
       MATCH(TRIM(J$2), TRIM(INDIRECT($O82)), 0))</f>
        <v>33</v>
      </c>
      <c r="K82" s="11" cm="1">
        <f t="array" aca="1" ref="K82" ca="1">INDEX(INDIRECT($M82),
       MATCH(TRIM($C82), TRIM(INDIRECT($N82)), 0),
       MATCH(TRIM(K$2), TRIM(INDIRECT($O82)), 0))</f>
        <v>29.286006157733336</v>
      </c>
      <c r="L82" s="11" cm="1">
        <f t="array" aca="1" ref="L82" ca="1">INDEX(INDIRECT($M82),
       MATCH(TRIM($C82), TRIM(INDIRECT($N82)), 0),
       MATCH(TRIM(L$2), TRIM(INDIRECT($O82)), 0))</f>
        <v>97.265465157733331</v>
      </c>
      <c r="M82" s="5" t="str">
        <f t="shared" si="3"/>
        <v>'2016'!$N$3:$V$80</v>
      </c>
      <c r="N82" s="5" t="str">
        <f t="shared" si="4"/>
        <v>'2016'!$M$2:$M$80</v>
      </c>
      <c r="O82" s="5" t="str">
        <f t="shared" si="5"/>
        <v>'2016'!$N$2:$W$2</v>
      </c>
    </row>
    <row r="83" spans="1:15" x14ac:dyDescent="0.3">
      <c r="A83">
        <v>18</v>
      </c>
      <c r="B83" s="9">
        <v>2016</v>
      </c>
      <c r="C83" t="s">
        <v>17</v>
      </c>
      <c r="D83" s="11" cm="1">
        <f t="array" aca="1" ref="D83" ca="1">INDEX(INDIRECT($M83),
       MATCH(TRIM($C83), TRIM(INDIRECT($N83)), 0),
       MATCH(TRIM(D$2), TRIM(INDIRECT($O83)), 0))</f>
        <v>42</v>
      </c>
      <c r="E83" s="9" cm="1">
        <f t="array" aca="1" ref="E83" ca="1">INDEX(INDIRECT($M83),
       MATCH(TRIM($C83), TRIM(INDIRECT($N83)), 0),
       MATCH(TRIM(E$2), TRIM(INDIRECT($O83)), 0))</f>
        <v>313804060</v>
      </c>
      <c r="F83" s="11" cm="1">
        <f t="array" aca="1" ref="F83" ca="1">INDEX(INDIRECT($M83),
       MATCH(TRIM($C83), TRIM(INDIRECT($N83)), 0),
       MATCH(TRIM(F$2), TRIM(INDIRECT($O83)), 0))</f>
        <v>313.80405999999999</v>
      </c>
      <c r="G83" s="11" cm="1">
        <f t="array" aca="1" ref="G83" ca="1">INDEX(INDIRECT($M83),
       MATCH(TRIM($C83), TRIM(INDIRECT($N83)), 0),
       MATCH(TRIM(G$2), TRIM(INDIRECT($O83)), 0))</f>
        <v>33</v>
      </c>
      <c r="H83" s="9" cm="1">
        <f t="array" aca="1" ref="H83" ca="1">INDEX(INDIRECT($M83),
       MATCH(TRIM($C83), TRIM(INDIRECT($N83)), 0),
       MATCH(TRIM(H$2), TRIM(INDIRECT($O83)), 0))</f>
        <v>60180284</v>
      </c>
      <c r="I83" s="11" cm="1">
        <f t="array" aca="1" ref="I83" ca="1">INDEX(INDIRECT($M83),
       MATCH(TRIM($C83), TRIM(INDIRECT($N83)), 0),
       MATCH(TRIM(I$2), TRIM(INDIRECT($O83)), 0))</f>
        <v>60.180284</v>
      </c>
      <c r="J83" s="9" cm="1">
        <f t="array" aca="1" ref="J83" ca="1">INDEX(INDIRECT($M83),
       MATCH(TRIM($C83), TRIM(INDIRECT($N83)), 0),
       MATCH(TRIM(J$2), TRIM(INDIRECT($O83)), 0))</f>
        <v>15</v>
      </c>
      <c r="K83" s="11" cm="1">
        <f t="array" aca="1" ref="K83" ca="1">INDEX(INDIRECT($M83),
       MATCH(TRIM($C83), TRIM(INDIRECT($N83)), 0),
       MATCH(TRIM(K$2), TRIM(INDIRECT($O83)), 0))</f>
        <v>18.407022222222224</v>
      </c>
      <c r="L83" s="11" cm="1">
        <f t="array" aca="1" ref="L83" ca="1">INDEX(INDIRECT($M83),
       MATCH(TRIM($C83), TRIM(INDIRECT($N83)), 0),
       MATCH(TRIM(L$2), TRIM(INDIRECT($O83)), 0))</f>
        <v>392.39136622222219</v>
      </c>
      <c r="M83" s="5" t="str">
        <f t="shared" si="3"/>
        <v>'2016'!$N$3:$V$80</v>
      </c>
      <c r="N83" s="5" t="str">
        <f t="shared" si="4"/>
        <v>'2016'!$M$2:$M$80</v>
      </c>
      <c r="O83" s="5" t="str">
        <f t="shared" si="5"/>
        <v>'2016'!$N$2:$W$2</v>
      </c>
    </row>
    <row r="84" spans="1:15" x14ac:dyDescent="0.3">
      <c r="A84">
        <v>19</v>
      </c>
      <c r="B84" s="9">
        <v>2016</v>
      </c>
      <c r="C84" t="s">
        <v>18</v>
      </c>
      <c r="D84" s="11" cm="1">
        <f t="array" aca="1" ref="D84" ca="1">INDEX(INDIRECT($M84),
       MATCH(TRIM($C84), TRIM(INDIRECT($N84)), 0),
       MATCH(TRIM(D$2), TRIM(INDIRECT($O84)), 0))</f>
        <v>13</v>
      </c>
      <c r="E84" s="9" cm="1">
        <f t="array" aca="1" ref="E84" ca="1">INDEX(INDIRECT($M84),
       MATCH(TRIM($C84), TRIM(INDIRECT($N84)), 0),
       MATCH(TRIM(E$2), TRIM(INDIRECT($O84)), 0))</f>
        <v>95870699</v>
      </c>
      <c r="F84" s="11" cm="1">
        <f t="array" aca="1" ref="F84" ca="1">INDEX(INDIRECT($M84),
       MATCH(TRIM($C84), TRIM(INDIRECT($N84)), 0),
       MATCH(TRIM(F$2), TRIM(INDIRECT($O84)), 0))</f>
        <v>95.870699000000002</v>
      </c>
      <c r="G84" s="11" cm="1">
        <f t="array" aca="1" ref="G84" ca="1">INDEX(INDIRECT($M84),
       MATCH(TRIM($C84), TRIM(INDIRECT($N84)), 0),
       MATCH(TRIM(G$2), TRIM(INDIRECT($O84)), 0))</f>
        <v>17</v>
      </c>
      <c r="H84" s="9" cm="1">
        <f t="array" aca="1" ref="H84" ca="1">INDEX(INDIRECT($M84),
       MATCH(TRIM($C84), TRIM(INDIRECT($N84)), 0),
       MATCH(TRIM(H$2), TRIM(INDIRECT($O84)), 0))</f>
        <v>102306383</v>
      </c>
      <c r="I84" s="11" cm="1">
        <f t="array" aca="1" ref="I84" ca="1">INDEX(INDIRECT($M84),
       MATCH(TRIM($C84), TRIM(INDIRECT($N84)), 0),
       MATCH(TRIM(I$2), TRIM(INDIRECT($O84)), 0))</f>
        <v>102.306383</v>
      </c>
      <c r="J84" s="9" cm="1">
        <f t="array" aca="1" ref="J84" ca="1">INDEX(INDIRECT($M84),
       MATCH(TRIM($C84), TRIM(INDIRECT($N84)), 0),
       MATCH(TRIM(J$2), TRIM(INDIRECT($O84)), 0))</f>
        <v>1</v>
      </c>
      <c r="K84" s="11" cm="1">
        <f t="array" aca="1" ref="K84" ca="1">INDEX(INDIRECT($M84),
       MATCH(TRIM($C84), TRIM(INDIRECT($N84)), 0),
       MATCH(TRIM(K$2), TRIM(INDIRECT($O84)), 0))</f>
        <v>0.68666666666666665</v>
      </c>
      <c r="L84" s="11" cm="1">
        <f t="array" aca="1" ref="L84" ca="1">INDEX(INDIRECT($M84),
       MATCH(TRIM($C84), TRIM(INDIRECT($N84)), 0),
       MATCH(TRIM(L$2), TRIM(INDIRECT($O84)), 0))</f>
        <v>198.86374866666665</v>
      </c>
      <c r="M84" s="5" t="str">
        <f t="shared" si="3"/>
        <v>'2016'!$N$3:$V$80</v>
      </c>
      <c r="N84" s="5" t="str">
        <f t="shared" si="4"/>
        <v>'2016'!$M$2:$M$80</v>
      </c>
      <c r="O84" s="5" t="str">
        <f t="shared" si="5"/>
        <v>'2016'!$N$2:$W$2</v>
      </c>
    </row>
    <row r="85" spans="1:15" x14ac:dyDescent="0.3">
      <c r="A85">
        <v>20</v>
      </c>
      <c r="B85" s="9">
        <v>2016</v>
      </c>
      <c r="C85" t="s">
        <v>19</v>
      </c>
      <c r="D85" s="11" cm="1">
        <f t="array" aca="1" ref="D85" ca="1">INDEX(INDIRECT($M85),
       MATCH(TRIM($C85), TRIM(INDIRECT($N85)), 0),
       MATCH(TRIM(D$2), TRIM(INDIRECT($O85)), 0))</f>
        <v>23</v>
      </c>
      <c r="E85" s="9" cm="1">
        <f t="array" aca="1" ref="E85" ca="1">INDEX(INDIRECT($M85),
       MATCH(TRIM($C85), TRIM(INDIRECT($N85)), 0),
       MATCH(TRIM(E$2), TRIM(INDIRECT($O85)), 0))</f>
        <v>132202997</v>
      </c>
      <c r="F85" s="11" cm="1">
        <f t="array" aca="1" ref="F85" ca="1">INDEX(INDIRECT($M85),
       MATCH(TRIM($C85), TRIM(INDIRECT($N85)), 0),
       MATCH(TRIM(F$2), TRIM(INDIRECT($O85)), 0))</f>
        <v>132.20299700000001</v>
      </c>
      <c r="G85" s="11" cm="1">
        <f t="array" aca="1" ref="G85" ca="1">INDEX(INDIRECT($M85),
       MATCH(TRIM($C85), TRIM(INDIRECT($N85)), 0),
       MATCH(TRIM(G$2), TRIM(INDIRECT($O85)), 0))</f>
        <v>15</v>
      </c>
      <c r="H85" s="9" cm="1">
        <f t="array" aca="1" ref="H85" ca="1">INDEX(INDIRECT($M85),
       MATCH(TRIM($C85), TRIM(INDIRECT($N85)), 0),
       MATCH(TRIM(H$2), TRIM(INDIRECT($O85)), 0))</f>
        <v>24687975</v>
      </c>
      <c r="I85" s="11" cm="1">
        <f t="array" aca="1" ref="I85" ca="1">INDEX(INDIRECT($M85),
       MATCH(TRIM($C85), TRIM(INDIRECT($N85)), 0),
       MATCH(TRIM(I$2), TRIM(INDIRECT($O85)), 0))</f>
        <v>24.687975000000002</v>
      </c>
      <c r="J85" s="9" cm="1">
        <f t="array" aca="1" ref="J85" ca="1">INDEX(INDIRECT($M85),
       MATCH(TRIM($C85), TRIM(INDIRECT($N85)), 0),
       MATCH(TRIM(J$2), TRIM(INDIRECT($O85)), 0))</f>
        <v>8</v>
      </c>
      <c r="K85" s="11" cm="1">
        <f t="array" aca="1" ref="K85" ca="1">INDEX(INDIRECT($M85),
       MATCH(TRIM($C85), TRIM(INDIRECT($N85)), 0),
       MATCH(TRIM(K$2), TRIM(INDIRECT($O85)), 0))</f>
        <v>7.4610408888888884</v>
      </c>
      <c r="L85" s="11" cm="1">
        <f t="array" aca="1" ref="L85" ca="1">INDEX(INDIRECT($M85),
       MATCH(TRIM($C85), TRIM(INDIRECT($N85)), 0),
       MATCH(TRIM(L$2), TRIM(INDIRECT($O85)), 0))</f>
        <v>164.35201288888891</v>
      </c>
      <c r="M85" s="5" t="str">
        <f t="shared" si="3"/>
        <v>'2016'!$N$3:$V$80</v>
      </c>
      <c r="N85" s="5" t="str">
        <f t="shared" si="4"/>
        <v>'2016'!$M$2:$M$80</v>
      </c>
      <c r="O85" s="5" t="str">
        <f t="shared" si="5"/>
        <v>'2016'!$N$2:$W$2</v>
      </c>
    </row>
    <row r="86" spans="1:15" x14ac:dyDescent="0.3">
      <c r="A86">
        <v>21</v>
      </c>
      <c r="B86" s="9">
        <v>2016</v>
      </c>
      <c r="C86" t="s">
        <v>20</v>
      </c>
      <c r="D86" s="11" cm="1">
        <f t="array" aca="1" ref="D86" ca="1">INDEX(INDIRECT($M86),
       MATCH(TRIM($C86), TRIM(INDIRECT($N86)), 0),
       MATCH(TRIM(D$2), TRIM(INDIRECT($O86)), 0))</f>
        <v>2</v>
      </c>
      <c r="E86" s="9" cm="1">
        <f t="array" aca="1" ref="E86" ca="1">INDEX(INDIRECT($M86),
       MATCH(TRIM($C86), TRIM(INDIRECT($N86)), 0),
       MATCH(TRIM(E$2), TRIM(INDIRECT($O86)), 0))</f>
        <v>379070</v>
      </c>
      <c r="F86" s="11" cm="1">
        <f t="array" aca="1" ref="F86" ca="1">INDEX(INDIRECT($M86),
       MATCH(TRIM($C86), TRIM(INDIRECT($N86)), 0),
       MATCH(TRIM(F$2), TRIM(INDIRECT($O86)), 0))</f>
        <v>0.37907000000000002</v>
      </c>
      <c r="G86" s="11" cm="1">
        <f t="array" aca="1" ref="G86" ca="1">INDEX(INDIRECT($M86),
       MATCH(TRIM($C86), TRIM(INDIRECT($N86)), 0),
       MATCH(TRIM(G$2), TRIM(INDIRECT($O86)), 0))</f>
        <v>2</v>
      </c>
      <c r="H86" s="9" cm="1">
        <f t="array" aca="1" ref="H86" ca="1">INDEX(INDIRECT($M86),
       MATCH(TRIM($C86), TRIM(INDIRECT($N86)), 0),
       MATCH(TRIM(H$2), TRIM(INDIRECT($O86)), 0))</f>
        <v>25938936</v>
      </c>
      <c r="I86" s="11" cm="1">
        <f t="array" aca="1" ref="I86" ca="1">INDEX(INDIRECT($M86),
       MATCH(TRIM($C86), TRIM(INDIRECT($N86)), 0),
       MATCH(TRIM(I$2), TRIM(INDIRECT($O86)), 0))</f>
        <v>25.938936000000002</v>
      </c>
      <c r="J86" s="9" cm="1">
        <f t="array" aca="1" ref="J86" ca="1">INDEX(INDIRECT($M86),
       MATCH(TRIM($C86), TRIM(INDIRECT($N86)), 0),
       MATCH(TRIM(J$2), TRIM(INDIRECT($O86)), 0))</f>
        <v>0</v>
      </c>
      <c r="K86" s="11" cm="1">
        <f t="array" aca="1" ref="K86" ca="1">INDEX(INDIRECT($M86),
       MATCH(TRIM($C86), TRIM(INDIRECT($N86)), 0),
       MATCH(TRIM(K$2), TRIM(INDIRECT($O86)), 0))</f>
        <v>0</v>
      </c>
      <c r="L86" s="11" cm="1">
        <f t="array" aca="1" ref="L86" ca="1">INDEX(INDIRECT($M86),
       MATCH(TRIM($C86), TRIM(INDIRECT($N86)), 0),
       MATCH(TRIM(L$2), TRIM(INDIRECT($O86)), 0))</f>
        <v>26.318006</v>
      </c>
      <c r="M86" s="5" t="str">
        <f t="shared" si="3"/>
        <v>'2016'!$N$3:$V$80</v>
      </c>
      <c r="N86" s="5" t="str">
        <f t="shared" si="4"/>
        <v>'2016'!$M$2:$M$80</v>
      </c>
      <c r="O86" s="5" t="str">
        <f t="shared" si="5"/>
        <v>'2016'!$N$2:$W$2</v>
      </c>
    </row>
    <row r="87" spans="1:15" x14ac:dyDescent="0.3">
      <c r="A87">
        <v>22</v>
      </c>
      <c r="B87" s="9">
        <v>2016</v>
      </c>
      <c r="C87" t="s">
        <v>21</v>
      </c>
      <c r="D87" s="11" cm="1">
        <f t="array" aca="1" ref="D87" ca="1">INDEX(INDIRECT($M87),
       MATCH(TRIM($C87), TRIM(INDIRECT($N87)), 0),
       MATCH(TRIM(D$2), TRIM(INDIRECT($O87)), 0))</f>
        <v>0</v>
      </c>
      <c r="E87" s="9" cm="1">
        <f t="array" aca="1" ref="E87" ca="1">INDEX(INDIRECT($M87),
       MATCH(TRIM($C87), TRIM(INDIRECT($N87)), 0),
       MATCH(TRIM(E$2), TRIM(INDIRECT($O87)), 0))</f>
        <v>0</v>
      </c>
      <c r="F87" s="11" cm="1">
        <f t="array" aca="1" ref="F87" ca="1">INDEX(INDIRECT($M87),
       MATCH(TRIM($C87), TRIM(INDIRECT($N87)), 0),
       MATCH(TRIM(F$2), TRIM(INDIRECT($O87)), 0))</f>
        <v>0</v>
      </c>
      <c r="G87" s="11" cm="1">
        <f t="array" aca="1" ref="G87" ca="1">INDEX(INDIRECT($M87),
       MATCH(TRIM($C87), TRIM(INDIRECT($N87)), 0),
       MATCH(TRIM(G$2), TRIM(INDIRECT($O87)), 0))</f>
        <v>2</v>
      </c>
      <c r="H87" s="9" cm="1">
        <f t="array" aca="1" ref="H87" ca="1">INDEX(INDIRECT($M87),
       MATCH(TRIM($C87), TRIM(INDIRECT($N87)), 0),
       MATCH(TRIM(H$2), TRIM(INDIRECT($O87)), 0))</f>
        <v>70000000</v>
      </c>
      <c r="I87" s="11" cm="1">
        <f t="array" aca="1" ref="I87" ca="1">INDEX(INDIRECT($M87),
       MATCH(TRIM($C87), TRIM(INDIRECT($N87)), 0),
       MATCH(TRIM(I$2), TRIM(INDIRECT($O87)), 0))</f>
        <v>70</v>
      </c>
      <c r="J87" s="9" cm="1">
        <f t="array" aca="1" ref="J87" ca="1">INDEX(INDIRECT($M87),
       MATCH(TRIM($C87), TRIM(INDIRECT($N87)), 0),
       MATCH(TRIM(J$2), TRIM(INDIRECT($O87)), 0))</f>
        <v>0</v>
      </c>
      <c r="K87" s="11" cm="1">
        <f t="array" aca="1" ref="K87" ca="1">INDEX(INDIRECT($M87),
       MATCH(TRIM($C87), TRIM(INDIRECT($N87)), 0),
       MATCH(TRIM(K$2), TRIM(INDIRECT($O87)), 0))</f>
        <v>0</v>
      </c>
      <c r="L87" s="11" cm="1">
        <f t="array" aca="1" ref="L87" ca="1">INDEX(INDIRECT($M87),
       MATCH(TRIM($C87), TRIM(INDIRECT($N87)), 0),
       MATCH(TRIM(L$2), TRIM(INDIRECT($O87)), 0))</f>
        <v>70</v>
      </c>
      <c r="M87" s="5" t="str">
        <f t="shared" si="3"/>
        <v>'2016'!$N$3:$V$80</v>
      </c>
      <c r="N87" s="5" t="str">
        <f t="shared" si="4"/>
        <v>'2016'!$M$2:$M$80</v>
      </c>
      <c r="O87" s="5" t="str">
        <f t="shared" si="5"/>
        <v>'2016'!$N$2:$W$2</v>
      </c>
    </row>
    <row r="88" spans="1:15" x14ac:dyDescent="0.3">
      <c r="A88">
        <v>23</v>
      </c>
      <c r="B88" s="9">
        <v>2016</v>
      </c>
      <c r="C88" t="s">
        <v>22</v>
      </c>
      <c r="D88" s="11" cm="1">
        <f t="array" aca="1" ref="D88" ca="1">INDEX(INDIRECT($M88),
       MATCH(TRIM($C88), TRIM(INDIRECT($N88)), 0),
       MATCH(TRIM(D$2), TRIM(INDIRECT($O88)), 0))</f>
        <v>18</v>
      </c>
      <c r="E88" s="9" cm="1">
        <f t="array" aca="1" ref="E88" ca="1">INDEX(INDIRECT($M88),
       MATCH(TRIM($C88), TRIM(INDIRECT($N88)), 0),
       MATCH(TRIM(E$2), TRIM(INDIRECT($O88)), 0))</f>
        <v>259623980</v>
      </c>
      <c r="F88" s="11" cm="1">
        <f t="array" aca="1" ref="F88" ca="1">INDEX(INDIRECT($M88),
       MATCH(TRIM($C88), TRIM(INDIRECT($N88)), 0),
       MATCH(TRIM(F$2), TRIM(INDIRECT($O88)), 0))</f>
        <v>259.62398000000002</v>
      </c>
      <c r="G88" s="11" cm="1">
        <f t="array" aca="1" ref="G88" ca="1">INDEX(INDIRECT($M88),
       MATCH(TRIM($C88), TRIM(INDIRECT($N88)), 0),
       MATCH(TRIM(G$2), TRIM(INDIRECT($O88)), 0))</f>
        <v>13</v>
      </c>
      <c r="H88" s="9" cm="1">
        <f t="array" aca="1" ref="H88" ca="1">INDEX(INDIRECT($M88),
       MATCH(TRIM($C88), TRIM(INDIRECT($N88)), 0),
       MATCH(TRIM(H$2), TRIM(INDIRECT($O88)), 0))</f>
        <v>201930610</v>
      </c>
      <c r="I88" s="11" cm="1">
        <f t="array" aca="1" ref="I88" ca="1">INDEX(INDIRECT($M88),
       MATCH(TRIM($C88), TRIM(INDIRECT($N88)), 0),
       MATCH(TRIM(I$2), TRIM(INDIRECT($O88)), 0))</f>
        <v>201.93061</v>
      </c>
      <c r="J88" s="9" cm="1">
        <f t="array" aca="1" ref="J88" ca="1">INDEX(INDIRECT($M88),
       MATCH(TRIM($C88), TRIM(INDIRECT($N88)), 0),
       MATCH(TRIM(J$2), TRIM(INDIRECT($O88)), 0))</f>
        <v>15</v>
      </c>
      <c r="K88" s="11" cm="1">
        <f t="array" aca="1" ref="K88" ca="1">INDEX(INDIRECT($M88),
       MATCH(TRIM($C88), TRIM(INDIRECT($N88)), 0),
       MATCH(TRIM(K$2), TRIM(INDIRECT($O88)), 0))</f>
        <v>70.183162526888893</v>
      </c>
      <c r="L88" s="11" cm="1">
        <f t="array" aca="1" ref="L88" ca="1">INDEX(INDIRECT($M88),
       MATCH(TRIM($C88), TRIM(INDIRECT($N88)), 0),
       MATCH(TRIM(L$2), TRIM(INDIRECT($O88)), 0))</f>
        <v>531.73775252688893</v>
      </c>
      <c r="M88" s="5" t="str">
        <f t="shared" si="3"/>
        <v>'2016'!$N$3:$V$80</v>
      </c>
      <c r="N88" s="5" t="str">
        <f t="shared" si="4"/>
        <v>'2016'!$M$2:$M$80</v>
      </c>
      <c r="O88" s="5" t="str">
        <f t="shared" si="5"/>
        <v>'2016'!$N$2:$W$2</v>
      </c>
    </row>
    <row r="89" spans="1:15" x14ac:dyDescent="0.3">
      <c r="A89">
        <v>24</v>
      </c>
      <c r="B89" s="9">
        <v>2016</v>
      </c>
      <c r="C89" t="s">
        <v>23</v>
      </c>
      <c r="D89" s="11" cm="1">
        <f t="array" aca="1" ref="D89" ca="1">INDEX(INDIRECT($M89),
       MATCH(TRIM($C89), TRIM(INDIRECT($N89)), 0),
       MATCH(TRIM(D$2), TRIM(INDIRECT($O89)), 0))</f>
        <v>10</v>
      </c>
      <c r="E89" s="9" cm="1">
        <f t="array" aca="1" ref="E89" ca="1">INDEX(INDIRECT($M89),
       MATCH(TRIM($C89), TRIM(INDIRECT($N89)), 0),
       MATCH(TRIM(E$2), TRIM(INDIRECT($O89)), 0))</f>
        <v>517735387</v>
      </c>
      <c r="F89" s="11" cm="1">
        <f t="array" aca="1" ref="F89" ca="1">INDEX(INDIRECT($M89),
       MATCH(TRIM($C89), TRIM(INDIRECT($N89)), 0),
       MATCH(TRIM(F$2), TRIM(INDIRECT($O89)), 0))</f>
        <v>517.73538699999995</v>
      </c>
      <c r="G89" s="11" cm="1">
        <f t="array" aca="1" ref="G89" ca="1">INDEX(INDIRECT($M89),
       MATCH(TRIM($C89), TRIM(INDIRECT($N89)), 0),
       MATCH(TRIM(G$2), TRIM(INDIRECT($O89)), 0))</f>
        <v>0</v>
      </c>
      <c r="H89" s="9" cm="1">
        <f t="array" aca="1" ref="H89" ca="1">INDEX(INDIRECT($M89),
       MATCH(TRIM($C89), TRIM(INDIRECT($N89)), 0),
       MATCH(TRIM(H$2), TRIM(INDIRECT($O89)), 0))</f>
        <v>0</v>
      </c>
      <c r="I89" s="11" cm="1">
        <f t="array" aca="1" ref="I89" ca="1">INDEX(INDIRECT($M89),
       MATCH(TRIM($C89), TRIM(INDIRECT($N89)), 0),
       MATCH(TRIM(I$2), TRIM(INDIRECT($O89)), 0))</f>
        <v>0</v>
      </c>
      <c r="J89" s="9" cm="1">
        <f t="array" aca="1" ref="J89" ca="1">INDEX(INDIRECT($M89),
       MATCH(TRIM($C89), TRIM(INDIRECT($N89)), 0),
       MATCH(TRIM(J$2), TRIM(INDIRECT($O89)), 0))</f>
        <v>8</v>
      </c>
      <c r="K89" s="11" cm="1">
        <f t="array" aca="1" ref="K89" ca="1">INDEX(INDIRECT($M89),
       MATCH(TRIM($C89), TRIM(INDIRECT($N89)), 0),
       MATCH(TRIM(K$2), TRIM(INDIRECT($O89)), 0))</f>
        <v>37.890186666666665</v>
      </c>
      <c r="L89" s="11" cm="1">
        <f t="array" aca="1" ref="L89" ca="1">INDEX(INDIRECT($M89),
       MATCH(TRIM($C89), TRIM(INDIRECT($N89)), 0),
       MATCH(TRIM(L$2), TRIM(INDIRECT($O89)), 0))</f>
        <v>555.62557366666658</v>
      </c>
      <c r="M89" s="5" t="str">
        <f t="shared" si="3"/>
        <v>'2016'!$N$3:$V$80</v>
      </c>
      <c r="N89" s="5" t="str">
        <f t="shared" si="4"/>
        <v>'2016'!$M$2:$M$80</v>
      </c>
      <c r="O89" s="5" t="str">
        <f t="shared" si="5"/>
        <v>'2016'!$N$2:$W$2</v>
      </c>
    </row>
    <row r="90" spans="1:15" x14ac:dyDescent="0.3">
      <c r="A90">
        <v>25</v>
      </c>
      <c r="B90" s="9">
        <v>2016</v>
      </c>
      <c r="C90" t="s">
        <v>24</v>
      </c>
      <c r="D90" s="11" cm="1">
        <f t="array" aca="1" ref="D90" ca="1">INDEX(INDIRECT($M90),
       MATCH(TRIM($C90), TRIM(INDIRECT($N90)), 0),
       MATCH(TRIM(D$2), TRIM(INDIRECT($O90)), 0))</f>
        <v>9</v>
      </c>
      <c r="E90" s="9" cm="1">
        <f t="array" aca="1" ref="E90" ca="1">INDEX(INDIRECT($M90),
       MATCH(TRIM($C90), TRIM(INDIRECT($N90)), 0),
       MATCH(TRIM(E$2), TRIM(INDIRECT($O90)), 0))</f>
        <v>32927804</v>
      </c>
      <c r="F90" s="11" cm="1">
        <f t="array" aca="1" ref="F90" ca="1">INDEX(INDIRECT($M90),
       MATCH(TRIM($C90), TRIM(INDIRECT($N90)), 0),
       MATCH(TRIM(F$2), TRIM(INDIRECT($O90)), 0))</f>
        <v>32.927804000000002</v>
      </c>
      <c r="G90" s="11" cm="1">
        <f t="array" aca="1" ref="G90" ca="1">INDEX(INDIRECT($M90),
       MATCH(TRIM($C90), TRIM(INDIRECT($N90)), 0),
       MATCH(TRIM(G$2), TRIM(INDIRECT($O90)), 0))</f>
        <v>4</v>
      </c>
      <c r="H90" s="9" cm="1">
        <f t="array" aca="1" ref="H90" ca="1">INDEX(INDIRECT($M90),
       MATCH(TRIM($C90), TRIM(INDIRECT($N90)), 0),
       MATCH(TRIM(H$2), TRIM(INDIRECT($O90)), 0))</f>
        <v>13736401</v>
      </c>
      <c r="I90" s="11" cm="1">
        <f t="array" aca="1" ref="I90" ca="1">INDEX(INDIRECT($M90),
       MATCH(TRIM($C90), TRIM(INDIRECT($N90)), 0),
       MATCH(TRIM(I$2), TRIM(INDIRECT($O90)), 0))</f>
        <v>13.736401000000001</v>
      </c>
      <c r="J90" s="9" cm="1">
        <f t="array" aca="1" ref="J90" ca="1">INDEX(INDIRECT($M90),
       MATCH(TRIM($C90), TRIM(INDIRECT($N90)), 0),
       MATCH(TRIM(J$2), TRIM(INDIRECT($O90)), 0))</f>
        <v>4</v>
      </c>
      <c r="K90" s="11" cm="1">
        <f t="array" aca="1" ref="K90" ca="1">INDEX(INDIRECT($M90),
       MATCH(TRIM($C90), TRIM(INDIRECT($N90)), 0),
       MATCH(TRIM(K$2), TRIM(INDIRECT($O90)), 0))</f>
        <v>7.3550848888888902</v>
      </c>
      <c r="L90" s="11" cm="1">
        <f t="array" aca="1" ref="L90" ca="1">INDEX(INDIRECT($M90),
       MATCH(TRIM($C90), TRIM(INDIRECT($N90)), 0),
       MATCH(TRIM(L$2), TRIM(INDIRECT($O90)), 0))</f>
        <v>54.019289888888892</v>
      </c>
      <c r="M90" s="5" t="str">
        <f t="shared" si="3"/>
        <v>'2016'!$N$3:$V$80</v>
      </c>
      <c r="N90" s="5" t="str">
        <f t="shared" si="4"/>
        <v>'2016'!$M$2:$M$80</v>
      </c>
      <c r="O90" s="5" t="str">
        <f t="shared" si="5"/>
        <v>'2016'!$N$2:$W$2</v>
      </c>
    </row>
    <row r="91" spans="1:15" x14ac:dyDescent="0.3">
      <c r="A91">
        <v>26</v>
      </c>
      <c r="B91" s="9">
        <v>2016</v>
      </c>
      <c r="C91" t="s">
        <v>25</v>
      </c>
      <c r="D91" s="11" cm="1">
        <f t="array" aca="1" ref="D91" ca="1">INDEX(INDIRECT($M91),
       MATCH(TRIM($C91), TRIM(INDIRECT($N91)), 0),
       MATCH(TRIM(D$2), TRIM(INDIRECT($O91)), 0))</f>
        <v>20</v>
      </c>
      <c r="E91" s="9" cm="1">
        <f t="array" aca="1" ref="E91" ca="1">INDEX(INDIRECT($M91),
       MATCH(TRIM($C91), TRIM(INDIRECT($N91)), 0),
       MATCH(TRIM(E$2), TRIM(INDIRECT($O91)), 0))</f>
        <v>50616340</v>
      </c>
      <c r="F91" s="11" cm="1">
        <f t="array" aca="1" ref="F91" ca="1">INDEX(INDIRECT($M91),
       MATCH(TRIM($C91), TRIM(INDIRECT($N91)), 0),
       MATCH(TRIM(F$2), TRIM(INDIRECT($O91)), 0))</f>
        <v>50.616340000000001</v>
      </c>
      <c r="G91" s="11" cm="1">
        <f t="array" aca="1" ref="G91" ca="1">INDEX(INDIRECT($M91),
       MATCH(TRIM($C91), TRIM(INDIRECT($N91)), 0),
       MATCH(TRIM(G$2), TRIM(INDIRECT($O91)), 0))</f>
        <v>18</v>
      </c>
      <c r="H91" s="9" cm="1">
        <f t="array" aca="1" ref="H91" ca="1">INDEX(INDIRECT($M91),
       MATCH(TRIM($C91), TRIM(INDIRECT($N91)), 0),
       MATCH(TRIM(H$2), TRIM(INDIRECT($O91)), 0))</f>
        <v>54586320</v>
      </c>
      <c r="I91" s="11" cm="1">
        <f t="array" aca="1" ref="I91" ca="1">INDEX(INDIRECT($M91),
       MATCH(TRIM($C91), TRIM(INDIRECT($N91)), 0),
       MATCH(TRIM(I$2), TRIM(INDIRECT($O91)), 0))</f>
        <v>54.586320000000001</v>
      </c>
      <c r="J91" s="9" cm="1">
        <f t="array" aca="1" ref="J91" ca="1">INDEX(INDIRECT($M91),
       MATCH(TRIM($C91), TRIM(INDIRECT($N91)), 0),
       MATCH(TRIM(J$2), TRIM(INDIRECT($O91)), 0))</f>
        <v>0</v>
      </c>
      <c r="K91" s="11" cm="1">
        <f t="array" aca="1" ref="K91" ca="1">INDEX(INDIRECT($M91),
       MATCH(TRIM($C91), TRIM(INDIRECT($N91)), 0),
       MATCH(TRIM(K$2), TRIM(INDIRECT($O91)), 0))</f>
        <v>0</v>
      </c>
      <c r="L91" s="11" cm="1">
        <f t="array" aca="1" ref="L91" ca="1">INDEX(INDIRECT($M91),
       MATCH(TRIM($C91), TRIM(INDIRECT($N91)), 0),
       MATCH(TRIM(L$2), TRIM(INDIRECT($O91)), 0))</f>
        <v>105.20266000000001</v>
      </c>
      <c r="M91" s="5" t="str">
        <f t="shared" si="3"/>
        <v>'2016'!$N$3:$V$80</v>
      </c>
      <c r="N91" s="5" t="str">
        <f t="shared" si="4"/>
        <v>'2016'!$M$2:$M$80</v>
      </c>
      <c r="O91" s="5" t="str">
        <f t="shared" si="5"/>
        <v>'2016'!$N$2:$W$2</v>
      </c>
    </row>
    <row r="92" spans="1:15" x14ac:dyDescent="0.3">
      <c r="A92">
        <v>27</v>
      </c>
      <c r="B92" s="9">
        <v>2016</v>
      </c>
      <c r="C92" t="s">
        <v>26</v>
      </c>
      <c r="D92" s="11" cm="1">
        <f t="array" aca="1" ref="D92" ca="1">INDEX(INDIRECT($M92),
       MATCH(TRIM($C92), TRIM(INDIRECT($N92)), 0),
       MATCH(TRIM(D$2), TRIM(INDIRECT($O92)), 0))</f>
        <v>3</v>
      </c>
      <c r="E92" s="9" cm="1">
        <f t="array" aca="1" ref="E92" ca="1">INDEX(INDIRECT($M92),
       MATCH(TRIM($C92), TRIM(INDIRECT($N92)), 0),
       MATCH(TRIM(E$2), TRIM(INDIRECT($O92)), 0))</f>
        <v>5963503</v>
      </c>
      <c r="F92" s="11" cm="1">
        <f t="array" aca="1" ref="F92" ca="1">INDEX(INDIRECT($M92),
       MATCH(TRIM($C92), TRIM(INDIRECT($N92)), 0),
       MATCH(TRIM(F$2), TRIM(INDIRECT($O92)), 0))</f>
        <v>5.9635030000000002</v>
      </c>
      <c r="G92" s="11" cm="1">
        <f t="array" aca="1" ref="G92" ca="1">INDEX(INDIRECT($M92),
       MATCH(TRIM($C92), TRIM(INDIRECT($N92)), 0),
       MATCH(TRIM(G$2), TRIM(INDIRECT($O92)), 0))</f>
        <v>0</v>
      </c>
      <c r="H92" s="9" cm="1">
        <f t="array" aca="1" ref="H92" ca="1">INDEX(INDIRECT($M92),
       MATCH(TRIM($C92), TRIM(INDIRECT($N92)), 0),
       MATCH(TRIM(H$2), TRIM(INDIRECT($O92)), 0))</f>
        <v>0</v>
      </c>
      <c r="I92" s="11" cm="1">
        <f t="array" aca="1" ref="I92" ca="1">INDEX(INDIRECT($M92),
       MATCH(TRIM($C92), TRIM(INDIRECT($N92)), 0),
       MATCH(TRIM(I$2), TRIM(INDIRECT($O92)), 0))</f>
        <v>0</v>
      </c>
      <c r="J92" s="9" cm="1">
        <f t="array" aca="1" ref="J92" ca="1">INDEX(INDIRECT($M92),
       MATCH(TRIM($C92), TRIM(INDIRECT($N92)), 0),
       MATCH(TRIM(J$2), TRIM(INDIRECT($O92)), 0))</f>
        <v>0</v>
      </c>
      <c r="K92" s="11" cm="1">
        <f t="array" aca="1" ref="K92" ca="1">INDEX(INDIRECT($M92),
       MATCH(TRIM($C92), TRIM(INDIRECT($N92)), 0),
       MATCH(TRIM(K$2), TRIM(INDIRECT($O92)), 0))</f>
        <v>0</v>
      </c>
      <c r="L92" s="11" cm="1">
        <f t="array" aca="1" ref="L92" ca="1">INDEX(INDIRECT($M92),
       MATCH(TRIM($C92), TRIM(INDIRECT($N92)), 0),
       MATCH(TRIM(L$2), TRIM(INDIRECT($O92)), 0))</f>
        <v>5.9635030000000002</v>
      </c>
      <c r="M92" s="5" t="str">
        <f t="shared" si="3"/>
        <v>'2016'!$N$3:$V$80</v>
      </c>
      <c r="N92" s="5" t="str">
        <f t="shared" si="4"/>
        <v>'2016'!$M$2:$M$80</v>
      </c>
      <c r="O92" s="5" t="str">
        <f t="shared" si="5"/>
        <v>'2016'!$N$2:$W$2</v>
      </c>
    </row>
    <row r="93" spans="1:15" x14ac:dyDescent="0.3">
      <c r="A93">
        <v>28</v>
      </c>
      <c r="B93" s="9">
        <v>2016</v>
      </c>
      <c r="C93" t="s">
        <v>27</v>
      </c>
      <c r="D93" s="11" cm="1">
        <f t="array" aca="1" ref="D93" ca="1">INDEX(INDIRECT($M93),
       MATCH(TRIM($C93), TRIM(INDIRECT($N93)), 0),
       MATCH(TRIM(D$2), TRIM(INDIRECT($O93)), 0))</f>
        <v>18</v>
      </c>
      <c r="E93" s="9" cm="1">
        <f t="array" aca="1" ref="E93" ca="1">INDEX(INDIRECT($M93),
       MATCH(TRIM($C93), TRIM(INDIRECT($N93)), 0),
       MATCH(TRIM(E$2), TRIM(INDIRECT($O93)), 0))</f>
        <v>122888765</v>
      </c>
      <c r="F93" s="11" cm="1">
        <f t="array" aca="1" ref="F93" ca="1">INDEX(INDIRECT($M93),
       MATCH(TRIM($C93), TRIM(INDIRECT($N93)), 0),
       MATCH(TRIM(F$2), TRIM(INDIRECT($O93)), 0))</f>
        <v>122.88876500000001</v>
      </c>
      <c r="G93" s="11" cm="1">
        <f t="array" aca="1" ref="G93" ca="1">INDEX(INDIRECT($M93),
       MATCH(TRIM($C93), TRIM(INDIRECT($N93)), 0),
       MATCH(TRIM(G$2), TRIM(INDIRECT($O93)), 0))</f>
        <v>4</v>
      </c>
      <c r="H93" s="9" cm="1">
        <f t="array" aca="1" ref="H93" ca="1">INDEX(INDIRECT($M93),
       MATCH(TRIM($C93), TRIM(INDIRECT($N93)), 0),
       MATCH(TRIM(H$2), TRIM(INDIRECT($O93)), 0))</f>
        <v>14958000</v>
      </c>
      <c r="I93" s="11" cm="1">
        <f t="array" aca="1" ref="I93" ca="1">INDEX(INDIRECT($M93),
       MATCH(TRIM($C93), TRIM(INDIRECT($N93)), 0),
       MATCH(TRIM(I$2), TRIM(INDIRECT($O93)), 0))</f>
        <v>14.958</v>
      </c>
      <c r="J93" s="9" cm="1">
        <f t="array" aca="1" ref="J93" ca="1">INDEX(INDIRECT($M93),
       MATCH(TRIM($C93), TRIM(INDIRECT($N93)), 0),
       MATCH(TRIM(J$2), TRIM(INDIRECT($O93)), 0))</f>
        <v>1</v>
      </c>
      <c r="K93" s="11" cm="1">
        <f t="array" aca="1" ref="K93" ca="1">INDEX(INDIRECT($M93),
       MATCH(TRIM($C93), TRIM(INDIRECT($N93)), 0),
       MATCH(TRIM(K$2), TRIM(INDIRECT($O93)), 0))</f>
        <v>1.8133333333333331E-2</v>
      </c>
      <c r="L93" s="11" cm="1">
        <f t="array" aca="1" ref="L93" ca="1">INDEX(INDIRECT($M93),
       MATCH(TRIM($C93), TRIM(INDIRECT($N93)), 0),
       MATCH(TRIM(L$2), TRIM(INDIRECT($O93)), 0))</f>
        <v>137.86489833333334</v>
      </c>
      <c r="M93" s="5" t="str">
        <f t="shared" si="3"/>
        <v>'2016'!$N$3:$V$80</v>
      </c>
      <c r="N93" s="5" t="str">
        <f t="shared" si="4"/>
        <v>'2016'!$M$2:$M$80</v>
      </c>
      <c r="O93" s="5" t="str">
        <f t="shared" si="5"/>
        <v>'2016'!$N$2:$W$2</v>
      </c>
    </row>
    <row r="94" spans="1:15" x14ac:dyDescent="0.3">
      <c r="A94">
        <v>29</v>
      </c>
      <c r="B94" s="9">
        <v>2016</v>
      </c>
      <c r="C94" t="s">
        <v>28</v>
      </c>
      <c r="D94" s="11" cm="1">
        <f t="array" aca="1" ref="D94" ca="1">INDEX(INDIRECT($M94),
       MATCH(TRIM($C94), TRIM(INDIRECT($N94)), 0),
       MATCH(TRIM(D$2), TRIM(INDIRECT($O94)), 0))</f>
        <v>3</v>
      </c>
      <c r="E94" s="9" cm="1">
        <f t="array" aca="1" ref="E94" ca="1">INDEX(INDIRECT($M94),
       MATCH(TRIM($C94), TRIM(INDIRECT($N94)), 0),
       MATCH(TRIM(E$2), TRIM(INDIRECT($O94)), 0))</f>
        <v>71519598</v>
      </c>
      <c r="F94" s="11" cm="1">
        <f t="array" aca="1" ref="F94" ca="1">INDEX(INDIRECT($M94),
       MATCH(TRIM($C94), TRIM(INDIRECT($N94)), 0),
       MATCH(TRIM(F$2), TRIM(INDIRECT($O94)), 0))</f>
        <v>71.519598000000002</v>
      </c>
      <c r="G94" s="11" cm="1">
        <f t="array" aca="1" ref="G94" ca="1">INDEX(INDIRECT($M94),
       MATCH(TRIM($C94), TRIM(INDIRECT($N94)), 0),
       MATCH(TRIM(G$2), TRIM(INDIRECT($O94)), 0))</f>
        <v>3</v>
      </c>
      <c r="H94" s="9" cm="1">
        <f t="array" aca="1" ref="H94" ca="1">INDEX(INDIRECT($M94),
       MATCH(TRIM($C94), TRIM(INDIRECT($N94)), 0),
       MATCH(TRIM(H$2), TRIM(INDIRECT($O94)), 0))</f>
        <v>14100000</v>
      </c>
      <c r="I94" s="11" cm="1">
        <f t="array" aca="1" ref="I94" ca="1">INDEX(INDIRECT($M94),
       MATCH(TRIM($C94), TRIM(INDIRECT($N94)), 0),
       MATCH(TRIM(I$2), TRIM(INDIRECT($O94)), 0))</f>
        <v>14.1</v>
      </c>
      <c r="J94" s="9" cm="1">
        <f t="array" aca="1" ref="J94" ca="1">INDEX(INDIRECT($M94),
       MATCH(TRIM($C94), TRIM(INDIRECT($N94)), 0),
       MATCH(TRIM(J$2), TRIM(INDIRECT($O94)), 0))</f>
        <v>3</v>
      </c>
      <c r="K94" s="11" cm="1">
        <f t="array" aca="1" ref="K94" ca="1">INDEX(INDIRECT($M94),
       MATCH(TRIM($C94), TRIM(INDIRECT($N94)), 0),
       MATCH(TRIM(K$2), TRIM(INDIRECT($O94)), 0))</f>
        <v>2.6836731996444447</v>
      </c>
      <c r="L94" s="11" cm="1">
        <f t="array" aca="1" ref="L94" ca="1">INDEX(INDIRECT($M94),
       MATCH(TRIM($C94), TRIM(INDIRECT($N94)), 0),
       MATCH(TRIM(L$2), TRIM(INDIRECT($O94)), 0))</f>
        <v>88.303271199644442</v>
      </c>
      <c r="M94" s="5" t="str">
        <f t="shared" si="3"/>
        <v>'2016'!$N$3:$V$80</v>
      </c>
      <c r="N94" s="5" t="str">
        <f t="shared" si="4"/>
        <v>'2016'!$M$2:$M$80</v>
      </c>
      <c r="O94" s="5" t="str">
        <f t="shared" si="5"/>
        <v>'2016'!$N$2:$W$2</v>
      </c>
    </row>
    <row r="95" spans="1:15" x14ac:dyDescent="0.3">
      <c r="A95">
        <v>30</v>
      </c>
      <c r="B95" s="9">
        <v>2016</v>
      </c>
      <c r="C95" t="s">
        <v>29</v>
      </c>
      <c r="D95" s="11" cm="1">
        <f t="array" aca="1" ref="D95" ca="1">INDEX(INDIRECT($M95),
       MATCH(TRIM($C95), TRIM(INDIRECT($N95)), 0),
       MATCH(TRIM(D$2), TRIM(INDIRECT($O95)), 0))</f>
        <v>3</v>
      </c>
      <c r="E95" s="9" cm="1">
        <f t="array" aca="1" ref="E95" ca="1">INDEX(INDIRECT($M95),
       MATCH(TRIM($C95), TRIM(INDIRECT($N95)), 0),
       MATCH(TRIM(E$2), TRIM(INDIRECT($O95)), 0))</f>
        <v>17903425</v>
      </c>
      <c r="F95" s="11" cm="1">
        <f t="array" aca="1" ref="F95" ca="1">INDEX(INDIRECT($M95),
       MATCH(TRIM($C95), TRIM(INDIRECT($N95)), 0),
       MATCH(TRIM(F$2), TRIM(INDIRECT($O95)), 0))</f>
        <v>17.903424999999999</v>
      </c>
      <c r="G95" s="11" cm="1">
        <f t="array" aca="1" ref="G95" ca="1">INDEX(INDIRECT($M95),
       MATCH(TRIM($C95), TRIM(INDIRECT($N95)), 0),
       MATCH(TRIM(G$2), TRIM(INDIRECT($O95)), 0))</f>
        <v>0</v>
      </c>
      <c r="H95" s="9" cm="1">
        <f t="array" aca="1" ref="H95" ca="1">INDEX(INDIRECT($M95),
       MATCH(TRIM($C95), TRIM(INDIRECT($N95)), 0),
       MATCH(TRIM(H$2), TRIM(INDIRECT($O95)), 0))</f>
        <v>0</v>
      </c>
      <c r="I95" s="11" cm="1">
        <f t="array" aca="1" ref="I95" ca="1">INDEX(INDIRECT($M95),
       MATCH(TRIM($C95), TRIM(INDIRECT($N95)), 0),
       MATCH(TRIM(I$2), TRIM(INDIRECT($O95)), 0))</f>
        <v>0</v>
      </c>
      <c r="J95" s="9" cm="1">
        <f t="array" aca="1" ref="J95" ca="1">INDEX(INDIRECT($M95),
       MATCH(TRIM($C95), TRIM(INDIRECT($N95)), 0),
       MATCH(TRIM(J$2), TRIM(INDIRECT($O95)), 0))</f>
        <v>2</v>
      </c>
      <c r="K95" s="11" cm="1">
        <f t="array" aca="1" ref="K95" ca="1">INDEX(INDIRECT($M95),
       MATCH(TRIM($C95), TRIM(INDIRECT($N95)), 0),
       MATCH(TRIM(K$2), TRIM(INDIRECT($O95)), 0))</f>
        <v>0.50177777777777777</v>
      </c>
      <c r="L95" s="11" cm="1">
        <f t="array" aca="1" ref="L95" ca="1">INDEX(INDIRECT($M95),
       MATCH(TRIM($C95), TRIM(INDIRECT($N95)), 0),
       MATCH(TRIM(L$2), TRIM(INDIRECT($O95)), 0))</f>
        <v>18.405202777777777</v>
      </c>
      <c r="M95" s="5" t="str">
        <f t="shared" si="3"/>
        <v>'2016'!$N$3:$V$80</v>
      </c>
      <c r="N95" s="5" t="str">
        <f t="shared" si="4"/>
        <v>'2016'!$M$2:$M$80</v>
      </c>
      <c r="O95" s="5" t="str">
        <f t="shared" si="5"/>
        <v>'2016'!$N$2:$W$2</v>
      </c>
    </row>
    <row r="96" spans="1:15" x14ac:dyDescent="0.3">
      <c r="A96">
        <v>31</v>
      </c>
      <c r="B96" s="9">
        <v>2016</v>
      </c>
      <c r="C96" t="s">
        <v>30</v>
      </c>
      <c r="D96" s="11" cm="1">
        <f t="array" aca="1" ref="D96" ca="1">INDEX(INDIRECT($M96),
       MATCH(TRIM($C96), TRIM(INDIRECT($N96)), 0),
       MATCH(TRIM(D$2), TRIM(INDIRECT($O96)), 0))</f>
        <v>10</v>
      </c>
      <c r="E96" s="9" cm="1">
        <f t="array" aca="1" ref="E96" ca="1">INDEX(INDIRECT($M96),
       MATCH(TRIM($C96), TRIM(INDIRECT($N96)), 0),
       MATCH(TRIM(E$2), TRIM(INDIRECT($O96)), 0))</f>
        <v>81988197</v>
      </c>
      <c r="F96" s="11" cm="1">
        <f t="array" aca="1" ref="F96" ca="1">INDEX(INDIRECT($M96),
       MATCH(TRIM($C96), TRIM(INDIRECT($N96)), 0),
       MATCH(TRIM(F$2), TRIM(INDIRECT($O96)), 0))</f>
        <v>81.988197</v>
      </c>
      <c r="G96" s="11" cm="1">
        <f t="array" aca="1" ref="G96" ca="1">INDEX(INDIRECT($M96),
       MATCH(TRIM($C96), TRIM(INDIRECT($N96)), 0),
       MATCH(TRIM(G$2), TRIM(INDIRECT($O96)), 0))</f>
        <v>1</v>
      </c>
      <c r="H96" s="9" cm="1">
        <f t="array" aca="1" ref="H96" ca="1">INDEX(INDIRECT($M96),
       MATCH(TRIM($C96), TRIM(INDIRECT($N96)), 0),
       MATCH(TRIM(H$2), TRIM(INDIRECT($O96)), 0))</f>
        <v>2606151</v>
      </c>
      <c r="I96" s="11" cm="1">
        <f t="array" aca="1" ref="I96" ca="1">INDEX(INDIRECT($M96),
       MATCH(TRIM($C96), TRIM(INDIRECT($N96)), 0),
       MATCH(TRIM(I$2), TRIM(INDIRECT($O96)), 0))</f>
        <v>2.6061510000000001</v>
      </c>
      <c r="J96" s="9" cm="1">
        <f t="array" aca="1" ref="J96" ca="1">INDEX(INDIRECT($M96),
       MATCH(TRIM($C96), TRIM(INDIRECT($N96)), 0),
       MATCH(TRIM(J$2), TRIM(INDIRECT($O96)), 0))</f>
        <v>2</v>
      </c>
      <c r="K96" s="11" cm="1">
        <f t="array" aca="1" ref="K96" ca="1">INDEX(INDIRECT($M96),
       MATCH(TRIM($C96), TRIM(INDIRECT($N96)), 0),
       MATCH(TRIM(K$2), TRIM(INDIRECT($O96)), 0))</f>
        <v>0.68179999999999996</v>
      </c>
      <c r="L96" s="11" cm="1">
        <f t="array" aca="1" ref="L96" ca="1">INDEX(INDIRECT($M96),
       MATCH(TRIM($C96), TRIM(INDIRECT($N96)), 0),
       MATCH(TRIM(L$2), TRIM(INDIRECT($O96)), 0))</f>
        <v>85.276147999999992</v>
      </c>
      <c r="M96" s="5" t="str">
        <f t="shared" si="3"/>
        <v>'2016'!$N$3:$V$80</v>
      </c>
      <c r="N96" s="5" t="str">
        <f t="shared" si="4"/>
        <v>'2016'!$M$2:$M$80</v>
      </c>
      <c r="O96" s="5" t="str">
        <f t="shared" si="5"/>
        <v>'2016'!$N$2:$W$2</v>
      </c>
    </row>
    <row r="97" spans="1:15" x14ac:dyDescent="0.3">
      <c r="A97">
        <v>32</v>
      </c>
      <c r="B97" s="9">
        <v>2016</v>
      </c>
      <c r="C97" t="s">
        <v>31</v>
      </c>
      <c r="D97" s="11" t="e" cm="1">
        <f t="array" aca="1" ref="D97" ca="1">INDEX(INDIRECT($M97),
       MATCH(TRIM($C97), TRIM(INDIRECT($N97)), 0),
       MATCH(TRIM(D$2), TRIM(INDIRECT($O97)), 0))</f>
        <v>#N/A</v>
      </c>
      <c r="E97" s="9" t="e" cm="1">
        <f t="array" aca="1" ref="E97" ca="1">INDEX(INDIRECT($M97),
       MATCH(TRIM($C97), TRIM(INDIRECT($N97)), 0),
       MATCH(TRIM(E$2), TRIM(INDIRECT($O97)), 0))</f>
        <v>#N/A</v>
      </c>
      <c r="F97" s="11" t="e" cm="1">
        <f t="array" aca="1" ref="F97" ca="1">INDEX(INDIRECT($M97),
       MATCH(TRIM($C97), TRIM(INDIRECT($N97)), 0),
       MATCH(TRIM(F$2), TRIM(INDIRECT($O97)), 0))</f>
        <v>#N/A</v>
      </c>
      <c r="G97" s="11" t="e" cm="1">
        <f t="array" aca="1" ref="G97" ca="1">INDEX(INDIRECT($M97),
       MATCH(TRIM($C97), TRIM(INDIRECT($N97)), 0),
       MATCH(TRIM(G$2), TRIM(INDIRECT($O97)), 0))</f>
        <v>#N/A</v>
      </c>
      <c r="H97" s="9" t="e" cm="1">
        <f t="array" aca="1" ref="H97" ca="1">INDEX(INDIRECT($M97),
       MATCH(TRIM($C97), TRIM(INDIRECT($N97)), 0),
       MATCH(TRIM(H$2), TRIM(INDIRECT($O97)), 0))</f>
        <v>#N/A</v>
      </c>
      <c r="I97" s="11" t="e" cm="1">
        <f t="array" aca="1" ref="I97" ca="1">INDEX(INDIRECT($M97),
       MATCH(TRIM($C97), TRIM(INDIRECT($N97)), 0),
       MATCH(TRIM(I$2), TRIM(INDIRECT($O97)), 0))</f>
        <v>#N/A</v>
      </c>
      <c r="J97" s="9" t="e" cm="1">
        <f t="array" aca="1" ref="J97" ca="1">INDEX(INDIRECT($M97),
       MATCH(TRIM($C97), TRIM(INDIRECT($N97)), 0),
       MATCH(TRIM(J$2), TRIM(INDIRECT($O97)), 0))</f>
        <v>#N/A</v>
      </c>
      <c r="K97" s="11" t="e" cm="1">
        <f t="array" aca="1" ref="K97" ca="1">INDEX(INDIRECT($M97),
       MATCH(TRIM($C97), TRIM(INDIRECT($N97)), 0),
       MATCH(TRIM(K$2), TRIM(INDIRECT($O97)), 0))</f>
        <v>#N/A</v>
      </c>
      <c r="L97" s="11" t="e" cm="1">
        <f t="array" aca="1" ref="L97" ca="1">INDEX(INDIRECT($M97),
       MATCH(TRIM($C97), TRIM(INDIRECT($N97)), 0),
       MATCH(TRIM(L$2), TRIM(INDIRECT($O97)), 0))</f>
        <v>#N/A</v>
      </c>
      <c r="M97" s="5" t="str">
        <f t="shared" si="3"/>
        <v>'2016'!$N$3:$V$80</v>
      </c>
      <c r="N97" s="5" t="str">
        <f t="shared" si="4"/>
        <v>'2016'!$M$2:$M$80</v>
      </c>
      <c r="O97" s="5" t="str">
        <f t="shared" si="5"/>
        <v>'2016'!$N$2:$W$2</v>
      </c>
    </row>
    <row r="98" spans="1:15" x14ac:dyDescent="0.3">
      <c r="A98">
        <v>33</v>
      </c>
      <c r="B98" s="9">
        <v>2016</v>
      </c>
      <c r="C98" t="s">
        <v>32</v>
      </c>
      <c r="D98" s="11" cm="1">
        <f t="array" aca="1" ref="D98" ca="1">INDEX(INDIRECT($M98),
       MATCH(TRIM($C98), TRIM(INDIRECT($N98)), 0),
       MATCH(TRIM(D$2), TRIM(INDIRECT($O98)), 0))</f>
        <v>2</v>
      </c>
      <c r="E98" s="9" cm="1">
        <f t="array" aca="1" ref="E98" ca="1">INDEX(INDIRECT($M98),
       MATCH(TRIM($C98), TRIM(INDIRECT($N98)), 0),
       MATCH(TRIM(E$2), TRIM(INDIRECT($O98)), 0))</f>
        <v>4773404</v>
      </c>
      <c r="F98" s="11" cm="1">
        <f t="array" aca="1" ref="F98" ca="1">INDEX(INDIRECT($M98),
       MATCH(TRIM($C98), TRIM(INDIRECT($N98)), 0),
       MATCH(TRIM(F$2), TRIM(INDIRECT($O98)), 0))</f>
        <v>4.7734040000000002</v>
      </c>
      <c r="G98" s="11" cm="1">
        <f t="array" aca="1" ref="G98" ca="1">INDEX(INDIRECT($M98),
       MATCH(TRIM($C98), TRIM(INDIRECT($N98)), 0),
       MATCH(TRIM(G$2), TRIM(INDIRECT($O98)), 0))</f>
        <v>0</v>
      </c>
      <c r="H98" s="9" cm="1">
        <f t="array" aca="1" ref="H98" ca="1">INDEX(INDIRECT($M98),
       MATCH(TRIM($C98), TRIM(INDIRECT($N98)), 0),
       MATCH(TRIM(H$2), TRIM(INDIRECT($O98)), 0))</f>
        <v>0</v>
      </c>
      <c r="I98" s="11" cm="1">
        <f t="array" aca="1" ref="I98" ca="1">INDEX(INDIRECT($M98),
       MATCH(TRIM($C98), TRIM(INDIRECT($N98)), 0),
       MATCH(TRIM(I$2), TRIM(INDIRECT($O98)), 0))</f>
        <v>0</v>
      </c>
      <c r="J98" s="9" cm="1">
        <f t="array" aca="1" ref="J98" ca="1">INDEX(INDIRECT($M98),
       MATCH(TRIM($C98), TRIM(INDIRECT($N98)), 0),
       MATCH(TRIM(J$2), TRIM(INDIRECT($O98)), 0))</f>
        <v>0</v>
      </c>
      <c r="K98" s="11" cm="1">
        <f t="array" aca="1" ref="K98" ca="1">INDEX(INDIRECT($M98),
       MATCH(TRIM($C98), TRIM(INDIRECT($N98)), 0),
       MATCH(TRIM(K$2), TRIM(INDIRECT($O98)), 0))</f>
        <v>0</v>
      </c>
      <c r="L98" s="11" cm="1">
        <f t="array" aca="1" ref="L98" ca="1">INDEX(INDIRECT($M98),
       MATCH(TRIM($C98), TRIM(INDIRECT($N98)), 0),
       MATCH(TRIM(L$2), TRIM(INDIRECT($O98)), 0))</f>
        <v>4.7734040000000002</v>
      </c>
      <c r="M98" s="5" t="str">
        <f t="shared" si="3"/>
        <v>'2016'!$N$3:$V$80</v>
      </c>
      <c r="N98" s="5" t="str">
        <f t="shared" si="4"/>
        <v>'2016'!$M$2:$M$80</v>
      </c>
      <c r="O98" s="5" t="str">
        <f t="shared" si="5"/>
        <v>'2016'!$N$2:$W$2</v>
      </c>
    </row>
    <row r="99" spans="1:15" x14ac:dyDescent="0.3">
      <c r="A99">
        <v>34</v>
      </c>
      <c r="B99" s="9">
        <v>2016</v>
      </c>
      <c r="C99" t="s">
        <v>33</v>
      </c>
      <c r="D99" s="11" cm="1">
        <f t="array" aca="1" ref="D99" ca="1">INDEX(INDIRECT($M99),
       MATCH(TRIM($C99), TRIM(INDIRECT($N99)), 0),
       MATCH(TRIM(D$2), TRIM(INDIRECT($O99)), 0))</f>
        <v>8</v>
      </c>
      <c r="E99" s="9" cm="1">
        <f t="array" aca="1" ref="E99" ca="1">INDEX(INDIRECT($M99),
       MATCH(TRIM($C99), TRIM(INDIRECT($N99)), 0),
       MATCH(TRIM(E$2), TRIM(INDIRECT($O99)), 0))</f>
        <v>225989827</v>
      </c>
      <c r="F99" s="11" cm="1">
        <f t="array" aca="1" ref="F99" ca="1">INDEX(INDIRECT($M99),
       MATCH(TRIM($C99), TRIM(INDIRECT($N99)), 0),
       MATCH(TRIM(F$2), TRIM(INDIRECT($O99)), 0))</f>
        <v>225.98982699999999</v>
      </c>
      <c r="G99" s="11" cm="1">
        <f t="array" aca="1" ref="G99" ca="1">INDEX(INDIRECT($M99),
       MATCH(TRIM($C99), TRIM(INDIRECT($N99)), 0),
       MATCH(TRIM(G$2), TRIM(INDIRECT($O99)), 0))</f>
        <v>1</v>
      </c>
      <c r="H99" s="9" cm="1">
        <f t="array" aca="1" ref="H99" ca="1">INDEX(INDIRECT($M99),
       MATCH(TRIM($C99), TRIM(INDIRECT($N99)), 0),
       MATCH(TRIM(H$2), TRIM(INDIRECT($O99)), 0))</f>
        <v>1117911</v>
      </c>
      <c r="I99" s="11" cm="1">
        <f t="array" aca="1" ref="I99" ca="1">INDEX(INDIRECT($M99),
       MATCH(TRIM($C99), TRIM(INDIRECT($N99)), 0),
       MATCH(TRIM(I$2), TRIM(INDIRECT($O99)), 0))</f>
        <v>1.1179110000000001</v>
      </c>
      <c r="J99" s="9" cm="1">
        <f t="array" aca="1" ref="J99" ca="1">INDEX(INDIRECT($M99),
       MATCH(TRIM($C99), TRIM(INDIRECT($N99)), 0),
       MATCH(TRIM(J$2), TRIM(INDIRECT($O99)), 0))</f>
        <v>3</v>
      </c>
      <c r="K99" s="11" cm="1">
        <f t="array" aca="1" ref="K99" ca="1">INDEX(INDIRECT($M99),
       MATCH(TRIM($C99), TRIM(INDIRECT($N99)), 0),
       MATCH(TRIM(K$2), TRIM(INDIRECT($O99)), 0))</f>
        <v>14.003022222222222</v>
      </c>
      <c r="L99" s="11" cm="1">
        <f t="array" aca="1" ref="L99" ca="1">INDEX(INDIRECT($M99),
       MATCH(TRIM($C99), TRIM(INDIRECT($N99)), 0),
       MATCH(TRIM(L$2), TRIM(INDIRECT($O99)), 0))</f>
        <v>241.11076022222221</v>
      </c>
      <c r="M99" s="5" t="str">
        <f t="shared" si="3"/>
        <v>'2016'!$N$3:$V$80</v>
      </c>
      <c r="N99" s="5" t="str">
        <f t="shared" si="4"/>
        <v>'2016'!$M$2:$M$80</v>
      </c>
      <c r="O99" s="5" t="str">
        <f t="shared" si="5"/>
        <v>'2016'!$N$2:$W$2</v>
      </c>
    </row>
    <row r="100" spans="1:15" x14ac:dyDescent="0.3">
      <c r="A100">
        <v>35</v>
      </c>
      <c r="B100" s="9">
        <v>2016</v>
      </c>
      <c r="C100" t="s">
        <v>34</v>
      </c>
      <c r="D100" s="11" cm="1">
        <f t="array" aca="1" ref="D100" ca="1">INDEX(INDIRECT($M100),
       MATCH(TRIM($C100), TRIM(INDIRECT($N100)), 0),
       MATCH(TRIM(D$2), TRIM(INDIRECT($O100)), 0))</f>
        <v>9</v>
      </c>
      <c r="E100" s="9" cm="1">
        <f t="array" aca="1" ref="E100" ca="1">INDEX(INDIRECT($M100),
       MATCH(TRIM($C100), TRIM(INDIRECT($N100)), 0),
       MATCH(TRIM(E$2), TRIM(INDIRECT($O100)), 0))</f>
        <v>72490000</v>
      </c>
      <c r="F100" s="11" cm="1">
        <f t="array" aca="1" ref="F100" ca="1">INDEX(INDIRECT($M100),
       MATCH(TRIM($C100), TRIM(INDIRECT($N100)), 0),
       MATCH(TRIM(F$2), TRIM(INDIRECT($O100)), 0))</f>
        <v>72.489999999999995</v>
      </c>
      <c r="G100" s="11" cm="1">
        <f t="array" aca="1" ref="G100" ca="1">INDEX(INDIRECT($M100),
       MATCH(TRIM($C100), TRIM(INDIRECT($N100)), 0),
       MATCH(TRIM(G$2), TRIM(INDIRECT($O100)), 0))</f>
        <v>0</v>
      </c>
      <c r="H100" s="9" cm="1">
        <f t="array" aca="1" ref="H100" ca="1">INDEX(INDIRECT($M100),
       MATCH(TRIM($C100), TRIM(INDIRECT($N100)), 0),
       MATCH(TRIM(H$2), TRIM(INDIRECT($O100)), 0))</f>
        <v>0</v>
      </c>
      <c r="I100" s="11" cm="1">
        <f t="array" aca="1" ref="I100" ca="1">INDEX(INDIRECT($M100),
       MATCH(TRIM($C100), TRIM(INDIRECT($N100)), 0),
       MATCH(TRIM(I$2), TRIM(INDIRECT($O100)), 0))</f>
        <v>0</v>
      </c>
      <c r="J100" s="9" cm="1">
        <f t="array" aca="1" ref="J100" ca="1">INDEX(INDIRECT($M100),
       MATCH(TRIM($C100), TRIM(INDIRECT($N100)), 0),
       MATCH(TRIM(J$2), TRIM(INDIRECT($O100)), 0))</f>
        <v>0</v>
      </c>
      <c r="K100" s="11" cm="1">
        <f t="array" aca="1" ref="K100" ca="1">INDEX(INDIRECT($M100),
       MATCH(TRIM($C100), TRIM(INDIRECT($N100)), 0),
       MATCH(TRIM(K$2), TRIM(INDIRECT($O100)), 0))</f>
        <v>0</v>
      </c>
      <c r="L100" s="11" cm="1">
        <f t="array" aca="1" ref="L100" ca="1">INDEX(INDIRECT($M100),
       MATCH(TRIM($C100), TRIM(INDIRECT($N100)), 0),
       MATCH(TRIM(L$2), TRIM(INDIRECT($O100)), 0))</f>
        <v>72.489999999999995</v>
      </c>
      <c r="M100" s="5" t="str">
        <f t="shared" si="3"/>
        <v>'2016'!$N$3:$V$80</v>
      </c>
      <c r="N100" s="5" t="str">
        <f t="shared" si="4"/>
        <v>'2016'!$M$2:$M$80</v>
      </c>
      <c r="O100" s="5" t="str">
        <f t="shared" si="5"/>
        <v>'2016'!$N$2:$W$2</v>
      </c>
    </row>
    <row r="101" spans="1:15" x14ac:dyDescent="0.3">
      <c r="A101">
        <v>36</v>
      </c>
      <c r="B101" s="9">
        <v>2016</v>
      </c>
      <c r="C101" t="s">
        <v>35</v>
      </c>
      <c r="D101" s="11" t="e" cm="1">
        <f t="array" aca="1" ref="D101" ca="1">INDEX(INDIRECT($M101),
       MATCH(TRIM($C101), TRIM(INDIRECT($N101)), 0),
       MATCH(TRIM(D$2), TRIM(INDIRECT($O101)), 0))</f>
        <v>#N/A</v>
      </c>
      <c r="E101" s="9" t="e" cm="1">
        <f t="array" aca="1" ref="E101" ca="1">INDEX(INDIRECT($M101),
       MATCH(TRIM($C101), TRIM(INDIRECT($N101)), 0),
       MATCH(TRIM(E$2), TRIM(INDIRECT($O101)), 0))</f>
        <v>#N/A</v>
      </c>
      <c r="F101" s="11" t="e" cm="1">
        <f t="array" aca="1" ref="F101" ca="1">INDEX(INDIRECT($M101),
       MATCH(TRIM($C101), TRIM(INDIRECT($N101)), 0),
       MATCH(TRIM(F$2), TRIM(INDIRECT($O101)), 0))</f>
        <v>#N/A</v>
      </c>
      <c r="G101" s="11" t="e" cm="1">
        <f t="array" aca="1" ref="G101" ca="1">INDEX(INDIRECT($M101),
       MATCH(TRIM($C101), TRIM(INDIRECT($N101)), 0),
       MATCH(TRIM(G$2), TRIM(INDIRECT($O101)), 0))</f>
        <v>#N/A</v>
      </c>
      <c r="H101" s="9" t="e" cm="1">
        <f t="array" aca="1" ref="H101" ca="1">INDEX(INDIRECT($M101),
       MATCH(TRIM($C101), TRIM(INDIRECT($N101)), 0),
       MATCH(TRIM(H$2), TRIM(INDIRECT($O101)), 0))</f>
        <v>#N/A</v>
      </c>
      <c r="I101" s="11" t="e" cm="1">
        <f t="array" aca="1" ref="I101" ca="1">INDEX(INDIRECT($M101),
       MATCH(TRIM($C101), TRIM(INDIRECT($N101)), 0),
       MATCH(TRIM(I$2), TRIM(INDIRECT($O101)), 0))</f>
        <v>#N/A</v>
      </c>
      <c r="J101" s="9" t="e" cm="1">
        <f t="array" aca="1" ref="J101" ca="1">INDEX(INDIRECT($M101),
       MATCH(TRIM($C101), TRIM(INDIRECT($N101)), 0),
       MATCH(TRIM(J$2), TRIM(INDIRECT($O101)), 0))</f>
        <v>#N/A</v>
      </c>
      <c r="K101" s="11" t="e" cm="1">
        <f t="array" aca="1" ref="K101" ca="1">INDEX(INDIRECT($M101),
       MATCH(TRIM($C101), TRIM(INDIRECT($N101)), 0),
       MATCH(TRIM(K$2), TRIM(INDIRECT($O101)), 0))</f>
        <v>#N/A</v>
      </c>
      <c r="L101" s="11" t="e" cm="1">
        <f t="array" aca="1" ref="L101" ca="1">INDEX(INDIRECT($M101),
       MATCH(TRIM($C101), TRIM(INDIRECT($N101)), 0),
       MATCH(TRIM(L$2), TRIM(INDIRECT($O101)), 0))</f>
        <v>#N/A</v>
      </c>
      <c r="M101" s="5" t="str">
        <f t="shared" si="3"/>
        <v>'2016'!$N$3:$V$80</v>
      </c>
      <c r="N101" s="5" t="str">
        <f t="shared" si="4"/>
        <v>'2016'!$M$2:$M$80</v>
      </c>
      <c r="O101" s="5" t="str">
        <f t="shared" si="5"/>
        <v>'2016'!$N$2:$W$2</v>
      </c>
    </row>
    <row r="102" spans="1:15" x14ac:dyDescent="0.3">
      <c r="A102">
        <v>37</v>
      </c>
      <c r="B102" s="9">
        <v>2016</v>
      </c>
      <c r="C102" t="s">
        <v>36</v>
      </c>
      <c r="D102" s="11" cm="1">
        <f t="array" aca="1" ref="D102" ca="1">INDEX(INDIRECT($M102),
       MATCH(TRIM($C102), TRIM(INDIRECT($N102)), 0),
       MATCH(TRIM(D$2), TRIM(INDIRECT($O102)), 0))</f>
        <v>8</v>
      </c>
      <c r="E102" s="9" cm="1">
        <f t="array" aca="1" ref="E102" ca="1">INDEX(INDIRECT($M102),
       MATCH(TRIM($C102), TRIM(INDIRECT($N102)), 0),
       MATCH(TRIM(E$2), TRIM(INDIRECT($O102)), 0))</f>
        <v>6322000</v>
      </c>
      <c r="F102" s="11" cm="1">
        <f t="array" aca="1" ref="F102" ca="1">INDEX(INDIRECT($M102),
       MATCH(TRIM($C102), TRIM(INDIRECT($N102)), 0),
       MATCH(TRIM(F$2), TRIM(INDIRECT($O102)), 0))</f>
        <v>6.3220000000000001</v>
      </c>
      <c r="G102" s="11" cm="1">
        <f t="array" aca="1" ref="G102" ca="1">INDEX(INDIRECT($M102),
       MATCH(TRIM($C102), TRIM(INDIRECT($N102)), 0),
       MATCH(TRIM(G$2), TRIM(INDIRECT($O102)), 0))</f>
        <v>4</v>
      </c>
      <c r="H102" s="9" cm="1">
        <f t="array" aca="1" ref="H102" ca="1">INDEX(INDIRECT($M102),
       MATCH(TRIM($C102), TRIM(INDIRECT($N102)), 0),
       MATCH(TRIM(H$2), TRIM(INDIRECT($O102)), 0))</f>
        <v>39200000</v>
      </c>
      <c r="I102" s="11" cm="1">
        <f t="array" aca="1" ref="I102" ca="1">INDEX(INDIRECT($M102),
       MATCH(TRIM($C102), TRIM(INDIRECT($N102)), 0),
       MATCH(TRIM(I$2), TRIM(INDIRECT($O102)), 0))</f>
        <v>39.200000000000003</v>
      </c>
      <c r="J102" s="9" cm="1">
        <f t="array" aca="1" ref="J102" ca="1">INDEX(INDIRECT($M102),
       MATCH(TRIM($C102), TRIM(INDIRECT($N102)), 0),
       MATCH(TRIM(J$2), TRIM(INDIRECT($O102)), 0))</f>
        <v>49</v>
      </c>
      <c r="K102" s="11" cm="1">
        <f t="array" aca="1" ref="K102" ca="1">INDEX(INDIRECT($M102),
       MATCH(TRIM($C102), TRIM(INDIRECT($N102)), 0),
       MATCH(TRIM(K$2), TRIM(INDIRECT($O102)), 0))</f>
        <v>22.532239999999991</v>
      </c>
      <c r="L102" s="11" cm="1">
        <f t="array" aca="1" ref="L102" ca="1">INDEX(INDIRECT($M102),
       MATCH(TRIM($C102), TRIM(INDIRECT($N102)), 0),
       MATCH(TRIM(L$2), TRIM(INDIRECT($O102)), 0))</f>
        <v>68.054239999999993</v>
      </c>
      <c r="M102" s="5" t="str">
        <f t="shared" si="3"/>
        <v>'2016'!$N$3:$V$80</v>
      </c>
      <c r="N102" s="5" t="str">
        <f t="shared" si="4"/>
        <v>'2016'!$M$2:$M$80</v>
      </c>
      <c r="O102" s="5" t="str">
        <f t="shared" si="5"/>
        <v>'2016'!$N$2:$W$2</v>
      </c>
    </row>
    <row r="103" spans="1:15" x14ac:dyDescent="0.3">
      <c r="A103">
        <v>38</v>
      </c>
      <c r="B103" s="9">
        <v>2016</v>
      </c>
      <c r="C103" t="s">
        <v>37</v>
      </c>
      <c r="D103" s="11" cm="1">
        <f t="array" aca="1" ref="D103" ca="1">INDEX(INDIRECT($M103),
       MATCH(TRIM($C103), TRIM(INDIRECT($N103)), 0),
       MATCH(TRIM(D$2), TRIM(INDIRECT($O103)), 0))</f>
        <v>15</v>
      </c>
      <c r="E103" s="9" cm="1">
        <f t="array" aca="1" ref="E103" ca="1">INDEX(INDIRECT($M103),
       MATCH(TRIM($C103), TRIM(INDIRECT($N103)), 0),
       MATCH(TRIM(E$2), TRIM(INDIRECT($O103)), 0))</f>
        <v>163763110</v>
      </c>
      <c r="F103" s="11" cm="1">
        <f t="array" aca="1" ref="F103" ca="1">INDEX(INDIRECT($M103),
       MATCH(TRIM($C103), TRIM(INDIRECT($N103)), 0),
       MATCH(TRIM(F$2), TRIM(INDIRECT($O103)), 0))</f>
        <v>163.76311000000001</v>
      </c>
      <c r="G103" s="11" cm="1">
        <f t="array" aca="1" ref="G103" ca="1">INDEX(INDIRECT($M103),
       MATCH(TRIM($C103), TRIM(INDIRECT($N103)), 0),
       MATCH(TRIM(G$2), TRIM(INDIRECT($O103)), 0))</f>
        <v>11</v>
      </c>
      <c r="H103" s="9" cm="1">
        <f t="array" aca="1" ref="H103" ca="1">INDEX(INDIRECT($M103),
       MATCH(TRIM($C103), TRIM(INDIRECT($N103)), 0),
       MATCH(TRIM(H$2), TRIM(INDIRECT($O103)), 0))</f>
        <v>69604750</v>
      </c>
      <c r="I103" s="11" cm="1">
        <f t="array" aca="1" ref="I103" ca="1">INDEX(INDIRECT($M103),
       MATCH(TRIM($C103), TRIM(INDIRECT($N103)), 0),
       MATCH(TRIM(I$2), TRIM(INDIRECT($O103)), 0))</f>
        <v>69.604749999999996</v>
      </c>
      <c r="J103" s="9" cm="1">
        <f t="array" aca="1" ref="J103" ca="1">INDEX(INDIRECT($M103),
       MATCH(TRIM($C103), TRIM(INDIRECT($N103)), 0),
       MATCH(TRIM(J$2), TRIM(INDIRECT($O103)), 0))</f>
        <v>1</v>
      </c>
      <c r="K103" s="11" cm="1">
        <f t="array" aca="1" ref="K103" ca="1">INDEX(INDIRECT($M103),
       MATCH(TRIM($C103), TRIM(INDIRECT($N103)), 0),
       MATCH(TRIM(K$2), TRIM(INDIRECT($O103)), 0))</f>
        <v>0.04</v>
      </c>
      <c r="L103" s="11" cm="1">
        <f t="array" aca="1" ref="L103" ca="1">INDEX(INDIRECT($M103),
       MATCH(TRIM($C103), TRIM(INDIRECT($N103)), 0),
       MATCH(TRIM(L$2), TRIM(INDIRECT($O103)), 0))</f>
        <v>233.40786</v>
      </c>
      <c r="M103" s="5" t="str">
        <f t="shared" si="3"/>
        <v>'2016'!$N$3:$V$80</v>
      </c>
      <c r="N103" s="5" t="str">
        <f t="shared" si="4"/>
        <v>'2016'!$M$2:$M$80</v>
      </c>
      <c r="O103" s="5" t="str">
        <f t="shared" si="5"/>
        <v>'2016'!$N$2:$W$2</v>
      </c>
    </row>
    <row r="104" spans="1:15" x14ac:dyDescent="0.3">
      <c r="A104">
        <v>39</v>
      </c>
      <c r="B104" s="9">
        <v>2016</v>
      </c>
      <c r="C104" t="s">
        <v>38</v>
      </c>
      <c r="D104" s="11" cm="1">
        <f t="array" aca="1" ref="D104" ca="1">INDEX(INDIRECT($M104),
       MATCH(TRIM($C104), TRIM(INDIRECT($N104)), 0),
       MATCH(TRIM(D$2), TRIM(INDIRECT($O104)), 0))</f>
        <v>0</v>
      </c>
      <c r="E104" s="9" cm="1">
        <f t="array" aca="1" ref="E104" ca="1">INDEX(INDIRECT($M104),
       MATCH(TRIM($C104), TRIM(INDIRECT($N104)), 0),
       MATCH(TRIM(E$2), TRIM(INDIRECT($O104)), 0))</f>
        <v>0</v>
      </c>
      <c r="F104" s="11" cm="1">
        <f t="array" aca="1" ref="F104" ca="1">INDEX(INDIRECT($M104),
       MATCH(TRIM($C104), TRIM(INDIRECT($N104)), 0),
       MATCH(TRIM(F$2), TRIM(INDIRECT($O104)), 0))</f>
        <v>0</v>
      </c>
      <c r="G104" s="11" cm="1">
        <f t="array" aca="1" ref="G104" ca="1">INDEX(INDIRECT($M104),
       MATCH(TRIM($C104), TRIM(INDIRECT($N104)), 0),
       MATCH(TRIM(G$2), TRIM(INDIRECT($O104)), 0))</f>
        <v>2</v>
      </c>
      <c r="H104" s="9" cm="1">
        <f t="array" aca="1" ref="H104" ca="1">INDEX(INDIRECT($M104),
       MATCH(TRIM($C104), TRIM(INDIRECT($N104)), 0),
       MATCH(TRIM(H$2), TRIM(INDIRECT($O104)), 0))</f>
        <v>38977416</v>
      </c>
      <c r="I104" s="11" cm="1">
        <f t="array" aca="1" ref="I104" ca="1">INDEX(INDIRECT($M104),
       MATCH(TRIM($C104), TRIM(INDIRECT($N104)), 0),
       MATCH(TRIM(I$2), TRIM(INDIRECT($O104)), 0))</f>
        <v>38.977415999999998</v>
      </c>
      <c r="J104" s="9" cm="1">
        <f t="array" aca="1" ref="J104" ca="1">INDEX(INDIRECT($M104),
       MATCH(TRIM($C104), TRIM(INDIRECT($N104)), 0),
       MATCH(TRIM(J$2), TRIM(INDIRECT($O104)), 0))</f>
        <v>3</v>
      </c>
      <c r="K104" s="11" cm="1">
        <f t="array" aca="1" ref="K104" ca="1">INDEX(INDIRECT($M104),
       MATCH(TRIM($C104), TRIM(INDIRECT($N104)), 0),
       MATCH(TRIM(K$2), TRIM(INDIRECT($O104)), 0))</f>
        <v>5.6822168888888891</v>
      </c>
      <c r="L104" s="11" cm="1">
        <f t="array" aca="1" ref="L104" ca="1">INDEX(INDIRECT($M104),
       MATCH(TRIM($C104), TRIM(INDIRECT($N104)), 0),
       MATCH(TRIM(L$2), TRIM(INDIRECT($O104)), 0))</f>
        <v>44.659632888888886</v>
      </c>
      <c r="M104" s="5" t="str">
        <f t="shared" si="3"/>
        <v>'2016'!$N$3:$V$80</v>
      </c>
      <c r="N104" s="5" t="str">
        <f t="shared" si="4"/>
        <v>'2016'!$M$2:$M$80</v>
      </c>
      <c r="O104" s="5" t="str">
        <f t="shared" si="5"/>
        <v>'2016'!$N$2:$W$2</v>
      </c>
    </row>
    <row r="105" spans="1:15" x14ac:dyDescent="0.3">
      <c r="A105">
        <v>40</v>
      </c>
      <c r="B105" s="9">
        <v>2016</v>
      </c>
      <c r="C105" t="s">
        <v>39</v>
      </c>
      <c r="D105" s="11" cm="1">
        <f t="array" aca="1" ref="D105" ca="1">INDEX(INDIRECT($M105),
       MATCH(TRIM($C105), TRIM(INDIRECT($N105)), 0),
       MATCH(TRIM(D$2), TRIM(INDIRECT($O105)), 0))</f>
        <v>1</v>
      </c>
      <c r="E105" s="9" cm="1">
        <f t="array" aca="1" ref="E105" ca="1">INDEX(INDIRECT($M105),
       MATCH(TRIM($C105), TRIM(INDIRECT($N105)), 0),
       MATCH(TRIM(E$2), TRIM(INDIRECT($O105)), 0))</f>
        <v>3000000</v>
      </c>
      <c r="F105" s="11" cm="1">
        <f t="array" aca="1" ref="F105" ca="1">INDEX(INDIRECT($M105),
       MATCH(TRIM($C105), TRIM(INDIRECT($N105)), 0),
       MATCH(TRIM(F$2), TRIM(INDIRECT($O105)), 0))</f>
        <v>3</v>
      </c>
      <c r="G105" s="11" cm="1">
        <f t="array" aca="1" ref="G105" ca="1">INDEX(INDIRECT($M105),
       MATCH(TRIM($C105), TRIM(INDIRECT($N105)), 0),
       MATCH(TRIM(G$2), TRIM(INDIRECT($O105)), 0))</f>
        <v>5</v>
      </c>
      <c r="H105" s="9" cm="1">
        <f t="array" aca="1" ref="H105" ca="1">INDEX(INDIRECT($M105),
       MATCH(TRIM($C105), TRIM(INDIRECT($N105)), 0),
       MATCH(TRIM(H$2), TRIM(INDIRECT($O105)), 0))</f>
        <v>5765500</v>
      </c>
      <c r="I105" s="11" cm="1">
        <f t="array" aca="1" ref="I105" ca="1">INDEX(INDIRECT($M105),
       MATCH(TRIM($C105), TRIM(INDIRECT($N105)), 0),
       MATCH(TRIM(I$2), TRIM(INDIRECT($O105)), 0))</f>
        <v>5.7655000000000003</v>
      </c>
      <c r="J105" s="9" cm="1">
        <f t="array" aca="1" ref="J105" ca="1">INDEX(INDIRECT($M105),
       MATCH(TRIM($C105), TRIM(INDIRECT($N105)), 0),
       MATCH(TRIM(J$2), TRIM(INDIRECT($O105)), 0))</f>
        <v>0</v>
      </c>
      <c r="K105" s="11" cm="1">
        <f t="array" aca="1" ref="K105" ca="1">INDEX(INDIRECT($M105),
       MATCH(TRIM($C105), TRIM(INDIRECT($N105)), 0),
       MATCH(TRIM(K$2), TRIM(INDIRECT($O105)), 0))</f>
        <v>0</v>
      </c>
      <c r="L105" s="11" cm="1">
        <f t="array" aca="1" ref="L105" ca="1">INDEX(INDIRECT($M105),
       MATCH(TRIM($C105), TRIM(INDIRECT($N105)), 0),
       MATCH(TRIM(L$2), TRIM(INDIRECT($O105)), 0))</f>
        <v>8.7654999999999994</v>
      </c>
      <c r="M105" s="5" t="str">
        <f t="shared" si="3"/>
        <v>'2016'!$N$3:$V$80</v>
      </c>
      <c r="N105" s="5" t="str">
        <f t="shared" si="4"/>
        <v>'2016'!$M$2:$M$80</v>
      </c>
      <c r="O105" s="5" t="str">
        <f t="shared" si="5"/>
        <v>'2016'!$N$2:$W$2</v>
      </c>
    </row>
    <row r="106" spans="1:15" x14ac:dyDescent="0.3">
      <c r="A106">
        <v>41</v>
      </c>
      <c r="B106" s="9">
        <v>2016</v>
      </c>
      <c r="C106" t="s">
        <v>40</v>
      </c>
      <c r="D106" s="11" cm="1">
        <f t="array" aca="1" ref="D106" ca="1">INDEX(INDIRECT($M106),
       MATCH(TRIM($C106), TRIM(INDIRECT($N106)), 0),
       MATCH(TRIM(D$2), TRIM(INDIRECT($O106)), 0))</f>
        <v>7</v>
      </c>
      <c r="E106" s="9" cm="1">
        <f t="array" aca="1" ref="E106" ca="1">INDEX(INDIRECT($M106),
       MATCH(TRIM($C106), TRIM(INDIRECT($N106)), 0),
       MATCH(TRIM(E$2), TRIM(INDIRECT($O106)), 0))</f>
        <v>256503212</v>
      </c>
      <c r="F106" s="11" cm="1">
        <f t="array" aca="1" ref="F106" ca="1">INDEX(INDIRECT($M106),
       MATCH(TRIM($C106), TRIM(INDIRECT($N106)), 0),
       MATCH(TRIM(F$2), TRIM(INDIRECT($O106)), 0))</f>
        <v>256.50321200000002</v>
      </c>
      <c r="G106" s="11" cm="1">
        <f t="array" aca="1" ref="G106" ca="1">INDEX(INDIRECT($M106),
       MATCH(TRIM($C106), TRIM(INDIRECT($N106)), 0),
       MATCH(TRIM(G$2), TRIM(INDIRECT($O106)), 0))</f>
        <v>0</v>
      </c>
      <c r="H106" s="9" cm="1">
        <f t="array" aca="1" ref="H106" ca="1">INDEX(INDIRECT($M106),
       MATCH(TRIM($C106), TRIM(INDIRECT($N106)), 0),
       MATCH(TRIM(H$2), TRIM(INDIRECT($O106)), 0))</f>
        <v>0</v>
      </c>
      <c r="I106" s="11" cm="1">
        <f t="array" aca="1" ref="I106" ca="1">INDEX(INDIRECT($M106),
       MATCH(TRIM($C106), TRIM(INDIRECT($N106)), 0),
       MATCH(TRIM(I$2), TRIM(INDIRECT($O106)), 0))</f>
        <v>0</v>
      </c>
      <c r="J106" s="9" cm="1">
        <f t="array" aca="1" ref="J106" ca="1">INDEX(INDIRECT($M106),
       MATCH(TRIM($C106), TRIM(INDIRECT($N106)), 0),
       MATCH(TRIM(J$2), TRIM(INDIRECT($O106)), 0))</f>
        <v>0</v>
      </c>
      <c r="K106" s="11" cm="1">
        <f t="array" aca="1" ref="K106" ca="1">INDEX(INDIRECT($M106),
       MATCH(TRIM($C106), TRIM(INDIRECT($N106)), 0),
       MATCH(TRIM(K$2), TRIM(INDIRECT($O106)), 0))</f>
        <v>0</v>
      </c>
      <c r="L106" s="11" cm="1">
        <f t="array" aca="1" ref="L106" ca="1">INDEX(INDIRECT($M106),
       MATCH(TRIM($C106), TRIM(INDIRECT($N106)), 0),
       MATCH(TRIM(L$2), TRIM(INDIRECT($O106)), 0))</f>
        <v>256.50321200000002</v>
      </c>
      <c r="M106" s="5" t="str">
        <f t="shared" si="3"/>
        <v>'2016'!$N$3:$V$80</v>
      </c>
      <c r="N106" s="5" t="str">
        <f t="shared" si="4"/>
        <v>'2016'!$M$2:$M$80</v>
      </c>
      <c r="O106" s="5" t="str">
        <f t="shared" si="5"/>
        <v>'2016'!$N$2:$W$2</v>
      </c>
    </row>
    <row r="107" spans="1:15" x14ac:dyDescent="0.3">
      <c r="A107">
        <v>42</v>
      </c>
      <c r="B107" s="9">
        <v>2016</v>
      </c>
      <c r="C107" t="s">
        <v>41</v>
      </c>
      <c r="D107" s="11" cm="1">
        <f t="array" aca="1" ref="D107" ca="1">INDEX(INDIRECT($M107),
       MATCH(TRIM($C107), TRIM(INDIRECT($N107)), 0),
       MATCH(TRIM(D$2), TRIM(INDIRECT($O107)), 0))</f>
        <v>1</v>
      </c>
      <c r="E107" s="9" cm="1">
        <f t="array" aca="1" ref="E107" ca="1">INDEX(INDIRECT($M107),
       MATCH(TRIM($C107), TRIM(INDIRECT($N107)), 0),
       MATCH(TRIM(E$2), TRIM(INDIRECT($O107)), 0))</f>
        <v>31500000</v>
      </c>
      <c r="F107" s="11" cm="1">
        <f t="array" aca="1" ref="F107" ca="1">INDEX(INDIRECT($M107),
       MATCH(TRIM($C107), TRIM(INDIRECT($N107)), 0),
       MATCH(TRIM(F$2), TRIM(INDIRECT($O107)), 0))</f>
        <v>31.5</v>
      </c>
      <c r="G107" s="11" cm="1">
        <f t="array" aca="1" ref="G107" ca="1">INDEX(INDIRECT($M107),
       MATCH(TRIM($C107), TRIM(INDIRECT($N107)), 0),
       MATCH(TRIM(G$2), TRIM(INDIRECT($O107)), 0))</f>
        <v>0</v>
      </c>
      <c r="H107" s="9" cm="1">
        <f t="array" aca="1" ref="H107" ca="1">INDEX(INDIRECT($M107),
       MATCH(TRIM($C107), TRIM(INDIRECT($N107)), 0),
       MATCH(TRIM(H$2), TRIM(INDIRECT($O107)), 0))</f>
        <v>0</v>
      </c>
      <c r="I107" s="11" cm="1">
        <f t="array" aca="1" ref="I107" ca="1">INDEX(INDIRECT($M107),
       MATCH(TRIM($C107), TRIM(INDIRECT($N107)), 0),
       MATCH(TRIM(I$2), TRIM(INDIRECT($O107)), 0))</f>
        <v>0</v>
      </c>
      <c r="J107" s="9" cm="1">
        <f t="array" aca="1" ref="J107" ca="1">INDEX(INDIRECT($M107),
       MATCH(TRIM($C107), TRIM(INDIRECT($N107)), 0),
       MATCH(TRIM(J$2), TRIM(INDIRECT($O107)), 0))</f>
        <v>0</v>
      </c>
      <c r="K107" s="11" cm="1">
        <f t="array" aca="1" ref="K107" ca="1">INDEX(INDIRECT($M107),
       MATCH(TRIM($C107), TRIM(INDIRECT($N107)), 0),
       MATCH(TRIM(K$2), TRIM(INDIRECT($O107)), 0))</f>
        <v>0</v>
      </c>
      <c r="L107" s="11" cm="1">
        <f t="array" aca="1" ref="L107" ca="1">INDEX(INDIRECT($M107),
       MATCH(TRIM($C107), TRIM(INDIRECT($N107)), 0),
       MATCH(TRIM(L$2), TRIM(INDIRECT($O107)), 0))</f>
        <v>31.5</v>
      </c>
      <c r="M107" s="5" t="str">
        <f t="shared" si="3"/>
        <v>'2016'!$N$3:$V$80</v>
      </c>
      <c r="N107" s="5" t="str">
        <f t="shared" si="4"/>
        <v>'2016'!$M$2:$M$80</v>
      </c>
      <c r="O107" s="5" t="str">
        <f t="shared" si="5"/>
        <v>'2016'!$N$2:$W$2</v>
      </c>
    </row>
    <row r="108" spans="1:15" x14ac:dyDescent="0.3">
      <c r="A108">
        <v>43</v>
      </c>
      <c r="B108" s="9">
        <v>2016</v>
      </c>
      <c r="C108" t="s">
        <v>42</v>
      </c>
      <c r="D108" s="11" cm="1">
        <f t="array" aca="1" ref="D108" ca="1">INDEX(INDIRECT($M108),
       MATCH(TRIM($C108), TRIM(INDIRECT($N108)), 0),
       MATCH(TRIM(D$2), TRIM(INDIRECT($O108)), 0))</f>
        <v>30</v>
      </c>
      <c r="E108" s="9" cm="1">
        <f t="array" aca="1" ref="E108" ca="1">INDEX(INDIRECT($M108),
       MATCH(TRIM($C108), TRIM(INDIRECT($N108)), 0),
       MATCH(TRIM(E$2), TRIM(INDIRECT($O108)), 0))</f>
        <v>274121552</v>
      </c>
      <c r="F108" s="11" cm="1">
        <f t="array" aca="1" ref="F108" ca="1">INDEX(INDIRECT($M108),
       MATCH(TRIM($C108), TRIM(INDIRECT($N108)), 0),
       MATCH(TRIM(F$2), TRIM(INDIRECT($O108)), 0))</f>
        <v>274.12155200000001</v>
      </c>
      <c r="G108" s="11" cm="1">
        <f t="array" aca="1" ref="G108" ca="1">INDEX(INDIRECT($M108),
       MATCH(TRIM($C108), TRIM(INDIRECT($N108)), 0),
       MATCH(TRIM(G$2), TRIM(INDIRECT($O108)), 0))</f>
        <v>18</v>
      </c>
      <c r="H108" s="9" cm="1">
        <f t="array" aca="1" ref="H108" ca="1">INDEX(INDIRECT($M108),
       MATCH(TRIM($C108), TRIM(INDIRECT($N108)), 0),
       MATCH(TRIM(H$2), TRIM(INDIRECT($O108)), 0))</f>
        <v>103312737.30000001</v>
      </c>
      <c r="I108" s="11" cm="1">
        <f t="array" aca="1" ref="I108" ca="1">INDEX(INDIRECT($M108),
       MATCH(TRIM($C108), TRIM(INDIRECT($N108)), 0),
       MATCH(TRIM(I$2), TRIM(INDIRECT($O108)), 0))</f>
        <v>103.31273730000001</v>
      </c>
      <c r="J108" s="9" cm="1">
        <f t="array" aca="1" ref="J108" ca="1">INDEX(INDIRECT($M108),
       MATCH(TRIM($C108), TRIM(INDIRECT($N108)), 0),
       MATCH(TRIM(J$2), TRIM(INDIRECT($O108)), 0))</f>
        <v>18</v>
      </c>
      <c r="K108" s="11" cm="1">
        <f t="array" aca="1" ref="K108" ca="1">INDEX(INDIRECT($M108),
       MATCH(TRIM($C108), TRIM(INDIRECT($N108)), 0),
       MATCH(TRIM(K$2), TRIM(INDIRECT($O108)), 0))</f>
        <v>11.853939177333332</v>
      </c>
      <c r="L108" s="11" cm="1">
        <f t="array" aca="1" ref="L108" ca="1">INDEX(INDIRECT($M108),
       MATCH(TRIM($C108), TRIM(INDIRECT($N108)), 0),
       MATCH(TRIM(L$2), TRIM(INDIRECT($O108)), 0))</f>
        <v>389.2882284773334</v>
      </c>
      <c r="M108" s="5" t="str">
        <f t="shared" si="3"/>
        <v>'2016'!$N$3:$V$80</v>
      </c>
      <c r="N108" s="5" t="str">
        <f t="shared" si="4"/>
        <v>'2016'!$M$2:$M$80</v>
      </c>
      <c r="O108" s="5" t="str">
        <f t="shared" si="5"/>
        <v>'2016'!$N$2:$W$2</v>
      </c>
    </row>
    <row r="109" spans="1:15" x14ac:dyDescent="0.3">
      <c r="A109">
        <v>44</v>
      </c>
      <c r="B109" s="9">
        <v>2016</v>
      </c>
      <c r="C109" t="s">
        <v>43</v>
      </c>
      <c r="D109" s="11" cm="1">
        <f t="array" aca="1" ref="D109" ca="1">INDEX(INDIRECT($M109),
       MATCH(TRIM($C109), TRIM(INDIRECT($N109)), 0),
       MATCH(TRIM(D$2), TRIM(INDIRECT($O109)), 0))</f>
        <v>6</v>
      </c>
      <c r="E109" s="9" cm="1">
        <f t="array" aca="1" ref="E109" ca="1">INDEX(INDIRECT($M109),
       MATCH(TRIM($C109), TRIM(INDIRECT($N109)), 0),
       MATCH(TRIM(E$2), TRIM(INDIRECT($O109)), 0))</f>
        <v>29281818</v>
      </c>
      <c r="F109" s="11" cm="1">
        <f t="array" aca="1" ref="F109" ca="1">INDEX(INDIRECT($M109),
       MATCH(TRIM($C109), TRIM(INDIRECT($N109)), 0),
       MATCH(TRIM(F$2), TRIM(INDIRECT($O109)), 0))</f>
        <v>29.281818000000001</v>
      </c>
      <c r="G109" s="11" cm="1">
        <f t="array" aca="1" ref="G109" ca="1">INDEX(INDIRECT($M109),
       MATCH(TRIM($C109), TRIM(INDIRECT($N109)), 0),
       MATCH(TRIM(G$2), TRIM(INDIRECT($O109)), 0))</f>
        <v>2</v>
      </c>
      <c r="H109" s="9" cm="1">
        <f t="array" aca="1" ref="H109" ca="1">INDEX(INDIRECT($M109),
       MATCH(TRIM($C109), TRIM(INDIRECT($N109)), 0),
       MATCH(TRIM(H$2), TRIM(INDIRECT($O109)), 0))</f>
        <v>710526</v>
      </c>
      <c r="I109" s="11" cm="1">
        <f t="array" aca="1" ref="I109" ca="1">INDEX(INDIRECT($M109),
       MATCH(TRIM($C109), TRIM(INDIRECT($N109)), 0),
       MATCH(TRIM(I$2), TRIM(INDIRECT($O109)), 0))</f>
        <v>0.71052599999999999</v>
      </c>
      <c r="J109" s="9" cm="1">
        <f t="array" aca="1" ref="J109" ca="1">INDEX(INDIRECT($M109),
       MATCH(TRIM($C109), TRIM(INDIRECT($N109)), 0),
       MATCH(TRIM(J$2), TRIM(INDIRECT($O109)), 0))</f>
        <v>2</v>
      </c>
      <c r="K109" s="11" cm="1">
        <f t="array" aca="1" ref="K109" ca="1">INDEX(INDIRECT($M109),
       MATCH(TRIM($C109), TRIM(INDIRECT($N109)), 0),
       MATCH(TRIM(K$2), TRIM(INDIRECT($O109)), 0))</f>
        <v>2.36</v>
      </c>
      <c r="L109" s="11" cm="1">
        <f t="array" aca="1" ref="L109" ca="1">INDEX(INDIRECT($M109),
       MATCH(TRIM($C109), TRIM(INDIRECT($N109)), 0),
       MATCH(TRIM(L$2), TRIM(INDIRECT($O109)), 0))</f>
        <v>32.352344000000002</v>
      </c>
      <c r="M109" s="5" t="str">
        <f t="shared" si="3"/>
        <v>'2016'!$N$3:$V$80</v>
      </c>
      <c r="N109" s="5" t="str">
        <f t="shared" si="4"/>
        <v>'2016'!$M$2:$M$80</v>
      </c>
      <c r="O109" s="5" t="str">
        <f t="shared" si="5"/>
        <v>'2016'!$N$2:$W$2</v>
      </c>
    </row>
    <row r="110" spans="1:15" x14ac:dyDescent="0.3">
      <c r="A110">
        <v>45</v>
      </c>
      <c r="B110" s="9">
        <v>2016</v>
      </c>
      <c r="C110" t="s">
        <v>44</v>
      </c>
      <c r="D110" s="11" cm="1">
        <f t="array" aca="1" ref="D110" ca="1">INDEX(INDIRECT($M110),
       MATCH(TRIM($C110), TRIM(INDIRECT($N110)), 0),
       MATCH(TRIM(D$2), TRIM(INDIRECT($O110)), 0))</f>
        <v>1</v>
      </c>
      <c r="E110" s="9" cm="1">
        <f t="array" aca="1" ref="E110" ca="1">INDEX(INDIRECT($M110),
       MATCH(TRIM($C110), TRIM(INDIRECT($N110)), 0),
       MATCH(TRIM(E$2), TRIM(INDIRECT($O110)), 0))</f>
        <v>4000000</v>
      </c>
      <c r="F110" s="11" cm="1">
        <f t="array" aca="1" ref="F110" ca="1">INDEX(INDIRECT($M110),
       MATCH(TRIM($C110), TRIM(INDIRECT($N110)), 0),
       MATCH(TRIM(F$2), TRIM(INDIRECT($O110)), 0))</f>
        <v>4</v>
      </c>
      <c r="G110" s="11" cm="1">
        <f t="array" aca="1" ref="G110" ca="1">INDEX(INDIRECT($M110),
       MATCH(TRIM($C110), TRIM(INDIRECT($N110)), 0),
       MATCH(TRIM(G$2), TRIM(INDIRECT($O110)), 0))</f>
        <v>0</v>
      </c>
      <c r="H110" s="9" cm="1">
        <f t="array" aca="1" ref="H110" ca="1">INDEX(INDIRECT($M110),
       MATCH(TRIM($C110), TRIM(INDIRECT($N110)), 0),
       MATCH(TRIM(H$2), TRIM(INDIRECT($O110)), 0))</f>
        <v>0</v>
      </c>
      <c r="I110" s="11" cm="1">
        <f t="array" aca="1" ref="I110" ca="1">INDEX(INDIRECT($M110),
       MATCH(TRIM($C110), TRIM(INDIRECT($N110)), 0),
       MATCH(TRIM(I$2), TRIM(INDIRECT($O110)), 0))</f>
        <v>0</v>
      </c>
      <c r="J110" s="9" cm="1">
        <f t="array" aca="1" ref="J110" ca="1">INDEX(INDIRECT($M110),
       MATCH(TRIM($C110), TRIM(INDIRECT($N110)), 0),
       MATCH(TRIM(J$2), TRIM(INDIRECT($O110)), 0))</f>
        <v>0</v>
      </c>
      <c r="K110" s="11" cm="1">
        <f t="array" aca="1" ref="K110" ca="1">INDEX(INDIRECT($M110),
       MATCH(TRIM($C110), TRIM(INDIRECT($N110)), 0),
       MATCH(TRIM(K$2), TRIM(INDIRECT($O110)), 0))</f>
        <v>0</v>
      </c>
      <c r="L110" s="11" cm="1">
        <f t="array" aca="1" ref="L110" ca="1">INDEX(INDIRECT($M110),
       MATCH(TRIM($C110), TRIM(INDIRECT($N110)), 0),
       MATCH(TRIM(L$2), TRIM(INDIRECT($O110)), 0))</f>
        <v>4</v>
      </c>
      <c r="M110" s="5" t="str">
        <f t="shared" si="3"/>
        <v>'2016'!$N$3:$V$80</v>
      </c>
      <c r="N110" s="5" t="str">
        <f t="shared" si="4"/>
        <v>'2016'!$M$2:$M$80</v>
      </c>
      <c r="O110" s="5" t="str">
        <f t="shared" si="5"/>
        <v>'2016'!$N$2:$W$2</v>
      </c>
    </row>
    <row r="111" spans="1:15" x14ac:dyDescent="0.3">
      <c r="A111">
        <v>46</v>
      </c>
      <c r="B111" s="9">
        <v>2016</v>
      </c>
      <c r="C111" t="s">
        <v>45</v>
      </c>
      <c r="D111" s="11" cm="1">
        <f t="array" aca="1" ref="D111" ca="1">INDEX(INDIRECT($M111),
       MATCH(TRIM($C111), TRIM(INDIRECT($N111)), 0),
       MATCH(TRIM(D$2), TRIM(INDIRECT($O111)), 0))</f>
        <v>1</v>
      </c>
      <c r="E111" s="9" cm="1">
        <f t="array" aca="1" ref="E111" ca="1">INDEX(INDIRECT($M111),
       MATCH(TRIM($C111), TRIM(INDIRECT($N111)), 0),
       MATCH(TRIM(E$2), TRIM(INDIRECT($O111)), 0))</f>
        <v>655619</v>
      </c>
      <c r="F111" s="11" cm="1">
        <f t="array" aca="1" ref="F111" ca="1">INDEX(INDIRECT($M111),
       MATCH(TRIM($C111), TRIM(INDIRECT($N111)), 0),
       MATCH(TRIM(F$2), TRIM(INDIRECT($O111)), 0))</f>
        <v>0.65561899999999995</v>
      </c>
      <c r="G111" s="11" cm="1">
        <f t="array" aca="1" ref="G111" ca="1">INDEX(INDIRECT($M111),
       MATCH(TRIM($C111), TRIM(INDIRECT($N111)), 0),
       MATCH(TRIM(G$2), TRIM(INDIRECT($O111)), 0))</f>
        <v>1</v>
      </c>
      <c r="H111" s="9" cm="1">
        <f t="array" aca="1" ref="H111" ca="1">INDEX(INDIRECT($M111),
       MATCH(TRIM($C111), TRIM(INDIRECT($N111)), 0),
       MATCH(TRIM(H$2), TRIM(INDIRECT($O111)), 0))</f>
        <v>1000000</v>
      </c>
      <c r="I111" s="11" cm="1">
        <f t="array" aca="1" ref="I111" ca="1">INDEX(INDIRECT($M111),
       MATCH(TRIM($C111), TRIM(INDIRECT($N111)), 0),
       MATCH(TRIM(I$2), TRIM(INDIRECT($O111)), 0))</f>
        <v>1</v>
      </c>
      <c r="J111" s="9" cm="1">
        <f t="array" aca="1" ref="J111" ca="1">INDEX(INDIRECT($M111),
       MATCH(TRIM($C111), TRIM(INDIRECT($N111)), 0),
       MATCH(TRIM(J$2), TRIM(INDIRECT($O111)), 0))</f>
        <v>3</v>
      </c>
      <c r="K111" s="11" cm="1">
        <f t="array" aca="1" ref="K111" ca="1">INDEX(INDIRECT($M111),
       MATCH(TRIM($C111), TRIM(INDIRECT($N111)), 0),
       MATCH(TRIM(K$2), TRIM(INDIRECT($O111)), 0))</f>
        <v>1.048888888888889</v>
      </c>
      <c r="L111" s="11" cm="1">
        <f t="array" aca="1" ref="L111" ca="1">INDEX(INDIRECT($M111),
       MATCH(TRIM($C111), TRIM(INDIRECT($N111)), 0),
       MATCH(TRIM(L$2), TRIM(INDIRECT($O111)), 0))</f>
        <v>2.7045078888888892</v>
      </c>
      <c r="M111" s="5" t="str">
        <f t="shared" si="3"/>
        <v>'2016'!$N$3:$V$80</v>
      </c>
      <c r="N111" s="5" t="str">
        <f t="shared" si="4"/>
        <v>'2016'!$M$2:$M$80</v>
      </c>
      <c r="O111" s="5" t="str">
        <f t="shared" si="5"/>
        <v>'2016'!$N$2:$W$2</v>
      </c>
    </row>
    <row r="112" spans="1:15" x14ac:dyDescent="0.3">
      <c r="A112">
        <v>47</v>
      </c>
      <c r="B112" s="9">
        <v>2016</v>
      </c>
      <c r="C112" t="s">
        <v>46</v>
      </c>
      <c r="D112" s="11" cm="1">
        <f t="array" aca="1" ref="D112" ca="1">INDEX(INDIRECT($M112),
       MATCH(TRIM($C112), TRIM(INDIRECT($N112)), 0),
       MATCH(TRIM(D$2), TRIM(INDIRECT($O112)), 0))</f>
        <v>3</v>
      </c>
      <c r="E112" s="9" cm="1">
        <f t="array" aca="1" ref="E112" ca="1">INDEX(INDIRECT($M112),
       MATCH(TRIM($C112), TRIM(INDIRECT($N112)), 0),
       MATCH(TRIM(E$2), TRIM(INDIRECT($O112)), 0))</f>
        <v>21433333</v>
      </c>
      <c r="F112" s="11" cm="1">
        <f t="array" aca="1" ref="F112" ca="1">INDEX(INDIRECT($M112),
       MATCH(TRIM($C112), TRIM(INDIRECT($N112)), 0),
       MATCH(TRIM(F$2), TRIM(INDIRECT($O112)), 0))</f>
        <v>21.433333000000001</v>
      </c>
      <c r="G112" s="11" cm="1">
        <f t="array" aca="1" ref="G112" ca="1">INDEX(INDIRECT($M112),
       MATCH(TRIM($C112), TRIM(INDIRECT($N112)), 0),
       MATCH(TRIM(G$2), TRIM(INDIRECT($O112)), 0))</f>
        <v>0</v>
      </c>
      <c r="H112" s="9" cm="1">
        <f t="array" aca="1" ref="H112" ca="1">INDEX(INDIRECT($M112),
       MATCH(TRIM($C112), TRIM(INDIRECT($N112)), 0),
       MATCH(TRIM(H$2), TRIM(INDIRECT($O112)), 0))</f>
        <v>0</v>
      </c>
      <c r="I112" s="11" cm="1">
        <f t="array" aca="1" ref="I112" ca="1">INDEX(INDIRECT($M112),
       MATCH(TRIM($C112), TRIM(INDIRECT($N112)), 0),
       MATCH(TRIM(I$2), TRIM(INDIRECT($O112)), 0))</f>
        <v>0</v>
      </c>
      <c r="J112" s="9" cm="1">
        <f t="array" aca="1" ref="J112" ca="1">INDEX(INDIRECT($M112),
       MATCH(TRIM($C112), TRIM(INDIRECT($N112)), 0),
       MATCH(TRIM(J$2), TRIM(INDIRECT($O112)), 0))</f>
        <v>1</v>
      </c>
      <c r="K112" s="11" cm="1">
        <f t="array" aca="1" ref="K112" ca="1">INDEX(INDIRECT($M112),
       MATCH(TRIM($C112), TRIM(INDIRECT($N112)), 0),
       MATCH(TRIM(K$2), TRIM(INDIRECT($O112)), 0))</f>
        <v>21.061288888888889</v>
      </c>
      <c r="L112" s="11" cm="1">
        <f t="array" aca="1" ref="L112" ca="1">INDEX(INDIRECT($M112),
       MATCH(TRIM($C112), TRIM(INDIRECT($N112)), 0),
       MATCH(TRIM(L$2), TRIM(INDIRECT($O112)), 0))</f>
        <v>42.494621888888886</v>
      </c>
      <c r="M112" s="5" t="str">
        <f t="shared" si="3"/>
        <v>'2016'!$N$3:$V$80</v>
      </c>
      <c r="N112" s="5" t="str">
        <f t="shared" si="4"/>
        <v>'2016'!$M$2:$M$80</v>
      </c>
      <c r="O112" s="5" t="str">
        <f t="shared" si="5"/>
        <v>'2016'!$N$2:$W$2</v>
      </c>
    </row>
    <row r="113" spans="1:15" x14ac:dyDescent="0.3">
      <c r="A113">
        <v>48</v>
      </c>
      <c r="B113" s="9">
        <v>2016</v>
      </c>
      <c r="C113" t="s">
        <v>47</v>
      </c>
      <c r="D113" s="11" cm="1">
        <f t="array" aca="1" ref="D113" ca="1">INDEX(INDIRECT($M113),
       MATCH(TRIM($C113), TRIM(INDIRECT($N113)), 0),
       MATCH(TRIM(D$2), TRIM(INDIRECT($O113)), 0))</f>
        <v>0</v>
      </c>
      <c r="E113" s="9" cm="1">
        <f t="array" aca="1" ref="E113" ca="1">INDEX(INDIRECT($M113),
       MATCH(TRIM($C113), TRIM(INDIRECT($N113)), 0),
       MATCH(TRIM(E$2), TRIM(INDIRECT($O113)), 0))</f>
        <v>0</v>
      </c>
      <c r="F113" s="11" cm="1">
        <f t="array" aca="1" ref="F113" ca="1">INDEX(INDIRECT($M113),
       MATCH(TRIM($C113), TRIM(INDIRECT($N113)), 0),
       MATCH(TRIM(F$2), TRIM(INDIRECT($O113)), 0))</f>
        <v>0</v>
      </c>
      <c r="G113" s="11" cm="1">
        <f t="array" aca="1" ref="G113" ca="1">INDEX(INDIRECT($M113),
       MATCH(TRIM($C113), TRIM(INDIRECT($N113)), 0),
       MATCH(TRIM(G$2), TRIM(INDIRECT($O113)), 0))</f>
        <v>0</v>
      </c>
      <c r="H113" s="9" cm="1">
        <f t="array" aca="1" ref="H113" ca="1">INDEX(INDIRECT($M113),
       MATCH(TRIM($C113), TRIM(INDIRECT($N113)), 0),
       MATCH(TRIM(H$2), TRIM(INDIRECT($O113)), 0))</f>
        <v>0</v>
      </c>
      <c r="I113" s="11" cm="1">
        <f t="array" aca="1" ref="I113" ca="1">INDEX(INDIRECT($M113),
       MATCH(TRIM($C113), TRIM(INDIRECT($N113)), 0),
       MATCH(TRIM(I$2), TRIM(INDIRECT($O113)), 0))</f>
        <v>0</v>
      </c>
      <c r="J113" s="9" cm="1">
        <f t="array" aca="1" ref="J113" ca="1">INDEX(INDIRECT($M113),
       MATCH(TRIM($C113), TRIM(INDIRECT($N113)), 0),
       MATCH(TRIM(J$2), TRIM(INDIRECT($O113)), 0))</f>
        <v>2</v>
      </c>
      <c r="K113" s="11" cm="1">
        <f t="array" aca="1" ref="K113" ca="1">INDEX(INDIRECT($M113),
       MATCH(TRIM($C113), TRIM(INDIRECT($N113)), 0),
       MATCH(TRIM(K$2), TRIM(INDIRECT($O113)), 0))</f>
        <v>11.086424933333333</v>
      </c>
      <c r="L113" s="11" cm="1">
        <f t="array" aca="1" ref="L113" ca="1">INDEX(INDIRECT($M113),
       MATCH(TRIM($C113), TRIM(INDIRECT($N113)), 0),
       MATCH(TRIM(L$2), TRIM(INDIRECT($O113)), 0))</f>
        <v>11.086424933333333</v>
      </c>
      <c r="M113" s="5" t="str">
        <f t="shared" si="3"/>
        <v>'2016'!$N$3:$V$80</v>
      </c>
      <c r="N113" s="5" t="str">
        <f t="shared" si="4"/>
        <v>'2016'!$M$2:$M$80</v>
      </c>
      <c r="O113" s="5" t="str">
        <f t="shared" si="5"/>
        <v>'2016'!$N$2:$W$2</v>
      </c>
    </row>
    <row r="114" spans="1:15" x14ac:dyDescent="0.3">
      <c r="A114">
        <v>49</v>
      </c>
      <c r="B114" s="9">
        <v>2016</v>
      </c>
      <c r="C114" t="s">
        <v>48</v>
      </c>
      <c r="D114" s="11" cm="1">
        <f t="array" aca="1" ref="D114" ca="1">INDEX(INDIRECT($M114),
       MATCH(TRIM($C114), TRIM(INDIRECT($N114)), 0),
       MATCH(TRIM(D$2), TRIM(INDIRECT($O114)), 0))</f>
        <v>1</v>
      </c>
      <c r="E114" s="9" cm="1">
        <f t="array" aca="1" ref="E114" ca="1">INDEX(INDIRECT($M114),
       MATCH(TRIM($C114), TRIM(INDIRECT($N114)), 0),
       MATCH(TRIM(E$2), TRIM(INDIRECT($O114)), 0))</f>
        <v>230000</v>
      </c>
      <c r="F114" s="11" cm="1">
        <f t="array" aca="1" ref="F114" ca="1">INDEX(INDIRECT($M114),
       MATCH(TRIM($C114), TRIM(INDIRECT($N114)), 0),
       MATCH(TRIM(F$2), TRIM(INDIRECT($O114)), 0))</f>
        <v>0.23</v>
      </c>
      <c r="G114" s="11" cm="1">
        <f t="array" aca="1" ref="G114" ca="1">INDEX(INDIRECT($M114),
       MATCH(TRIM($C114), TRIM(INDIRECT($N114)), 0),
       MATCH(TRIM(G$2), TRIM(INDIRECT($O114)), 0))</f>
        <v>0</v>
      </c>
      <c r="H114" s="9" cm="1">
        <f t="array" aca="1" ref="H114" ca="1">INDEX(INDIRECT($M114),
       MATCH(TRIM($C114), TRIM(INDIRECT($N114)), 0),
       MATCH(TRIM(H$2), TRIM(INDIRECT($O114)), 0))</f>
        <v>0</v>
      </c>
      <c r="I114" s="11" cm="1">
        <f t="array" aca="1" ref="I114" ca="1">INDEX(INDIRECT($M114),
       MATCH(TRIM($C114), TRIM(INDIRECT($N114)), 0),
       MATCH(TRIM(I$2), TRIM(INDIRECT($O114)), 0))</f>
        <v>0</v>
      </c>
      <c r="J114" s="9" cm="1">
        <f t="array" aca="1" ref="J114" ca="1">INDEX(INDIRECT($M114),
       MATCH(TRIM($C114), TRIM(INDIRECT($N114)), 0),
       MATCH(TRIM(J$2), TRIM(INDIRECT($O114)), 0))</f>
        <v>0</v>
      </c>
      <c r="K114" s="11" cm="1">
        <f t="array" aca="1" ref="K114" ca="1">INDEX(INDIRECT($M114),
       MATCH(TRIM($C114), TRIM(INDIRECT($N114)), 0),
       MATCH(TRIM(K$2), TRIM(INDIRECT($O114)), 0))</f>
        <v>0</v>
      </c>
      <c r="L114" s="11" cm="1">
        <f t="array" aca="1" ref="L114" ca="1">INDEX(INDIRECT($M114),
       MATCH(TRIM($C114), TRIM(INDIRECT($N114)), 0),
       MATCH(TRIM(L$2), TRIM(INDIRECT($O114)), 0))</f>
        <v>0.23</v>
      </c>
      <c r="M114" s="5" t="str">
        <f t="shared" si="3"/>
        <v>'2016'!$N$3:$V$80</v>
      </c>
      <c r="N114" s="5" t="str">
        <f t="shared" si="4"/>
        <v>'2016'!$M$2:$M$80</v>
      </c>
      <c r="O114" s="5" t="str">
        <f t="shared" si="5"/>
        <v>'2016'!$N$2:$W$2</v>
      </c>
    </row>
    <row r="115" spans="1:15" x14ac:dyDescent="0.3">
      <c r="A115">
        <v>50</v>
      </c>
      <c r="B115" s="9">
        <v>2016</v>
      </c>
      <c r="C115" t="s">
        <v>49</v>
      </c>
      <c r="D115" s="11" cm="1">
        <f t="array" aca="1" ref="D115" ca="1">INDEX(INDIRECT($M115),
       MATCH(TRIM($C115), TRIM(INDIRECT($N115)), 0),
       MATCH(TRIM(D$2), TRIM(INDIRECT($O115)), 0))</f>
        <v>1</v>
      </c>
      <c r="E115" s="9" cm="1">
        <f t="array" aca="1" ref="E115" ca="1">INDEX(INDIRECT($M115),
       MATCH(TRIM($C115), TRIM(INDIRECT($N115)), 0),
       MATCH(TRIM(E$2), TRIM(INDIRECT($O115)), 0))</f>
        <v>5000000</v>
      </c>
      <c r="F115" s="11" cm="1">
        <f t="array" aca="1" ref="F115" ca="1">INDEX(INDIRECT($M115),
       MATCH(TRIM($C115), TRIM(INDIRECT($N115)), 0),
       MATCH(TRIM(F$2), TRIM(INDIRECT($O115)), 0))</f>
        <v>5</v>
      </c>
      <c r="G115" s="11" cm="1">
        <f t="array" aca="1" ref="G115" ca="1">INDEX(INDIRECT($M115),
       MATCH(TRIM($C115), TRIM(INDIRECT($N115)), 0),
       MATCH(TRIM(G$2), TRIM(INDIRECT($O115)), 0))</f>
        <v>0</v>
      </c>
      <c r="H115" s="9" cm="1">
        <f t="array" aca="1" ref="H115" ca="1">INDEX(INDIRECT($M115),
       MATCH(TRIM($C115), TRIM(INDIRECT($N115)), 0),
       MATCH(TRIM(H$2), TRIM(INDIRECT($O115)), 0))</f>
        <v>0</v>
      </c>
      <c r="I115" s="11" cm="1">
        <f t="array" aca="1" ref="I115" ca="1">INDEX(INDIRECT($M115),
       MATCH(TRIM($C115), TRIM(INDIRECT($N115)), 0),
       MATCH(TRIM(I$2), TRIM(INDIRECT($O115)), 0))</f>
        <v>0</v>
      </c>
      <c r="J115" s="9" cm="1">
        <f t="array" aca="1" ref="J115" ca="1">INDEX(INDIRECT($M115),
       MATCH(TRIM($C115), TRIM(INDIRECT($N115)), 0),
       MATCH(TRIM(J$2), TRIM(INDIRECT($O115)), 0))</f>
        <v>0</v>
      </c>
      <c r="K115" s="11" cm="1">
        <f t="array" aca="1" ref="K115" ca="1">INDEX(INDIRECT($M115),
       MATCH(TRIM($C115), TRIM(INDIRECT($N115)), 0),
       MATCH(TRIM(K$2), TRIM(INDIRECT($O115)), 0))</f>
        <v>0</v>
      </c>
      <c r="L115" s="11" cm="1">
        <f t="array" aca="1" ref="L115" ca="1">INDEX(INDIRECT($M115),
       MATCH(TRIM($C115), TRIM(INDIRECT($N115)), 0),
       MATCH(TRIM(L$2), TRIM(INDIRECT($O115)), 0))</f>
        <v>5</v>
      </c>
      <c r="M115" s="5" t="str">
        <f t="shared" si="3"/>
        <v>'2016'!$N$3:$V$80</v>
      </c>
      <c r="N115" s="5" t="str">
        <f t="shared" si="4"/>
        <v>'2016'!$M$2:$M$80</v>
      </c>
      <c r="O115" s="5" t="str">
        <f t="shared" si="5"/>
        <v>'2016'!$N$2:$W$2</v>
      </c>
    </row>
    <row r="116" spans="1:15" x14ac:dyDescent="0.3">
      <c r="A116">
        <v>51</v>
      </c>
      <c r="B116" s="9">
        <v>2016</v>
      </c>
      <c r="C116" t="s">
        <v>50</v>
      </c>
      <c r="D116" s="11" t="e" cm="1">
        <f t="array" aca="1" ref="D116" ca="1">INDEX(INDIRECT($M116),
       MATCH(TRIM($C116), TRIM(INDIRECT($N116)), 0),
       MATCH(TRIM(D$2), TRIM(INDIRECT($O116)), 0))</f>
        <v>#N/A</v>
      </c>
      <c r="E116" s="9" t="e" cm="1">
        <f t="array" aca="1" ref="E116" ca="1">INDEX(INDIRECT($M116),
       MATCH(TRIM($C116), TRIM(INDIRECT($N116)), 0),
       MATCH(TRIM(E$2), TRIM(INDIRECT($O116)), 0))</f>
        <v>#N/A</v>
      </c>
      <c r="F116" s="11" t="e" cm="1">
        <f t="array" aca="1" ref="F116" ca="1">INDEX(INDIRECT($M116),
       MATCH(TRIM($C116), TRIM(INDIRECT($N116)), 0),
       MATCH(TRIM(F$2), TRIM(INDIRECT($O116)), 0))</f>
        <v>#N/A</v>
      </c>
      <c r="G116" s="11" t="e" cm="1">
        <f t="array" aca="1" ref="G116" ca="1">INDEX(INDIRECT($M116),
       MATCH(TRIM($C116), TRIM(INDIRECT($N116)), 0),
       MATCH(TRIM(G$2), TRIM(INDIRECT($O116)), 0))</f>
        <v>#N/A</v>
      </c>
      <c r="H116" s="9" t="e" cm="1">
        <f t="array" aca="1" ref="H116" ca="1">INDEX(INDIRECT($M116),
       MATCH(TRIM($C116), TRIM(INDIRECT($N116)), 0),
       MATCH(TRIM(H$2), TRIM(INDIRECT($O116)), 0))</f>
        <v>#N/A</v>
      </c>
      <c r="I116" s="11" t="e" cm="1">
        <f t="array" aca="1" ref="I116" ca="1">INDEX(INDIRECT($M116),
       MATCH(TRIM($C116), TRIM(INDIRECT($N116)), 0),
       MATCH(TRIM(I$2), TRIM(INDIRECT($O116)), 0))</f>
        <v>#N/A</v>
      </c>
      <c r="J116" s="9" t="e" cm="1">
        <f t="array" aca="1" ref="J116" ca="1">INDEX(INDIRECT($M116),
       MATCH(TRIM($C116), TRIM(INDIRECT($N116)), 0),
       MATCH(TRIM(J$2), TRIM(INDIRECT($O116)), 0))</f>
        <v>#N/A</v>
      </c>
      <c r="K116" s="11" t="e" cm="1">
        <f t="array" aca="1" ref="K116" ca="1">INDEX(INDIRECT($M116),
       MATCH(TRIM($C116), TRIM(INDIRECT($N116)), 0),
       MATCH(TRIM(K$2), TRIM(INDIRECT($O116)), 0))</f>
        <v>#N/A</v>
      </c>
      <c r="L116" s="11" t="e" cm="1">
        <f t="array" aca="1" ref="L116" ca="1">INDEX(INDIRECT($M116),
       MATCH(TRIM($C116), TRIM(INDIRECT($N116)), 0),
       MATCH(TRIM(L$2), TRIM(INDIRECT($O116)), 0))</f>
        <v>#N/A</v>
      </c>
      <c r="M116" s="5" t="str">
        <f t="shared" si="3"/>
        <v>'2016'!$N$3:$V$80</v>
      </c>
      <c r="N116" s="5" t="str">
        <f t="shared" si="4"/>
        <v>'2016'!$M$2:$M$80</v>
      </c>
      <c r="O116" s="5" t="str">
        <f t="shared" si="5"/>
        <v>'2016'!$N$2:$W$2</v>
      </c>
    </row>
    <row r="117" spans="1:15" x14ac:dyDescent="0.3">
      <c r="A117">
        <v>52</v>
      </c>
      <c r="B117" s="9">
        <v>2016</v>
      </c>
      <c r="C117" t="s">
        <v>51</v>
      </c>
      <c r="D117" s="11" cm="1">
        <f t="array" aca="1" ref="D117" ca="1">INDEX(INDIRECT($M117),
       MATCH(TRIM($C117), TRIM(INDIRECT($N117)), 0),
       MATCH(TRIM(D$2), TRIM(INDIRECT($O117)), 0))</f>
        <v>0</v>
      </c>
      <c r="E117" s="9" cm="1">
        <f t="array" aca="1" ref="E117" ca="1">INDEX(INDIRECT($M117),
       MATCH(TRIM($C117), TRIM(INDIRECT($N117)), 0),
       MATCH(TRIM(E$2), TRIM(INDIRECT($O117)), 0))</f>
        <v>0</v>
      </c>
      <c r="F117" s="11" cm="1">
        <f t="array" aca="1" ref="F117" ca="1">INDEX(INDIRECT($M117),
       MATCH(TRIM($C117), TRIM(INDIRECT($N117)), 0),
       MATCH(TRIM(F$2), TRIM(INDIRECT($O117)), 0))</f>
        <v>0</v>
      </c>
      <c r="G117" s="11" cm="1">
        <f t="array" aca="1" ref="G117" ca="1">INDEX(INDIRECT($M117),
       MATCH(TRIM($C117), TRIM(INDIRECT($N117)), 0),
       MATCH(TRIM(G$2), TRIM(INDIRECT($O117)), 0))</f>
        <v>1</v>
      </c>
      <c r="H117" s="9" cm="1">
        <f t="array" aca="1" ref="H117" ca="1">INDEX(INDIRECT($M117),
       MATCH(TRIM($C117), TRIM(INDIRECT($N117)), 0),
       MATCH(TRIM(H$2), TRIM(INDIRECT($O117)), 0))</f>
        <v>-1300000</v>
      </c>
      <c r="I117" s="11" cm="1">
        <f t="array" aca="1" ref="I117" ca="1">INDEX(INDIRECT($M117),
       MATCH(TRIM($C117), TRIM(INDIRECT($N117)), 0),
       MATCH(TRIM(I$2), TRIM(INDIRECT($O117)), 0))</f>
        <v>-1.3</v>
      </c>
      <c r="J117" s="9" cm="1">
        <f t="array" aca="1" ref="J117" ca="1">INDEX(INDIRECT($M117),
       MATCH(TRIM($C117), TRIM(INDIRECT($N117)), 0),
       MATCH(TRIM(J$2), TRIM(INDIRECT($O117)), 0))</f>
        <v>0</v>
      </c>
      <c r="K117" s="11" cm="1">
        <f t="array" aca="1" ref="K117" ca="1">INDEX(INDIRECT($M117),
       MATCH(TRIM($C117), TRIM(INDIRECT($N117)), 0),
       MATCH(TRIM(K$2), TRIM(INDIRECT($O117)), 0))</f>
        <v>0</v>
      </c>
      <c r="L117" s="11" cm="1">
        <f t="array" aca="1" ref="L117" ca="1">INDEX(INDIRECT($M117),
       MATCH(TRIM($C117), TRIM(INDIRECT($N117)), 0),
       MATCH(TRIM(L$2), TRIM(INDIRECT($O117)), 0))</f>
        <v>-1.3</v>
      </c>
      <c r="M117" s="5" t="str">
        <f t="shared" si="3"/>
        <v>'2016'!$N$3:$V$80</v>
      </c>
      <c r="N117" s="5" t="str">
        <f t="shared" si="4"/>
        <v>'2016'!$M$2:$M$80</v>
      </c>
      <c r="O117" s="5" t="str">
        <f t="shared" si="5"/>
        <v>'2016'!$N$2:$W$2</v>
      </c>
    </row>
    <row r="118" spans="1:15" x14ac:dyDescent="0.3">
      <c r="A118">
        <v>53</v>
      </c>
      <c r="B118" s="9">
        <v>2016</v>
      </c>
      <c r="C118" t="s">
        <v>52</v>
      </c>
      <c r="D118" s="11" cm="1">
        <f t="array" aca="1" ref="D118" ca="1">INDEX(INDIRECT($M118),
       MATCH(TRIM($C118), TRIM(INDIRECT($N118)), 0),
       MATCH(TRIM(D$2), TRIM(INDIRECT($O118)), 0))</f>
        <v>10</v>
      </c>
      <c r="E118" s="9" cm="1">
        <f t="array" aca="1" ref="E118" ca="1">INDEX(INDIRECT($M118),
       MATCH(TRIM($C118), TRIM(INDIRECT($N118)), 0),
       MATCH(TRIM(E$2), TRIM(INDIRECT($O118)), 0))</f>
        <v>2825200</v>
      </c>
      <c r="F118" s="11" cm="1">
        <f t="array" aca="1" ref="F118" ca="1">INDEX(INDIRECT($M118),
       MATCH(TRIM($C118), TRIM(INDIRECT($N118)), 0),
       MATCH(TRIM(F$2), TRIM(INDIRECT($O118)), 0))</f>
        <v>2.8252000000000002</v>
      </c>
      <c r="G118" s="11" cm="1">
        <f t="array" aca="1" ref="G118" ca="1">INDEX(INDIRECT($M118),
       MATCH(TRIM($C118), TRIM(INDIRECT($N118)), 0),
       MATCH(TRIM(G$2), TRIM(INDIRECT($O118)), 0))</f>
        <v>2</v>
      </c>
      <c r="H118" s="9" cm="1">
        <f t="array" aca="1" ref="H118" ca="1">INDEX(INDIRECT($M118),
       MATCH(TRIM($C118), TRIM(INDIRECT($N118)), 0),
       MATCH(TRIM(H$2), TRIM(INDIRECT($O118)), 0))</f>
        <v>3620000</v>
      </c>
      <c r="I118" s="11" cm="1">
        <f t="array" aca="1" ref="I118" ca="1">INDEX(INDIRECT($M118),
       MATCH(TRIM($C118), TRIM(INDIRECT($N118)), 0),
       MATCH(TRIM(I$2), TRIM(INDIRECT($O118)), 0))</f>
        <v>3.62</v>
      </c>
      <c r="J118" s="9" cm="1">
        <f t="array" aca="1" ref="J118" ca="1">INDEX(INDIRECT($M118),
       MATCH(TRIM($C118), TRIM(INDIRECT($N118)), 0),
       MATCH(TRIM(J$2), TRIM(INDIRECT($O118)), 0))</f>
        <v>0</v>
      </c>
      <c r="K118" s="11" cm="1">
        <f t="array" aca="1" ref="K118" ca="1">INDEX(INDIRECT($M118),
       MATCH(TRIM($C118), TRIM(INDIRECT($N118)), 0),
       MATCH(TRIM(K$2), TRIM(INDIRECT($O118)), 0))</f>
        <v>0</v>
      </c>
      <c r="L118" s="11" cm="1">
        <f t="array" aca="1" ref="L118" ca="1">INDEX(INDIRECT($M118),
       MATCH(TRIM($C118), TRIM(INDIRECT($N118)), 0),
       MATCH(TRIM(L$2), TRIM(INDIRECT($O118)), 0))</f>
        <v>6.4451999999999998</v>
      </c>
      <c r="M118" s="5" t="str">
        <f t="shared" si="3"/>
        <v>'2016'!$N$3:$V$80</v>
      </c>
      <c r="N118" s="5" t="str">
        <f t="shared" si="4"/>
        <v>'2016'!$M$2:$M$80</v>
      </c>
      <c r="O118" s="5" t="str">
        <f t="shared" si="5"/>
        <v>'2016'!$N$2:$W$2</v>
      </c>
    </row>
    <row r="119" spans="1:15" x14ac:dyDescent="0.3">
      <c r="A119">
        <v>54</v>
      </c>
      <c r="B119" s="9">
        <v>2016</v>
      </c>
      <c r="C119" t="s">
        <v>53</v>
      </c>
      <c r="D119" s="11" t="e" cm="1">
        <f t="array" aca="1" ref="D119" ca="1">INDEX(INDIRECT($M119),
       MATCH(TRIM($C119), TRIM(INDIRECT($N119)), 0),
       MATCH(TRIM(D$2), TRIM(INDIRECT($O119)), 0))</f>
        <v>#N/A</v>
      </c>
      <c r="E119" s="9" t="e" cm="1">
        <f t="array" aca="1" ref="E119" ca="1">INDEX(INDIRECT($M119),
       MATCH(TRIM($C119), TRIM(INDIRECT($N119)), 0),
       MATCH(TRIM(E$2), TRIM(INDIRECT($O119)), 0))</f>
        <v>#N/A</v>
      </c>
      <c r="F119" s="11" t="e" cm="1">
        <f t="array" aca="1" ref="F119" ca="1">INDEX(INDIRECT($M119),
       MATCH(TRIM($C119), TRIM(INDIRECT($N119)), 0),
       MATCH(TRIM(F$2), TRIM(INDIRECT($O119)), 0))</f>
        <v>#N/A</v>
      </c>
      <c r="G119" s="11" t="e" cm="1">
        <f t="array" aca="1" ref="G119" ca="1">INDEX(INDIRECT($M119),
       MATCH(TRIM($C119), TRIM(INDIRECT($N119)), 0),
       MATCH(TRIM(G$2), TRIM(INDIRECT($O119)), 0))</f>
        <v>#N/A</v>
      </c>
      <c r="H119" s="9" t="e" cm="1">
        <f t="array" aca="1" ref="H119" ca="1">INDEX(INDIRECT($M119),
       MATCH(TRIM($C119), TRIM(INDIRECT($N119)), 0),
       MATCH(TRIM(H$2), TRIM(INDIRECT($O119)), 0))</f>
        <v>#N/A</v>
      </c>
      <c r="I119" s="11" t="e" cm="1">
        <f t="array" aca="1" ref="I119" ca="1">INDEX(INDIRECT($M119),
       MATCH(TRIM($C119), TRIM(INDIRECT($N119)), 0),
       MATCH(TRIM(I$2), TRIM(INDIRECT($O119)), 0))</f>
        <v>#N/A</v>
      </c>
      <c r="J119" s="9" t="e" cm="1">
        <f t="array" aca="1" ref="J119" ca="1">INDEX(INDIRECT($M119),
       MATCH(TRIM($C119), TRIM(INDIRECT($N119)), 0),
       MATCH(TRIM(J$2), TRIM(INDIRECT($O119)), 0))</f>
        <v>#N/A</v>
      </c>
      <c r="K119" s="11" t="e" cm="1">
        <f t="array" aca="1" ref="K119" ca="1">INDEX(INDIRECT($M119),
       MATCH(TRIM($C119), TRIM(INDIRECT($N119)), 0),
       MATCH(TRIM(K$2), TRIM(INDIRECT($O119)), 0))</f>
        <v>#N/A</v>
      </c>
      <c r="L119" s="11" t="e" cm="1">
        <f t="array" aca="1" ref="L119" ca="1">INDEX(INDIRECT($M119),
       MATCH(TRIM($C119), TRIM(INDIRECT($N119)), 0),
       MATCH(TRIM(L$2), TRIM(INDIRECT($O119)), 0))</f>
        <v>#N/A</v>
      </c>
      <c r="M119" s="5" t="str">
        <f t="shared" si="3"/>
        <v>'2016'!$N$3:$V$80</v>
      </c>
      <c r="N119" s="5" t="str">
        <f t="shared" si="4"/>
        <v>'2016'!$M$2:$M$80</v>
      </c>
      <c r="O119" s="5" t="str">
        <f t="shared" si="5"/>
        <v>'2016'!$N$2:$W$2</v>
      </c>
    </row>
    <row r="120" spans="1:15" x14ac:dyDescent="0.3">
      <c r="A120">
        <v>55</v>
      </c>
      <c r="B120" s="9">
        <v>2016</v>
      </c>
      <c r="C120" t="s">
        <v>54</v>
      </c>
      <c r="D120" s="11" cm="1">
        <f t="array" aca="1" ref="D120" ca="1">INDEX(INDIRECT($M120),
       MATCH(TRIM($C120), TRIM(INDIRECT($N120)), 0),
       MATCH(TRIM(D$2), TRIM(INDIRECT($O120)), 0))</f>
        <v>9</v>
      </c>
      <c r="E120" s="9" cm="1">
        <f t="array" aca="1" ref="E120" ca="1">INDEX(INDIRECT($M120),
       MATCH(TRIM($C120), TRIM(INDIRECT($N120)), 0),
       MATCH(TRIM(E$2), TRIM(INDIRECT($O120)), 0))</f>
        <v>96300000</v>
      </c>
      <c r="F120" s="11" cm="1">
        <f t="array" aca="1" ref="F120" ca="1">INDEX(INDIRECT($M120),
       MATCH(TRIM($C120), TRIM(INDIRECT($N120)), 0),
       MATCH(TRIM(F$2), TRIM(INDIRECT($O120)), 0))</f>
        <v>96.3</v>
      </c>
      <c r="G120" s="11" cm="1">
        <f t="array" aca="1" ref="G120" ca="1">INDEX(INDIRECT($M120),
       MATCH(TRIM($C120), TRIM(INDIRECT($N120)), 0),
       MATCH(TRIM(G$2), TRIM(INDIRECT($O120)), 0))</f>
        <v>4</v>
      </c>
      <c r="H120" s="9" cm="1">
        <f t="array" aca="1" ref="H120" ca="1">INDEX(INDIRECT($M120),
       MATCH(TRIM($C120), TRIM(INDIRECT($N120)), 0),
       MATCH(TRIM(H$2), TRIM(INDIRECT($O120)), 0))</f>
        <v>-74318182</v>
      </c>
      <c r="I120" s="11" cm="1">
        <f t="array" aca="1" ref="I120" ca="1">INDEX(INDIRECT($M120),
       MATCH(TRIM($C120), TRIM(INDIRECT($N120)), 0),
       MATCH(TRIM(I$2), TRIM(INDIRECT($O120)), 0))</f>
        <v>-74.318181999999993</v>
      </c>
      <c r="J120" s="9" cm="1">
        <f t="array" aca="1" ref="J120" ca="1">INDEX(INDIRECT($M120),
       MATCH(TRIM($C120), TRIM(INDIRECT($N120)), 0),
       MATCH(TRIM(J$2), TRIM(INDIRECT($O120)), 0))</f>
        <v>0</v>
      </c>
      <c r="K120" s="11" cm="1">
        <f t="array" aca="1" ref="K120" ca="1">INDEX(INDIRECT($M120),
       MATCH(TRIM($C120), TRIM(INDIRECT($N120)), 0),
       MATCH(TRIM(K$2), TRIM(INDIRECT($O120)), 0))</f>
        <v>0</v>
      </c>
      <c r="L120" s="11" cm="1">
        <f t="array" aca="1" ref="L120" ca="1">INDEX(INDIRECT($M120),
       MATCH(TRIM($C120), TRIM(INDIRECT($N120)), 0),
       MATCH(TRIM(L$2), TRIM(INDIRECT($O120)), 0))</f>
        <v>21.981818000000004</v>
      </c>
      <c r="M120" s="5" t="str">
        <f t="shared" si="3"/>
        <v>'2016'!$N$3:$V$80</v>
      </c>
      <c r="N120" s="5" t="str">
        <f t="shared" si="4"/>
        <v>'2016'!$M$2:$M$80</v>
      </c>
      <c r="O120" s="5" t="str">
        <f t="shared" si="5"/>
        <v>'2016'!$N$2:$W$2</v>
      </c>
    </row>
    <row r="121" spans="1:15" x14ac:dyDescent="0.3">
      <c r="A121">
        <v>56</v>
      </c>
      <c r="B121" s="9">
        <v>2016</v>
      </c>
      <c r="C121" t="s">
        <v>55</v>
      </c>
      <c r="D121" s="11" cm="1">
        <f t="array" aca="1" ref="D121" ca="1">INDEX(INDIRECT($M121),
       MATCH(TRIM($C121), TRIM(INDIRECT($N121)), 0),
       MATCH(TRIM(D$2), TRIM(INDIRECT($O121)), 0))</f>
        <v>0</v>
      </c>
      <c r="E121" s="9" cm="1">
        <f t="array" aca="1" ref="E121" ca="1">INDEX(INDIRECT($M121),
       MATCH(TRIM($C121), TRIM(INDIRECT($N121)), 0),
       MATCH(TRIM(E$2), TRIM(INDIRECT($O121)), 0))</f>
        <v>0</v>
      </c>
      <c r="F121" s="11" cm="1">
        <f t="array" aca="1" ref="F121" ca="1">INDEX(INDIRECT($M121),
       MATCH(TRIM($C121), TRIM(INDIRECT($N121)), 0),
       MATCH(TRIM(F$2), TRIM(INDIRECT($O121)), 0))</f>
        <v>0</v>
      </c>
      <c r="G121" s="11" cm="1">
        <f t="array" aca="1" ref="G121" ca="1">INDEX(INDIRECT($M121),
       MATCH(TRIM($C121), TRIM(INDIRECT($N121)), 0),
       MATCH(TRIM(G$2), TRIM(INDIRECT($O121)), 0))</f>
        <v>6</v>
      </c>
      <c r="H121" s="9" cm="1">
        <f t="array" aca="1" ref="H121" ca="1">INDEX(INDIRECT($M121),
       MATCH(TRIM($C121), TRIM(INDIRECT($N121)), 0),
       MATCH(TRIM(H$2), TRIM(INDIRECT($O121)), 0))</f>
        <v>39494692</v>
      </c>
      <c r="I121" s="11" cm="1">
        <f t="array" aca="1" ref="I121" ca="1">INDEX(INDIRECT($M121),
       MATCH(TRIM($C121), TRIM(INDIRECT($N121)), 0),
       MATCH(TRIM(I$2), TRIM(INDIRECT($O121)), 0))</f>
        <v>39.494692000000001</v>
      </c>
      <c r="J121" s="9" cm="1">
        <f t="array" aca="1" ref="J121" ca="1">INDEX(INDIRECT($M121),
       MATCH(TRIM($C121), TRIM(INDIRECT($N121)), 0),
       MATCH(TRIM(J$2), TRIM(INDIRECT($O121)), 0))</f>
        <v>10</v>
      </c>
      <c r="K121" s="11" cm="1">
        <f t="array" aca="1" ref="K121" ca="1">INDEX(INDIRECT($M121),
       MATCH(TRIM($C121), TRIM(INDIRECT($N121)), 0),
       MATCH(TRIM(K$2), TRIM(INDIRECT($O121)), 0))</f>
        <v>1.9488444444444442</v>
      </c>
      <c r="L121" s="11" cm="1">
        <f t="array" aca="1" ref="L121" ca="1">INDEX(INDIRECT($M121),
       MATCH(TRIM($C121), TRIM(INDIRECT($N121)), 0),
       MATCH(TRIM(L$2), TRIM(INDIRECT($O121)), 0))</f>
        <v>41.443536444444447</v>
      </c>
      <c r="M121" s="5" t="str">
        <f t="shared" si="3"/>
        <v>'2016'!$N$3:$V$80</v>
      </c>
      <c r="N121" s="5" t="str">
        <f t="shared" si="4"/>
        <v>'2016'!$M$2:$M$80</v>
      </c>
      <c r="O121" s="5" t="str">
        <f t="shared" si="5"/>
        <v>'2016'!$N$2:$W$2</v>
      </c>
    </row>
    <row r="122" spans="1:15" x14ac:dyDescent="0.3">
      <c r="A122">
        <v>57</v>
      </c>
      <c r="B122" s="9">
        <v>2016</v>
      </c>
      <c r="C122" t="s">
        <v>56</v>
      </c>
      <c r="D122" s="11" cm="1">
        <f t="array" aca="1" ref="D122" ca="1">INDEX(INDIRECT($M122),
       MATCH(TRIM($C122), TRIM(INDIRECT($N122)), 0),
       MATCH(TRIM(D$2), TRIM(INDIRECT($O122)), 0))</f>
        <v>1</v>
      </c>
      <c r="E122" s="9" cm="1">
        <f t="array" aca="1" ref="E122" ca="1">INDEX(INDIRECT($M122),
       MATCH(TRIM($C122), TRIM(INDIRECT($N122)), 0),
       MATCH(TRIM(E$2), TRIM(INDIRECT($O122)), 0))</f>
        <v>22472</v>
      </c>
      <c r="F122" s="11" cm="1">
        <f t="array" aca="1" ref="F122" ca="1">INDEX(INDIRECT($M122),
       MATCH(TRIM($C122), TRIM(INDIRECT($N122)), 0),
       MATCH(TRIM(F$2), TRIM(INDIRECT($O122)), 0))</f>
        <v>2.2471999999999999E-2</v>
      </c>
      <c r="G122" s="11" cm="1">
        <f t="array" aca="1" ref="G122" ca="1">INDEX(INDIRECT($M122),
       MATCH(TRIM($C122), TRIM(INDIRECT($N122)), 0),
       MATCH(TRIM(G$2), TRIM(INDIRECT($O122)), 0))</f>
        <v>2</v>
      </c>
      <c r="H122" s="9" cm="1">
        <f t="array" aca="1" ref="H122" ca="1">INDEX(INDIRECT($M122),
       MATCH(TRIM($C122), TRIM(INDIRECT($N122)), 0),
       MATCH(TRIM(H$2), TRIM(INDIRECT($O122)), 0))</f>
        <v>3100000</v>
      </c>
      <c r="I122" s="11" cm="1">
        <f t="array" aca="1" ref="I122" ca="1">INDEX(INDIRECT($M122),
       MATCH(TRIM($C122), TRIM(INDIRECT($N122)), 0),
       MATCH(TRIM(I$2), TRIM(INDIRECT($O122)), 0))</f>
        <v>3.1</v>
      </c>
      <c r="J122" s="9" cm="1">
        <f t="array" aca="1" ref="J122" ca="1">INDEX(INDIRECT($M122),
       MATCH(TRIM($C122), TRIM(INDIRECT($N122)), 0),
       MATCH(TRIM(J$2), TRIM(INDIRECT($O122)), 0))</f>
        <v>1</v>
      </c>
      <c r="K122" s="11" cm="1">
        <f t="array" aca="1" ref="K122" ca="1">INDEX(INDIRECT($M122),
       MATCH(TRIM($C122), TRIM(INDIRECT($N122)), 0),
       MATCH(TRIM(K$2), TRIM(INDIRECT($O122)), 0))</f>
        <v>7.5248826666666666</v>
      </c>
      <c r="L122" s="11" cm="1">
        <f t="array" aca="1" ref="L122" ca="1">INDEX(INDIRECT($M122),
       MATCH(TRIM($C122), TRIM(INDIRECT($N122)), 0),
       MATCH(TRIM(L$2), TRIM(INDIRECT($O122)), 0))</f>
        <v>10.647354666666667</v>
      </c>
      <c r="M122" s="5" t="str">
        <f t="shared" si="3"/>
        <v>'2016'!$N$3:$V$80</v>
      </c>
      <c r="N122" s="5" t="str">
        <f t="shared" si="4"/>
        <v>'2016'!$M$2:$M$80</v>
      </c>
      <c r="O122" s="5" t="str">
        <f t="shared" si="5"/>
        <v>'2016'!$N$2:$W$2</v>
      </c>
    </row>
    <row r="123" spans="1:15" x14ac:dyDescent="0.3">
      <c r="A123">
        <v>58</v>
      </c>
      <c r="B123" s="9">
        <v>2016</v>
      </c>
      <c r="C123" t="s">
        <v>57</v>
      </c>
      <c r="D123" s="11" t="e" cm="1">
        <f t="array" aca="1" ref="D123" ca="1">INDEX(INDIRECT($M123),
       MATCH(TRIM($C123), TRIM(INDIRECT($N123)), 0),
       MATCH(TRIM(D$2), TRIM(INDIRECT($O123)), 0))</f>
        <v>#N/A</v>
      </c>
      <c r="E123" s="9" t="e" cm="1">
        <f t="array" aca="1" ref="E123" ca="1">INDEX(INDIRECT($M123),
       MATCH(TRIM($C123), TRIM(INDIRECT($N123)), 0),
       MATCH(TRIM(E$2), TRIM(INDIRECT($O123)), 0))</f>
        <v>#N/A</v>
      </c>
      <c r="F123" s="11" t="e" cm="1">
        <f t="array" aca="1" ref="F123" ca="1">INDEX(INDIRECT($M123),
       MATCH(TRIM($C123), TRIM(INDIRECT($N123)), 0),
       MATCH(TRIM(F$2), TRIM(INDIRECT($O123)), 0))</f>
        <v>#N/A</v>
      </c>
      <c r="G123" s="11" t="e" cm="1">
        <f t="array" aca="1" ref="G123" ca="1">INDEX(INDIRECT($M123),
       MATCH(TRIM($C123), TRIM(INDIRECT($N123)), 0),
       MATCH(TRIM(G$2), TRIM(INDIRECT($O123)), 0))</f>
        <v>#N/A</v>
      </c>
      <c r="H123" s="9" t="e" cm="1">
        <f t="array" aca="1" ref="H123" ca="1">INDEX(INDIRECT($M123),
       MATCH(TRIM($C123), TRIM(INDIRECT($N123)), 0),
       MATCH(TRIM(H$2), TRIM(INDIRECT($O123)), 0))</f>
        <v>#N/A</v>
      </c>
      <c r="I123" s="11" t="e" cm="1">
        <f t="array" aca="1" ref="I123" ca="1">INDEX(INDIRECT($M123),
       MATCH(TRIM($C123), TRIM(INDIRECT($N123)), 0),
       MATCH(TRIM(I$2), TRIM(INDIRECT($O123)), 0))</f>
        <v>#N/A</v>
      </c>
      <c r="J123" s="9" t="e" cm="1">
        <f t="array" aca="1" ref="J123" ca="1">INDEX(INDIRECT($M123),
       MATCH(TRIM($C123), TRIM(INDIRECT($N123)), 0),
       MATCH(TRIM(J$2), TRIM(INDIRECT($O123)), 0))</f>
        <v>#N/A</v>
      </c>
      <c r="K123" s="11" t="e" cm="1">
        <f t="array" aca="1" ref="K123" ca="1">INDEX(INDIRECT($M123),
       MATCH(TRIM($C123), TRIM(INDIRECT($N123)), 0),
       MATCH(TRIM(K$2), TRIM(INDIRECT($O123)), 0))</f>
        <v>#N/A</v>
      </c>
      <c r="L123" s="11" t="e" cm="1">
        <f t="array" aca="1" ref="L123" ca="1">INDEX(INDIRECT($M123),
       MATCH(TRIM($C123), TRIM(INDIRECT($N123)), 0),
       MATCH(TRIM(L$2), TRIM(INDIRECT($O123)), 0))</f>
        <v>#N/A</v>
      </c>
      <c r="M123" s="5" t="str">
        <f t="shared" si="3"/>
        <v>'2016'!$N$3:$V$80</v>
      </c>
      <c r="N123" s="5" t="str">
        <f t="shared" si="4"/>
        <v>'2016'!$M$2:$M$80</v>
      </c>
      <c r="O123" s="5" t="str">
        <f t="shared" si="5"/>
        <v>'2016'!$N$2:$W$2</v>
      </c>
    </row>
    <row r="124" spans="1:15" x14ac:dyDescent="0.3">
      <c r="A124">
        <v>59</v>
      </c>
      <c r="B124" s="9">
        <v>2016</v>
      </c>
      <c r="C124" t="s">
        <v>58</v>
      </c>
      <c r="D124" s="11" cm="1">
        <f t="array" aca="1" ref="D124" ca="1">INDEX(INDIRECT($M124),
       MATCH(TRIM($C124), TRIM(INDIRECT($N124)), 0),
       MATCH(TRIM(D$2), TRIM(INDIRECT($O124)), 0))</f>
        <v>0</v>
      </c>
      <c r="E124" s="9" cm="1">
        <f t="array" aca="1" ref="E124" ca="1">INDEX(INDIRECT($M124),
       MATCH(TRIM($C124), TRIM(INDIRECT($N124)), 0),
       MATCH(TRIM(E$2), TRIM(INDIRECT($O124)), 0))</f>
        <v>0</v>
      </c>
      <c r="F124" s="11" cm="1">
        <f t="array" aca="1" ref="F124" ca="1">INDEX(INDIRECT($M124),
       MATCH(TRIM($C124), TRIM(INDIRECT($N124)), 0),
       MATCH(TRIM(F$2), TRIM(INDIRECT($O124)), 0))</f>
        <v>0</v>
      </c>
      <c r="G124" s="11" cm="1">
        <f t="array" aca="1" ref="G124" ca="1">INDEX(INDIRECT($M124),
       MATCH(TRIM($C124), TRIM(INDIRECT($N124)), 0),
       MATCH(TRIM(G$2), TRIM(INDIRECT($O124)), 0))</f>
        <v>1</v>
      </c>
      <c r="H124" s="9" cm="1">
        <f t="array" aca="1" ref="H124" ca="1">INDEX(INDIRECT($M124),
       MATCH(TRIM($C124), TRIM(INDIRECT($N124)), 0),
       MATCH(TRIM(H$2), TRIM(INDIRECT($O124)), 0))</f>
        <v>-2938308</v>
      </c>
      <c r="I124" s="11" cm="1">
        <f t="array" aca="1" ref="I124" ca="1">INDEX(INDIRECT($M124),
       MATCH(TRIM($C124), TRIM(INDIRECT($N124)), 0),
       MATCH(TRIM(I$2), TRIM(INDIRECT($O124)), 0))</f>
        <v>-2.9383080000000001</v>
      </c>
      <c r="J124" s="9" cm="1">
        <f t="array" aca="1" ref="J124" ca="1">INDEX(INDIRECT($M124),
       MATCH(TRIM($C124), TRIM(INDIRECT($N124)), 0),
       MATCH(TRIM(J$2), TRIM(INDIRECT($O124)), 0))</f>
        <v>0</v>
      </c>
      <c r="K124" s="11" cm="1">
        <f t="array" aca="1" ref="K124" ca="1">INDEX(INDIRECT($M124),
       MATCH(TRIM($C124), TRIM(INDIRECT($N124)), 0),
       MATCH(TRIM(K$2), TRIM(INDIRECT($O124)), 0))</f>
        <v>0</v>
      </c>
      <c r="L124" s="11" cm="1">
        <f t="array" aca="1" ref="L124" ca="1">INDEX(INDIRECT($M124),
       MATCH(TRIM($C124), TRIM(INDIRECT($N124)), 0),
       MATCH(TRIM(L$2), TRIM(INDIRECT($O124)), 0))</f>
        <v>-2.9383080000000001</v>
      </c>
      <c r="M124" s="5" t="str">
        <f t="shared" si="3"/>
        <v>'2016'!$N$3:$V$80</v>
      </c>
      <c r="N124" s="5" t="str">
        <f t="shared" si="4"/>
        <v>'2016'!$M$2:$M$80</v>
      </c>
      <c r="O124" s="5" t="str">
        <f t="shared" si="5"/>
        <v>'2016'!$N$2:$W$2</v>
      </c>
    </row>
    <row r="125" spans="1:15" x14ac:dyDescent="0.3">
      <c r="A125">
        <v>60</v>
      </c>
      <c r="B125" s="9">
        <v>2016</v>
      </c>
      <c r="C125" t="s">
        <v>59</v>
      </c>
      <c r="D125" s="11" t="e" cm="1">
        <f t="array" aca="1" ref="D125" ca="1">INDEX(INDIRECT($M125),
       MATCH(TRIM($C125), TRIM(INDIRECT($N125)), 0),
       MATCH(TRIM(D$2), TRIM(INDIRECT($O125)), 0))</f>
        <v>#N/A</v>
      </c>
      <c r="E125" s="9" t="e" cm="1">
        <f t="array" aca="1" ref="E125" ca="1">INDEX(INDIRECT($M125),
       MATCH(TRIM($C125), TRIM(INDIRECT($N125)), 0),
       MATCH(TRIM(E$2), TRIM(INDIRECT($O125)), 0))</f>
        <v>#N/A</v>
      </c>
      <c r="F125" s="11" t="e" cm="1">
        <f t="array" aca="1" ref="F125" ca="1">INDEX(INDIRECT($M125),
       MATCH(TRIM($C125), TRIM(INDIRECT($N125)), 0),
       MATCH(TRIM(F$2), TRIM(INDIRECT($O125)), 0))</f>
        <v>#N/A</v>
      </c>
      <c r="G125" s="11" t="e" cm="1">
        <f t="array" aca="1" ref="G125" ca="1">INDEX(INDIRECT($M125),
       MATCH(TRIM($C125), TRIM(INDIRECT($N125)), 0),
       MATCH(TRIM(G$2), TRIM(INDIRECT($O125)), 0))</f>
        <v>#N/A</v>
      </c>
      <c r="H125" s="9" t="e" cm="1">
        <f t="array" aca="1" ref="H125" ca="1">INDEX(INDIRECT($M125),
       MATCH(TRIM($C125), TRIM(INDIRECT($N125)), 0),
       MATCH(TRIM(H$2), TRIM(INDIRECT($O125)), 0))</f>
        <v>#N/A</v>
      </c>
      <c r="I125" s="11" t="e" cm="1">
        <f t="array" aca="1" ref="I125" ca="1">INDEX(INDIRECT($M125),
       MATCH(TRIM($C125), TRIM(INDIRECT($N125)), 0),
       MATCH(TRIM(I$2), TRIM(INDIRECT($O125)), 0))</f>
        <v>#N/A</v>
      </c>
      <c r="J125" s="9" t="e" cm="1">
        <f t="array" aca="1" ref="J125" ca="1">INDEX(INDIRECT($M125),
       MATCH(TRIM($C125), TRIM(INDIRECT($N125)), 0),
       MATCH(TRIM(J$2), TRIM(INDIRECT($O125)), 0))</f>
        <v>#N/A</v>
      </c>
      <c r="K125" s="11" t="e" cm="1">
        <f t="array" aca="1" ref="K125" ca="1">INDEX(INDIRECT($M125),
       MATCH(TRIM($C125), TRIM(INDIRECT($N125)), 0),
       MATCH(TRIM(K$2), TRIM(INDIRECT($O125)), 0))</f>
        <v>#N/A</v>
      </c>
      <c r="L125" s="11" t="e" cm="1">
        <f t="array" aca="1" ref="L125" ca="1">INDEX(INDIRECT($M125),
       MATCH(TRIM($C125), TRIM(INDIRECT($N125)), 0),
       MATCH(TRIM(L$2), TRIM(INDIRECT($O125)), 0))</f>
        <v>#N/A</v>
      </c>
      <c r="M125" s="5" t="str">
        <f t="shared" si="3"/>
        <v>'2016'!$N$3:$V$80</v>
      </c>
      <c r="N125" s="5" t="str">
        <f t="shared" si="4"/>
        <v>'2016'!$M$2:$M$80</v>
      </c>
      <c r="O125" s="5" t="str">
        <f t="shared" si="5"/>
        <v>'2016'!$N$2:$W$2</v>
      </c>
    </row>
    <row r="126" spans="1:15" x14ac:dyDescent="0.3">
      <c r="A126">
        <v>61</v>
      </c>
      <c r="B126" s="9">
        <v>2016</v>
      </c>
      <c r="C126" t="s">
        <v>60</v>
      </c>
      <c r="D126" s="11" t="e" cm="1">
        <f t="array" aca="1" ref="D126" ca="1">INDEX(INDIRECT($M126),
       MATCH(TRIM($C126), TRIM(INDIRECT($N126)), 0),
       MATCH(TRIM(D$2), TRIM(INDIRECT($O126)), 0))</f>
        <v>#N/A</v>
      </c>
      <c r="E126" s="9" t="e" cm="1">
        <f t="array" aca="1" ref="E126" ca="1">INDEX(INDIRECT($M126),
       MATCH(TRIM($C126), TRIM(INDIRECT($N126)), 0),
       MATCH(TRIM(E$2), TRIM(INDIRECT($O126)), 0))</f>
        <v>#N/A</v>
      </c>
      <c r="F126" s="11" t="e" cm="1">
        <f t="array" aca="1" ref="F126" ca="1">INDEX(INDIRECT($M126),
       MATCH(TRIM($C126), TRIM(INDIRECT($N126)), 0),
       MATCH(TRIM(F$2), TRIM(INDIRECT($O126)), 0))</f>
        <v>#N/A</v>
      </c>
      <c r="G126" s="11" t="e" cm="1">
        <f t="array" aca="1" ref="G126" ca="1">INDEX(INDIRECT($M126),
       MATCH(TRIM($C126), TRIM(INDIRECT($N126)), 0),
       MATCH(TRIM(G$2), TRIM(INDIRECT($O126)), 0))</f>
        <v>#N/A</v>
      </c>
      <c r="H126" s="9" t="e" cm="1">
        <f t="array" aca="1" ref="H126" ca="1">INDEX(INDIRECT($M126),
       MATCH(TRIM($C126), TRIM(INDIRECT($N126)), 0),
       MATCH(TRIM(H$2), TRIM(INDIRECT($O126)), 0))</f>
        <v>#N/A</v>
      </c>
      <c r="I126" s="11" t="e" cm="1">
        <f t="array" aca="1" ref="I126" ca="1">INDEX(INDIRECT($M126),
       MATCH(TRIM($C126), TRIM(INDIRECT($N126)), 0),
       MATCH(TRIM(I$2), TRIM(INDIRECT($O126)), 0))</f>
        <v>#N/A</v>
      </c>
      <c r="J126" s="9" t="e" cm="1">
        <f t="array" aca="1" ref="J126" ca="1">INDEX(INDIRECT($M126),
       MATCH(TRIM($C126), TRIM(INDIRECT($N126)), 0),
       MATCH(TRIM(J$2), TRIM(INDIRECT($O126)), 0))</f>
        <v>#N/A</v>
      </c>
      <c r="K126" s="11" t="e" cm="1">
        <f t="array" aca="1" ref="K126" ca="1">INDEX(INDIRECT($M126),
       MATCH(TRIM($C126), TRIM(INDIRECT($N126)), 0),
       MATCH(TRIM(K$2), TRIM(INDIRECT($O126)), 0))</f>
        <v>#N/A</v>
      </c>
      <c r="L126" s="11" t="e" cm="1">
        <f t="array" aca="1" ref="L126" ca="1">INDEX(INDIRECT($M126),
       MATCH(TRIM($C126), TRIM(INDIRECT($N126)), 0),
       MATCH(TRIM(L$2), TRIM(INDIRECT($O126)), 0))</f>
        <v>#N/A</v>
      </c>
      <c r="M126" s="5" t="str">
        <f t="shared" si="3"/>
        <v>'2016'!$N$3:$V$80</v>
      </c>
      <c r="N126" s="5" t="str">
        <f t="shared" si="4"/>
        <v>'2016'!$M$2:$M$80</v>
      </c>
      <c r="O126" s="5" t="str">
        <f t="shared" si="5"/>
        <v>'2016'!$N$2:$W$2</v>
      </c>
    </row>
    <row r="127" spans="1:15" x14ac:dyDescent="0.3">
      <c r="A127">
        <v>62</v>
      </c>
      <c r="B127" s="9">
        <v>2016</v>
      </c>
      <c r="C127" t="s">
        <v>61</v>
      </c>
      <c r="D127" s="11" cm="1">
        <f t="array" aca="1" ref="D127" ca="1">INDEX(INDIRECT($M127),
       MATCH(TRIM($C127), TRIM(INDIRECT($N127)), 0),
       MATCH(TRIM(D$2), TRIM(INDIRECT($O127)), 0))</f>
        <v>2</v>
      </c>
      <c r="E127" s="9" cm="1">
        <f t="array" aca="1" ref="E127" ca="1">INDEX(INDIRECT($M127),
       MATCH(TRIM($C127), TRIM(INDIRECT($N127)), 0),
       MATCH(TRIM(E$2), TRIM(INDIRECT($O127)), 0))</f>
        <v>7791817</v>
      </c>
      <c r="F127" s="11" cm="1">
        <f t="array" aca="1" ref="F127" ca="1">INDEX(INDIRECT($M127),
       MATCH(TRIM($C127), TRIM(INDIRECT($N127)), 0),
       MATCH(TRIM(F$2), TRIM(INDIRECT($O127)), 0))</f>
        <v>7.791817</v>
      </c>
      <c r="G127" s="11" cm="1">
        <f t="array" aca="1" ref="G127" ca="1">INDEX(INDIRECT($M127),
       MATCH(TRIM($C127), TRIM(INDIRECT($N127)), 0),
       MATCH(TRIM(G$2), TRIM(INDIRECT($O127)), 0))</f>
        <v>0</v>
      </c>
      <c r="H127" s="9" cm="1">
        <f t="array" aca="1" ref="H127" ca="1">INDEX(INDIRECT($M127),
       MATCH(TRIM($C127), TRIM(INDIRECT($N127)), 0),
       MATCH(TRIM(H$2), TRIM(INDIRECT($O127)), 0))</f>
        <v>0</v>
      </c>
      <c r="I127" s="11" cm="1">
        <f t="array" aca="1" ref="I127" ca="1">INDEX(INDIRECT($M127),
       MATCH(TRIM($C127), TRIM(INDIRECT($N127)), 0),
       MATCH(TRIM(I$2), TRIM(INDIRECT($O127)), 0))</f>
        <v>0</v>
      </c>
      <c r="J127" s="9" cm="1">
        <f t="array" aca="1" ref="J127" ca="1">INDEX(INDIRECT($M127),
       MATCH(TRIM($C127), TRIM(INDIRECT($N127)), 0),
       MATCH(TRIM(J$2), TRIM(INDIRECT($O127)), 0))</f>
        <v>0</v>
      </c>
      <c r="K127" s="11" cm="1">
        <f t="array" aca="1" ref="K127" ca="1">INDEX(INDIRECT($M127),
       MATCH(TRIM($C127), TRIM(INDIRECT($N127)), 0),
       MATCH(TRIM(K$2), TRIM(INDIRECT($O127)), 0))</f>
        <v>0</v>
      </c>
      <c r="L127" s="11" cm="1">
        <f t="array" aca="1" ref="L127" ca="1">INDEX(INDIRECT($M127),
       MATCH(TRIM($C127), TRIM(INDIRECT($N127)), 0),
       MATCH(TRIM(L$2), TRIM(INDIRECT($O127)), 0))</f>
        <v>7.791817</v>
      </c>
      <c r="M127" s="5" t="str">
        <f t="shared" si="3"/>
        <v>'2016'!$N$3:$V$80</v>
      </c>
      <c r="N127" s="5" t="str">
        <f t="shared" si="4"/>
        <v>'2016'!$M$2:$M$80</v>
      </c>
      <c r="O127" s="5" t="str">
        <f t="shared" si="5"/>
        <v>'2016'!$N$2:$W$2</v>
      </c>
    </row>
    <row r="128" spans="1:15" x14ac:dyDescent="0.3">
      <c r="A128">
        <v>63</v>
      </c>
      <c r="B128" s="9">
        <v>2016</v>
      </c>
      <c r="C128" t="s">
        <v>62</v>
      </c>
      <c r="D128" s="11" cm="1">
        <f t="array" aca="1" ref="D128" ca="1">INDEX(INDIRECT($M128),
       MATCH(TRIM($C128), TRIM(INDIRECT($N128)), 0),
       MATCH(TRIM(D$2), TRIM(INDIRECT($O128)), 0))</f>
        <v>2556</v>
      </c>
      <c r="E128" s="9" cm="1">
        <f t="array" aca="1" ref="E128" ca="1">INDEX(INDIRECT($M128),
       MATCH(TRIM($C128), TRIM(INDIRECT($N128)), 0),
       MATCH(TRIM(E$2), TRIM(INDIRECT($O128)), 0))</f>
        <v>15182245350.348888</v>
      </c>
      <c r="F128" s="11" cm="1">
        <f t="array" aca="1" ref="F128" ca="1">INDEX(INDIRECT($M128),
       MATCH(TRIM($C128), TRIM(INDIRECT($N128)), 0),
       MATCH(TRIM(F$2), TRIM(INDIRECT($O128)), 0))</f>
        <v>15182.245350348892</v>
      </c>
      <c r="G128" s="11" cm="1">
        <f t="array" aca="1" ref="G128" ca="1">INDEX(INDIRECT($M128),
       MATCH(TRIM($C128), TRIM(INDIRECT($N128)), 0),
       MATCH(TRIM(G$2), TRIM(INDIRECT($O128)), 0))</f>
        <v>1225</v>
      </c>
      <c r="H128" s="9" cm="1">
        <f t="array" aca="1" ref="H128" ca="1">INDEX(INDIRECT($M128),
       MATCH(TRIM($C128), TRIM(INDIRECT($N128)), 0),
       MATCH(TRIM(H$2), TRIM(INDIRECT($O128)), 0))</f>
        <v>5765100869.4974222</v>
      </c>
      <c r="I128" s="11" cm="1">
        <f t="array" aca="1" ref="I128" ca="1">INDEX(INDIRECT($M128),
       MATCH(TRIM($C128), TRIM(INDIRECT($N128)), 0),
       MATCH(TRIM(I$2), TRIM(INDIRECT($O128)), 0))</f>
        <v>5765.1008694974234</v>
      </c>
      <c r="J128" s="9" cm="1">
        <f t="array" aca="1" ref="J128" ca="1">INDEX(INDIRECT($M128),
       MATCH(TRIM($C128), TRIM(INDIRECT($N128)), 0),
       MATCH(TRIM(J$2), TRIM(INDIRECT($O128)), 0))</f>
        <v>2547</v>
      </c>
      <c r="K128" s="11" cm="1">
        <f t="array" aca="1" ref="K128" ca="1">INDEX(INDIRECT($M128),
       MATCH(TRIM($C128), TRIM(INDIRECT($N128)), 0),
       MATCH(TRIM(K$2), TRIM(INDIRECT($O128)), 0))</f>
        <v>3425.3228147478521</v>
      </c>
      <c r="L128" s="11" cm="1">
        <f t="array" aca="1" ref="L128" ca="1">INDEX(INDIRECT($M128),
       MATCH(TRIM($C128), TRIM(INDIRECT($N128)), 0),
       MATCH(TRIM(L$2), TRIM(INDIRECT($O128)), 0))</f>
        <v>24372.669034594157</v>
      </c>
      <c r="M128" s="5" t="str">
        <f t="shared" si="3"/>
        <v>'2016'!$N$3:$V$80</v>
      </c>
      <c r="N128" s="5" t="str">
        <f t="shared" si="4"/>
        <v>'2016'!$M$2:$M$80</v>
      </c>
      <c r="O128" s="5" t="str">
        <f t="shared" si="5"/>
        <v>'2016'!$N$2:$W$2</v>
      </c>
    </row>
    <row r="129" spans="1:15" x14ac:dyDescent="0.3">
      <c r="A129">
        <v>1</v>
      </c>
      <c r="B129" s="9">
        <v>2017</v>
      </c>
      <c r="C129" t="s">
        <v>0</v>
      </c>
      <c r="D129" s="11" cm="1">
        <f t="array" aca="1" ref="D129" ca="1">INDEX(INDIRECT($M129),
       MATCH(TRIM($C129), TRIM(INDIRECT($N129)), 0),
       MATCH(TRIM(D$2), TRIM(INDIRECT($O129)), 0))</f>
        <v>4</v>
      </c>
      <c r="E129" s="9" cm="1">
        <f t="array" aca="1" ref="E129" ca="1">INDEX(INDIRECT($M129),
       MATCH(TRIM($C129), TRIM(INDIRECT($N129)), 0),
       MATCH(TRIM(E$2), TRIM(INDIRECT($O129)), 0))</f>
        <v>2584857631</v>
      </c>
      <c r="F129" s="11" cm="1">
        <f t="array" aca="1" ref="F129" ca="1">INDEX(INDIRECT($M129),
       MATCH(TRIM($C129), TRIM(INDIRECT($N129)), 0),
       MATCH(TRIM(F$2), TRIM(INDIRECT($O129)), 0))</f>
        <v>2584.8576309999999</v>
      </c>
      <c r="G129" s="11" cm="1">
        <f t="array" aca="1" ref="G129" ca="1">INDEX(INDIRECT($M129),
       MATCH(TRIM($C129), TRIM(INDIRECT($N129)), 0),
       MATCH(TRIM(G$2), TRIM(INDIRECT($O129)), 0))</f>
        <v>2</v>
      </c>
      <c r="H129" s="9" cm="1">
        <f t="array" aca="1" ref="H129" ca="1">INDEX(INDIRECT($M129),
       MATCH(TRIM($C129), TRIM(INDIRECT($N129)), 0),
       MATCH(TRIM(H$2), TRIM(INDIRECT($O129)), 0))</f>
        <v>13500000</v>
      </c>
      <c r="I129" s="11" cm="1">
        <f t="array" aca="1" ref="I129" ca="1">INDEX(INDIRECT($M129),
       MATCH(TRIM($C129), TRIM(INDIRECT($N129)), 0),
       MATCH(TRIM(I$2), TRIM(INDIRECT($O129)), 0))</f>
        <v>13.5</v>
      </c>
      <c r="J129" s="9" cm="1">
        <f t="array" aca="1" ref="J129" ca="1">INDEX(INDIRECT($M129),
       MATCH(TRIM($C129), TRIM(INDIRECT($N129)), 0),
       MATCH(TRIM(J$2), TRIM(INDIRECT($O129)), 0))</f>
        <v>55</v>
      </c>
      <c r="K129" s="11" cm="1">
        <f t="array" aca="1" ref="K129" ca="1">INDEX(INDIRECT($M129),
       MATCH(TRIM($C129), TRIM(INDIRECT($N129)), 0),
       MATCH(TRIM(K$2), TRIM(INDIRECT($O129)), 0))</f>
        <v>28.044428888888902</v>
      </c>
      <c r="L129" s="11" cm="1">
        <f t="array" aca="1" ref="L129" ca="1">INDEX(INDIRECT($M129),
       MATCH(TRIM($C129), TRIM(INDIRECT($N129)), 0),
       MATCH(TRIM(L$2), TRIM(INDIRECT($O129)), 0))</f>
        <v>2626.4020598888887</v>
      </c>
      <c r="M129" s="5" t="str">
        <f t="shared" si="3"/>
        <v>'2017'!$N$3:$V$80</v>
      </c>
      <c r="N129" s="5" t="str">
        <f t="shared" si="4"/>
        <v>'2017'!$M$2:$M$80</v>
      </c>
      <c r="O129" s="5" t="str">
        <f t="shared" si="5"/>
        <v>'2017'!$N$2:$W$2</v>
      </c>
    </row>
    <row r="130" spans="1:15" x14ac:dyDescent="0.3">
      <c r="A130">
        <v>2</v>
      </c>
      <c r="B130" s="9">
        <v>2017</v>
      </c>
      <c r="C130" t="s">
        <v>1</v>
      </c>
      <c r="D130" s="11" cm="1">
        <f t="array" aca="1" ref="D130" ca="1">INDEX(INDIRECT($M130),
       MATCH(TRIM($C130), TRIM(INDIRECT($N130)), 0),
       MATCH(TRIM(D$2), TRIM(INDIRECT($O130)), 0))</f>
        <v>184</v>
      </c>
      <c r="E130" s="9" cm="1">
        <f t="array" aca="1" ref="E130" ca="1">INDEX(INDIRECT($M130),
       MATCH(TRIM($C130), TRIM(INDIRECT($N130)), 0),
       MATCH(TRIM(E$2), TRIM(INDIRECT($O130)), 0))</f>
        <v>371706124</v>
      </c>
      <c r="F130" s="11" cm="1">
        <f t="array" aca="1" ref="F130" ca="1">INDEX(INDIRECT($M130),
       MATCH(TRIM($C130), TRIM(INDIRECT($N130)), 0),
       MATCH(TRIM(F$2), TRIM(INDIRECT($O130)), 0))</f>
        <v>371.70612399999999</v>
      </c>
      <c r="G130" s="11" cm="1">
        <f t="array" aca="1" ref="G130" ca="1">INDEX(INDIRECT($M130),
       MATCH(TRIM($C130), TRIM(INDIRECT($N130)), 0),
       MATCH(TRIM(G$2), TRIM(INDIRECT($O130)), 0))</f>
        <v>136</v>
      </c>
      <c r="H130" s="9" cm="1">
        <f t="array" aca="1" ref="H130" ca="1">INDEX(INDIRECT($M130),
       MATCH(TRIM($C130), TRIM(INDIRECT($N130)), 0),
       MATCH(TRIM(H$2), TRIM(INDIRECT($O130)), 0))</f>
        <v>2888338859</v>
      </c>
      <c r="I130" s="11" cm="1">
        <f t="array" aca="1" ref="I130" ca="1">INDEX(INDIRECT($M130),
       MATCH(TRIM($C130), TRIM(INDIRECT($N130)), 0),
       MATCH(TRIM(I$2), TRIM(INDIRECT($O130)), 0))</f>
        <v>2888.338859</v>
      </c>
      <c r="J130" s="9" cm="1">
        <f t="array" aca="1" ref="J130" ca="1">INDEX(INDIRECT($M130),
       MATCH(TRIM($C130), TRIM(INDIRECT($N130)), 0),
       MATCH(TRIM(J$2), TRIM(INDIRECT($O130)), 0))</f>
        <v>125</v>
      </c>
      <c r="K130" s="11" cm="1">
        <f t="array" aca="1" ref="K130" ca="1">INDEX(INDIRECT($M130),
       MATCH(TRIM($C130), TRIM(INDIRECT($N130)), 0),
       MATCH(TRIM(K$2), TRIM(INDIRECT($O130)), 0))</f>
        <v>144.4900418548888</v>
      </c>
      <c r="L130" s="11" cm="1">
        <f t="array" aca="1" ref="L130" ca="1">INDEX(INDIRECT($M130),
       MATCH(TRIM($C130), TRIM(INDIRECT($N130)), 0),
       MATCH(TRIM(L$2), TRIM(INDIRECT($O130)), 0))</f>
        <v>3404.5350248548884</v>
      </c>
      <c r="M130" s="5" t="str">
        <f t="shared" si="3"/>
        <v>'2017'!$N$3:$V$80</v>
      </c>
      <c r="N130" s="5" t="str">
        <f t="shared" si="4"/>
        <v>'2017'!$M$2:$M$80</v>
      </c>
      <c r="O130" s="5" t="str">
        <f t="shared" si="5"/>
        <v>'2017'!$N$2:$W$2</v>
      </c>
    </row>
    <row r="131" spans="1:15" x14ac:dyDescent="0.3">
      <c r="A131">
        <v>3</v>
      </c>
      <c r="B131" s="9">
        <v>2017</v>
      </c>
      <c r="C131" t="s">
        <v>2</v>
      </c>
      <c r="D131" s="11" cm="1">
        <f t="array" aca="1" ref="D131" ca="1">INDEX(INDIRECT($M131),
       MATCH(TRIM($C131), TRIM(INDIRECT($N131)), 0),
       MATCH(TRIM(D$2), TRIM(INDIRECT($O131)), 0))</f>
        <v>542</v>
      </c>
      <c r="E131" s="9" cm="1">
        <f t="array" aca="1" ref="E131" ca="1">INDEX(INDIRECT($M131),
       MATCH(TRIM($C131), TRIM(INDIRECT($N131)), 0),
       MATCH(TRIM(E$2), TRIM(INDIRECT($O131)), 0))</f>
        <v>1111247023</v>
      </c>
      <c r="F131" s="11" cm="1">
        <f t="array" aca="1" ref="F131" ca="1">INDEX(INDIRECT($M131),
       MATCH(TRIM($C131), TRIM(INDIRECT($N131)), 0),
       MATCH(TRIM(F$2), TRIM(INDIRECT($O131)), 0))</f>
        <v>1111.2470229999999</v>
      </c>
      <c r="G131" s="11" cm="1">
        <f t="array" aca="1" ref="G131" ca="1">INDEX(INDIRECT($M131),
       MATCH(TRIM($C131), TRIM(INDIRECT($N131)), 0),
       MATCH(TRIM(G$2), TRIM(INDIRECT($O131)), 0))</f>
        <v>167</v>
      </c>
      <c r="H131" s="9" cm="1">
        <f t="array" aca="1" ref="H131" ca="1">INDEX(INDIRECT($M131),
       MATCH(TRIM($C131), TRIM(INDIRECT($N131)), 0),
       MATCH(TRIM(H$2), TRIM(INDIRECT($O131)), 0))</f>
        <v>662726899.12890625</v>
      </c>
      <c r="I131" s="11" cm="1">
        <f t="array" aca="1" ref="I131" ca="1">INDEX(INDIRECT($M131),
       MATCH(TRIM($C131), TRIM(INDIRECT($N131)), 0),
       MATCH(TRIM(I$2), TRIM(INDIRECT($O131)), 0))</f>
        <v>662.72689912890621</v>
      </c>
      <c r="J131" s="9" cm="1">
        <f t="array" aca="1" ref="J131" ca="1">INDEX(INDIRECT($M131),
       MATCH(TRIM($C131), TRIM(INDIRECT($N131)), 0),
       MATCH(TRIM(J$2), TRIM(INDIRECT($O131)), 0))</f>
        <v>637</v>
      </c>
      <c r="K131" s="11" cm="1">
        <f t="array" aca="1" ref="K131" ca="1">INDEX(INDIRECT($M131),
       MATCH(TRIM($C131), TRIM(INDIRECT($N131)), 0),
       MATCH(TRIM(K$2), TRIM(INDIRECT($O131)), 0))</f>
        <v>1006.952710087837</v>
      </c>
      <c r="L131" s="11" cm="1">
        <f t="array" aca="1" ref="L131" ca="1">INDEX(INDIRECT($M131),
       MATCH(TRIM($C131), TRIM(INDIRECT($N131)), 0),
       MATCH(TRIM(L$2), TRIM(INDIRECT($O131)), 0))</f>
        <v>2780.9266322167432</v>
      </c>
      <c r="M131" s="5" t="str">
        <f t="shared" si="3"/>
        <v>'2017'!$N$3:$V$80</v>
      </c>
      <c r="N131" s="5" t="str">
        <f t="shared" si="4"/>
        <v>'2017'!$M$2:$M$80</v>
      </c>
      <c r="O131" s="5" t="str">
        <f t="shared" si="5"/>
        <v>'2017'!$N$2:$W$2</v>
      </c>
    </row>
    <row r="132" spans="1:15" x14ac:dyDescent="0.3">
      <c r="A132">
        <v>4</v>
      </c>
      <c r="B132" s="9">
        <v>2017</v>
      </c>
      <c r="C132" t="s">
        <v>3</v>
      </c>
      <c r="D132" s="11" cm="1">
        <f t="array" aca="1" ref="D132" ca="1">INDEX(INDIRECT($M132),
       MATCH(TRIM($C132), TRIM(INDIRECT($N132)), 0),
       MATCH(TRIM(D$2), TRIM(INDIRECT($O132)), 0))</f>
        <v>7</v>
      </c>
      <c r="E132" s="9" cm="1">
        <f t="array" aca="1" ref="E132" ca="1">INDEX(INDIRECT($M132),
       MATCH(TRIM($C132), TRIM(INDIRECT($N132)), 0),
       MATCH(TRIM(E$2), TRIM(INDIRECT($O132)), 0))</f>
        <v>1342302760</v>
      </c>
      <c r="F132" s="11" cm="1">
        <f t="array" aca="1" ref="F132" ca="1">INDEX(INDIRECT($M132),
       MATCH(TRIM($C132), TRIM(INDIRECT($N132)), 0),
       MATCH(TRIM(F$2), TRIM(INDIRECT($O132)), 0))</f>
        <v>1342.30276</v>
      </c>
      <c r="G132" s="11" cm="1">
        <f t="array" aca="1" ref="G132" ca="1">INDEX(INDIRECT($M132),
       MATCH(TRIM($C132), TRIM(INDIRECT($N132)), 0),
       MATCH(TRIM(G$2), TRIM(INDIRECT($O132)), 0))</f>
        <v>2</v>
      </c>
      <c r="H132" s="9" cm="1">
        <f t="array" aca="1" ref="H132" ca="1">INDEX(INDIRECT($M132),
       MATCH(TRIM($C132), TRIM(INDIRECT($N132)), 0),
       MATCH(TRIM(H$2), TRIM(INDIRECT($O132)), 0))</f>
        <v>-28992392</v>
      </c>
      <c r="I132" s="11" cm="1">
        <f t="array" aca="1" ref="I132" ca="1">INDEX(INDIRECT($M132),
       MATCH(TRIM($C132), TRIM(INDIRECT($N132)), 0),
       MATCH(TRIM(I$2), TRIM(INDIRECT($O132)), 0))</f>
        <v>-28.992391999999999</v>
      </c>
      <c r="J132" s="9" cm="1">
        <f t="array" aca="1" ref="J132" ca="1">INDEX(INDIRECT($M132),
       MATCH(TRIM($C132), TRIM(INDIRECT($N132)), 0),
       MATCH(TRIM(J$2), TRIM(INDIRECT($O132)), 0))</f>
        <v>2</v>
      </c>
      <c r="K132" s="11" cm="1">
        <f t="array" aca="1" ref="K132" ca="1">INDEX(INDIRECT($M132),
       MATCH(TRIM($C132), TRIM(INDIRECT($N132)), 0),
       MATCH(TRIM(K$2), TRIM(INDIRECT($O132)), 0))</f>
        <v>3.0222222222222223E-2</v>
      </c>
      <c r="L132" s="11" cm="1">
        <f t="array" aca="1" ref="L132" ca="1">INDEX(INDIRECT($M132),
       MATCH(TRIM($C132), TRIM(INDIRECT($N132)), 0),
       MATCH(TRIM(L$2), TRIM(INDIRECT($O132)), 0))</f>
        <v>1313.3405902222221</v>
      </c>
      <c r="M132" s="5" t="str">
        <f t="shared" ref="M132:M195" si="6">_xlfn.CONCAT("'",$B132,"'","!","$N$3:$V$80")</f>
        <v>'2017'!$N$3:$V$80</v>
      </c>
      <c r="N132" s="5" t="str">
        <f t="shared" ref="N132:N195" si="7">_xlfn.CONCAT("'",$B132,"'","!","$M$2:$M$80")</f>
        <v>'2017'!$M$2:$M$80</v>
      </c>
      <c r="O132" s="5" t="str">
        <f t="shared" ref="O132:O195" si="8">_xlfn.CONCAT("'",$B132,"'","!","$N$2:$W$2")</f>
        <v>'2017'!$N$2:$W$2</v>
      </c>
    </row>
    <row r="133" spans="1:15" x14ac:dyDescent="0.3">
      <c r="A133">
        <v>5</v>
      </c>
      <c r="B133" s="9">
        <v>2017</v>
      </c>
      <c r="C133" t="s">
        <v>4</v>
      </c>
      <c r="D133" s="11" cm="1">
        <f t="array" aca="1" ref="D133" ca="1">INDEX(INDIRECT($M133),
       MATCH(TRIM($C133), TRIM(INDIRECT($N133)), 0),
       MATCH(TRIM(D$2), TRIM(INDIRECT($O133)), 0))</f>
        <v>15</v>
      </c>
      <c r="E133" s="9" cm="1">
        <f t="array" aca="1" ref="E133" ca="1">INDEX(INDIRECT($M133),
       MATCH(TRIM($C133), TRIM(INDIRECT($N133)), 0),
       MATCH(TRIM(E$2), TRIM(INDIRECT($O133)), 0))</f>
        <v>3159396191</v>
      </c>
      <c r="F133" s="11" cm="1">
        <f t="array" aca="1" ref="F133" ca="1">INDEX(INDIRECT($M133),
       MATCH(TRIM($C133), TRIM(INDIRECT($N133)), 0),
       MATCH(TRIM(F$2), TRIM(INDIRECT($O133)), 0))</f>
        <v>3159.3961909999998</v>
      </c>
      <c r="G133" s="11" cm="1">
        <f t="array" aca="1" ref="G133" ca="1">INDEX(INDIRECT($M133),
       MATCH(TRIM($C133), TRIM(INDIRECT($N133)), 0),
       MATCH(TRIM(G$2), TRIM(INDIRECT($O133)), 0))</f>
        <v>5</v>
      </c>
      <c r="H133" s="9" cm="1">
        <f t="array" aca="1" ref="H133" ca="1">INDEX(INDIRECT($M133),
       MATCH(TRIM($C133), TRIM(INDIRECT($N133)), 0),
       MATCH(TRIM(H$2), TRIM(INDIRECT($O133)), 0))</f>
        <v>5800000</v>
      </c>
      <c r="I133" s="11" cm="1">
        <f t="array" aca="1" ref="I133" ca="1">INDEX(INDIRECT($M133),
       MATCH(TRIM($C133), TRIM(INDIRECT($N133)), 0),
       MATCH(TRIM(I$2), TRIM(INDIRECT($O133)), 0))</f>
        <v>5.8</v>
      </c>
      <c r="J133" s="9" cm="1">
        <f t="array" aca="1" ref="J133" ca="1">INDEX(INDIRECT($M133),
       MATCH(TRIM($C133), TRIM(INDIRECT($N133)), 0),
       MATCH(TRIM(J$2), TRIM(INDIRECT($O133)), 0))</f>
        <v>7</v>
      </c>
      <c r="K133" s="11" cm="1">
        <f t="array" aca="1" ref="K133" ca="1">INDEX(INDIRECT($M133),
       MATCH(TRIM($C133), TRIM(INDIRECT($N133)), 0),
       MATCH(TRIM(K$2), TRIM(INDIRECT($O133)), 0))</f>
        <v>6.5136666666666647</v>
      </c>
      <c r="L133" s="11" cm="1">
        <f t="array" aca="1" ref="L133" ca="1">INDEX(INDIRECT($M133),
       MATCH(TRIM($C133), TRIM(INDIRECT($N133)), 0),
       MATCH(TRIM(L$2), TRIM(INDIRECT($O133)), 0))</f>
        <v>3171.7098576666667</v>
      </c>
      <c r="M133" s="5" t="str">
        <f t="shared" si="6"/>
        <v>'2017'!$N$3:$V$80</v>
      </c>
      <c r="N133" s="5" t="str">
        <f t="shared" si="7"/>
        <v>'2017'!$M$2:$M$80</v>
      </c>
      <c r="O133" s="5" t="str">
        <f t="shared" si="8"/>
        <v>'2017'!$N$2:$W$2</v>
      </c>
    </row>
    <row r="134" spans="1:15" x14ac:dyDescent="0.3">
      <c r="A134">
        <v>6</v>
      </c>
      <c r="B134" s="9">
        <v>2017</v>
      </c>
      <c r="C134" t="s">
        <v>5</v>
      </c>
      <c r="D134" s="11" cm="1">
        <f t="array" aca="1" ref="D134" ca="1">INDEX(INDIRECT($M134),
       MATCH(TRIM($C134), TRIM(INDIRECT($N134)), 0),
       MATCH(TRIM(D$2), TRIM(INDIRECT($O134)), 0))</f>
        <v>69</v>
      </c>
      <c r="E134" s="9" cm="1">
        <f t="array" aca="1" ref="E134" ca="1">INDEX(INDIRECT($M134),
       MATCH(TRIM($C134), TRIM(INDIRECT($N134)), 0),
       MATCH(TRIM(E$2), TRIM(INDIRECT($O134)), 0))</f>
        <v>764901738</v>
      </c>
      <c r="F134" s="11" cm="1">
        <f t="array" aca="1" ref="F134" ca="1">INDEX(INDIRECT($M134),
       MATCH(TRIM($C134), TRIM(INDIRECT($N134)), 0),
       MATCH(TRIM(F$2), TRIM(INDIRECT($O134)), 0))</f>
        <v>764.90173800000002</v>
      </c>
      <c r="G134" s="11" cm="1">
        <f t="array" aca="1" ref="G134" ca="1">INDEX(INDIRECT($M134),
       MATCH(TRIM($C134), TRIM(INDIRECT($N134)), 0),
       MATCH(TRIM(G$2), TRIM(INDIRECT($O134)), 0))</f>
        <v>18</v>
      </c>
      <c r="H134" s="9" cm="1">
        <f t="array" aca="1" ref="H134" ca="1">INDEX(INDIRECT($M134),
       MATCH(TRIM($C134), TRIM(INDIRECT($N134)), 0),
       MATCH(TRIM(H$2), TRIM(INDIRECT($O134)), 0))</f>
        <v>18267070</v>
      </c>
      <c r="I134" s="11" cm="1">
        <f t="array" aca="1" ref="I134" ca="1">INDEX(INDIRECT($M134),
       MATCH(TRIM($C134), TRIM(INDIRECT($N134)), 0),
       MATCH(TRIM(I$2), TRIM(INDIRECT($O134)), 0))</f>
        <v>18.26707</v>
      </c>
      <c r="J134" s="9" cm="1">
        <f t="array" aca="1" ref="J134" ca="1">INDEX(INDIRECT($M134),
       MATCH(TRIM($C134), TRIM(INDIRECT($N134)), 0),
       MATCH(TRIM(J$2), TRIM(INDIRECT($O134)), 0))</f>
        <v>36</v>
      </c>
      <c r="K134" s="11" cm="1">
        <f t="array" aca="1" ref="K134" ca="1">INDEX(INDIRECT($M134),
       MATCH(TRIM($C134), TRIM(INDIRECT($N134)), 0),
       MATCH(TRIM(K$2), TRIM(INDIRECT($O134)), 0))</f>
        <v>72.355732577733335</v>
      </c>
      <c r="L134" s="11" cm="1">
        <f t="array" aca="1" ref="L134" ca="1">INDEX(INDIRECT($M134),
       MATCH(TRIM($C134), TRIM(INDIRECT($N134)), 0),
       MATCH(TRIM(L$2), TRIM(INDIRECT($O134)), 0))</f>
        <v>855.52454057773332</v>
      </c>
      <c r="M134" s="5" t="str">
        <f t="shared" si="6"/>
        <v>'2017'!$N$3:$V$80</v>
      </c>
      <c r="N134" s="5" t="str">
        <f t="shared" si="7"/>
        <v>'2017'!$M$2:$M$80</v>
      </c>
      <c r="O134" s="5" t="str">
        <f t="shared" si="8"/>
        <v>'2017'!$N$2:$W$2</v>
      </c>
    </row>
    <row r="135" spans="1:15" x14ac:dyDescent="0.3">
      <c r="A135">
        <v>7</v>
      </c>
      <c r="B135" s="9">
        <v>2017</v>
      </c>
      <c r="C135" t="s">
        <v>6</v>
      </c>
      <c r="D135" s="11" cm="1">
        <f t="array" aca="1" ref="D135" ca="1">INDEX(INDIRECT($M135),
       MATCH(TRIM($C135), TRIM(INDIRECT($N135)), 0),
       MATCH(TRIM(D$2), TRIM(INDIRECT($O135)), 0))</f>
        <v>57</v>
      </c>
      <c r="E135" s="9" cm="1">
        <f t="array" aca="1" ref="E135" ca="1">INDEX(INDIRECT($M135),
       MATCH(TRIM($C135), TRIM(INDIRECT($N135)), 0),
       MATCH(TRIM(E$2), TRIM(INDIRECT($O135)), 0))</f>
        <v>220719288</v>
      </c>
      <c r="F135" s="11" cm="1">
        <f t="array" aca="1" ref="F135" ca="1">INDEX(INDIRECT($M135),
       MATCH(TRIM($C135), TRIM(INDIRECT($N135)), 0),
       MATCH(TRIM(F$2), TRIM(INDIRECT($O135)), 0))</f>
        <v>220.71928800000001</v>
      </c>
      <c r="G135" s="11" cm="1">
        <f t="array" aca="1" ref="G135" ca="1">INDEX(INDIRECT($M135),
       MATCH(TRIM($C135), TRIM(INDIRECT($N135)), 0),
       MATCH(TRIM(G$2), TRIM(INDIRECT($O135)), 0))</f>
        <v>41</v>
      </c>
      <c r="H135" s="9" cm="1">
        <f t="array" aca="1" ref="H135" ca="1">INDEX(INDIRECT($M135),
       MATCH(TRIM($C135), TRIM(INDIRECT($N135)), 0),
       MATCH(TRIM(H$2), TRIM(INDIRECT($O135)), 0))</f>
        <v>622753894</v>
      </c>
      <c r="I135" s="11" cm="1">
        <f t="array" aca="1" ref="I135" ca="1">INDEX(INDIRECT($M135),
       MATCH(TRIM($C135), TRIM(INDIRECT($N135)), 0),
       MATCH(TRIM(I$2), TRIM(INDIRECT($O135)), 0))</f>
        <v>622.75389399999995</v>
      </c>
      <c r="J135" s="9" cm="1">
        <f t="array" aca="1" ref="J135" ca="1">INDEX(INDIRECT($M135),
       MATCH(TRIM($C135), TRIM(INDIRECT($N135)), 0),
       MATCH(TRIM(J$2), TRIM(INDIRECT($O135)), 0))</f>
        <v>35</v>
      </c>
      <c r="K135" s="11" cm="1">
        <f t="array" aca="1" ref="K135" ca="1">INDEX(INDIRECT($M135),
       MATCH(TRIM($C135), TRIM(INDIRECT($N135)), 0),
       MATCH(TRIM(K$2), TRIM(INDIRECT($O135)), 0))</f>
        <v>41.413495051377765</v>
      </c>
      <c r="L135" s="11" cm="1">
        <f t="array" aca="1" ref="L135" ca="1">INDEX(INDIRECT($M135),
       MATCH(TRIM($C135), TRIM(INDIRECT($N135)), 0),
       MATCH(TRIM(L$2), TRIM(INDIRECT($O135)), 0))</f>
        <v>884.88667705137777</v>
      </c>
      <c r="M135" s="5" t="str">
        <f t="shared" si="6"/>
        <v>'2017'!$N$3:$V$80</v>
      </c>
      <c r="N135" s="5" t="str">
        <f t="shared" si="7"/>
        <v>'2017'!$M$2:$M$80</v>
      </c>
      <c r="O135" s="5" t="str">
        <f t="shared" si="8"/>
        <v>'2017'!$N$2:$W$2</v>
      </c>
    </row>
    <row r="136" spans="1:15" x14ac:dyDescent="0.3">
      <c r="A136">
        <v>8</v>
      </c>
      <c r="B136" s="9">
        <v>2017</v>
      </c>
      <c r="C136" t="s">
        <v>7</v>
      </c>
      <c r="D136" s="11" cm="1">
        <f t="array" aca="1" ref="D136" ca="1">INDEX(INDIRECT($M136),
       MATCH(TRIM($C136), TRIM(INDIRECT($N136)), 0),
       MATCH(TRIM(D$2), TRIM(INDIRECT($O136)), 0))</f>
        <v>25</v>
      </c>
      <c r="E136" s="9" cm="1">
        <f t="array" aca="1" ref="E136" ca="1">INDEX(INDIRECT($M136),
       MATCH(TRIM($C136), TRIM(INDIRECT($N136)), 0),
       MATCH(TRIM(E$2), TRIM(INDIRECT($O136)), 0))</f>
        <v>204272550</v>
      </c>
      <c r="F136" s="11" cm="1">
        <f t="array" aca="1" ref="F136" ca="1">INDEX(INDIRECT($M136),
       MATCH(TRIM($C136), TRIM(INDIRECT($N136)), 0),
       MATCH(TRIM(F$2), TRIM(INDIRECT($O136)), 0))</f>
        <v>204.27255</v>
      </c>
      <c r="G136" s="11" cm="1">
        <f t="array" aca="1" ref="G136" ca="1">INDEX(INDIRECT($M136),
       MATCH(TRIM($C136), TRIM(INDIRECT($N136)), 0),
       MATCH(TRIM(G$2), TRIM(INDIRECT($O136)), 0))</f>
        <v>15</v>
      </c>
      <c r="H136" s="9" cm="1">
        <f t="array" aca="1" ref="H136" ca="1">INDEX(INDIRECT($M136),
       MATCH(TRIM($C136), TRIM(INDIRECT($N136)), 0),
       MATCH(TRIM(H$2), TRIM(INDIRECT($O136)), 0))</f>
        <v>242973221</v>
      </c>
      <c r="I136" s="11" cm="1">
        <f t="array" aca="1" ref="I136" ca="1">INDEX(INDIRECT($M136),
       MATCH(TRIM($C136), TRIM(INDIRECT($N136)), 0),
       MATCH(TRIM(I$2), TRIM(INDIRECT($O136)), 0))</f>
        <v>242.973221</v>
      </c>
      <c r="J136" s="9" cm="1">
        <f t="array" aca="1" ref="J136" ca="1">INDEX(INDIRECT($M136),
       MATCH(TRIM($C136), TRIM(INDIRECT($N136)), 0),
       MATCH(TRIM(J$2), TRIM(INDIRECT($O136)), 0))</f>
        <v>34</v>
      </c>
      <c r="K136" s="11" cm="1">
        <f t="array" aca="1" ref="K136" ca="1">INDEX(INDIRECT($M136),
       MATCH(TRIM($C136), TRIM(INDIRECT($N136)), 0),
       MATCH(TRIM(K$2), TRIM(INDIRECT($O136)), 0))</f>
        <v>80.236279642204465</v>
      </c>
      <c r="L136" s="11" cm="1">
        <f t="array" aca="1" ref="L136" ca="1">INDEX(INDIRECT($M136),
       MATCH(TRIM($C136), TRIM(INDIRECT($N136)), 0),
       MATCH(TRIM(L$2), TRIM(INDIRECT($O136)), 0))</f>
        <v>527.48205064220451</v>
      </c>
      <c r="M136" s="5" t="str">
        <f t="shared" si="6"/>
        <v>'2017'!$N$3:$V$80</v>
      </c>
      <c r="N136" s="5" t="str">
        <f t="shared" si="7"/>
        <v>'2017'!$M$2:$M$80</v>
      </c>
      <c r="O136" s="5" t="str">
        <f t="shared" si="8"/>
        <v>'2017'!$N$2:$W$2</v>
      </c>
    </row>
    <row r="137" spans="1:15" x14ac:dyDescent="0.3">
      <c r="A137">
        <v>9</v>
      </c>
      <c r="B137" s="9">
        <v>2017</v>
      </c>
      <c r="C137" t="s">
        <v>8</v>
      </c>
      <c r="D137" s="11" cm="1">
        <f t="array" aca="1" ref="D137" ca="1">INDEX(INDIRECT($M137),
       MATCH(TRIM($C137), TRIM(INDIRECT($N137)), 0),
       MATCH(TRIM(D$2), TRIM(INDIRECT($O137)), 0))</f>
        <v>37</v>
      </c>
      <c r="E137" s="9" cm="1">
        <f t="array" aca="1" ref="E137" ca="1">INDEX(INDIRECT($M137),
       MATCH(TRIM($C137), TRIM(INDIRECT($N137)), 0),
       MATCH(TRIM(E$2), TRIM(INDIRECT($O137)), 0))</f>
        <v>360638191</v>
      </c>
      <c r="F137" s="11" cm="1">
        <f t="array" aca="1" ref="F137" ca="1">INDEX(INDIRECT($M137),
       MATCH(TRIM($C137), TRIM(INDIRECT($N137)), 0),
       MATCH(TRIM(F$2), TRIM(INDIRECT($O137)), 0))</f>
        <v>360.63819100000001</v>
      </c>
      <c r="G137" s="11" cm="1">
        <f t="array" aca="1" ref="G137" ca="1">INDEX(INDIRECT($M137),
       MATCH(TRIM($C137), TRIM(INDIRECT($N137)), 0),
       MATCH(TRIM(G$2), TRIM(INDIRECT($O137)), 0))</f>
        <v>44</v>
      </c>
      <c r="H137" s="9" cm="1">
        <f t="array" aca="1" ref="H137" ca="1">INDEX(INDIRECT($M137),
       MATCH(TRIM($C137), TRIM(INDIRECT($N137)), 0),
       MATCH(TRIM(H$2), TRIM(INDIRECT($O137)), 0))</f>
        <v>144156323</v>
      </c>
      <c r="I137" s="11" cm="1">
        <f t="array" aca="1" ref="I137" ca="1">INDEX(INDIRECT($M137),
       MATCH(TRIM($C137), TRIM(INDIRECT($N137)), 0),
       MATCH(TRIM(I$2), TRIM(INDIRECT($O137)), 0))</f>
        <v>144.15632299999999</v>
      </c>
      <c r="J137" s="9" cm="1">
        <f t="array" aca="1" ref="J137" ca="1">INDEX(INDIRECT($M137),
       MATCH(TRIM($C137), TRIM(INDIRECT($N137)), 0),
       MATCH(TRIM(J$2), TRIM(INDIRECT($O137)), 0))</f>
        <v>36</v>
      </c>
      <c r="K137" s="11" cm="1">
        <f t="array" aca="1" ref="K137" ca="1">INDEX(INDIRECT($M137),
       MATCH(TRIM($C137), TRIM(INDIRECT($N137)), 0),
       MATCH(TRIM(K$2), TRIM(INDIRECT($O137)), 0))</f>
        <v>16.81128308813334</v>
      </c>
      <c r="L137" s="11" cm="1">
        <f t="array" aca="1" ref="L137" ca="1">INDEX(INDIRECT($M137),
       MATCH(TRIM($C137), TRIM(INDIRECT($N137)), 0),
       MATCH(TRIM(L$2), TRIM(INDIRECT($O137)), 0))</f>
        <v>521.60579708813339</v>
      </c>
      <c r="M137" s="5" t="str">
        <f t="shared" si="6"/>
        <v>'2017'!$N$3:$V$80</v>
      </c>
      <c r="N137" s="5" t="str">
        <f t="shared" si="7"/>
        <v>'2017'!$M$2:$M$80</v>
      </c>
      <c r="O137" s="5" t="str">
        <f t="shared" si="8"/>
        <v>'2017'!$N$2:$W$2</v>
      </c>
    </row>
    <row r="138" spans="1:15" x14ac:dyDescent="0.3">
      <c r="A138">
        <v>10</v>
      </c>
      <c r="B138" s="9">
        <v>2017</v>
      </c>
      <c r="C138" t="s">
        <v>9</v>
      </c>
      <c r="D138" s="11" cm="1">
        <f t="array" aca="1" ref="D138" ca="1">INDEX(INDIRECT($M138),
       MATCH(TRIM($C138), TRIM(INDIRECT($N138)), 0),
       MATCH(TRIM(D$2), TRIM(INDIRECT($O138)), 0))</f>
        <v>4</v>
      </c>
      <c r="E138" s="9" cm="1">
        <f t="array" aca="1" ref="E138" ca="1">INDEX(INDIRECT($M138),
       MATCH(TRIM($C138), TRIM(INDIRECT($N138)), 0),
       MATCH(TRIM(E$2), TRIM(INDIRECT($O138)), 0))</f>
        <v>237015955</v>
      </c>
      <c r="F138" s="11" cm="1">
        <f t="array" aca="1" ref="F138" ca="1">INDEX(INDIRECT($M138),
       MATCH(TRIM($C138), TRIM(INDIRECT($N138)), 0),
       MATCH(TRIM(F$2), TRIM(INDIRECT($O138)), 0))</f>
        <v>237.01595499999999</v>
      </c>
      <c r="G138" s="11" cm="1">
        <f t="array" aca="1" ref="G138" ca="1">INDEX(INDIRECT($M138),
       MATCH(TRIM($C138), TRIM(INDIRECT($N138)), 0),
       MATCH(TRIM(G$2), TRIM(INDIRECT($O138)), 0))</f>
        <v>0</v>
      </c>
      <c r="H138" s="9" cm="1">
        <f t="array" aca="1" ref="H138" ca="1">INDEX(INDIRECT($M138),
       MATCH(TRIM($C138), TRIM(INDIRECT($N138)), 0),
       MATCH(TRIM(H$2), TRIM(INDIRECT($O138)), 0))</f>
        <v>0</v>
      </c>
      <c r="I138" s="11" cm="1">
        <f t="array" aca="1" ref="I138" ca="1">INDEX(INDIRECT($M138),
       MATCH(TRIM($C138), TRIM(INDIRECT($N138)), 0),
       MATCH(TRIM(I$2), TRIM(INDIRECT($O138)), 0))</f>
        <v>0</v>
      </c>
      <c r="J138" s="9" cm="1">
        <f t="array" aca="1" ref="J138" ca="1">INDEX(INDIRECT($M138),
       MATCH(TRIM($C138), TRIM(INDIRECT($N138)), 0),
       MATCH(TRIM(J$2), TRIM(INDIRECT($O138)), 0))</f>
        <v>2</v>
      </c>
      <c r="K138" s="11" cm="1">
        <f t="array" aca="1" ref="K138" ca="1">INDEX(INDIRECT($M138),
       MATCH(TRIM($C138), TRIM(INDIRECT($N138)), 0),
       MATCH(TRIM(K$2), TRIM(INDIRECT($O138)), 0))</f>
        <v>1.1297777777777778</v>
      </c>
      <c r="L138" s="11" cm="1">
        <f t="array" aca="1" ref="L138" ca="1">INDEX(INDIRECT($M138),
       MATCH(TRIM($C138), TRIM(INDIRECT($N138)), 0),
       MATCH(TRIM(L$2), TRIM(INDIRECT($O138)), 0))</f>
        <v>238.14573277777777</v>
      </c>
      <c r="M138" s="5" t="str">
        <f t="shared" si="6"/>
        <v>'2017'!$N$3:$V$80</v>
      </c>
      <c r="N138" s="5" t="str">
        <f t="shared" si="7"/>
        <v>'2017'!$M$2:$M$80</v>
      </c>
      <c r="O138" s="5" t="str">
        <f t="shared" si="8"/>
        <v>'2017'!$N$2:$W$2</v>
      </c>
    </row>
    <row r="139" spans="1:15" x14ac:dyDescent="0.3">
      <c r="A139">
        <v>11</v>
      </c>
      <c r="B139" s="9">
        <v>2017</v>
      </c>
      <c r="C139" t="s">
        <v>10</v>
      </c>
      <c r="D139" s="11" cm="1">
        <f t="array" aca="1" ref="D139" ca="1">INDEX(INDIRECT($M139),
       MATCH(TRIM($C139), TRIM(INDIRECT($N139)), 0),
       MATCH(TRIM(D$2), TRIM(INDIRECT($O139)), 0))</f>
        <v>7</v>
      </c>
      <c r="E139" s="9" cm="1">
        <f t="array" aca="1" ref="E139" ca="1">INDEX(INDIRECT($M139),
       MATCH(TRIM($C139), TRIM(INDIRECT($N139)), 0),
       MATCH(TRIM(E$2), TRIM(INDIRECT($O139)), 0))</f>
        <v>313839000</v>
      </c>
      <c r="F139" s="11" cm="1">
        <f t="array" aca="1" ref="F139" ca="1">INDEX(INDIRECT($M139),
       MATCH(TRIM($C139), TRIM(INDIRECT($N139)), 0),
       MATCH(TRIM(F$2), TRIM(INDIRECT($O139)), 0))</f>
        <v>313.839</v>
      </c>
      <c r="G139" s="11" cm="1">
        <f t="array" aca="1" ref="G139" ca="1">INDEX(INDIRECT($M139),
       MATCH(TRIM($C139), TRIM(INDIRECT($N139)), 0),
       MATCH(TRIM(G$2), TRIM(INDIRECT($O139)), 0))</f>
        <v>2</v>
      </c>
      <c r="H139" s="9" cm="1">
        <f t="array" aca="1" ref="H139" ca="1">INDEX(INDIRECT($M139),
       MATCH(TRIM($C139), TRIM(INDIRECT($N139)), 0),
       MATCH(TRIM(H$2), TRIM(INDIRECT($O139)), 0))</f>
        <v>60750000</v>
      </c>
      <c r="I139" s="11" cm="1">
        <f t="array" aca="1" ref="I139" ca="1">INDEX(INDIRECT($M139),
       MATCH(TRIM($C139), TRIM(INDIRECT($N139)), 0),
       MATCH(TRIM(I$2), TRIM(INDIRECT($O139)), 0))</f>
        <v>60.75</v>
      </c>
      <c r="J139" s="9" cm="1">
        <f t="array" aca="1" ref="J139" ca="1">INDEX(INDIRECT($M139),
       MATCH(TRIM($C139), TRIM(INDIRECT($N139)), 0),
       MATCH(TRIM(J$2), TRIM(INDIRECT($O139)), 0))</f>
        <v>0</v>
      </c>
      <c r="K139" s="11" cm="1">
        <f t="array" aca="1" ref="K139" ca="1">INDEX(INDIRECT($M139),
       MATCH(TRIM($C139), TRIM(INDIRECT($N139)), 0),
       MATCH(TRIM(K$2), TRIM(INDIRECT($O139)), 0))</f>
        <v>0</v>
      </c>
      <c r="L139" s="11" cm="1">
        <f t="array" aca="1" ref="L139" ca="1">INDEX(INDIRECT($M139),
       MATCH(TRIM($C139), TRIM(INDIRECT($N139)), 0),
       MATCH(TRIM(L$2), TRIM(INDIRECT($O139)), 0))</f>
        <v>374.589</v>
      </c>
      <c r="M139" s="5" t="str">
        <f t="shared" si="6"/>
        <v>'2017'!$N$3:$V$80</v>
      </c>
      <c r="N139" s="5" t="str">
        <f t="shared" si="7"/>
        <v>'2017'!$M$2:$M$80</v>
      </c>
      <c r="O139" s="5" t="str">
        <f t="shared" si="8"/>
        <v>'2017'!$N$2:$W$2</v>
      </c>
    </row>
    <row r="140" spans="1:15" x14ac:dyDescent="0.3">
      <c r="A140">
        <v>12</v>
      </c>
      <c r="B140" s="9">
        <v>2017</v>
      </c>
      <c r="C140" t="s">
        <v>11</v>
      </c>
      <c r="D140" s="11" cm="1">
        <f t="array" aca="1" ref="D140" ca="1">INDEX(INDIRECT($M140),
       MATCH(TRIM($C140), TRIM(INDIRECT($N140)), 0),
       MATCH(TRIM(D$2), TRIM(INDIRECT($O140)), 0))</f>
        <v>3</v>
      </c>
      <c r="E140" s="9" cm="1">
        <f t="array" aca="1" ref="E140" ca="1">INDEX(INDIRECT($M140),
       MATCH(TRIM($C140), TRIM(INDIRECT($N140)), 0),
       MATCH(TRIM(E$2), TRIM(INDIRECT($O140)), 0))</f>
        <v>265767759</v>
      </c>
      <c r="F140" s="11" cm="1">
        <f t="array" aca="1" ref="F140" ca="1">INDEX(INDIRECT($M140),
       MATCH(TRIM($C140), TRIM(INDIRECT($N140)), 0),
       MATCH(TRIM(F$2), TRIM(INDIRECT($O140)), 0))</f>
        <v>265.76775900000001</v>
      </c>
      <c r="G140" s="11" cm="1">
        <f t="array" aca="1" ref="G140" ca="1">INDEX(INDIRECT($M140),
       MATCH(TRIM($C140), TRIM(INDIRECT($N140)), 0),
       MATCH(TRIM(G$2), TRIM(INDIRECT($O140)), 0))</f>
        <v>0</v>
      </c>
      <c r="H140" s="9" cm="1">
        <f t="array" aca="1" ref="H140" ca="1">INDEX(INDIRECT($M140),
       MATCH(TRIM($C140), TRIM(INDIRECT($N140)), 0),
       MATCH(TRIM(H$2), TRIM(INDIRECT($O140)), 0))</f>
        <v>0</v>
      </c>
      <c r="I140" s="11" cm="1">
        <f t="array" aca="1" ref="I140" ca="1">INDEX(INDIRECT($M140),
       MATCH(TRIM($C140), TRIM(INDIRECT($N140)), 0),
       MATCH(TRIM(I$2), TRIM(INDIRECT($O140)), 0))</f>
        <v>0</v>
      </c>
      <c r="J140" s="9" cm="1">
        <f t="array" aca="1" ref="J140" ca="1">INDEX(INDIRECT($M140),
       MATCH(TRIM($C140), TRIM(INDIRECT($N140)), 0),
       MATCH(TRIM(J$2), TRIM(INDIRECT($O140)), 0))</f>
        <v>4</v>
      </c>
      <c r="K140" s="11" cm="1">
        <f t="array" aca="1" ref="K140" ca="1">INDEX(INDIRECT($M140),
       MATCH(TRIM($C140), TRIM(INDIRECT($N140)), 0),
       MATCH(TRIM(K$2), TRIM(INDIRECT($O140)), 0))</f>
        <v>0.35228568888888884</v>
      </c>
      <c r="L140" s="11" cm="1">
        <f t="array" aca="1" ref="L140" ca="1">INDEX(INDIRECT($M140),
       MATCH(TRIM($C140), TRIM(INDIRECT($N140)), 0),
       MATCH(TRIM(L$2), TRIM(INDIRECT($O140)), 0))</f>
        <v>266.12004468888892</v>
      </c>
      <c r="M140" s="5" t="str">
        <f t="shared" si="6"/>
        <v>'2017'!$N$3:$V$80</v>
      </c>
      <c r="N140" s="5" t="str">
        <f t="shared" si="7"/>
        <v>'2017'!$M$2:$M$80</v>
      </c>
      <c r="O140" s="5" t="str">
        <f t="shared" si="8"/>
        <v>'2017'!$N$2:$W$2</v>
      </c>
    </row>
    <row r="141" spans="1:15" x14ac:dyDescent="0.3">
      <c r="A141">
        <v>13</v>
      </c>
      <c r="B141" s="9">
        <v>2017</v>
      </c>
      <c r="C141" t="s">
        <v>12</v>
      </c>
      <c r="D141" s="11" cm="1">
        <f t="array" aca="1" ref="D141" ca="1">INDEX(INDIRECT($M141),
       MATCH(TRIM($C141), TRIM(INDIRECT($N141)), 0),
       MATCH(TRIM(D$2), TRIM(INDIRECT($O141)), 0))</f>
        <v>11</v>
      </c>
      <c r="E141" s="9" cm="1">
        <f t="array" aca="1" ref="E141" ca="1">INDEX(INDIRECT($M141),
       MATCH(TRIM($C141), TRIM(INDIRECT($N141)), 0),
       MATCH(TRIM(E$2), TRIM(INDIRECT($O141)), 0))</f>
        <v>96262748</v>
      </c>
      <c r="F141" s="11" cm="1">
        <f t="array" aca="1" ref="F141" ca="1">INDEX(INDIRECT($M141),
       MATCH(TRIM($C141), TRIM(INDIRECT($N141)), 0),
       MATCH(TRIM(F$2), TRIM(INDIRECT($O141)), 0))</f>
        <v>96.262748000000002</v>
      </c>
      <c r="G141" s="11" cm="1">
        <f t="array" aca="1" ref="G141" ca="1">INDEX(INDIRECT($M141),
       MATCH(TRIM($C141), TRIM(INDIRECT($N141)), 0),
       MATCH(TRIM(G$2), TRIM(INDIRECT($O141)), 0))</f>
        <v>7</v>
      </c>
      <c r="H141" s="9" cm="1">
        <f t="array" aca="1" ref="H141" ca="1">INDEX(INDIRECT($M141),
       MATCH(TRIM($C141), TRIM(INDIRECT($N141)), 0),
       MATCH(TRIM(H$2), TRIM(INDIRECT($O141)), 0))</f>
        <v>-4109230</v>
      </c>
      <c r="I141" s="11" cm="1">
        <f t="array" aca="1" ref="I141" ca="1">INDEX(INDIRECT($M141),
       MATCH(TRIM($C141), TRIM(INDIRECT($N141)), 0),
       MATCH(TRIM(I$2), TRIM(INDIRECT($O141)), 0))</f>
        <v>-4.1092300000000002</v>
      </c>
      <c r="J141" s="9" cm="1">
        <f t="array" aca="1" ref="J141" ca="1">INDEX(INDIRECT($M141),
       MATCH(TRIM($C141), TRIM(INDIRECT($N141)), 0),
       MATCH(TRIM(J$2), TRIM(INDIRECT($O141)), 0))</f>
        <v>10</v>
      </c>
      <c r="K141" s="11" cm="1">
        <f t="array" aca="1" ref="K141" ca="1">INDEX(INDIRECT($M141),
       MATCH(TRIM($C141), TRIM(INDIRECT($N141)), 0),
       MATCH(TRIM(K$2), TRIM(INDIRECT($O141)), 0))</f>
        <v>7.3537464018222245</v>
      </c>
      <c r="L141" s="11" cm="1">
        <f t="array" aca="1" ref="L141" ca="1">INDEX(INDIRECT($M141),
       MATCH(TRIM($C141), TRIM(INDIRECT($N141)), 0),
       MATCH(TRIM(L$2), TRIM(INDIRECT($O141)), 0))</f>
        <v>99.507264401822226</v>
      </c>
      <c r="M141" s="5" t="str">
        <f t="shared" si="6"/>
        <v>'2017'!$N$3:$V$80</v>
      </c>
      <c r="N141" s="5" t="str">
        <f t="shared" si="7"/>
        <v>'2017'!$M$2:$M$80</v>
      </c>
      <c r="O141" s="5" t="str">
        <f t="shared" si="8"/>
        <v>'2017'!$N$2:$W$2</v>
      </c>
    </row>
    <row r="142" spans="1:15" x14ac:dyDescent="0.3">
      <c r="A142">
        <v>14</v>
      </c>
      <c r="B142" s="9">
        <v>2017</v>
      </c>
      <c r="C142" t="s">
        <v>13</v>
      </c>
      <c r="D142" s="11" cm="1">
        <f t="array" aca="1" ref="D142" ca="1">INDEX(INDIRECT($M142),
       MATCH(TRIM($C142), TRIM(INDIRECT($N142)), 0),
       MATCH(TRIM(D$2), TRIM(INDIRECT($O142)), 0))</f>
        <v>9</v>
      </c>
      <c r="E142" s="9" cm="1">
        <f t="array" aca="1" ref="E142" ca="1">INDEX(INDIRECT($M142),
       MATCH(TRIM($C142), TRIM(INDIRECT($N142)), 0),
       MATCH(TRIM(E$2), TRIM(INDIRECT($O142)), 0))</f>
        <v>117221335</v>
      </c>
      <c r="F142" s="11" cm="1">
        <f t="array" aca="1" ref="F142" ca="1">INDEX(INDIRECT($M142),
       MATCH(TRIM($C142), TRIM(INDIRECT($N142)), 0),
       MATCH(TRIM(F$2), TRIM(INDIRECT($O142)), 0))</f>
        <v>117.221335</v>
      </c>
      <c r="G142" s="11" cm="1">
        <f t="array" aca="1" ref="G142" ca="1">INDEX(INDIRECT($M142),
       MATCH(TRIM($C142), TRIM(INDIRECT($N142)), 0),
       MATCH(TRIM(G$2), TRIM(INDIRECT($O142)), 0))</f>
        <v>4</v>
      </c>
      <c r="H142" s="9" cm="1">
        <f t="array" aca="1" ref="H142" ca="1">INDEX(INDIRECT($M142),
       MATCH(TRIM($C142), TRIM(INDIRECT($N142)), 0),
       MATCH(TRIM(H$2), TRIM(INDIRECT($O142)), 0))</f>
        <v>31702293</v>
      </c>
      <c r="I142" s="11" cm="1">
        <f t="array" aca="1" ref="I142" ca="1">INDEX(INDIRECT($M142),
       MATCH(TRIM($C142), TRIM(INDIRECT($N142)), 0),
       MATCH(TRIM(I$2), TRIM(INDIRECT($O142)), 0))</f>
        <v>31.702293000000001</v>
      </c>
      <c r="J142" s="9" cm="1">
        <f t="array" aca="1" ref="J142" ca="1">INDEX(INDIRECT($M142),
       MATCH(TRIM($C142), TRIM(INDIRECT($N142)), 0),
       MATCH(TRIM(J$2), TRIM(INDIRECT($O142)), 0))</f>
        <v>7</v>
      </c>
      <c r="K142" s="11" cm="1">
        <f t="array" aca="1" ref="K142" ca="1">INDEX(INDIRECT($M142),
       MATCH(TRIM($C142), TRIM(INDIRECT($N142)), 0),
       MATCH(TRIM(K$2), TRIM(INDIRECT($O142)), 0))</f>
        <v>1.2519777777777779</v>
      </c>
      <c r="L142" s="11" cm="1">
        <f t="array" aca="1" ref="L142" ca="1">INDEX(INDIRECT($M142),
       MATCH(TRIM($C142), TRIM(INDIRECT($N142)), 0),
       MATCH(TRIM(L$2), TRIM(INDIRECT($O142)), 0))</f>
        <v>150.17560577777778</v>
      </c>
      <c r="M142" s="5" t="str">
        <f t="shared" si="6"/>
        <v>'2017'!$N$3:$V$80</v>
      </c>
      <c r="N142" s="5" t="str">
        <f t="shared" si="7"/>
        <v>'2017'!$M$2:$M$80</v>
      </c>
      <c r="O142" s="5" t="str">
        <f t="shared" si="8"/>
        <v>'2017'!$N$2:$W$2</v>
      </c>
    </row>
    <row r="143" spans="1:15" x14ac:dyDescent="0.3">
      <c r="A143">
        <v>15</v>
      </c>
      <c r="B143" s="9">
        <v>2017</v>
      </c>
      <c r="C143" t="s">
        <v>14</v>
      </c>
      <c r="D143" s="11" cm="1">
        <f t="array" aca="1" ref="D143" ca="1">INDEX(INDIRECT($M143),
       MATCH(TRIM($C143), TRIM(INDIRECT($N143)), 0),
       MATCH(TRIM(D$2), TRIM(INDIRECT($O143)), 0))</f>
        <v>18</v>
      </c>
      <c r="E143" s="9" cm="1">
        <f t="array" aca="1" ref="E143" ca="1">INDEX(INDIRECT($M143),
       MATCH(TRIM($C143), TRIM(INDIRECT($N143)), 0),
       MATCH(TRIM(E$2), TRIM(INDIRECT($O143)), 0))</f>
        <v>112648191</v>
      </c>
      <c r="F143" s="11" cm="1">
        <f t="array" aca="1" ref="F143" ca="1">INDEX(INDIRECT($M143),
       MATCH(TRIM($C143), TRIM(INDIRECT($N143)), 0),
       MATCH(TRIM(F$2), TRIM(INDIRECT($O143)), 0))</f>
        <v>112.648191</v>
      </c>
      <c r="G143" s="11" cm="1">
        <f t="array" aca="1" ref="G143" ca="1">INDEX(INDIRECT($M143),
       MATCH(TRIM($C143), TRIM(INDIRECT($N143)), 0),
       MATCH(TRIM(G$2), TRIM(INDIRECT($O143)), 0))</f>
        <v>4</v>
      </c>
      <c r="H143" s="9" cm="1">
        <f t="array" aca="1" ref="H143" ca="1">INDEX(INDIRECT($M143),
       MATCH(TRIM($C143), TRIM(INDIRECT($N143)), 0),
       MATCH(TRIM(H$2), TRIM(INDIRECT($O143)), 0))</f>
        <v>9500261</v>
      </c>
      <c r="I143" s="11" cm="1">
        <f t="array" aca="1" ref="I143" ca="1">INDEX(INDIRECT($M143),
       MATCH(TRIM($C143), TRIM(INDIRECT($N143)), 0),
       MATCH(TRIM(I$2), TRIM(INDIRECT($O143)), 0))</f>
        <v>9.5002610000000001</v>
      </c>
      <c r="J143" s="9" cm="1">
        <f t="array" aca="1" ref="J143" ca="1">INDEX(INDIRECT($M143),
       MATCH(TRIM($C143), TRIM(INDIRECT($N143)), 0),
       MATCH(TRIM(J$2), TRIM(INDIRECT($O143)), 0))</f>
        <v>18</v>
      </c>
      <c r="K143" s="11" cm="1">
        <f t="array" aca="1" ref="K143" ca="1">INDEX(INDIRECT($M143),
       MATCH(TRIM($C143), TRIM(INDIRECT($N143)), 0),
       MATCH(TRIM(K$2), TRIM(INDIRECT($O143)), 0))</f>
        <v>12.849209799199999</v>
      </c>
      <c r="L143" s="11" cm="1">
        <f t="array" aca="1" ref="L143" ca="1">INDEX(INDIRECT($M143),
       MATCH(TRIM($C143), TRIM(INDIRECT($N143)), 0),
       MATCH(TRIM(L$2), TRIM(INDIRECT($O143)), 0))</f>
        <v>134.99766179919999</v>
      </c>
      <c r="M143" s="5" t="str">
        <f t="shared" si="6"/>
        <v>'2017'!$N$3:$V$80</v>
      </c>
      <c r="N143" s="5" t="str">
        <f t="shared" si="7"/>
        <v>'2017'!$M$2:$M$80</v>
      </c>
      <c r="O143" s="5" t="str">
        <f t="shared" si="8"/>
        <v>'2017'!$N$2:$W$2</v>
      </c>
    </row>
    <row r="144" spans="1:15" x14ac:dyDescent="0.3">
      <c r="A144">
        <v>16</v>
      </c>
      <c r="B144" s="9">
        <v>2017</v>
      </c>
      <c r="C144" t="s">
        <v>15</v>
      </c>
      <c r="D144" s="11" cm="1">
        <f t="array" aca="1" ref="D144" ca="1">INDEX(INDIRECT($M144),
       MATCH(TRIM($C144), TRIM(INDIRECT($N144)), 0),
       MATCH(TRIM(D$2), TRIM(INDIRECT($O144)), 0))</f>
        <v>24</v>
      </c>
      <c r="E144" s="9" cm="1">
        <f t="array" aca="1" ref="E144" ca="1">INDEX(INDIRECT($M144),
       MATCH(TRIM($C144), TRIM(INDIRECT($N144)), 0),
       MATCH(TRIM(E$2), TRIM(INDIRECT($O144)), 0))</f>
        <v>369908832</v>
      </c>
      <c r="F144" s="11" cm="1">
        <f t="array" aca="1" ref="F144" ca="1">INDEX(INDIRECT($M144),
       MATCH(TRIM($C144), TRIM(INDIRECT($N144)), 0),
       MATCH(TRIM(F$2), TRIM(INDIRECT($O144)), 0))</f>
        <v>369.90883200000002</v>
      </c>
      <c r="G144" s="11" cm="1">
        <f t="array" aca="1" ref="G144" ca="1">INDEX(INDIRECT($M144),
       MATCH(TRIM($C144), TRIM(INDIRECT($N144)), 0),
       MATCH(TRIM(G$2), TRIM(INDIRECT($O144)), 0))</f>
        <v>21</v>
      </c>
      <c r="H144" s="9" cm="1">
        <f t="array" aca="1" ref="H144" ca="1">INDEX(INDIRECT($M144),
       MATCH(TRIM($C144), TRIM(INDIRECT($N144)), 0),
       MATCH(TRIM(H$2), TRIM(INDIRECT($O144)), 0))</f>
        <v>111068512</v>
      </c>
      <c r="I144" s="11" cm="1">
        <f t="array" aca="1" ref="I144" ca="1">INDEX(INDIRECT($M144),
       MATCH(TRIM($C144), TRIM(INDIRECT($N144)), 0),
       MATCH(TRIM(I$2), TRIM(INDIRECT($O144)), 0))</f>
        <v>111.068512</v>
      </c>
      <c r="J144" s="9" cm="1">
        <f t="array" aca="1" ref="J144" ca="1">INDEX(INDIRECT($M144),
       MATCH(TRIM($C144), TRIM(INDIRECT($N144)), 0),
       MATCH(TRIM(J$2), TRIM(INDIRECT($O144)), 0))</f>
        <v>22</v>
      </c>
      <c r="K144" s="11" cm="1">
        <f t="array" aca="1" ref="K144" ca="1">INDEX(INDIRECT($M144),
       MATCH(TRIM($C144), TRIM(INDIRECT($N144)), 0),
       MATCH(TRIM(K$2), TRIM(INDIRECT($O144)), 0))</f>
        <v>30.798152331111108</v>
      </c>
      <c r="L144" s="11" cm="1">
        <f t="array" aca="1" ref="L144" ca="1">INDEX(INDIRECT($M144),
       MATCH(TRIM($C144), TRIM(INDIRECT($N144)), 0),
       MATCH(TRIM(L$2), TRIM(INDIRECT($O144)), 0))</f>
        <v>511.77549633111113</v>
      </c>
      <c r="M144" s="5" t="str">
        <f t="shared" si="6"/>
        <v>'2017'!$N$3:$V$80</v>
      </c>
      <c r="N144" s="5" t="str">
        <f t="shared" si="7"/>
        <v>'2017'!$M$2:$M$80</v>
      </c>
      <c r="O144" s="5" t="str">
        <f t="shared" si="8"/>
        <v>'2017'!$N$2:$W$2</v>
      </c>
    </row>
    <row r="145" spans="1:15" x14ac:dyDescent="0.3">
      <c r="A145">
        <v>17</v>
      </c>
      <c r="B145" s="9">
        <v>2017</v>
      </c>
      <c r="C145" t="s">
        <v>16</v>
      </c>
      <c r="D145" s="11" cm="1">
        <f t="array" aca="1" ref="D145" ca="1">INDEX(INDIRECT($M145),
       MATCH(TRIM($C145), TRIM(INDIRECT($N145)), 0),
       MATCH(TRIM(D$2), TRIM(INDIRECT($O145)), 0))</f>
        <v>97</v>
      </c>
      <c r="E145" s="9" cm="1">
        <f t="array" aca="1" ref="E145" ca="1">INDEX(INDIRECT($M145),
       MATCH(TRIM($C145), TRIM(INDIRECT($N145)), 0),
       MATCH(TRIM(E$2), TRIM(INDIRECT($O145)), 0))</f>
        <v>207805994</v>
      </c>
      <c r="F145" s="11" cm="1">
        <f t="array" aca="1" ref="F145" ca="1">INDEX(INDIRECT($M145),
       MATCH(TRIM($C145), TRIM(INDIRECT($N145)), 0),
       MATCH(TRIM(F$2), TRIM(INDIRECT($O145)), 0))</f>
        <v>207.805994</v>
      </c>
      <c r="G145" s="11" cm="1">
        <f t="array" aca="1" ref="G145" ca="1">INDEX(INDIRECT($M145),
       MATCH(TRIM($C145), TRIM(INDIRECT($N145)), 0),
       MATCH(TRIM(G$2), TRIM(INDIRECT($O145)), 0))</f>
        <v>81</v>
      </c>
      <c r="H145" s="9" cm="1">
        <f t="array" aca="1" ref="H145" ca="1">INDEX(INDIRECT($M145),
       MATCH(TRIM($C145), TRIM(INDIRECT($N145)), 0),
       MATCH(TRIM(H$2), TRIM(INDIRECT($O145)), 0))</f>
        <v>136401080</v>
      </c>
      <c r="I145" s="11" cm="1">
        <f t="array" aca="1" ref="I145" ca="1">INDEX(INDIRECT($M145),
       MATCH(TRIM($C145), TRIM(INDIRECT($N145)), 0),
       MATCH(TRIM(I$2), TRIM(INDIRECT($O145)), 0))</f>
        <v>136.40108000000001</v>
      </c>
      <c r="J145" s="9" cm="1">
        <f t="array" aca="1" ref="J145" ca="1">INDEX(INDIRECT($M145),
       MATCH(TRIM($C145), TRIM(INDIRECT($N145)), 0),
       MATCH(TRIM(J$2), TRIM(INDIRECT($O145)), 0))</f>
        <v>164</v>
      </c>
      <c r="K145" s="11" cm="1">
        <f t="array" aca="1" ref="K145" ca="1">INDEX(INDIRECT($M145),
       MATCH(TRIM($C145), TRIM(INDIRECT($N145)), 0),
       MATCH(TRIM(K$2), TRIM(INDIRECT($O145)), 0))</f>
        <v>166.72280505795572</v>
      </c>
      <c r="L145" s="11" cm="1">
        <f t="array" aca="1" ref="L145" ca="1">INDEX(INDIRECT($M145),
       MATCH(TRIM($C145), TRIM(INDIRECT($N145)), 0),
       MATCH(TRIM(L$2), TRIM(INDIRECT($O145)), 0))</f>
        <v>510.92987905795576</v>
      </c>
      <c r="M145" s="5" t="str">
        <f t="shared" si="6"/>
        <v>'2017'!$N$3:$V$80</v>
      </c>
      <c r="N145" s="5" t="str">
        <f t="shared" si="7"/>
        <v>'2017'!$M$2:$M$80</v>
      </c>
      <c r="O145" s="5" t="str">
        <f t="shared" si="8"/>
        <v>'2017'!$N$2:$W$2</v>
      </c>
    </row>
    <row r="146" spans="1:15" x14ac:dyDescent="0.3">
      <c r="A146">
        <v>18</v>
      </c>
      <c r="B146" s="9">
        <v>2017</v>
      </c>
      <c r="C146" t="s">
        <v>17</v>
      </c>
      <c r="D146" s="11" cm="1">
        <f t="array" aca="1" ref="D146" ca="1">INDEX(INDIRECT($M146),
       MATCH(TRIM($C146), TRIM(INDIRECT($N146)), 0),
       MATCH(TRIM(D$2), TRIM(INDIRECT($O146)), 0))</f>
        <v>4</v>
      </c>
      <c r="E146" s="9" cm="1">
        <f t="array" aca="1" ref="E146" ca="1">INDEX(INDIRECT($M146),
       MATCH(TRIM($C146), TRIM(INDIRECT($N146)), 0),
       MATCH(TRIM(E$2), TRIM(INDIRECT($O146)), 0))</f>
        <v>144924200</v>
      </c>
      <c r="F146" s="11" cm="1">
        <f t="array" aca="1" ref="F146" ca="1">INDEX(INDIRECT($M146),
       MATCH(TRIM($C146), TRIM(INDIRECT($N146)), 0),
       MATCH(TRIM(F$2), TRIM(INDIRECT($O146)), 0))</f>
        <v>144.92420000000001</v>
      </c>
      <c r="G146" s="11" cm="1">
        <f t="array" aca="1" ref="G146" ca="1">INDEX(INDIRECT($M146),
       MATCH(TRIM($C146), TRIM(INDIRECT($N146)), 0),
       MATCH(TRIM(G$2), TRIM(INDIRECT($O146)), 0))</f>
        <v>1</v>
      </c>
      <c r="H146" s="9" cm="1">
        <f t="array" aca="1" ref="H146" ca="1">INDEX(INDIRECT($M146),
       MATCH(TRIM($C146), TRIM(INDIRECT($N146)), 0),
       MATCH(TRIM(H$2), TRIM(INDIRECT($O146)), 0))</f>
        <v>-5090000</v>
      </c>
      <c r="I146" s="11" cm="1">
        <f t="array" aca="1" ref="I146" ca="1">INDEX(INDIRECT($M146),
       MATCH(TRIM($C146), TRIM(INDIRECT($N146)), 0),
       MATCH(TRIM(I$2), TRIM(INDIRECT($O146)), 0))</f>
        <v>-5.09</v>
      </c>
      <c r="J146" s="9" cm="1">
        <f t="array" aca="1" ref="J146" ca="1">INDEX(INDIRECT($M146),
       MATCH(TRIM($C146), TRIM(INDIRECT($N146)), 0),
       MATCH(TRIM(J$2), TRIM(INDIRECT($O146)), 0))</f>
        <v>7</v>
      </c>
      <c r="K146" s="11" cm="1">
        <f t="array" aca="1" ref="K146" ca="1">INDEX(INDIRECT($M146),
       MATCH(TRIM($C146), TRIM(INDIRECT($N146)), 0),
       MATCH(TRIM(K$2), TRIM(INDIRECT($O146)), 0))</f>
        <v>3.4619733333333338</v>
      </c>
      <c r="L146" s="11" cm="1">
        <f t="array" aca="1" ref="L146" ca="1">INDEX(INDIRECT($M146),
       MATCH(TRIM($C146), TRIM(INDIRECT($N146)), 0),
       MATCH(TRIM(L$2), TRIM(INDIRECT($O146)), 0))</f>
        <v>143.29617333333334</v>
      </c>
      <c r="M146" s="5" t="str">
        <f t="shared" si="6"/>
        <v>'2017'!$N$3:$V$80</v>
      </c>
      <c r="N146" s="5" t="str">
        <f t="shared" si="7"/>
        <v>'2017'!$M$2:$M$80</v>
      </c>
      <c r="O146" s="5" t="str">
        <f t="shared" si="8"/>
        <v>'2017'!$N$2:$W$2</v>
      </c>
    </row>
    <row r="147" spans="1:15" x14ac:dyDescent="0.3">
      <c r="A147">
        <v>19</v>
      </c>
      <c r="B147" s="9">
        <v>2017</v>
      </c>
      <c r="C147" t="s">
        <v>18</v>
      </c>
      <c r="D147" s="11" cm="1">
        <f t="array" aca="1" ref="D147" ca="1">INDEX(INDIRECT($M147),
       MATCH(TRIM($C147), TRIM(INDIRECT($N147)), 0),
       MATCH(TRIM(D$2), TRIM(INDIRECT($O147)), 0))</f>
        <v>189</v>
      </c>
      <c r="E147" s="9" cm="1">
        <f t="array" aca="1" ref="E147" ca="1">INDEX(INDIRECT($M147),
       MATCH(TRIM($C147), TRIM(INDIRECT($N147)), 0),
       MATCH(TRIM(E$2), TRIM(INDIRECT($O147)), 0))</f>
        <v>1356456322</v>
      </c>
      <c r="F147" s="11" cm="1">
        <f t="array" aca="1" ref="F147" ca="1">INDEX(INDIRECT($M147),
       MATCH(TRIM($C147), TRIM(INDIRECT($N147)), 0),
       MATCH(TRIM(F$2), TRIM(INDIRECT($O147)), 0))</f>
        <v>1356.456322</v>
      </c>
      <c r="G147" s="11" cm="1">
        <f t="array" aca="1" ref="G147" ca="1">INDEX(INDIRECT($M147),
       MATCH(TRIM($C147), TRIM(INDIRECT($N147)), 0),
       MATCH(TRIM(G$2), TRIM(INDIRECT($O147)), 0))</f>
        <v>132</v>
      </c>
      <c r="H147" s="9" cm="1">
        <f t="array" aca="1" ref="H147" ca="1">INDEX(INDIRECT($M147),
       MATCH(TRIM($C147), TRIM(INDIRECT($N147)), 0),
       MATCH(TRIM(H$2), TRIM(INDIRECT($O147)), 0))</f>
        <v>1117004174</v>
      </c>
      <c r="I147" s="11" cm="1">
        <f t="array" aca="1" ref="I147" ca="1">INDEX(INDIRECT($M147),
       MATCH(TRIM($C147), TRIM(INDIRECT($N147)), 0),
       MATCH(TRIM(I$2), TRIM(INDIRECT($O147)), 0))</f>
        <v>1117.0041739999999</v>
      </c>
      <c r="J147" s="9" cm="1">
        <f t="array" aca="1" ref="J147" ca="1">INDEX(INDIRECT($M147),
       MATCH(TRIM($C147), TRIM(INDIRECT($N147)), 0),
       MATCH(TRIM(J$2), TRIM(INDIRECT($O147)), 0))</f>
        <v>392</v>
      </c>
      <c r="K147" s="11" cm="1">
        <f t="array" aca="1" ref="K147" ca="1">INDEX(INDIRECT($M147),
       MATCH(TRIM($C147), TRIM(INDIRECT($N147)), 0),
       MATCH(TRIM(K$2), TRIM(INDIRECT($O147)), 0))</f>
        <v>324.71449687216892</v>
      </c>
      <c r="L147" s="11" cm="1">
        <f t="array" aca="1" ref="L147" ca="1">INDEX(INDIRECT($M147),
       MATCH(TRIM($C147), TRIM(INDIRECT($N147)), 0),
       MATCH(TRIM(L$2), TRIM(INDIRECT($O147)), 0))</f>
        <v>2798.1749928721688</v>
      </c>
      <c r="M147" s="5" t="str">
        <f t="shared" si="6"/>
        <v>'2017'!$N$3:$V$80</v>
      </c>
      <c r="N147" s="5" t="str">
        <f t="shared" si="7"/>
        <v>'2017'!$M$2:$M$80</v>
      </c>
      <c r="O147" s="5" t="str">
        <f t="shared" si="8"/>
        <v>'2017'!$N$2:$W$2</v>
      </c>
    </row>
    <row r="148" spans="1:15" x14ac:dyDescent="0.3">
      <c r="A148">
        <v>20</v>
      </c>
      <c r="B148" s="9">
        <v>2017</v>
      </c>
      <c r="C148" t="s">
        <v>19</v>
      </c>
      <c r="D148" s="11" cm="1">
        <f t="array" aca="1" ref="D148" ca="1">INDEX(INDIRECT($M148),
       MATCH(TRIM($C148), TRIM(INDIRECT($N148)), 0),
       MATCH(TRIM(D$2), TRIM(INDIRECT($O148)), 0))</f>
        <v>2</v>
      </c>
      <c r="E148" s="9" cm="1">
        <f t="array" aca="1" ref="E148" ca="1">INDEX(INDIRECT($M148),
       MATCH(TRIM($C148), TRIM(INDIRECT($N148)), 0),
       MATCH(TRIM(E$2), TRIM(INDIRECT($O148)), 0))</f>
        <v>56072530</v>
      </c>
      <c r="F148" s="11" cm="1">
        <f t="array" aca="1" ref="F148" ca="1">INDEX(INDIRECT($M148),
       MATCH(TRIM($C148), TRIM(INDIRECT($N148)), 0),
       MATCH(TRIM(F$2), TRIM(INDIRECT($O148)), 0))</f>
        <v>56.07253</v>
      </c>
      <c r="G148" s="11" cm="1">
        <f t="array" aca="1" ref="G148" ca="1">INDEX(INDIRECT($M148),
       MATCH(TRIM($C148), TRIM(INDIRECT($N148)), 0),
       MATCH(TRIM(G$2), TRIM(INDIRECT($O148)), 0))</f>
        <v>0</v>
      </c>
      <c r="H148" s="9" cm="1">
        <f t="array" aca="1" ref="H148" ca="1">INDEX(INDIRECT($M148),
       MATCH(TRIM($C148), TRIM(INDIRECT($N148)), 0),
       MATCH(TRIM(H$2), TRIM(INDIRECT($O148)), 0))</f>
        <v>0</v>
      </c>
      <c r="I148" s="11" cm="1">
        <f t="array" aca="1" ref="I148" ca="1">INDEX(INDIRECT($M148),
       MATCH(TRIM($C148), TRIM(INDIRECT($N148)), 0),
       MATCH(TRIM(I$2), TRIM(INDIRECT($O148)), 0))</f>
        <v>0</v>
      </c>
      <c r="J148" s="9" cm="1">
        <f t="array" aca="1" ref="J148" ca="1">INDEX(INDIRECT($M148),
       MATCH(TRIM($C148), TRIM(INDIRECT($N148)), 0),
       MATCH(TRIM(J$2), TRIM(INDIRECT($O148)), 0))</f>
        <v>8</v>
      </c>
      <c r="K148" s="11" cm="1">
        <f t="array" aca="1" ref="K148" ca="1">INDEX(INDIRECT($M148),
       MATCH(TRIM($C148), TRIM(INDIRECT($N148)), 0),
       MATCH(TRIM(K$2), TRIM(INDIRECT($O148)), 0))</f>
        <v>155.84578222222223</v>
      </c>
      <c r="L148" s="11" cm="1">
        <f t="array" aca="1" ref="L148" ca="1">INDEX(INDIRECT($M148),
       MATCH(TRIM($C148), TRIM(INDIRECT($N148)), 0),
       MATCH(TRIM(L$2), TRIM(INDIRECT($O148)), 0))</f>
        <v>211.91831222222223</v>
      </c>
      <c r="M148" s="5" t="str">
        <f t="shared" si="6"/>
        <v>'2017'!$N$3:$V$80</v>
      </c>
      <c r="N148" s="5" t="str">
        <f t="shared" si="7"/>
        <v>'2017'!$M$2:$M$80</v>
      </c>
      <c r="O148" s="5" t="str">
        <f t="shared" si="8"/>
        <v>'2017'!$N$2:$W$2</v>
      </c>
    </row>
    <row r="149" spans="1:15" x14ac:dyDescent="0.3">
      <c r="A149">
        <v>21</v>
      </c>
      <c r="B149" s="9">
        <v>2017</v>
      </c>
      <c r="C149" t="s">
        <v>20</v>
      </c>
      <c r="D149" s="11" cm="1">
        <f t="array" aca="1" ref="D149" ca="1">INDEX(INDIRECT($M149),
       MATCH(TRIM($C149), TRIM(INDIRECT($N149)), 0),
       MATCH(TRIM(D$2), TRIM(INDIRECT($O149)), 0))</f>
        <v>1</v>
      </c>
      <c r="E149" s="9" cm="1">
        <f t="array" aca="1" ref="E149" ca="1">INDEX(INDIRECT($M149),
       MATCH(TRIM($C149), TRIM(INDIRECT($N149)), 0),
       MATCH(TRIM(E$2), TRIM(INDIRECT($O149)), 0))</f>
        <v>3000000</v>
      </c>
      <c r="F149" s="11" cm="1">
        <f t="array" aca="1" ref="F149" ca="1">INDEX(INDIRECT($M149),
       MATCH(TRIM($C149), TRIM(INDIRECT($N149)), 0),
       MATCH(TRIM(F$2), TRIM(INDIRECT($O149)), 0))</f>
        <v>3</v>
      </c>
      <c r="G149" s="11" cm="1">
        <f t="array" aca="1" ref="G149" ca="1">INDEX(INDIRECT($M149),
       MATCH(TRIM($C149), TRIM(INDIRECT($N149)), 0),
       MATCH(TRIM(G$2), TRIM(INDIRECT($O149)), 0))</f>
        <v>0</v>
      </c>
      <c r="H149" s="9" cm="1">
        <f t="array" aca="1" ref="H149" ca="1">INDEX(INDIRECT($M149),
       MATCH(TRIM($C149), TRIM(INDIRECT($N149)), 0),
       MATCH(TRIM(H$2), TRIM(INDIRECT($O149)), 0))</f>
        <v>0</v>
      </c>
      <c r="I149" s="11" cm="1">
        <f t="array" aca="1" ref="I149" ca="1">INDEX(INDIRECT($M149),
       MATCH(TRIM($C149), TRIM(INDIRECT($N149)), 0),
       MATCH(TRIM(I$2), TRIM(INDIRECT($O149)), 0))</f>
        <v>0</v>
      </c>
      <c r="J149" s="9" cm="1">
        <f t="array" aca="1" ref="J149" ca="1">INDEX(INDIRECT($M149),
       MATCH(TRIM($C149), TRIM(INDIRECT($N149)), 0),
       MATCH(TRIM(J$2), TRIM(INDIRECT($O149)), 0))</f>
        <v>1</v>
      </c>
      <c r="K149" s="11" cm="1">
        <f t="array" aca="1" ref="K149" ca="1">INDEX(INDIRECT($M149),
       MATCH(TRIM($C149), TRIM(INDIRECT($N149)), 0),
       MATCH(TRIM(K$2), TRIM(INDIRECT($O149)), 0))</f>
        <v>2.8</v>
      </c>
      <c r="L149" s="11" cm="1">
        <f t="array" aca="1" ref="L149" ca="1">INDEX(INDIRECT($M149),
       MATCH(TRIM($C149), TRIM(INDIRECT($N149)), 0),
       MATCH(TRIM(L$2), TRIM(INDIRECT($O149)), 0))</f>
        <v>5.8</v>
      </c>
      <c r="M149" s="5" t="str">
        <f t="shared" si="6"/>
        <v>'2017'!$N$3:$V$80</v>
      </c>
      <c r="N149" s="5" t="str">
        <f t="shared" si="7"/>
        <v>'2017'!$M$2:$M$80</v>
      </c>
      <c r="O149" s="5" t="str">
        <f t="shared" si="8"/>
        <v>'2017'!$N$2:$W$2</v>
      </c>
    </row>
    <row r="150" spans="1:15" x14ac:dyDescent="0.3">
      <c r="A150">
        <v>22</v>
      </c>
      <c r="B150" s="9">
        <v>2017</v>
      </c>
      <c r="C150" t="s">
        <v>21</v>
      </c>
      <c r="D150" s="11" cm="1">
        <f t="array" aca="1" ref="D150" ca="1">INDEX(INDIRECT($M150),
       MATCH(TRIM($C150), TRIM(INDIRECT($N150)), 0),
       MATCH(TRIM(D$2), TRIM(INDIRECT($O150)), 0))</f>
        <v>12</v>
      </c>
      <c r="E150" s="9" cm="1">
        <f t="array" aca="1" ref="E150" ca="1">INDEX(INDIRECT($M150),
       MATCH(TRIM($C150), TRIM(INDIRECT($N150)), 0),
       MATCH(TRIM(E$2), TRIM(INDIRECT($O150)), 0))</f>
        <v>13809475.42</v>
      </c>
      <c r="F150" s="11" cm="1">
        <f t="array" aca="1" ref="F150" ca="1">INDEX(INDIRECT($M150),
       MATCH(TRIM($C150), TRIM(INDIRECT($N150)), 0),
       MATCH(TRIM(F$2), TRIM(INDIRECT($O150)), 0))</f>
        <v>13.80947542</v>
      </c>
      <c r="G150" s="11" cm="1">
        <f t="array" aca="1" ref="G150" ca="1">INDEX(INDIRECT($M150),
       MATCH(TRIM($C150), TRIM(INDIRECT($N150)), 0),
       MATCH(TRIM(G$2), TRIM(INDIRECT($O150)), 0))</f>
        <v>17</v>
      </c>
      <c r="H150" s="9" cm="1">
        <f t="array" aca="1" ref="H150" ca="1">INDEX(INDIRECT($M150),
       MATCH(TRIM($C150), TRIM(INDIRECT($N150)), 0),
       MATCH(TRIM(H$2), TRIM(INDIRECT($O150)), 0))</f>
        <v>85102316</v>
      </c>
      <c r="I150" s="11" cm="1">
        <f t="array" aca="1" ref="I150" ca="1">INDEX(INDIRECT($M150),
       MATCH(TRIM($C150), TRIM(INDIRECT($N150)), 0),
       MATCH(TRIM(I$2), TRIM(INDIRECT($O150)), 0))</f>
        <v>85.102316000000002</v>
      </c>
      <c r="J150" s="9" cm="1">
        <f t="array" aca="1" ref="J150" ca="1">INDEX(INDIRECT($M150),
       MATCH(TRIM($C150), TRIM(INDIRECT($N150)), 0),
       MATCH(TRIM(J$2), TRIM(INDIRECT($O150)), 0))</f>
        <v>18</v>
      </c>
      <c r="K150" s="11" cm="1">
        <f t="array" aca="1" ref="K150" ca="1">INDEX(INDIRECT($M150),
       MATCH(TRIM($C150), TRIM(INDIRECT($N150)), 0),
       MATCH(TRIM(K$2), TRIM(INDIRECT($O150)), 0))</f>
        <v>7.01478</v>
      </c>
      <c r="L150" s="11" cm="1">
        <f t="array" aca="1" ref="L150" ca="1">INDEX(INDIRECT($M150),
       MATCH(TRIM($C150), TRIM(INDIRECT($N150)), 0),
       MATCH(TRIM(L$2), TRIM(INDIRECT($O150)), 0))</f>
        <v>105.92657142</v>
      </c>
      <c r="M150" s="5" t="str">
        <f t="shared" si="6"/>
        <v>'2017'!$N$3:$V$80</v>
      </c>
      <c r="N150" s="5" t="str">
        <f t="shared" si="7"/>
        <v>'2017'!$M$2:$M$80</v>
      </c>
      <c r="O150" s="5" t="str">
        <f t="shared" si="8"/>
        <v>'2017'!$N$2:$W$2</v>
      </c>
    </row>
    <row r="151" spans="1:15" x14ac:dyDescent="0.3">
      <c r="A151">
        <v>23</v>
      </c>
      <c r="B151" s="9">
        <v>2017</v>
      </c>
      <c r="C151" t="s">
        <v>22</v>
      </c>
      <c r="D151" s="11" cm="1">
        <f t="array" aca="1" ref="D151" ca="1">INDEX(INDIRECT($M151),
       MATCH(TRIM($C151), TRIM(INDIRECT($N151)), 0),
       MATCH(TRIM(D$2), TRIM(INDIRECT($O151)), 0))</f>
        <v>4</v>
      </c>
      <c r="E151" s="9" cm="1">
        <f t="array" aca="1" ref="E151" ca="1">INDEX(INDIRECT($M151),
       MATCH(TRIM($C151), TRIM(INDIRECT($N151)), 0),
       MATCH(TRIM(E$2), TRIM(INDIRECT($O151)), 0))</f>
        <v>28616000</v>
      </c>
      <c r="F151" s="11" cm="1">
        <f t="array" aca="1" ref="F151" ca="1">INDEX(INDIRECT($M151),
       MATCH(TRIM($C151), TRIM(INDIRECT($N151)), 0),
       MATCH(TRIM(F$2), TRIM(INDIRECT($O151)), 0))</f>
        <v>28.616</v>
      </c>
      <c r="G151" s="11" cm="1">
        <f t="array" aca="1" ref="G151" ca="1">INDEX(INDIRECT($M151),
       MATCH(TRIM($C151), TRIM(INDIRECT($N151)), 0),
       MATCH(TRIM(G$2), TRIM(INDIRECT($O151)), 0))</f>
        <v>1</v>
      </c>
      <c r="H151" s="9" cm="1">
        <f t="array" aca="1" ref="H151" ca="1">INDEX(INDIRECT($M151),
       MATCH(TRIM($C151), TRIM(INDIRECT($N151)), 0),
       MATCH(TRIM(H$2), TRIM(INDIRECT($O151)), 0))</f>
        <v>10000000</v>
      </c>
      <c r="I151" s="11" cm="1">
        <f t="array" aca="1" ref="I151" ca="1">INDEX(INDIRECT($M151),
       MATCH(TRIM($C151), TRIM(INDIRECT($N151)), 0),
       MATCH(TRIM(I$2), TRIM(INDIRECT($O151)), 0))</f>
        <v>10</v>
      </c>
      <c r="J151" s="9" cm="1">
        <f t="array" aca="1" ref="J151" ca="1">INDEX(INDIRECT($M151),
       MATCH(TRIM($C151), TRIM(INDIRECT($N151)), 0),
       MATCH(TRIM(J$2), TRIM(INDIRECT($O151)), 0))</f>
        <v>2</v>
      </c>
      <c r="K151" s="11" cm="1">
        <f t="array" aca="1" ref="K151" ca="1">INDEX(INDIRECT($M151),
       MATCH(TRIM($C151), TRIM(INDIRECT($N151)), 0),
       MATCH(TRIM(K$2), TRIM(INDIRECT($O151)), 0))</f>
        <v>0.10602462222222223</v>
      </c>
      <c r="L151" s="11" cm="1">
        <f t="array" aca="1" ref="L151" ca="1">INDEX(INDIRECT($M151),
       MATCH(TRIM($C151), TRIM(INDIRECT($N151)), 0),
       MATCH(TRIM(L$2), TRIM(INDIRECT($O151)), 0))</f>
        <v>38.722024622222222</v>
      </c>
      <c r="M151" s="5" t="str">
        <f t="shared" si="6"/>
        <v>'2017'!$N$3:$V$80</v>
      </c>
      <c r="N151" s="5" t="str">
        <f t="shared" si="7"/>
        <v>'2017'!$M$2:$M$80</v>
      </c>
      <c r="O151" s="5" t="str">
        <f t="shared" si="8"/>
        <v>'2017'!$N$2:$W$2</v>
      </c>
    </row>
    <row r="152" spans="1:15" x14ac:dyDescent="0.3">
      <c r="A152">
        <v>24</v>
      </c>
      <c r="B152" s="9">
        <v>2017</v>
      </c>
      <c r="C152" t="s">
        <v>23</v>
      </c>
      <c r="D152" s="11" cm="1">
        <f t="array" aca="1" ref="D152" ca="1">INDEX(INDIRECT($M152),
       MATCH(TRIM($C152), TRIM(INDIRECT($N152)), 0),
       MATCH(TRIM(D$2), TRIM(INDIRECT($O152)), 0))</f>
        <v>1</v>
      </c>
      <c r="E152" s="9" cm="1">
        <f t="array" aca="1" ref="E152" ca="1">INDEX(INDIRECT($M152),
       MATCH(TRIM($C152), TRIM(INDIRECT($N152)), 0),
       MATCH(TRIM(E$2), TRIM(INDIRECT($O152)), 0))</f>
        <v>445494</v>
      </c>
      <c r="F152" s="11" cm="1">
        <f t="array" aca="1" ref="F152" ca="1">INDEX(INDIRECT($M152),
       MATCH(TRIM($C152), TRIM(INDIRECT($N152)), 0),
       MATCH(TRIM(F$2), TRIM(INDIRECT($O152)), 0))</f>
        <v>0.445494</v>
      </c>
      <c r="G152" s="11" cm="1">
        <f t="array" aca="1" ref="G152" ca="1">INDEX(INDIRECT($M152),
       MATCH(TRIM($C152), TRIM(INDIRECT($N152)), 0),
       MATCH(TRIM(G$2), TRIM(INDIRECT($O152)), 0))</f>
        <v>1</v>
      </c>
      <c r="H152" s="9" cm="1">
        <f t="array" aca="1" ref="H152" ca="1">INDEX(INDIRECT($M152),
       MATCH(TRIM($C152), TRIM(INDIRECT($N152)), 0),
       MATCH(TRIM(H$2), TRIM(INDIRECT($O152)), 0))</f>
        <v>402955</v>
      </c>
      <c r="I152" s="11" cm="1">
        <f t="array" aca="1" ref="I152" ca="1">INDEX(INDIRECT($M152),
       MATCH(TRIM($C152), TRIM(INDIRECT($N152)), 0),
       MATCH(TRIM(I$2), TRIM(INDIRECT($O152)), 0))</f>
        <v>0.40295500000000001</v>
      </c>
      <c r="J152" s="9" cm="1">
        <f t="array" aca="1" ref="J152" ca="1">INDEX(INDIRECT($M152),
       MATCH(TRIM($C152), TRIM(INDIRECT($N152)), 0),
       MATCH(TRIM(J$2), TRIM(INDIRECT($O152)), 0))</f>
        <v>1</v>
      </c>
      <c r="K152" s="11" cm="1">
        <f t="array" aca="1" ref="K152" ca="1">INDEX(INDIRECT($M152),
       MATCH(TRIM($C152), TRIM(INDIRECT($N152)), 0),
       MATCH(TRIM(K$2), TRIM(INDIRECT($O152)), 0))</f>
        <v>0.24888888888888888</v>
      </c>
      <c r="L152" s="11" cm="1">
        <f t="array" aca="1" ref="L152" ca="1">INDEX(INDIRECT($M152),
       MATCH(TRIM($C152), TRIM(INDIRECT($N152)), 0),
       MATCH(TRIM(L$2), TRIM(INDIRECT($O152)), 0))</f>
        <v>1.0973378888888889</v>
      </c>
      <c r="M152" s="5" t="str">
        <f t="shared" si="6"/>
        <v>'2017'!$N$3:$V$80</v>
      </c>
      <c r="N152" s="5" t="str">
        <f t="shared" si="7"/>
        <v>'2017'!$M$2:$M$80</v>
      </c>
      <c r="O152" s="5" t="str">
        <f t="shared" si="8"/>
        <v>'2017'!$N$2:$W$2</v>
      </c>
    </row>
    <row r="153" spans="1:15" x14ac:dyDescent="0.3">
      <c r="A153">
        <v>25</v>
      </c>
      <c r="B153" s="9">
        <v>2017</v>
      </c>
      <c r="C153" t="s">
        <v>24</v>
      </c>
      <c r="D153" s="11" cm="1">
        <f t="array" aca="1" ref="D153" ca="1">INDEX(INDIRECT($M153),
       MATCH(TRIM($C153), TRIM(INDIRECT($N153)), 0),
       MATCH(TRIM(D$2), TRIM(INDIRECT($O153)), 0))</f>
        <v>16</v>
      </c>
      <c r="E153" s="9" cm="1">
        <f t="array" aca="1" ref="E153" ca="1">INDEX(INDIRECT($M153),
       MATCH(TRIM($C153), TRIM(INDIRECT($N153)), 0),
       MATCH(TRIM(E$2), TRIM(INDIRECT($O153)), 0))</f>
        <v>2134297243</v>
      </c>
      <c r="F153" s="11" cm="1">
        <f t="array" aca="1" ref="F153" ca="1">INDEX(INDIRECT($M153),
       MATCH(TRIM($C153), TRIM(INDIRECT($N153)), 0),
       MATCH(TRIM(F$2), TRIM(INDIRECT($O153)), 0))</f>
        <v>2134.297243</v>
      </c>
      <c r="G153" s="11" cm="1">
        <f t="array" aca="1" ref="G153" ca="1">INDEX(INDIRECT($M153),
       MATCH(TRIM($C153), TRIM(INDIRECT($N153)), 0),
       MATCH(TRIM(G$2), TRIM(INDIRECT($O153)), 0))</f>
        <v>10</v>
      </c>
      <c r="H153" s="9" cm="1">
        <f t="array" aca="1" ref="H153" ca="1">INDEX(INDIRECT($M153),
       MATCH(TRIM($C153), TRIM(INDIRECT($N153)), 0),
       MATCH(TRIM(H$2), TRIM(INDIRECT($O153)), 0))</f>
        <v>92080707</v>
      </c>
      <c r="I153" s="11" cm="1">
        <f t="array" aca="1" ref="I153" ca="1">INDEX(INDIRECT($M153),
       MATCH(TRIM($C153), TRIM(INDIRECT($N153)), 0),
       MATCH(TRIM(I$2), TRIM(INDIRECT($O153)), 0))</f>
        <v>92.080707000000004</v>
      </c>
      <c r="J153" s="9" cm="1">
        <f t="array" aca="1" ref="J153" ca="1">INDEX(INDIRECT($M153),
       MATCH(TRIM($C153), TRIM(INDIRECT($N153)), 0),
       MATCH(TRIM(J$2), TRIM(INDIRECT($O153)), 0))</f>
        <v>10</v>
      </c>
      <c r="K153" s="11" cm="1">
        <f t="array" aca="1" ref="K153" ca="1">INDEX(INDIRECT($M153),
       MATCH(TRIM($C153), TRIM(INDIRECT($N153)), 0),
       MATCH(TRIM(K$2), TRIM(INDIRECT($O153)), 0))</f>
        <v>77.602603555555547</v>
      </c>
      <c r="L153" s="11" cm="1">
        <f t="array" aca="1" ref="L153" ca="1">INDEX(INDIRECT($M153),
       MATCH(TRIM($C153), TRIM(INDIRECT($N153)), 0),
       MATCH(TRIM(L$2), TRIM(INDIRECT($O153)), 0))</f>
        <v>2303.9805535555556</v>
      </c>
      <c r="M153" s="5" t="str">
        <f t="shared" si="6"/>
        <v>'2017'!$N$3:$V$80</v>
      </c>
      <c r="N153" s="5" t="str">
        <f t="shared" si="7"/>
        <v>'2017'!$M$2:$M$80</v>
      </c>
      <c r="O153" s="5" t="str">
        <f t="shared" si="8"/>
        <v>'2017'!$N$2:$W$2</v>
      </c>
    </row>
    <row r="154" spans="1:15" x14ac:dyDescent="0.3">
      <c r="A154">
        <v>26</v>
      </c>
      <c r="B154" s="9">
        <v>2017</v>
      </c>
      <c r="C154" t="s">
        <v>25</v>
      </c>
      <c r="D154" s="11" cm="1">
        <f t="array" aca="1" ref="D154" ca="1">INDEX(INDIRECT($M154),
       MATCH(TRIM($C154), TRIM(INDIRECT($N154)), 0),
       MATCH(TRIM(D$2), TRIM(INDIRECT($O154)), 0))</f>
        <v>3</v>
      </c>
      <c r="E154" s="9" cm="1">
        <f t="array" aca="1" ref="E154" ca="1">INDEX(INDIRECT($M154),
       MATCH(TRIM($C154), TRIM(INDIRECT($N154)), 0),
       MATCH(TRIM(E$2), TRIM(INDIRECT($O154)), 0))</f>
        <v>55311782</v>
      </c>
      <c r="F154" s="11" cm="1">
        <f t="array" aca="1" ref="F154" ca="1">INDEX(INDIRECT($M154),
       MATCH(TRIM($C154), TRIM(INDIRECT($N154)), 0),
       MATCH(TRIM(F$2), TRIM(INDIRECT($O154)), 0))</f>
        <v>55.311782000000001</v>
      </c>
      <c r="G154" s="11" cm="1">
        <f t="array" aca="1" ref="G154" ca="1">INDEX(INDIRECT($M154),
       MATCH(TRIM($C154), TRIM(INDIRECT($N154)), 0),
       MATCH(TRIM(G$2), TRIM(INDIRECT($O154)), 0))</f>
        <v>5</v>
      </c>
      <c r="H154" s="9" cm="1">
        <f t="array" aca="1" ref="H154" ca="1">INDEX(INDIRECT($M154),
       MATCH(TRIM($C154), TRIM(INDIRECT($N154)), 0),
       MATCH(TRIM(H$2), TRIM(INDIRECT($O154)), 0))</f>
        <v>72411979</v>
      </c>
      <c r="I154" s="11" cm="1">
        <f t="array" aca="1" ref="I154" ca="1">INDEX(INDIRECT($M154),
       MATCH(TRIM($C154), TRIM(INDIRECT($N154)), 0),
       MATCH(TRIM(I$2), TRIM(INDIRECT($O154)), 0))</f>
        <v>72.411979000000002</v>
      </c>
      <c r="J154" s="9" cm="1">
        <f t="array" aca="1" ref="J154" ca="1">INDEX(INDIRECT($M154),
       MATCH(TRIM($C154), TRIM(INDIRECT($N154)), 0),
       MATCH(TRIM(J$2), TRIM(INDIRECT($O154)), 0))</f>
        <v>0</v>
      </c>
      <c r="K154" s="11" cm="1">
        <f t="array" aca="1" ref="K154" ca="1">INDEX(INDIRECT($M154),
       MATCH(TRIM($C154), TRIM(INDIRECT($N154)), 0),
       MATCH(TRIM(K$2), TRIM(INDIRECT($O154)), 0))</f>
        <v>0</v>
      </c>
      <c r="L154" s="11" cm="1">
        <f t="array" aca="1" ref="L154" ca="1">INDEX(INDIRECT($M154),
       MATCH(TRIM($C154), TRIM(INDIRECT($N154)), 0),
       MATCH(TRIM(L$2), TRIM(INDIRECT($O154)), 0))</f>
        <v>127.723761</v>
      </c>
      <c r="M154" s="5" t="str">
        <f t="shared" si="6"/>
        <v>'2017'!$N$3:$V$80</v>
      </c>
      <c r="N154" s="5" t="str">
        <f t="shared" si="7"/>
        <v>'2017'!$M$2:$M$80</v>
      </c>
      <c r="O154" s="5" t="str">
        <f t="shared" si="8"/>
        <v>'2017'!$N$2:$W$2</v>
      </c>
    </row>
    <row r="155" spans="1:15" x14ac:dyDescent="0.3">
      <c r="A155">
        <v>27</v>
      </c>
      <c r="B155" s="9">
        <v>2017</v>
      </c>
      <c r="C155" t="s">
        <v>26</v>
      </c>
      <c r="D155" s="11" cm="1">
        <f t="array" aca="1" ref="D155" ca="1">INDEX(INDIRECT($M155),
       MATCH(TRIM($C155), TRIM(INDIRECT($N155)), 0),
       MATCH(TRIM(D$2), TRIM(INDIRECT($O155)), 0))</f>
        <v>4</v>
      </c>
      <c r="E155" s="9" cm="1">
        <f t="array" aca="1" ref="E155" ca="1">INDEX(INDIRECT($M155),
       MATCH(TRIM($C155), TRIM(INDIRECT($N155)), 0),
       MATCH(TRIM(E$2), TRIM(INDIRECT($O155)), 0))</f>
        <v>8403809</v>
      </c>
      <c r="F155" s="11" cm="1">
        <f t="array" aca="1" ref="F155" ca="1">INDEX(INDIRECT($M155),
       MATCH(TRIM($C155), TRIM(INDIRECT($N155)), 0),
       MATCH(TRIM(F$2), TRIM(INDIRECT($O155)), 0))</f>
        <v>8.4038090000000008</v>
      </c>
      <c r="G155" s="11" cm="1">
        <f t="array" aca="1" ref="G155" ca="1">INDEX(INDIRECT($M155),
       MATCH(TRIM($C155), TRIM(INDIRECT($N155)), 0),
       MATCH(TRIM(G$2), TRIM(INDIRECT($O155)), 0))</f>
        <v>1</v>
      </c>
      <c r="H155" s="9" cm="1">
        <f t="array" aca="1" ref="H155" ca="1">INDEX(INDIRECT($M155),
       MATCH(TRIM($C155), TRIM(INDIRECT($N155)), 0),
       MATCH(TRIM(H$2), TRIM(INDIRECT($O155)), 0))</f>
        <v>5623275</v>
      </c>
      <c r="I155" s="11" cm="1">
        <f t="array" aca="1" ref="I155" ca="1">INDEX(INDIRECT($M155),
       MATCH(TRIM($C155), TRIM(INDIRECT($N155)), 0),
       MATCH(TRIM(I$2), TRIM(INDIRECT($O155)), 0))</f>
        <v>5.6232749999999996</v>
      </c>
      <c r="J155" s="9" cm="1">
        <f t="array" aca="1" ref="J155" ca="1">INDEX(INDIRECT($M155),
       MATCH(TRIM($C155), TRIM(INDIRECT($N155)), 0),
       MATCH(TRIM(J$2), TRIM(INDIRECT($O155)), 0))</f>
        <v>12</v>
      </c>
      <c r="K155" s="11" cm="1">
        <f t="array" aca="1" ref="K155" ca="1">INDEX(INDIRECT($M155),
       MATCH(TRIM($C155), TRIM(INDIRECT($N155)), 0),
       MATCH(TRIM(K$2), TRIM(INDIRECT($O155)), 0))</f>
        <v>12.853773887057777</v>
      </c>
      <c r="L155" s="11" cm="1">
        <f t="array" aca="1" ref="L155" ca="1">INDEX(INDIRECT($M155),
       MATCH(TRIM($C155), TRIM(INDIRECT($N155)), 0),
       MATCH(TRIM(L$2), TRIM(INDIRECT($O155)), 0))</f>
        <v>26.880857887057779</v>
      </c>
      <c r="M155" s="5" t="str">
        <f t="shared" si="6"/>
        <v>'2017'!$N$3:$V$80</v>
      </c>
      <c r="N155" s="5" t="str">
        <f t="shared" si="7"/>
        <v>'2017'!$M$2:$M$80</v>
      </c>
      <c r="O155" s="5" t="str">
        <f t="shared" si="8"/>
        <v>'2017'!$N$2:$W$2</v>
      </c>
    </row>
    <row r="156" spans="1:15" x14ac:dyDescent="0.3">
      <c r="A156">
        <v>28</v>
      </c>
      <c r="B156" s="9">
        <v>2017</v>
      </c>
      <c r="C156" t="s">
        <v>27</v>
      </c>
      <c r="D156" s="11" cm="1">
        <f t="array" aca="1" ref="D156" ca="1">INDEX(INDIRECT($M156),
       MATCH(TRIM($C156), TRIM(INDIRECT($N156)), 0),
       MATCH(TRIM(D$2), TRIM(INDIRECT($O156)), 0))</f>
        <v>4</v>
      </c>
      <c r="E156" s="9" cm="1">
        <f t="array" aca="1" ref="E156" ca="1">INDEX(INDIRECT($M156),
       MATCH(TRIM($C156), TRIM(INDIRECT($N156)), 0),
       MATCH(TRIM(E$2), TRIM(INDIRECT($O156)), 0))</f>
        <v>123323812</v>
      </c>
      <c r="F156" s="11" cm="1">
        <f t="array" aca="1" ref="F156" ca="1">INDEX(INDIRECT($M156),
       MATCH(TRIM($C156), TRIM(INDIRECT($N156)), 0),
       MATCH(TRIM(F$2), TRIM(INDIRECT($O156)), 0))</f>
        <v>123.323812</v>
      </c>
      <c r="G156" s="11" cm="1">
        <f t="array" aca="1" ref="G156" ca="1">INDEX(INDIRECT($M156),
       MATCH(TRIM($C156), TRIM(INDIRECT($N156)), 0),
       MATCH(TRIM(G$2), TRIM(INDIRECT($O156)), 0))</f>
        <v>0</v>
      </c>
      <c r="H156" s="9" cm="1">
        <f t="array" aca="1" ref="H156" ca="1">INDEX(INDIRECT($M156),
       MATCH(TRIM($C156), TRIM(INDIRECT($N156)), 0),
       MATCH(TRIM(H$2), TRIM(INDIRECT($O156)), 0))</f>
        <v>0</v>
      </c>
      <c r="I156" s="11" cm="1">
        <f t="array" aca="1" ref="I156" ca="1">INDEX(INDIRECT($M156),
       MATCH(TRIM($C156), TRIM(INDIRECT($N156)), 0),
       MATCH(TRIM(I$2), TRIM(INDIRECT($O156)), 0))</f>
        <v>0</v>
      </c>
      <c r="J156" s="9" cm="1">
        <f t="array" aca="1" ref="J156" ca="1">INDEX(INDIRECT($M156),
       MATCH(TRIM($C156), TRIM(INDIRECT($N156)), 0),
       MATCH(TRIM(J$2), TRIM(INDIRECT($O156)), 0))</f>
        <v>2</v>
      </c>
      <c r="K156" s="11" cm="1">
        <f t="array" aca="1" ref="K156" ca="1">INDEX(INDIRECT($M156),
       MATCH(TRIM($C156), TRIM(INDIRECT($N156)), 0),
       MATCH(TRIM(K$2), TRIM(INDIRECT($O156)), 0))</f>
        <v>0.15921940622222222</v>
      </c>
      <c r="L156" s="11" cm="1">
        <f t="array" aca="1" ref="L156" ca="1">INDEX(INDIRECT($M156),
       MATCH(TRIM($C156), TRIM(INDIRECT($N156)), 0),
       MATCH(TRIM(L$2), TRIM(INDIRECT($O156)), 0))</f>
        <v>123.48303140622222</v>
      </c>
      <c r="M156" s="5" t="str">
        <f t="shared" si="6"/>
        <v>'2017'!$N$3:$V$80</v>
      </c>
      <c r="N156" s="5" t="str">
        <f t="shared" si="7"/>
        <v>'2017'!$M$2:$M$80</v>
      </c>
      <c r="O156" s="5" t="str">
        <f t="shared" si="8"/>
        <v>'2017'!$N$2:$W$2</v>
      </c>
    </row>
    <row r="157" spans="1:15" x14ac:dyDescent="0.3">
      <c r="A157">
        <v>29</v>
      </c>
      <c r="B157" s="9">
        <v>2017</v>
      </c>
      <c r="C157" t="s">
        <v>28</v>
      </c>
      <c r="D157" s="11" cm="1">
        <f t="array" aca="1" ref="D157" ca="1">INDEX(INDIRECT($M157),
       MATCH(TRIM($C157), TRIM(INDIRECT($N157)), 0),
       MATCH(TRIM(D$2), TRIM(INDIRECT($O157)), 0))</f>
        <v>15</v>
      </c>
      <c r="E157" s="9" cm="1">
        <f t="array" aca="1" ref="E157" ca="1">INDEX(INDIRECT($M157),
       MATCH(TRIM($C157), TRIM(INDIRECT($N157)), 0),
       MATCH(TRIM(E$2), TRIM(INDIRECT($O157)), 0))</f>
        <v>153488364</v>
      </c>
      <c r="F157" s="11" cm="1">
        <f t="array" aca="1" ref="F157" ca="1">INDEX(INDIRECT($M157),
       MATCH(TRIM($C157), TRIM(INDIRECT($N157)), 0),
       MATCH(TRIM(F$2), TRIM(INDIRECT($O157)), 0))</f>
        <v>153.48836399999999</v>
      </c>
      <c r="G157" s="11" cm="1">
        <f t="array" aca="1" ref="G157" ca="1">INDEX(INDIRECT($M157),
       MATCH(TRIM($C157), TRIM(INDIRECT($N157)), 0),
       MATCH(TRIM(G$2), TRIM(INDIRECT($O157)), 0))</f>
        <v>16</v>
      </c>
      <c r="H157" s="9" cm="1">
        <f t="array" aca="1" ref="H157" ca="1">INDEX(INDIRECT($M157),
       MATCH(TRIM($C157), TRIM(INDIRECT($N157)), 0),
       MATCH(TRIM(H$2), TRIM(INDIRECT($O157)), 0))</f>
        <v>73716667</v>
      </c>
      <c r="I157" s="11" cm="1">
        <f t="array" aca="1" ref="I157" ca="1">INDEX(INDIRECT($M157),
       MATCH(TRIM($C157), TRIM(INDIRECT($N157)), 0),
       MATCH(TRIM(I$2), TRIM(INDIRECT($O157)), 0))</f>
        <v>73.716667000000001</v>
      </c>
      <c r="J157" s="9" cm="1">
        <f t="array" aca="1" ref="J157" ca="1">INDEX(INDIRECT($M157),
       MATCH(TRIM($C157), TRIM(INDIRECT($N157)), 0),
       MATCH(TRIM(J$2), TRIM(INDIRECT($O157)), 0))</f>
        <v>4</v>
      </c>
      <c r="K157" s="11" cm="1">
        <f t="array" aca="1" ref="K157" ca="1">INDEX(INDIRECT($M157),
       MATCH(TRIM($C157), TRIM(INDIRECT($N157)), 0),
       MATCH(TRIM(K$2), TRIM(INDIRECT($O157)), 0))</f>
        <v>2.9471882000000003</v>
      </c>
      <c r="L157" s="11" cm="1">
        <f t="array" aca="1" ref="L157" ca="1">INDEX(INDIRECT($M157),
       MATCH(TRIM($C157), TRIM(INDIRECT($N157)), 0),
       MATCH(TRIM(L$2), TRIM(INDIRECT($O157)), 0))</f>
        <v>230.15221919999999</v>
      </c>
      <c r="M157" s="5" t="str">
        <f t="shared" si="6"/>
        <v>'2017'!$N$3:$V$80</v>
      </c>
      <c r="N157" s="5" t="str">
        <f t="shared" si="7"/>
        <v>'2017'!$M$2:$M$80</v>
      </c>
      <c r="O157" s="5" t="str">
        <f t="shared" si="8"/>
        <v>'2017'!$N$2:$W$2</v>
      </c>
    </row>
    <row r="158" spans="1:15" x14ac:dyDescent="0.3">
      <c r="A158">
        <v>30</v>
      </c>
      <c r="B158" s="9">
        <v>2017</v>
      </c>
      <c r="C158" t="s">
        <v>29</v>
      </c>
      <c r="D158" s="11" cm="1">
        <f t="array" aca="1" ref="D158" ca="1">INDEX(INDIRECT($M158),
       MATCH(TRIM($C158), TRIM(INDIRECT($N158)), 0),
       MATCH(TRIM(D$2), TRIM(INDIRECT($O158)), 0))</f>
        <v>48</v>
      </c>
      <c r="E158" s="9" cm="1">
        <f t="array" aca="1" ref="E158" ca="1">INDEX(INDIRECT($M158),
       MATCH(TRIM($C158), TRIM(INDIRECT($N158)), 0),
       MATCH(TRIM(E$2), TRIM(INDIRECT($O158)), 0))</f>
        <v>247935844</v>
      </c>
      <c r="F158" s="11" cm="1">
        <f t="array" aca="1" ref="F158" ca="1">INDEX(INDIRECT($M158),
       MATCH(TRIM($C158), TRIM(INDIRECT($N158)), 0),
       MATCH(TRIM(F$2), TRIM(INDIRECT($O158)), 0))</f>
        <v>247.935844</v>
      </c>
      <c r="G158" s="11" cm="1">
        <f t="array" aca="1" ref="G158" ca="1">INDEX(INDIRECT($M158),
       MATCH(TRIM($C158), TRIM(INDIRECT($N158)), 0),
       MATCH(TRIM(G$2), TRIM(INDIRECT($O158)), 0))</f>
        <v>27</v>
      </c>
      <c r="H158" s="9" cm="1">
        <f t="array" aca="1" ref="H158" ca="1">INDEX(INDIRECT($M158),
       MATCH(TRIM($C158), TRIM(INDIRECT($N158)), 0),
       MATCH(TRIM(H$2), TRIM(INDIRECT($O158)), 0))</f>
        <v>83332779</v>
      </c>
      <c r="I158" s="11" cm="1">
        <f t="array" aca="1" ref="I158" ca="1">INDEX(INDIRECT($M158),
       MATCH(TRIM($C158), TRIM(INDIRECT($N158)), 0),
       MATCH(TRIM(I$2), TRIM(INDIRECT($O158)), 0))</f>
        <v>83.332779000000002</v>
      </c>
      <c r="J158" s="9" cm="1">
        <f t="array" aca="1" ref="J158" ca="1">INDEX(INDIRECT($M158),
       MATCH(TRIM($C158), TRIM(INDIRECT($N158)), 0),
       MATCH(TRIM(J$2), TRIM(INDIRECT($O158)), 0))</f>
        <v>37</v>
      </c>
      <c r="K158" s="11" cm="1">
        <f t="array" aca="1" ref="K158" ca="1">INDEX(INDIRECT($M158),
       MATCH(TRIM($C158), TRIM(INDIRECT($N158)), 0),
       MATCH(TRIM(K$2), TRIM(INDIRECT($O158)), 0))</f>
        <v>34.878995689688878</v>
      </c>
      <c r="L158" s="11" cm="1">
        <f t="array" aca="1" ref="L158" ca="1">INDEX(INDIRECT($M158),
       MATCH(TRIM($C158), TRIM(INDIRECT($N158)), 0),
       MATCH(TRIM(L$2), TRIM(INDIRECT($O158)), 0))</f>
        <v>366.1476186896889</v>
      </c>
      <c r="M158" s="5" t="str">
        <f t="shared" si="6"/>
        <v>'2017'!$N$3:$V$80</v>
      </c>
      <c r="N158" s="5" t="str">
        <f t="shared" si="7"/>
        <v>'2017'!$M$2:$M$80</v>
      </c>
      <c r="O158" s="5" t="str">
        <f t="shared" si="8"/>
        <v>'2017'!$N$2:$W$2</v>
      </c>
    </row>
    <row r="159" spans="1:15" x14ac:dyDescent="0.3">
      <c r="A159">
        <v>31</v>
      </c>
      <c r="B159" s="9">
        <v>2017</v>
      </c>
      <c r="C159" t="s">
        <v>30</v>
      </c>
      <c r="D159" s="11" cm="1">
        <f t="array" aca="1" ref="D159" ca="1">INDEX(INDIRECT($M159),
       MATCH(TRIM($C159), TRIM(INDIRECT($N159)), 0),
       MATCH(TRIM(D$2), TRIM(INDIRECT($O159)), 0))</f>
        <v>18</v>
      </c>
      <c r="E159" s="9" cm="1">
        <f t="array" aca="1" ref="E159" ca="1">INDEX(INDIRECT($M159),
       MATCH(TRIM($C159), TRIM(INDIRECT($N159)), 0),
       MATCH(TRIM(E$2), TRIM(INDIRECT($O159)), 0))</f>
        <v>119108690</v>
      </c>
      <c r="F159" s="11" cm="1">
        <f t="array" aca="1" ref="F159" ca="1">INDEX(INDIRECT($M159),
       MATCH(TRIM($C159), TRIM(INDIRECT($N159)), 0),
       MATCH(TRIM(F$2), TRIM(INDIRECT($O159)), 0))</f>
        <v>119.10869</v>
      </c>
      <c r="G159" s="11" cm="1">
        <f t="array" aca="1" ref="G159" ca="1">INDEX(INDIRECT($M159),
       MATCH(TRIM($C159), TRIM(INDIRECT($N159)), 0),
       MATCH(TRIM(G$2), TRIM(INDIRECT($O159)), 0))</f>
        <v>19</v>
      </c>
      <c r="H159" s="9" cm="1">
        <f t="array" aca="1" ref="H159" ca="1">INDEX(INDIRECT($M159),
       MATCH(TRIM($C159), TRIM(INDIRECT($N159)), 0),
       MATCH(TRIM(H$2), TRIM(INDIRECT($O159)), 0))</f>
        <v>104644243</v>
      </c>
      <c r="I159" s="11" cm="1">
        <f t="array" aca="1" ref="I159" ca="1">INDEX(INDIRECT($M159),
       MATCH(TRIM($C159), TRIM(INDIRECT($N159)), 0),
       MATCH(TRIM(I$2), TRIM(INDIRECT($O159)), 0))</f>
        <v>104.644243</v>
      </c>
      <c r="J159" s="9" cm="1">
        <f t="array" aca="1" ref="J159" ca="1">INDEX(INDIRECT($M159),
       MATCH(TRIM($C159), TRIM(INDIRECT($N159)), 0),
       MATCH(TRIM(J$2), TRIM(INDIRECT($O159)), 0))</f>
        <v>16</v>
      </c>
      <c r="K159" s="11" cm="1">
        <f t="array" aca="1" ref="K159" ca="1">INDEX(INDIRECT($M159),
       MATCH(TRIM($C159), TRIM(INDIRECT($N159)), 0),
       MATCH(TRIM(K$2), TRIM(INDIRECT($O159)), 0))</f>
        <v>20.844702517466665</v>
      </c>
      <c r="L159" s="11" cm="1">
        <f t="array" aca="1" ref="L159" ca="1">INDEX(INDIRECT($M159),
       MATCH(TRIM($C159), TRIM(INDIRECT($N159)), 0),
       MATCH(TRIM(L$2), TRIM(INDIRECT($O159)), 0))</f>
        <v>244.59763551746664</v>
      </c>
      <c r="M159" s="5" t="str">
        <f t="shared" si="6"/>
        <v>'2017'!$N$3:$V$80</v>
      </c>
      <c r="N159" s="5" t="str">
        <f t="shared" si="7"/>
        <v>'2017'!$M$2:$M$80</v>
      </c>
      <c r="O159" s="5" t="str">
        <f t="shared" si="8"/>
        <v>'2017'!$N$2:$W$2</v>
      </c>
    </row>
    <row r="160" spans="1:15" x14ac:dyDescent="0.3">
      <c r="A160">
        <v>32</v>
      </c>
      <c r="B160" s="9">
        <v>2017</v>
      </c>
      <c r="C160" t="s">
        <v>31</v>
      </c>
      <c r="D160" s="11" t="e" cm="1">
        <f t="array" aca="1" ref="D160" ca="1">INDEX(INDIRECT($M160),
       MATCH(TRIM($C160), TRIM(INDIRECT($N160)), 0),
       MATCH(TRIM(D$2), TRIM(INDIRECT($O160)), 0))</f>
        <v>#N/A</v>
      </c>
      <c r="E160" s="9" t="e" cm="1">
        <f t="array" aca="1" ref="E160" ca="1">INDEX(INDIRECT($M160),
       MATCH(TRIM($C160), TRIM(INDIRECT($N160)), 0),
       MATCH(TRIM(E$2), TRIM(INDIRECT($O160)), 0))</f>
        <v>#N/A</v>
      </c>
      <c r="F160" s="11" t="e" cm="1">
        <f t="array" aca="1" ref="F160" ca="1">INDEX(INDIRECT($M160),
       MATCH(TRIM($C160), TRIM(INDIRECT($N160)), 0),
       MATCH(TRIM(F$2), TRIM(INDIRECT($O160)), 0))</f>
        <v>#N/A</v>
      </c>
      <c r="G160" s="11" t="e" cm="1">
        <f t="array" aca="1" ref="G160" ca="1">INDEX(INDIRECT($M160),
       MATCH(TRIM($C160), TRIM(INDIRECT($N160)), 0),
       MATCH(TRIM(G$2), TRIM(INDIRECT($O160)), 0))</f>
        <v>#N/A</v>
      </c>
      <c r="H160" s="9" t="e" cm="1">
        <f t="array" aca="1" ref="H160" ca="1">INDEX(INDIRECT($M160),
       MATCH(TRIM($C160), TRIM(INDIRECT($N160)), 0),
       MATCH(TRIM(H$2), TRIM(INDIRECT($O160)), 0))</f>
        <v>#N/A</v>
      </c>
      <c r="I160" s="11" t="e" cm="1">
        <f t="array" aca="1" ref="I160" ca="1">INDEX(INDIRECT($M160),
       MATCH(TRIM($C160), TRIM(INDIRECT($N160)), 0),
       MATCH(TRIM(I$2), TRIM(INDIRECT($O160)), 0))</f>
        <v>#N/A</v>
      </c>
      <c r="J160" s="9" t="e" cm="1">
        <f t="array" aca="1" ref="J160" ca="1">INDEX(INDIRECT($M160),
       MATCH(TRIM($C160), TRIM(INDIRECT($N160)), 0),
       MATCH(TRIM(J$2), TRIM(INDIRECT($O160)), 0))</f>
        <v>#N/A</v>
      </c>
      <c r="K160" s="11" t="e" cm="1">
        <f t="array" aca="1" ref="K160" ca="1">INDEX(INDIRECT($M160),
       MATCH(TRIM($C160), TRIM(INDIRECT($N160)), 0),
       MATCH(TRIM(K$2), TRIM(INDIRECT($O160)), 0))</f>
        <v>#N/A</v>
      </c>
      <c r="L160" s="11" t="e" cm="1">
        <f t="array" aca="1" ref="L160" ca="1">INDEX(INDIRECT($M160),
       MATCH(TRIM($C160), TRIM(INDIRECT($N160)), 0),
       MATCH(TRIM(L$2), TRIM(INDIRECT($O160)), 0))</f>
        <v>#N/A</v>
      </c>
      <c r="M160" s="5" t="str">
        <f t="shared" si="6"/>
        <v>'2017'!$N$3:$V$80</v>
      </c>
      <c r="N160" s="5" t="str">
        <f t="shared" si="7"/>
        <v>'2017'!$M$2:$M$80</v>
      </c>
      <c r="O160" s="5" t="str">
        <f t="shared" si="8"/>
        <v>'2017'!$N$2:$W$2</v>
      </c>
    </row>
    <row r="161" spans="1:15" x14ac:dyDescent="0.3">
      <c r="A161">
        <v>33</v>
      </c>
      <c r="B161" s="9">
        <v>2017</v>
      </c>
      <c r="C161" t="s">
        <v>32</v>
      </c>
      <c r="D161" s="11" cm="1">
        <f t="array" aca="1" ref="D161" ca="1">INDEX(INDIRECT($M161),
       MATCH(TRIM($C161), TRIM(INDIRECT($N161)), 0),
       MATCH(TRIM(D$2), TRIM(INDIRECT($O161)), 0))</f>
        <v>2</v>
      </c>
      <c r="E161" s="9" cm="1">
        <f t="array" aca="1" ref="E161" ca="1">INDEX(INDIRECT($M161),
       MATCH(TRIM($C161), TRIM(INDIRECT($N161)), 0),
       MATCH(TRIM(E$2), TRIM(INDIRECT($O161)), 0))</f>
        <v>8145000</v>
      </c>
      <c r="F161" s="11" cm="1">
        <f t="array" aca="1" ref="F161" ca="1">INDEX(INDIRECT($M161),
       MATCH(TRIM($C161), TRIM(INDIRECT($N161)), 0),
       MATCH(TRIM(F$2), TRIM(INDIRECT($O161)), 0))</f>
        <v>8.1449999999999996</v>
      </c>
      <c r="G161" s="11" cm="1">
        <f t="array" aca="1" ref="G161" ca="1">INDEX(INDIRECT($M161),
       MATCH(TRIM($C161), TRIM(INDIRECT($N161)), 0),
       MATCH(TRIM(G$2), TRIM(INDIRECT($O161)), 0))</f>
        <v>2</v>
      </c>
      <c r="H161" s="9" cm="1">
        <f t="array" aca="1" ref="H161" ca="1">INDEX(INDIRECT($M161),
       MATCH(TRIM($C161), TRIM(INDIRECT($N161)), 0),
       MATCH(TRIM(H$2), TRIM(INDIRECT($O161)), 0))</f>
        <v>3632000</v>
      </c>
      <c r="I161" s="11" cm="1">
        <f t="array" aca="1" ref="I161" ca="1">INDEX(INDIRECT($M161),
       MATCH(TRIM($C161), TRIM(INDIRECT($N161)), 0),
       MATCH(TRIM(I$2), TRIM(INDIRECT($O161)), 0))</f>
        <v>3.6320000000000001</v>
      </c>
      <c r="J161" s="9" cm="1">
        <f t="array" aca="1" ref="J161" ca="1">INDEX(INDIRECT($M161),
       MATCH(TRIM($C161), TRIM(INDIRECT($N161)), 0),
       MATCH(TRIM(J$2), TRIM(INDIRECT($O161)), 0))</f>
        <v>3</v>
      </c>
      <c r="K161" s="11" cm="1">
        <f t="array" aca="1" ref="K161" ca="1">INDEX(INDIRECT($M161),
       MATCH(TRIM($C161), TRIM(INDIRECT($N161)), 0),
       MATCH(TRIM(K$2), TRIM(INDIRECT($O161)), 0))</f>
        <v>6.571827777777778</v>
      </c>
      <c r="L161" s="11" cm="1">
        <f t="array" aca="1" ref="L161" ca="1">INDEX(INDIRECT($M161),
       MATCH(TRIM($C161), TRIM(INDIRECT($N161)), 0),
       MATCH(TRIM(L$2), TRIM(INDIRECT($O161)), 0))</f>
        <v>18.348827777777778</v>
      </c>
      <c r="M161" s="5" t="str">
        <f t="shared" si="6"/>
        <v>'2017'!$N$3:$V$80</v>
      </c>
      <c r="N161" s="5" t="str">
        <f t="shared" si="7"/>
        <v>'2017'!$M$2:$M$80</v>
      </c>
      <c r="O161" s="5" t="str">
        <f t="shared" si="8"/>
        <v>'2017'!$N$2:$W$2</v>
      </c>
    </row>
    <row r="162" spans="1:15" x14ac:dyDescent="0.3">
      <c r="A162">
        <v>34</v>
      </c>
      <c r="B162" s="9">
        <v>2017</v>
      </c>
      <c r="C162" t="s">
        <v>33</v>
      </c>
      <c r="D162" s="11" cm="1">
        <f t="array" aca="1" ref="D162" ca="1">INDEX(INDIRECT($M162),
       MATCH(TRIM($C162), TRIM(INDIRECT($N162)), 0),
       MATCH(TRIM(D$2), TRIM(INDIRECT($O162)), 0))</f>
        <v>66</v>
      </c>
      <c r="E162" s="9" cm="1">
        <f t="array" aca="1" ref="E162" ca="1">INDEX(INDIRECT($M162),
       MATCH(TRIM($C162), TRIM(INDIRECT($N162)), 0),
       MATCH(TRIM(E$2), TRIM(INDIRECT($O162)), 0))</f>
        <v>115862408</v>
      </c>
      <c r="F162" s="11" cm="1">
        <f t="array" aca="1" ref="F162" ca="1">INDEX(INDIRECT($M162),
       MATCH(TRIM($C162), TRIM(INDIRECT($N162)), 0),
       MATCH(TRIM(F$2), TRIM(INDIRECT($O162)), 0))</f>
        <v>115.862408</v>
      </c>
      <c r="G162" s="11" cm="1">
        <f t="array" aca="1" ref="G162" ca="1">INDEX(INDIRECT($M162),
       MATCH(TRIM($C162), TRIM(INDIRECT($N162)), 0),
       MATCH(TRIM(G$2), TRIM(INDIRECT($O162)), 0))</f>
        <v>6</v>
      </c>
      <c r="H162" s="9" cm="1">
        <f t="array" aca="1" ref="H162" ca="1">INDEX(INDIRECT($M162),
       MATCH(TRIM($C162), TRIM(INDIRECT($N162)), 0),
       MATCH(TRIM(H$2), TRIM(INDIRECT($O162)), 0))</f>
        <v>938566</v>
      </c>
      <c r="I162" s="11" cm="1">
        <f t="array" aca="1" ref="I162" ca="1">INDEX(INDIRECT($M162),
       MATCH(TRIM($C162), TRIM(INDIRECT($N162)), 0),
       MATCH(TRIM(I$2), TRIM(INDIRECT($O162)), 0))</f>
        <v>0.93856600000000001</v>
      </c>
      <c r="J162" s="9" cm="1">
        <f t="array" aca="1" ref="J162" ca="1">INDEX(INDIRECT($M162),
       MATCH(TRIM($C162), TRIM(INDIRECT($N162)), 0),
       MATCH(TRIM(J$2), TRIM(INDIRECT($O162)), 0))</f>
        <v>111</v>
      </c>
      <c r="K162" s="11" cm="1">
        <f t="array" aca="1" ref="K162" ca="1">INDEX(INDIRECT($M162),
       MATCH(TRIM($C162), TRIM(INDIRECT($N162)), 0),
       MATCH(TRIM(K$2), TRIM(INDIRECT($O162)), 0))</f>
        <v>25.769633608844437</v>
      </c>
      <c r="L162" s="11" cm="1">
        <f t="array" aca="1" ref="L162" ca="1">INDEX(INDIRECT($M162),
       MATCH(TRIM($C162), TRIM(INDIRECT($N162)), 0),
       MATCH(TRIM(L$2), TRIM(INDIRECT($O162)), 0))</f>
        <v>142.57060760884443</v>
      </c>
      <c r="M162" s="5" t="str">
        <f t="shared" si="6"/>
        <v>'2017'!$N$3:$V$80</v>
      </c>
      <c r="N162" s="5" t="str">
        <f t="shared" si="7"/>
        <v>'2017'!$M$2:$M$80</v>
      </c>
      <c r="O162" s="5" t="str">
        <f t="shared" si="8"/>
        <v>'2017'!$N$2:$W$2</v>
      </c>
    </row>
    <row r="163" spans="1:15" x14ac:dyDescent="0.3">
      <c r="A163">
        <v>35</v>
      </c>
      <c r="B163" s="9">
        <v>2017</v>
      </c>
      <c r="C163" t="s">
        <v>34</v>
      </c>
      <c r="D163" s="11" cm="1">
        <f t="array" aca="1" ref="D163" ca="1">INDEX(INDIRECT($M163),
       MATCH(TRIM($C163), TRIM(INDIRECT($N163)), 0),
       MATCH(TRIM(D$2), TRIM(INDIRECT($O163)), 0))</f>
        <v>6</v>
      </c>
      <c r="E163" s="9" cm="1">
        <f t="array" aca="1" ref="E163" ca="1">INDEX(INDIRECT($M163),
       MATCH(TRIM($C163), TRIM(INDIRECT($N163)), 0),
       MATCH(TRIM(E$2), TRIM(INDIRECT($O163)), 0))</f>
        <v>68621019</v>
      </c>
      <c r="F163" s="11" cm="1">
        <f t="array" aca="1" ref="F163" ca="1">INDEX(INDIRECT($M163),
       MATCH(TRIM($C163), TRIM(INDIRECT($N163)), 0),
       MATCH(TRIM(F$2), TRIM(INDIRECT($O163)), 0))</f>
        <v>68.621019000000004</v>
      </c>
      <c r="G163" s="11" cm="1">
        <f t="array" aca="1" ref="G163" ca="1">INDEX(INDIRECT($M163),
       MATCH(TRIM($C163), TRIM(INDIRECT($N163)), 0),
       MATCH(TRIM(G$2), TRIM(INDIRECT($O163)), 0))</f>
        <v>7</v>
      </c>
      <c r="H163" s="9" cm="1">
        <f t="array" aca="1" ref="H163" ca="1">INDEX(INDIRECT($M163),
       MATCH(TRIM($C163), TRIM(INDIRECT($N163)), 0),
       MATCH(TRIM(H$2), TRIM(INDIRECT($O163)), 0))</f>
        <v>67300000</v>
      </c>
      <c r="I163" s="11" cm="1">
        <f t="array" aca="1" ref="I163" ca="1">INDEX(INDIRECT($M163),
       MATCH(TRIM($C163), TRIM(INDIRECT($N163)), 0),
       MATCH(TRIM(I$2), TRIM(INDIRECT($O163)), 0))</f>
        <v>67.3</v>
      </c>
      <c r="J163" s="9" cm="1">
        <f t="array" aca="1" ref="J163" ca="1">INDEX(INDIRECT($M163),
       MATCH(TRIM($C163), TRIM(INDIRECT($N163)), 0),
       MATCH(TRIM(J$2), TRIM(INDIRECT($O163)), 0))</f>
        <v>10</v>
      </c>
      <c r="K163" s="11" cm="1">
        <f t="array" aca="1" ref="K163" ca="1">INDEX(INDIRECT($M163),
       MATCH(TRIM($C163), TRIM(INDIRECT($N163)), 0),
       MATCH(TRIM(K$2), TRIM(INDIRECT($O163)), 0))</f>
        <v>14.129623984444446</v>
      </c>
      <c r="L163" s="11" cm="1">
        <f t="array" aca="1" ref="L163" ca="1">INDEX(INDIRECT($M163),
       MATCH(TRIM($C163), TRIM(INDIRECT($N163)), 0),
       MATCH(TRIM(L$2), TRIM(INDIRECT($O163)), 0))</f>
        <v>150.05064298444444</v>
      </c>
      <c r="M163" s="5" t="str">
        <f t="shared" si="6"/>
        <v>'2017'!$N$3:$V$80</v>
      </c>
      <c r="N163" s="5" t="str">
        <f t="shared" si="7"/>
        <v>'2017'!$M$2:$M$80</v>
      </c>
      <c r="O163" s="5" t="str">
        <f t="shared" si="8"/>
        <v>'2017'!$N$2:$W$2</v>
      </c>
    </row>
    <row r="164" spans="1:15" x14ac:dyDescent="0.3">
      <c r="A164">
        <v>36</v>
      </c>
      <c r="B164" s="9">
        <v>2017</v>
      </c>
      <c r="C164" t="s">
        <v>35</v>
      </c>
      <c r="D164" s="11" cm="1">
        <f t="array" aca="1" ref="D164" ca="1">INDEX(INDIRECT($M164),
       MATCH(TRIM($C164), TRIM(INDIRECT($N164)), 0),
       MATCH(TRIM(D$2), TRIM(INDIRECT($O164)), 0))</f>
        <v>1</v>
      </c>
      <c r="E164" s="9" cm="1">
        <f t="array" aca="1" ref="E164" ca="1">INDEX(INDIRECT($M164),
       MATCH(TRIM($C164), TRIM(INDIRECT($N164)), 0),
       MATCH(TRIM(E$2), TRIM(INDIRECT($O164)), 0))</f>
        <v>20000000</v>
      </c>
      <c r="F164" s="11" cm="1">
        <f t="array" aca="1" ref="F164" ca="1">INDEX(INDIRECT($M164),
       MATCH(TRIM($C164), TRIM(INDIRECT($N164)), 0),
       MATCH(TRIM(F$2), TRIM(INDIRECT($O164)), 0))</f>
        <v>20</v>
      </c>
      <c r="G164" s="11" cm="1">
        <f t="array" aca="1" ref="G164" ca="1">INDEX(INDIRECT($M164),
       MATCH(TRIM($C164), TRIM(INDIRECT($N164)), 0),
       MATCH(TRIM(G$2), TRIM(INDIRECT($O164)), 0))</f>
        <v>0</v>
      </c>
      <c r="H164" s="9" cm="1">
        <f t="array" aca="1" ref="H164" ca="1">INDEX(INDIRECT($M164),
       MATCH(TRIM($C164), TRIM(INDIRECT($N164)), 0),
       MATCH(TRIM(H$2), TRIM(INDIRECT($O164)), 0))</f>
        <v>0</v>
      </c>
      <c r="I164" s="11" cm="1">
        <f t="array" aca="1" ref="I164" ca="1">INDEX(INDIRECT($M164),
       MATCH(TRIM($C164), TRIM(INDIRECT($N164)), 0),
       MATCH(TRIM(I$2), TRIM(INDIRECT($O164)), 0))</f>
        <v>0</v>
      </c>
      <c r="J164" s="9" cm="1">
        <f t="array" aca="1" ref="J164" ca="1">INDEX(INDIRECT($M164),
       MATCH(TRIM($C164), TRIM(INDIRECT($N164)), 0),
       MATCH(TRIM(J$2), TRIM(INDIRECT($O164)), 0))</f>
        <v>0</v>
      </c>
      <c r="K164" s="11" cm="1">
        <f t="array" aca="1" ref="K164" ca="1">INDEX(INDIRECT($M164),
       MATCH(TRIM($C164), TRIM(INDIRECT($N164)), 0),
       MATCH(TRIM(K$2), TRIM(INDIRECT($O164)), 0))</f>
        <v>0</v>
      </c>
      <c r="L164" s="11" cm="1">
        <f t="array" aca="1" ref="L164" ca="1">INDEX(INDIRECT($M164),
       MATCH(TRIM($C164), TRIM(INDIRECT($N164)), 0),
       MATCH(TRIM(L$2), TRIM(INDIRECT($O164)), 0))</f>
        <v>20</v>
      </c>
      <c r="M164" s="5" t="str">
        <f t="shared" si="6"/>
        <v>'2017'!$N$3:$V$80</v>
      </c>
      <c r="N164" s="5" t="str">
        <f t="shared" si="7"/>
        <v>'2017'!$M$2:$M$80</v>
      </c>
      <c r="O164" s="5" t="str">
        <f t="shared" si="8"/>
        <v>'2017'!$N$2:$W$2</v>
      </c>
    </row>
    <row r="165" spans="1:15" x14ac:dyDescent="0.3">
      <c r="A165">
        <v>37</v>
      </c>
      <c r="B165" s="9">
        <v>2017</v>
      </c>
      <c r="C165" t="s">
        <v>36</v>
      </c>
      <c r="D165" s="11" cm="1">
        <f t="array" aca="1" ref="D165" ca="1">INDEX(INDIRECT($M165),
       MATCH(TRIM($C165), TRIM(INDIRECT($N165)), 0),
       MATCH(TRIM(D$2), TRIM(INDIRECT($O165)), 0))</f>
        <v>2591</v>
      </c>
      <c r="E165" s="9" cm="1">
        <f t="array" aca="1" ref="E165" ca="1">INDEX(INDIRECT($M165),
       MATCH(TRIM($C165), TRIM(INDIRECT($N165)), 0),
       MATCH(TRIM(E$2), TRIM(INDIRECT($O165)), 0))</f>
        <v>21275893301.419998</v>
      </c>
      <c r="F165" s="11" cm="1">
        <f t="array" aca="1" ref="F165" ca="1">INDEX(INDIRECT($M165),
       MATCH(TRIM($C165), TRIM(INDIRECT($N165)), 0),
       MATCH(TRIM(F$2), TRIM(INDIRECT($O165)), 0))</f>
        <v>21275.893301420001</v>
      </c>
      <c r="G165" s="11" cm="1">
        <f t="array" aca="1" ref="G165" ca="1">INDEX(INDIRECT($M165),
       MATCH(TRIM($C165), TRIM(INDIRECT($N165)), 0),
       MATCH(TRIM(G$2), TRIM(INDIRECT($O165)), 0))</f>
        <v>1188</v>
      </c>
      <c r="H165" s="9" cm="1">
        <f t="array" aca="1" ref="H165" ca="1">INDEX(INDIRECT($M165),
       MATCH(TRIM($C165), TRIM(INDIRECT($N165)), 0),
       MATCH(TRIM(H$2), TRIM(INDIRECT($O165)), 0))</f>
        <v>8416842049.3382816</v>
      </c>
      <c r="I165" s="11" cm="1">
        <f t="array" aca="1" ref="I165" ca="1">INDEX(INDIRECT($M165),
       MATCH(TRIM($C165), TRIM(INDIRECT($N165)), 0),
       MATCH(TRIM(I$2), TRIM(INDIRECT($O165)), 0))</f>
        <v>8416.84204933828</v>
      </c>
      <c r="J165" s="9" cm="1">
        <f t="array" aca="1" ref="J165" ca="1">INDEX(INDIRECT($M165),
       MATCH(TRIM($C165), TRIM(INDIRECT($N165)), 0),
       MATCH(TRIM(J$2), TRIM(INDIRECT($O165)), 0))</f>
        <v>5002</v>
      </c>
      <c r="K165" s="11" cm="1">
        <f t="array" aca="1" ref="K165" ca="1">INDEX(INDIRECT($M165),
       MATCH(TRIM($C165), TRIM(INDIRECT($N165)), 0),
       MATCH(TRIM(K$2), TRIM(INDIRECT($O165)), 0))</f>
        <v>6191.1145319785464</v>
      </c>
      <c r="L165" s="11" cm="1">
        <f t="array" aca="1" ref="L165" ca="1">INDEX(INDIRECT($M165),
       MATCH(TRIM($C165), TRIM(INDIRECT($N165)), 0),
       MATCH(TRIM(L$2), TRIM(INDIRECT($O165)), 0))</f>
        <v>35883.84988273686</v>
      </c>
      <c r="M165" s="5" t="str">
        <f t="shared" si="6"/>
        <v>'2017'!$N$3:$V$80</v>
      </c>
      <c r="N165" s="5" t="str">
        <f t="shared" si="7"/>
        <v>'2017'!$M$2:$M$80</v>
      </c>
      <c r="O165" s="5" t="str">
        <f t="shared" si="8"/>
        <v>'2017'!$N$2:$W$2</v>
      </c>
    </row>
    <row r="166" spans="1:15" x14ac:dyDescent="0.3">
      <c r="A166">
        <v>38</v>
      </c>
      <c r="B166" s="9">
        <v>2017</v>
      </c>
      <c r="C166" t="s">
        <v>37</v>
      </c>
      <c r="D166" s="11" cm="1">
        <f t="array" aca="1" ref="D166" ca="1">INDEX(INDIRECT($M166),
       MATCH(TRIM($C166), TRIM(INDIRECT($N166)), 0),
       MATCH(TRIM(D$2), TRIM(INDIRECT($O166)), 0))</f>
        <v>1</v>
      </c>
      <c r="E166" s="9" cm="1">
        <f t="array" aca="1" ref="E166" ca="1">INDEX(INDIRECT($M166),
       MATCH(TRIM($C166), TRIM(INDIRECT($N166)), 0),
       MATCH(TRIM(E$2), TRIM(INDIRECT($O166)), 0))</f>
        <v>23479000</v>
      </c>
      <c r="F166" s="11" cm="1">
        <f t="array" aca="1" ref="F166" ca="1">INDEX(INDIRECT($M166),
       MATCH(TRIM($C166), TRIM(INDIRECT($N166)), 0),
       MATCH(TRIM(F$2), TRIM(INDIRECT($O166)), 0))</f>
        <v>23.478999999999999</v>
      </c>
      <c r="G166" s="11" cm="1">
        <f t="array" aca="1" ref="G166" ca="1">INDEX(INDIRECT($M166),
       MATCH(TRIM($C166), TRIM(INDIRECT($N166)), 0),
       MATCH(TRIM(G$2), TRIM(INDIRECT($O166)), 0))</f>
        <v>0</v>
      </c>
      <c r="H166" s="9" cm="1">
        <f t="array" aca="1" ref="H166" ca="1">INDEX(INDIRECT($M166),
       MATCH(TRIM($C166), TRIM(INDIRECT($N166)), 0),
       MATCH(TRIM(H$2), TRIM(INDIRECT($O166)), 0))</f>
        <v>0</v>
      </c>
      <c r="I166" s="11" cm="1">
        <f t="array" aca="1" ref="I166" ca="1">INDEX(INDIRECT($M166),
       MATCH(TRIM($C166), TRIM(INDIRECT($N166)), 0),
       MATCH(TRIM(I$2), TRIM(INDIRECT($O166)), 0))</f>
        <v>0</v>
      </c>
      <c r="J166" s="9" cm="1">
        <f t="array" aca="1" ref="J166" ca="1">INDEX(INDIRECT($M166),
       MATCH(TRIM($C166), TRIM(INDIRECT($N166)), 0),
       MATCH(TRIM(J$2), TRIM(INDIRECT($O166)), 0))</f>
        <v>1</v>
      </c>
      <c r="K166" s="11" cm="1">
        <f t="array" aca="1" ref="K166" ca="1">INDEX(INDIRECT($M166),
       MATCH(TRIM($C166), TRIM(INDIRECT($N166)), 0),
       MATCH(TRIM(K$2), TRIM(INDIRECT($O166)), 0))</f>
        <v>0.1367026798222222</v>
      </c>
      <c r="L166" s="11" cm="1">
        <f t="array" aca="1" ref="L166" ca="1">INDEX(INDIRECT($M166),
       MATCH(TRIM($C166), TRIM(INDIRECT($N166)), 0),
       MATCH(TRIM(L$2), TRIM(INDIRECT($O166)), 0))</f>
        <v>23.61570267982222</v>
      </c>
      <c r="M166" s="5" t="str">
        <f t="shared" si="6"/>
        <v>'2017'!$N$3:$V$80</v>
      </c>
      <c r="N166" s="5" t="str">
        <f t="shared" si="7"/>
        <v>'2017'!$M$2:$M$80</v>
      </c>
      <c r="O166" s="5" t="str">
        <f t="shared" si="8"/>
        <v>'2017'!$N$2:$W$2</v>
      </c>
    </row>
    <row r="167" spans="1:15" x14ac:dyDescent="0.3">
      <c r="A167">
        <v>39</v>
      </c>
      <c r="B167" s="9">
        <v>2017</v>
      </c>
      <c r="C167" t="s">
        <v>38</v>
      </c>
      <c r="D167" s="11" cm="1">
        <f t="array" aca="1" ref="D167" ca="1">INDEX(INDIRECT($M167),
       MATCH(TRIM($C167), TRIM(INDIRECT($N167)), 0),
       MATCH(TRIM(D$2), TRIM(INDIRECT($O167)), 0))</f>
        <v>7</v>
      </c>
      <c r="E167" s="9" cm="1">
        <f t="array" aca="1" ref="E167" ca="1">INDEX(INDIRECT($M167),
       MATCH(TRIM($C167), TRIM(INDIRECT($N167)), 0),
       MATCH(TRIM(E$2), TRIM(INDIRECT($O167)), 0))</f>
        <v>16413853</v>
      </c>
      <c r="F167" s="11" cm="1">
        <f t="array" aca="1" ref="F167" ca="1">INDEX(INDIRECT($M167),
       MATCH(TRIM($C167), TRIM(INDIRECT($N167)), 0),
       MATCH(TRIM(F$2), TRIM(INDIRECT($O167)), 0))</f>
        <v>16.413853</v>
      </c>
      <c r="G167" s="11" cm="1">
        <f t="array" aca="1" ref="G167" ca="1">INDEX(INDIRECT($M167),
       MATCH(TRIM($C167), TRIM(INDIRECT($N167)), 0),
       MATCH(TRIM(G$2), TRIM(INDIRECT($O167)), 0))</f>
        <v>2</v>
      </c>
      <c r="H167" s="9" cm="1">
        <f t="array" aca="1" ref="H167" ca="1">INDEX(INDIRECT($M167),
       MATCH(TRIM($C167), TRIM(INDIRECT($N167)), 0),
       MATCH(TRIM(H$2), TRIM(INDIRECT($O167)), 0))</f>
        <v>40549836</v>
      </c>
      <c r="I167" s="11" cm="1">
        <f t="array" aca="1" ref="I167" ca="1">INDEX(INDIRECT($M167),
       MATCH(TRIM($C167), TRIM(INDIRECT($N167)), 0),
       MATCH(TRIM(I$2), TRIM(INDIRECT($O167)), 0))</f>
        <v>40.549835999999999</v>
      </c>
      <c r="J167" s="9" cm="1">
        <f t="array" aca="1" ref="J167" ca="1">INDEX(INDIRECT($M167),
       MATCH(TRIM($C167), TRIM(INDIRECT($N167)), 0),
       MATCH(TRIM(J$2), TRIM(INDIRECT($O167)), 0))</f>
        <v>13</v>
      </c>
      <c r="K167" s="11" cm="1">
        <f t="array" aca="1" ref="K167" ca="1">INDEX(INDIRECT($M167),
       MATCH(TRIM($C167), TRIM(INDIRECT($N167)), 0),
       MATCH(TRIM(K$2), TRIM(INDIRECT($O167)), 0))</f>
        <v>41.943220769244469</v>
      </c>
      <c r="L167" s="11" cm="1">
        <f t="array" aca="1" ref="L167" ca="1">INDEX(INDIRECT($M167),
       MATCH(TRIM($C167), TRIM(INDIRECT($N167)), 0),
       MATCH(TRIM(L$2), TRIM(INDIRECT($O167)), 0))</f>
        <v>98.906909769244464</v>
      </c>
      <c r="M167" s="5" t="str">
        <f t="shared" si="6"/>
        <v>'2017'!$N$3:$V$80</v>
      </c>
      <c r="N167" s="5" t="str">
        <f t="shared" si="7"/>
        <v>'2017'!$M$2:$M$80</v>
      </c>
      <c r="O167" s="5" t="str">
        <f t="shared" si="8"/>
        <v>'2017'!$N$2:$W$2</v>
      </c>
    </row>
    <row r="168" spans="1:15" x14ac:dyDescent="0.3">
      <c r="A168">
        <v>40</v>
      </c>
      <c r="B168" s="9">
        <v>2017</v>
      </c>
      <c r="C168" t="s">
        <v>39</v>
      </c>
      <c r="D168" s="11" cm="1">
        <f t="array" aca="1" ref="D168" ca="1">INDEX(INDIRECT($M168),
       MATCH(TRIM($C168), TRIM(INDIRECT($N168)), 0),
       MATCH(TRIM(D$2), TRIM(INDIRECT($O168)), 0))</f>
        <v>5</v>
      </c>
      <c r="E168" s="9" cm="1">
        <f t="array" aca="1" ref="E168" ca="1">INDEX(INDIRECT($M168),
       MATCH(TRIM($C168), TRIM(INDIRECT($N168)), 0),
       MATCH(TRIM(E$2), TRIM(INDIRECT($O168)), 0))</f>
        <v>1620545</v>
      </c>
      <c r="F168" s="11" cm="1">
        <f t="array" aca="1" ref="F168" ca="1">INDEX(INDIRECT($M168),
       MATCH(TRIM($C168), TRIM(INDIRECT($N168)), 0),
       MATCH(TRIM(F$2), TRIM(INDIRECT($O168)), 0))</f>
        <v>1.6205449999999999</v>
      </c>
      <c r="G168" s="11" cm="1">
        <f t="array" aca="1" ref="G168" ca="1">INDEX(INDIRECT($M168),
       MATCH(TRIM($C168), TRIM(INDIRECT($N168)), 0),
       MATCH(TRIM(G$2), TRIM(INDIRECT($O168)), 0))</f>
        <v>0</v>
      </c>
      <c r="H168" s="9" cm="1">
        <f t="array" aca="1" ref="H168" ca="1">INDEX(INDIRECT($M168),
       MATCH(TRIM($C168), TRIM(INDIRECT($N168)), 0),
       MATCH(TRIM(H$2), TRIM(INDIRECT($O168)), 0))</f>
        <v>0</v>
      </c>
      <c r="I168" s="11" cm="1">
        <f t="array" aca="1" ref="I168" ca="1">INDEX(INDIRECT($M168),
       MATCH(TRIM($C168), TRIM(INDIRECT($N168)), 0),
       MATCH(TRIM(I$2), TRIM(INDIRECT($O168)), 0))</f>
        <v>0</v>
      </c>
      <c r="J168" s="9" cm="1">
        <f t="array" aca="1" ref="J168" ca="1">INDEX(INDIRECT($M168),
       MATCH(TRIM($C168), TRIM(INDIRECT($N168)), 0),
       MATCH(TRIM(J$2), TRIM(INDIRECT($O168)), 0))</f>
        <v>8</v>
      </c>
      <c r="K168" s="11" cm="1">
        <f t="array" aca="1" ref="K168" ca="1">INDEX(INDIRECT($M168),
       MATCH(TRIM($C168), TRIM(INDIRECT($N168)), 0),
       MATCH(TRIM(K$2), TRIM(INDIRECT($O168)), 0))</f>
        <v>4.8918643511111108</v>
      </c>
      <c r="L168" s="11" cm="1">
        <f t="array" aca="1" ref="L168" ca="1">INDEX(INDIRECT($M168),
       MATCH(TRIM($C168), TRIM(INDIRECT($N168)), 0),
       MATCH(TRIM(L$2), TRIM(INDIRECT($O168)), 0))</f>
        <v>6.5124093511111107</v>
      </c>
      <c r="M168" s="5" t="str">
        <f t="shared" si="6"/>
        <v>'2017'!$N$3:$V$80</v>
      </c>
      <c r="N168" s="5" t="str">
        <f t="shared" si="7"/>
        <v>'2017'!$M$2:$M$80</v>
      </c>
      <c r="O168" s="5" t="str">
        <f t="shared" si="8"/>
        <v>'2017'!$N$2:$W$2</v>
      </c>
    </row>
    <row r="169" spans="1:15" x14ac:dyDescent="0.3">
      <c r="A169">
        <v>41</v>
      </c>
      <c r="B169" s="9">
        <v>2017</v>
      </c>
      <c r="C169" t="s">
        <v>40</v>
      </c>
      <c r="D169" s="11" cm="1">
        <f t="array" aca="1" ref="D169" ca="1">INDEX(INDIRECT($M169),
       MATCH(TRIM($C169), TRIM(INDIRECT($N169)), 0),
       MATCH(TRIM(D$2), TRIM(INDIRECT($O169)), 0))</f>
        <v>83</v>
      </c>
      <c r="E169" s="9" cm="1">
        <f t="array" aca="1" ref="E169" ca="1">INDEX(INDIRECT($M169),
       MATCH(TRIM($C169), TRIM(INDIRECT($N169)), 0),
       MATCH(TRIM(E$2), TRIM(INDIRECT($O169)), 0))</f>
        <v>1002383241</v>
      </c>
      <c r="F169" s="11" cm="1">
        <f t="array" aca="1" ref="F169" ca="1">INDEX(INDIRECT($M169),
       MATCH(TRIM($C169), TRIM(INDIRECT($N169)), 0),
       MATCH(TRIM(F$2), TRIM(INDIRECT($O169)), 0))</f>
        <v>1002.383241</v>
      </c>
      <c r="G169" s="11" cm="1">
        <f t="array" aca="1" ref="G169" ca="1">INDEX(INDIRECT($M169),
       MATCH(TRIM($C169), TRIM(INDIRECT($N169)), 0),
       MATCH(TRIM(G$2), TRIM(INDIRECT($O169)), 0))</f>
        <v>81</v>
      </c>
      <c r="H169" s="9" cm="1">
        <f t="array" aca="1" ref="H169" ca="1">INDEX(INDIRECT($M169),
       MATCH(TRIM($C169), TRIM(INDIRECT($N169)), 0),
       MATCH(TRIM(H$2), TRIM(INDIRECT($O169)), 0))</f>
        <v>307757675</v>
      </c>
      <c r="I169" s="11" cm="1">
        <f t="array" aca="1" ref="I169" ca="1">INDEX(INDIRECT($M169),
       MATCH(TRIM($C169), TRIM(INDIRECT($N169)), 0),
       MATCH(TRIM(I$2), TRIM(INDIRECT($O169)), 0))</f>
        <v>307.75767500000001</v>
      </c>
      <c r="J169" s="9" cm="1">
        <f t="array" aca="1" ref="J169" ca="1">INDEX(INDIRECT($M169),
       MATCH(TRIM($C169), TRIM(INDIRECT($N169)), 0),
       MATCH(TRIM(J$2), TRIM(INDIRECT($O169)), 0))</f>
        <v>181</v>
      </c>
      <c r="K169" s="11" cm="1">
        <f t="array" aca="1" ref="K169" ca="1">INDEX(INDIRECT($M169),
       MATCH(TRIM($C169), TRIM(INDIRECT($N169)), 0),
       MATCH(TRIM(K$2), TRIM(INDIRECT($O169)), 0))</f>
        <v>453.858825008748</v>
      </c>
      <c r="L169" s="11" cm="1">
        <f t="array" aca="1" ref="L169" ca="1">INDEX(INDIRECT($M169),
       MATCH(TRIM($C169), TRIM(INDIRECT($N169)), 0),
       MATCH(TRIM(L$2), TRIM(INDIRECT($O169)), 0))</f>
        <v>1763.9997410087481</v>
      </c>
      <c r="M169" s="5" t="str">
        <f t="shared" si="6"/>
        <v>'2017'!$N$3:$V$80</v>
      </c>
      <c r="N169" s="5" t="str">
        <f t="shared" si="7"/>
        <v>'2017'!$M$2:$M$80</v>
      </c>
      <c r="O169" s="5" t="str">
        <f t="shared" si="8"/>
        <v>'2017'!$N$2:$W$2</v>
      </c>
    </row>
    <row r="170" spans="1:15" x14ac:dyDescent="0.3">
      <c r="A170">
        <v>42</v>
      </c>
      <c r="B170" s="9">
        <v>2017</v>
      </c>
      <c r="C170" t="s">
        <v>41</v>
      </c>
      <c r="D170" s="11" cm="1">
        <f t="array" aca="1" ref="D170" ca="1">INDEX(INDIRECT($M170),
       MATCH(TRIM($C170), TRIM(INDIRECT($N170)), 0),
       MATCH(TRIM(D$2), TRIM(INDIRECT($O170)), 0))</f>
        <v>8</v>
      </c>
      <c r="E170" s="9" cm="1">
        <f t="array" aca="1" ref="E170" ca="1">INDEX(INDIRECT($M170),
       MATCH(TRIM($C170), TRIM(INDIRECT($N170)), 0),
       MATCH(TRIM(E$2), TRIM(INDIRECT($O170)), 0))</f>
        <v>126173000</v>
      </c>
      <c r="F170" s="11" cm="1">
        <f t="array" aca="1" ref="F170" ca="1">INDEX(INDIRECT($M170),
       MATCH(TRIM($C170), TRIM(INDIRECT($N170)), 0),
       MATCH(TRIM(F$2), TRIM(INDIRECT($O170)), 0))</f>
        <v>126.173</v>
      </c>
      <c r="G170" s="11" cm="1">
        <f t="array" aca="1" ref="G170" ca="1">INDEX(INDIRECT($M170),
       MATCH(TRIM($C170), TRIM(INDIRECT($N170)), 0),
       MATCH(TRIM(G$2), TRIM(INDIRECT($O170)), 0))</f>
        <v>4</v>
      </c>
      <c r="H170" s="9" cm="1">
        <f t="array" aca="1" ref="H170" ca="1">INDEX(INDIRECT($M170),
       MATCH(TRIM($C170), TRIM(INDIRECT($N170)), 0),
       MATCH(TRIM(H$2), TRIM(INDIRECT($O170)), 0))</f>
        <v>56096000</v>
      </c>
      <c r="I170" s="11" cm="1">
        <f t="array" aca="1" ref="I170" ca="1">INDEX(INDIRECT($M170),
       MATCH(TRIM($C170), TRIM(INDIRECT($N170)), 0),
       MATCH(TRIM(I$2), TRIM(INDIRECT($O170)), 0))</f>
        <v>56.095999999999997</v>
      </c>
      <c r="J170" s="9" cm="1">
        <f t="array" aca="1" ref="J170" ca="1">INDEX(INDIRECT($M170),
       MATCH(TRIM($C170), TRIM(INDIRECT($N170)), 0),
       MATCH(TRIM(J$2), TRIM(INDIRECT($O170)), 0))</f>
        <v>7</v>
      </c>
      <c r="K170" s="11" cm="1">
        <f t="array" aca="1" ref="K170" ca="1">INDEX(INDIRECT($M170),
       MATCH(TRIM($C170), TRIM(INDIRECT($N170)), 0),
       MATCH(TRIM(K$2), TRIM(INDIRECT($O170)), 0))</f>
        <v>51.795555555555552</v>
      </c>
      <c r="L170" s="11" cm="1">
        <f t="array" aca="1" ref="L170" ca="1">INDEX(INDIRECT($M170),
       MATCH(TRIM($C170), TRIM(INDIRECT($N170)), 0),
       MATCH(TRIM(L$2), TRIM(INDIRECT($O170)), 0))</f>
        <v>234.06455555555556</v>
      </c>
      <c r="M170" s="5" t="str">
        <f t="shared" si="6"/>
        <v>'2017'!$N$3:$V$80</v>
      </c>
      <c r="N170" s="5" t="str">
        <f t="shared" si="7"/>
        <v>'2017'!$M$2:$M$80</v>
      </c>
      <c r="O170" s="5" t="str">
        <f t="shared" si="8"/>
        <v>'2017'!$N$2:$W$2</v>
      </c>
    </row>
    <row r="171" spans="1:15" x14ac:dyDescent="0.3">
      <c r="A171">
        <v>43</v>
      </c>
      <c r="B171" s="9">
        <v>2017</v>
      </c>
      <c r="C171" t="s">
        <v>42</v>
      </c>
      <c r="D171" s="11" cm="1">
        <f t="array" aca="1" ref="D171" ca="1">INDEX(INDIRECT($M171),
       MATCH(TRIM($C171), TRIM(INDIRECT($N171)), 0),
       MATCH(TRIM(D$2), TRIM(INDIRECT($O171)), 0))</f>
        <v>4</v>
      </c>
      <c r="E171" s="9" cm="1">
        <f t="array" aca="1" ref="E171" ca="1">INDEX(INDIRECT($M171),
       MATCH(TRIM($C171), TRIM(INDIRECT($N171)), 0),
       MATCH(TRIM(E$2), TRIM(INDIRECT($O171)), 0))</f>
        <v>51008810</v>
      </c>
      <c r="F171" s="11" cm="1">
        <f t="array" aca="1" ref="F171" ca="1">INDEX(INDIRECT($M171),
       MATCH(TRIM($C171), TRIM(INDIRECT($N171)), 0),
       MATCH(TRIM(F$2), TRIM(INDIRECT($O171)), 0))</f>
        <v>51.008809999999997</v>
      </c>
      <c r="G171" s="11" cm="1">
        <f t="array" aca="1" ref="G171" ca="1">INDEX(INDIRECT($M171),
       MATCH(TRIM($C171), TRIM(INDIRECT($N171)), 0),
       MATCH(TRIM(G$2), TRIM(INDIRECT($O171)), 0))</f>
        <v>2</v>
      </c>
      <c r="H171" s="9" cm="1">
        <f t="array" aca="1" ref="H171" ca="1">INDEX(INDIRECT($M171),
       MATCH(TRIM($C171), TRIM(INDIRECT($N171)), 0),
       MATCH(TRIM(H$2), TRIM(INDIRECT($O171)), 0))</f>
        <v>1648659</v>
      </c>
      <c r="I171" s="11" cm="1">
        <f t="array" aca="1" ref="I171" ca="1">INDEX(INDIRECT($M171),
       MATCH(TRIM($C171), TRIM(INDIRECT($N171)), 0),
       MATCH(TRIM(I$2), TRIM(INDIRECT($O171)), 0))</f>
        <v>1.6486590000000001</v>
      </c>
      <c r="J171" s="9" cm="1">
        <f t="array" aca="1" ref="J171" ca="1">INDEX(INDIRECT($M171),
       MATCH(TRIM($C171), TRIM(INDIRECT($N171)), 0),
       MATCH(TRIM(J$2), TRIM(INDIRECT($O171)), 0))</f>
        <v>4</v>
      </c>
      <c r="K171" s="11" cm="1">
        <f t="array" aca="1" ref="K171" ca="1">INDEX(INDIRECT($M171),
       MATCH(TRIM($C171), TRIM(INDIRECT($N171)), 0),
       MATCH(TRIM(K$2), TRIM(INDIRECT($O171)), 0))</f>
        <v>23.806666666666672</v>
      </c>
      <c r="L171" s="11" cm="1">
        <f t="array" aca="1" ref="L171" ca="1">INDEX(INDIRECT($M171),
       MATCH(TRIM($C171), TRIM(INDIRECT($N171)), 0),
       MATCH(TRIM(L$2), TRIM(INDIRECT($O171)), 0))</f>
        <v>76.464135666666664</v>
      </c>
      <c r="M171" s="5" t="str">
        <f t="shared" si="6"/>
        <v>'2017'!$N$3:$V$80</v>
      </c>
      <c r="N171" s="5" t="str">
        <f t="shared" si="7"/>
        <v>'2017'!$M$2:$M$80</v>
      </c>
      <c r="O171" s="5" t="str">
        <f t="shared" si="8"/>
        <v>'2017'!$N$2:$W$2</v>
      </c>
    </row>
    <row r="172" spans="1:15" x14ac:dyDescent="0.3">
      <c r="A172">
        <v>44</v>
      </c>
      <c r="B172" s="9">
        <v>2017</v>
      </c>
      <c r="C172" t="s">
        <v>43</v>
      </c>
      <c r="D172" s="11" cm="1">
        <f t="array" aca="1" ref="D172" ca="1">INDEX(INDIRECT($M172),
       MATCH(TRIM($C172), TRIM(INDIRECT($N172)), 0),
       MATCH(TRIM(D$2), TRIM(INDIRECT($O172)), 0))</f>
        <v>2</v>
      </c>
      <c r="E172" s="9" cm="1">
        <f t="array" aca="1" ref="E172" ca="1">INDEX(INDIRECT($M172),
       MATCH(TRIM($C172), TRIM(INDIRECT($N172)), 0),
       MATCH(TRIM(E$2), TRIM(INDIRECT($O172)), 0))</f>
        <v>49500000</v>
      </c>
      <c r="F172" s="11" cm="1">
        <f t="array" aca="1" ref="F172" ca="1">INDEX(INDIRECT($M172),
       MATCH(TRIM($C172), TRIM(INDIRECT($N172)), 0),
       MATCH(TRIM(F$2), TRIM(INDIRECT($O172)), 0))</f>
        <v>49.5</v>
      </c>
      <c r="G172" s="11" cm="1">
        <f t="array" aca="1" ref="G172" ca="1">INDEX(INDIRECT($M172),
       MATCH(TRIM($C172), TRIM(INDIRECT($N172)), 0),
       MATCH(TRIM(G$2), TRIM(INDIRECT($O172)), 0))</f>
        <v>1</v>
      </c>
      <c r="H172" s="9" cm="1">
        <f t="array" aca="1" ref="H172" ca="1">INDEX(INDIRECT($M172),
       MATCH(TRIM($C172), TRIM(INDIRECT($N172)), 0),
       MATCH(TRIM(H$2), TRIM(INDIRECT($O172)), 0))</f>
        <v>9000000</v>
      </c>
      <c r="I172" s="11" cm="1">
        <f t="array" aca="1" ref="I172" ca="1">INDEX(INDIRECT($M172),
       MATCH(TRIM($C172), TRIM(INDIRECT($N172)), 0),
       MATCH(TRIM(I$2), TRIM(INDIRECT($O172)), 0))</f>
        <v>9</v>
      </c>
      <c r="J172" s="9" cm="1">
        <f t="array" aca="1" ref="J172" ca="1">INDEX(INDIRECT($M172),
       MATCH(TRIM($C172), TRIM(INDIRECT($N172)), 0),
       MATCH(TRIM(J$2), TRIM(INDIRECT($O172)), 0))</f>
        <v>2</v>
      </c>
      <c r="K172" s="11" cm="1">
        <f t="array" aca="1" ref="K172" ca="1">INDEX(INDIRECT($M172),
       MATCH(TRIM($C172), TRIM(INDIRECT($N172)), 0),
       MATCH(TRIM(K$2), TRIM(INDIRECT($O172)), 0))</f>
        <v>1.7488888888888889</v>
      </c>
      <c r="L172" s="11" cm="1">
        <f t="array" aca="1" ref="L172" ca="1">INDEX(INDIRECT($M172),
       MATCH(TRIM($C172), TRIM(INDIRECT($N172)), 0),
       MATCH(TRIM(L$2), TRIM(INDIRECT($O172)), 0))</f>
        <v>60.248888888888892</v>
      </c>
      <c r="M172" s="5" t="str">
        <f t="shared" si="6"/>
        <v>'2017'!$N$3:$V$80</v>
      </c>
      <c r="N172" s="5" t="str">
        <f t="shared" si="7"/>
        <v>'2017'!$M$2:$M$80</v>
      </c>
      <c r="O172" s="5" t="str">
        <f t="shared" si="8"/>
        <v>'2017'!$N$2:$W$2</v>
      </c>
    </row>
    <row r="173" spans="1:15" x14ac:dyDescent="0.3">
      <c r="A173">
        <v>45</v>
      </c>
      <c r="B173" s="9">
        <v>2017</v>
      </c>
      <c r="C173" t="s">
        <v>44</v>
      </c>
      <c r="D173" s="11" cm="1">
        <f t="array" aca="1" ref="D173" ca="1">INDEX(INDIRECT($M173),
       MATCH(TRIM($C173), TRIM(INDIRECT($N173)), 0),
       MATCH(TRIM(D$2), TRIM(INDIRECT($O173)), 0))</f>
        <v>24</v>
      </c>
      <c r="E173" s="9" cm="1">
        <f t="array" aca="1" ref="E173" ca="1">INDEX(INDIRECT($M173),
       MATCH(TRIM($C173), TRIM(INDIRECT($N173)), 0),
       MATCH(TRIM(E$2), TRIM(INDIRECT($O173)), 0))</f>
        <v>722900529</v>
      </c>
      <c r="F173" s="11" cm="1">
        <f t="array" aca="1" ref="F173" ca="1">INDEX(INDIRECT($M173),
       MATCH(TRIM($C173), TRIM(INDIRECT($N173)), 0),
       MATCH(TRIM(F$2), TRIM(INDIRECT($O173)), 0))</f>
        <v>722.90052900000001</v>
      </c>
      <c r="G173" s="11" cm="1">
        <f t="array" aca="1" ref="G173" ca="1">INDEX(INDIRECT($M173),
       MATCH(TRIM($C173), TRIM(INDIRECT($N173)), 0),
       MATCH(TRIM(G$2), TRIM(INDIRECT($O173)), 0))</f>
        <v>30</v>
      </c>
      <c r="H173" s="9" cm="1">
        <f t="array" aca="1" ref="H173" ca="1">INDEX(INDIRECT($M173),
       MATCH(TRIM($C173), TRIM(INDIRECT($N173)), 0),
       MATCH(TRIM(H$2), TRIM(INDIRECT($O173)), 0))</f>
        <v>268087561.125</v>
      </c>
      <c r="I173" s="11" cm="1">
        <f t="array" aca="1" ref="I173" ca="1">INDEX(INDIRECT($M173),
       MATCH(TRIM($C173), TRIM(INDIRECT($N173)), 0),
       MATCH(TRIM(I$2), TRIM(INDIRECT($O173)), 0))</f>
        <v>268.08756112499998</v>
      </c>
      <c r="J173" s="9" cm="1">
        <f t="array" aca="1" ref="J173" ca="1">INDEX(INDIRECT($M173),
       MATCH(TRIM($C173), TRIM(INDIRECT($N173)), 0),
       MATCH(TRIM(J$2), TRIM(INDIRECT($O173)), 0))</f>
        <v>28</v>
      </c>
      <c r="K173" s="11" cm="1">
        <f t="array" aca="1" ref="K173" ca="1">INDEX(INDIRECT($M173),
       MATCH(TRIM($C173), TRIM(INDIRECT($N173)), 0),
       MATCH(TRIM(K$2), TRIM(INDIRECT($O173)), 0))</f>
        <v>18.261193237644441</v>
      </c>
      <c r="L173" s="11" cm="1">
        <f t="array" aca="1" ref="L173" ca="1">INDEX(INDIRECT($M173),
       MATCH(TRIM($C173), TRIM(INDIRECT($N173)), 0),
       MATCH(TRIM(L$2), TRIM(INDIRECT($O173)), 0))</f>
        <v>1009.2492833626444</v>
      </c>
      <c r="M173" s="5" t="str">
        <f t="shared" si="6"/>
        <v>'2017'!$N$3:$V$80</v>
      </c>
      <c r="N173" s="5" t="str">
        <f t="shared" si="7"/>
        <v>'2017'!$M$2:$M$80</v>
      </c>
      <c r="O173" s="5" t="str">
        <f t="shared" si="8"/>
        <v>'2017'!$N$2:$W$2</v>
      </c>
    </row>
    <row r="174" spans="1:15" x14ac:dyDescent="0.3">
      <c r="A174">
        <v>46</v>
      </c>
      <c r="B174" s="9">
        <v>2017</v>
      </c>
      <c r="C174" t="s">
        <v>45</v>
      </c>
      <c r="D174" s="11" cm="1">
        <f t="array" aca="1" ref="D174" ca="1">INDEX(INDIRECT($M174),
       MATCH(TRIM($C174), TRIM(INDIRECT($N174)), 0),
       MATCH(TRIM(D$2), TRIM(INDIRECT($O174)), 0))</f>
        <v>1</v>
      </c>
      <c r="E174" s="9" cm="1">
        <f t="array" aca="1" ref="E174" ca="1">INDEX(INDIRECT($M174),
       MATCH(TRIM($C174), TRIM(INDIRECT($N174)), 0),
       MATCH(TRIM(E$2), TRIM(INDIRECT($O174)), 0))</f>
        <v>2200000</v>
      </c>
      <c r="F174" s="11" cm="1">
        <f t="array" aca="1" ref="F174" ca="1">INDEX(INDIRECT($M174),
       MATCH(TRIM($C174), TRIM(INDIRECT($N174)), 0),
       MATCH(TRIM(F$2), TRIM(INDIRECT($O174)), 0))</f>
        <v>2.2000000000000002</v>
      </c>
      <c r="G174" s="11" cm="1">
        <f t="array" aca="1" ref="G174" ca="1">INDEX(INDIRECT($M174),
       MATCH(TRIM($C174), TRIM(INDIRECT($N174)), 0),
       MATCH(TRIM(G$2), TRIM(INDIRECT($O174)), 0))</f>
        <v>0</v>
      </c>
      <c r="H174" s="9" cm="1">
        <f t="array" aca="1" ref="H174" ca="1">INDEX(INDIRECT($M174),
       MATCH(TRIM($C174), TRIM(INDIRECT($N174)), 0),
       MATCH(TRIM(H$2), TRIM(INDIRECT($O174)), 0))</f>
        <v>0</v>
      </c>
      <c r="I174" s="11" cm="1">
        <f t="array" aca="1" ref="I174" ca="1">INDEX(INDIRECT($M174),
       MATCH(TRIM($C174), TRIM(INDIRECT($N174)), 0),
       MATCH(TRIM(I$2), TRIM(INDIRECT($O174)), 0))</f>
        <v>0</v>
      </c>
      <c r="J174" s="9" cm="1">
        <f t="array" aca="1" ref="J174" ca="1">INDEX(INDIRECT($M174),
       MATCH(TRIM($C174), TRIM(INDIRECT($N174)), 0),
       MATCH(TRIM(J$2), TRIM(INDIRECT($O174)), 0))</f>
        <v>3</v>
      </c>
      <c r="K174" s="11" cm="1">
        <f t="array" aca="1" ref="K174" ca="1">INDEX(INDIRECT($M174),
       MATCH(TRIM($C174), TRIM(INDIRECT($N174)), 0),
       MATCH(TRIM(K$2), TRIM(INDIRECT($O174)), 0))</f>
        <v>1.21</v>
      </c>
      <c r="L174" s="11" cm="1">
        <f t="array" aca="1" ref="L174" ca="1">INDEX(INDIRECT($M174),
       MATCH(TRIM($C174), TRIM(INDIRECT($N174)), 0),
       MATCH(TRIM(L$2), TRIM(INDIRECT($O174)), 0))</f>
        <v>3.41</v>
      </c>
      <c r="M174" s="5" t="str">
        <f t="shared" si="6"/>
        <v>'2017'!$N$3:$V$80</v>
      </c>
      <c r="N174" s="5" t="str">
        <f t="shared" si="7"/>
        <v>'2017'!$M$2:$M$80</v>
      </c>
      <c r="O174" s="5" t="str">
        <f t="shared" si="8"/>
        <v>'2017'!$N$2:$W$2</v>
      </c>
    </row>
    <row r="175" spans="1:15" x14ac:dyDescent="0.3">
      <c r="A175">
        <v>47</v>
      </c>
      <c r="B175" s="9">
        <v>2017</v>
      </c>
      <c r="C175" t="s">
        <v>46</v>
      </c>
      <c r="D175" s="11" cm="1">
        <f t="array" aca="1" ref="D175" ca="1">INDEX(INDIRECT($M175),
       MATCH(TRIM($C175), TRIM(INDIRECT($N175)), 0),
       MATCH(TRIM(D$2), TRIM(INDIRECT($O175)), 0))</f>
        <v>3</v>
      </c>
      <c r="E175" s="9" cm="1">
        <f t="array" aca="1" ref="E175" ca="1">INDEX(INDIRECT($M175),
       MATCH(TRIM($C175), TRIM(INDIRECT($N175)), 0),
       MATCH(TRIM(E$2), TRIM(INDIRECT($O175)), 0))</f>
        <v>1630000</v>
      </c>
      <c r="F175" s="11" cm="1">
        <f t="array" aca="1" ref="F175" ca="1">INDEX(INDIRECT($M175),
       MATCH(TRIM($C175), TRIM(INDIRECT($N175)), 0),
       MATCH(TRIM(F$2), TRIM(INDIRECT($O175)), 0))</f>
        <v>1.63</v>
      </c>
      <c r="G175" s="11" cm="1">
        <f t="array" aca="1" ref="G175" ca="1">INDEX(INDIRECT($M175),
       MATCH(TRIM($C175), TRIM(INDIRECT($N175)), 0),
       MATCH(TRIM(G$2), TRIM(INDIRECT($O175)), 0))</f>
        <v>1</v>
      </c>
      <c r="H175" s="9" cm="1">
        <f t="array" aca="1" ref="H175" ca="1">INDEX(INDIRECT($M175),
       MATCH(TRIM($C175), TRIM(INDIRECT($N175)), 0),
       MATCH(TRIM(H$2), TRIM(INDIRECT($O175)), 0))</f>
        <v>370000</v>
      </c>
      <c r="I175" s="11" cm="1">
        <f t="array" aca="1" ref="I175" ca="1">INDEX(INDIRECT($M175),
       MATCH(TRIM($C175), TRIM(INDIRECT($N175)), 0),
       MATCH(TRIM(I$2), TRIM(INDIRECT($O175)), 0))</f>
        <v>0.37</v>
      </c>
      <c r="J175" s="9" cm="1">
        <f t="array" aca="1" ref="J175" ca="1">INDEX(INDIRECT($M175),
       MATCH(TRIM($C175), TRIM(INDIRECT($N175)), 0),
       MATCH(TRIM(J$2), TRIM(INDIRECT($O175)), 0))</f>
        <v>2</v>
      </c>
      <c r="K175" s="11" cm="1">
        <f t="array" aca="1" ref="K175" ca="1">INDEX(INDIRECT($M175),
       MATCH(TRIM($C175), TRIM(INDIRECT($N175)), 0),
       MATCH(TRIM(K$2), TRIM(INDIRECT($O175)), 0))</f>
        <v>0.64336906222222223</v>
      </c>
      <c r="L175" s="11" cm="1">
        <f t="array" aca="1" ref="L175" ca="1">INDEX(INDIRECT($M175),
       MATCH(TRIM($C175), TRIM(INDIRECT($N175)), 0),
       MATCH(TRIM(L$2), TRIM(INDIRECT($O175)), 0))</f>
        <v>2.6433690622222223</v>
      </c>
      <c r="M175" s="5" t="str">
        <f t="shared" si="6"/>
        <v>'2017'!$N$3:$V$80</v>
      </c>
      <c r="N175" s="5" t="str">
        <f t="shared" si="7"/>
        <v>'2017'!$M$2:$M$80</v>
      </c>
      <c r="O175" s="5" t="str">
        <f t="shared" si="8"/>
        <v>'2017'!$N$2:$W$2</v>
      </c>
    </row>
    <row r="176" spans="1:15" x14ac:dyDescent="0.3">
      <c r="A176">
        <v>48</v>
      </c>
      <c r="B176" s="9">
        <v>2017</v>
      </c>
      <c r="C176" t="s">
        <v>47</v>
      </c>
      <c r="D176" s="11" cm="1">
        <f t="array" aca="1" ref="D176" ca="1">INDEX(INDIRECT($M176),
       MATCH(TRIM($C176), TRIM(INDIRECT($N176)), 0),
       MATCH(TRIM(D$2), TRIM(INDIRECT($O176)), 0))</f>
        <v>7</v>
      </c>
      <c r="E176" s="9" cm="1">
        <f t="array" aca="1" ref="E176" ca="1">INDEX(INDIRECT($M176),
       MATCH(TRIM($C176), TRIM(INDIRECT($N176)), 0),
       MATCH(TRIM(E$2), TRIM(INDIRECT($O176)), 0))</f>
        <v>59533333</v>
      </c>
      <c r="F176" s="11" cm="1">
        <f t="array" aca="1" ref="F176" ca="1">INDEX(INDIRECT($M176),
       MATCH(TRIM($C176), TRIM(INDIRECT($N176)), 0),
       MATCH(TRIM(F$2), TRIM(INDIRECT($O176)), 0))</f>
        <v>59.533332999999999</v>
      </c>
      <c r="G176" s="11" cm="1">
        <f t="array" aca="1" ref="G176" ca="1">INDEX(INDIRECT($M176),
       MATCH(TRIM($C176), TRIM(INDIRECT($N176)), 0),
       MATCH(TRIM(G$2), TRIM(INDIRECT($O176)), 0))</f>
        <v>4</v>
      </c>
      <c r="H176" s="9" cm="1">
        <f t="array" aca="1" ref="H176" ca="1">INDEX(INDIRECT($M176),
       MATCH(TRIM($C176), TRIM(INDIRECT($N176)), 0),
       MATCH(TRIM(H$2), TRIM(INDIRECT($O176)), 0))</f>
        <v>3832489</v>
      </c>
      <c r="I176" s="11" cm="1">
        <f t="array" aca="1" ref="I176" ca="1">INDEX(INDIRECT($M176),
       MATCH(TRIM($C176), TRIM(INDIRECT($N176)), 0),
       MATCH(TRIM(I$2), TRIM(INDIRECT($O176)), 0))</f>
        <v>3.8324889999999998</v>
      </c>
      <c r="J176" s="9" cm="1">
        <f t="array" aca="1" ref="J176" ca="1">INDEX(INDIRECT($M176),
       MATCH(TRIM($C176), TRIM(INDIRECT($N176)), 0),
       MATCH(TRIM(J$2), TRIM(INDIRECT($O176)), 0))</f>
        <v>40</v>
      </c>
      <c r="K176" s="11" cm="1">
        <f t="array" aca="1" ref="K176" ca="1">INDEX(INDIRECT($M176),
       MATCH(TRIM($C176), TRIM(INDIRECT($N176)), 0),
       MATCH(TRIM(K$2), TRIM(INDIRECT($O176)), 0))</f>
        <v>9.2376932371555558</v>
      </c>
      <c r="L176" s="11" cm="1">
        <f t="array" aca="1" ref="L176" ca="1">INDEX(INDIRECT($M176),
       MATCH(TRIM($C176), TRIM(INDIRECT($N176)), 0),
       MATCH(TRIM(L$2), TRIM(INDIRECT($O176)), 0))</f>
        <v>72.603515237155563</v>
      </c>
      <c r="M176" s="5" t="str">
        <f t="shared" si="6"/>
        <v>'2017'!$N$3:$V$80</v>
      </c>
      <c r="N176" s="5" t="str">
        <f t="shared" si="7"/>
        <v>'2017'!$M$2:$M$80</v>
      </c>
      <c r="O176" s="5" t="str">
        <f t="shared" si="8"/>
        <v>'2017'!$N$2:$W$2</v>
      </c>
    </row>
    <row r="177" spans="1:15" x14ac:dyDescent="0.3">
      <c r="A177">
        <v>49</v>
      </c>
      <c r="B177" s="9">
        <v>2017</v>
      </c>
      <c r="C177" t="s">
        <v>48</v>
      </c>
      <c r="D177" s="11" cm="1">
        <f t="array" aca="1" ref="D177" ca="1">INDEX(INDIRECT($M177),
       MATCH(TRIM($C177), TRIM(INDIRECT($N177)), 0),
       MATCH(TRIM(D$2), TRIM(INDIRECT($O177)), 0))</f>
        <v>4</v>
      </c>
      <c r="E177" s="9" cm="1">
        <f t="array" aca="1" ref="E177" ca="1">INDEX(INDIRECT($M177),
       MATCH(TRIM($C177), TRIM(INDIRECT($N177)), 0),
       MATCH(TRIM(E$2), TRIM(INDIRECT($O177)), 0))</f>
        <v>168407227</v>
      </c>
      <c r="F177" s="11" cm="1">
        <f t="array" aca="1" ref="F177" ca="1">INDEX(INDIRECT($M177),
       MATCH(TRIM($C177), TRIM(INDIRECT($N177)), 0),
       MATCH(TRIM(F$2), TRIM(INDIRECT($O177)), 0))</f>
        <v>168.40722700000001</v>
      </c>
      <c r="G177" s="11" cm="1">
        <f t="array" aca="1" ref="G177" ca="1">INDEX(INDIRECT($M177),
       MATCH(TRIM($C177), TRIM(INDIRECT($N177)), 0),
       MATCH(TRIM(G$2), TRIM(INDIRECT($O177)), 0))</f>
        <v>5</v>
      </c>
      <c r="H177" s="9" cm="1">
        <f t="array" aca="1" ref="H177" ca="1">INDEX(INDIRECT($M177),
       MATCH(TRIM($C177), TRIM(INDIRECT($N177)), 0),
       MATCH(TRIM(H$2), TRIM(INDIRECT($O177)), 0))</f>
        <v>43950000</v>
      </c>
      <c r="I177" s="11" cm="1">
        <f t="array" aca="1" ref="I177" ca="1">INDEX(INDIRECT($M177),
       MATCH(TRIM($C177), TRIM(INDIRECT($N177)), 0),
       MATCH(TRIM(I$2), TRIM(INDIRECT($O177)), 0))</f>
        <v>43.95</v>
      </c>
      <c r="J177" s="9" cm="1">
        <f t="array" aca="1" ref="J177" ca="1">INDEX(INDIRECT($M177),
       MATCH(TRIM($C177), TRIM(INDIRECT($N177)), 0),
       MATCH(TRIM(J$2), TRIM(INDIRECT($O177)), 0))</f>
        <v>13</v>
      </c>
      <c r="K177" s="11" cm="1">
        <f t="array" aca="1" ref="K177" ca="1">INDEX(INDIRECT($M177),
       MATCH(TRIM($C177), TRIM(INDIRECT($N177)), 0),
       MATCH(TRIM(K$2), TRIM(INDIRECT($O177)), 0))</f>
        <v>23.796619935955544</v>
      </c>
      <c r="L177" s="11" cm="1">
        <f t="array" aca="1" ref="L177" ca="1">INDEX(INDIRECT($M177),
       MATCH(TRIM($C177), TRIM(INDIRECT($N177)), 0),
       MATCH(TRIM(L$2), TRIM(INDIRECT($O177)), 0))</f>
        <v>236.15384693595556</v>
      </c>
      <c r="M177" s="5" t="str">
        <f t="shared" si="6"/>
        <v>'2017'!$N$3:$V$80</v>
      </c>
      <c r="N177" s="5" t="str">
        <f t="shared" si="7"/>
        <v>'2017'!$M$2:$M$80</v>
      </c>
      <c r="O177" s="5" t="str">
        <f t="shared" si="8"/>
        <v>'2017'!$N$2:$W$2</v>
      </c>
    </row>
    <row r="178" spans="1:15" x14ac:dyDescent="0.3">
      <c r="A178">
        <v>50</v>
      </c>
      <c r="B178" s="9">
        <v>2017</v>
      </c>
      <c r="C178" t="s">
        <v>49</v>
      </c>
      <c r="D178" s="11" cm="1">
        <f t="array" aca="1" ref="D178" ca="1">INDEX(INDIRECT($M178),
       MATCH(TRIM($C178), TRIM(INDIRECT($N178)), 0),
       MATCH(TRIM(D$2), TRIM(INDIRECT($O178)), 0))</f>
        <v>2</v>
      </c>
      <c r="E178" s="9" cm="1">
        <f t="array" aca="1" ref="E178" ca="1">INDEX(INDIRECT($M178),
       MATCH(TRIM($C178), TRIM(INDIRECT($N178)), 0),
       MATCH(TRIM(E$2), TRIM(INDIRECT($O178)), 0))</f>
        <v>917456</v>
      </c>
      <c r="F178" s="11" cm="1">
        <f t="array" aca="1" ref="F178" ca="1">INDEX(INDIRECT($M178),
       MATCH(TRIM($C178), TRIM(INDIRECT($N178)), 0),
       MATCH(TRIM(F$2), TRIM(INDIRECT($O178)), 0))</f>
        <v>0.91745600000000005</v>
      </c>
      <c r="G178" s="11" cm="1">
        <f t="array" aca="1" ref="G178" ca="1">INDEX(INDIRECT($M178),
       MATCH(TRIM($C178), TRIM(INDIRECT($N178)), 0),
       MATCH(TRIM(G$2), TRIM(INDIRECT($O178)), 0))</f>
        <v>0</v>
      </c>
      <c r="H178" s="9" cm="1">
        <f t="array" aca="1" ref="H178" ca="1">INDEX(INDIRECT($M178),
       MATCH(TRIM($C178), TRIM(INDIRECT($N178)), 0),
       MATCH(TRIM(H$2), TRIM(INDIRECT($O178)), 0))</f>
        <v>0</v>
      </c>
      <c r="I178" s="11" cm="1">
        <f t="array" aca="1" ref="I178" ca="1">INDEX(INDIRECT($M178),
       MATCH(TRIM($C178), TRIM(INDIRECT($N178)), 0),
       MATCH(TRIM(I$2), TRIM(INDIRECT($O178)), 0))</f>
        <v>0</v>
      </c>
      <c r="J178" s="9" cm="1">
        <f t="array" aca="1" ref="J178" ca="1">INDEX(INDIRECT($M178),
       MATCH(TRIM($C178), TRIM(INDIRECT($N178)), 0),
       MATCH(TRIM(J$2), TRIM(INDIRECT($O178)), 0))</f>
        <v>1</v>
      </c>
      <c r="K178" s="11" cm="1">
        <f t="array" aca="1" ref="K178" ca="1">INDEX(INDIRECT($M178),
       MATCH(TRIM($C178), TRIM(INDIRECT($N178)), 0),
       MATCH(TRIM(K$2), TRIM(INDIRECT($O178)), 0))</f>
        <v>2.6666666666666668E-2</v>
      </c>
      <c r="L178" s="11" cm="1">
        <f t="array" aca="1" ref="L178" ca="1">INDEX(INDIRECT($M178),
       MATCH(TRIM($C178), TRIM(INDIRECT($N178)), 0),
       MATCH(TRIM(L$2), TRIM(INDIRECT($O178)), 0))</f>
        <v>0.94412266666666667</v>
      </c>
      <c r="M178" s="5" t="str">
        <f t="shared" si="6"/>
        <v>'2017'!$N$3:$V$80</v>
      </c>
      <c r="N178" s="5" t="str">
        <f t="shared" si="7"/>
        <v>'2017'!$M$2:$M$80</v>
      </c>
      <c r="O178" s="5" t="str">
        <f t="shared" si="8"/>
        <v>'2017'!$N$2:$W$2</v>
      </c>
    </row>
    <row r="179" spans="1:15" x14ac:dyDescent="0.3">
      <c r="A179">
        <v>51</v>
      </c>
      <c r="B179" s="9">
        <v>2017</v>
      </c>
      <c r="C179" t="s">
        <v>50</v>
      </c>
      <c r="D179" s="11" t="e" cm="1">
        <f t="array" aca="1" ref="D179" ca="1">INDEX(INDIRECT($M179),
       MATCH(TRIM($C179), TRIM(INDIRECT($N179)), 0),
       MATCH(TRIM(D$2), TRIM(INDIRECT($O179)), 0))</f>
        <v>#N/A</v>
      </c>
      <c r="E179" s="9" t="e" cm="1">
        <f t="array" aca="1" ref="E179" ca="1">INDEX(INDIRECT($M179),
       MATCH(TRIM($C179), TRIM(INDIRECT($N179)), 0),
       MATCH(TRIM(E$2), TRIM(INDIRECT($O179)), 0))</f>
        <v>#N/A</v>
      </c>
      <c r="F179" s="11" t="e" cm="1">
        <f t="array" aca="1" ref="F179" ca="1">INDEX(INDIRECT($M179),
       MATCH(TRIM($C179), TRIM(INDIRECT($N179)), 0),
       MATCH(TRIM(F$2), TRIM(INDIRECT($O179)), 0))</f>
        <v>#N/A</v>
      </c>
      <c r="G179" s="11" t="e" cm="1">
        <f t="array" aca="1" ref="G179" ca="1">INDEX(INDIRECT($M179),
       MATCH(TRIM($C179), TRIM(INDIRECT($N179)), 0),
       MATCH(TRIM(G$2), TRIM(INDIRECT($O179)), 0))</f>
        <v>#N/A</v>
      </c>
      <c r="H179" s="9" t="e" cm="1">
        <f t="array" aca="1" ref="H179" ca="1">INDEX(INDIRECT($M179),
       MATCH(TRIM($C179), TRIM(INDIRECT($N179)), 0),
       MATCH(TRIM(H$2), TRIM(INDIRECT($O179)), 0))</f>
        <v>#N/A</v>
      </c>
      <c r="I179" s="11" t="e" cm="1">
        <f t="array" aca="1" ref="I179" ca="1">INDEX(INDIRECT($M179),
       MATCH(TRIM($C179), TRIM(INDIRECT($N179)), 0),
       MATCH(TRIM(I$2), TRIM(INDIRECT($O179)), 0))</f>
        <v>#N/A</v>
      </c>
      <c r="J179" s="9" t="e" cm="1">
        <f t="array" aca="1" ref="J179" ca="1">INDEX(INDIRECT($M179),
       MATCH(TRIM($C179), TRIM(INDIRECT($N179)), 0),
       MATCH(TRIM(J$2), TRIM(INDIRECT($O179)), 0))</f>
        <v>#N/A</v>
      </c>
      <c r="K179" s="11" t="e" cm="1">
        <f t="array" aca="1" ref="K179" ca="1">INDEX(INDIRECT($M179),
       MATCH(TRIM($C179), TRIM(INDIRECT($N179)), 0),
       MATCH(TRIM(K$2), TRIM(INDIRECT($O179)), 0))</f>
        <v>#N/A</v>
      </c>
      <c r="L179" s="11" t="e" cm="1">
        <f t="array" aca="1" ref="L179" ca="1">INDEX(INDIRECT($M179),
       MATCH(TRIM($C179), TRIM(INDIRECT($N179)), 0),
       MATCH(TRIM(L$2), TRIM(INDIRECT($O179)), 0))</f>
        <v>#N/A</v>
      </c>
      <c r="M179" s="5" t="str">
        <f t="shared" si="6"/>
        <v>'2017'!$N$3:$V$80</v>
      </c>
      <c r="N179" s="5" t="str">
        <f t="shared" si="7"/>
        <v>'2017'!$M$2:$M$80</v>
      </c>
      <c r="O179" s="5" t="str">
        <f t="shared" si="8"/>
        <v>'2017'!$N$2:$W$2</v>
      </c>
    </row>
    <row r="180" spans="1:15" x14ac:dyDescent="0.3">
      <c r="A180">
        <v>52</v>
      </c>
      <c r="B180" s="9">
        <v>2017</v>
      </c>
      <c r="C180" t="s">
        <v>51</v>
      </c>
      <c r="D180" s="11" cm="1">
        <f t="array" aca="1" ref="D180" ca="1">INDEX(INDIRECT($M180),
       MATCH(TRIM($C180), TRIM(INDIRECT($N180)), 0),
       MATCH(TRIM(D$2), TRIM(INDIRECT($O180)), 0))</f>
        <v>7</v>
      </c>
      <c r="E180" s="9" cm="1">
        <f t="array" aca="1" ref="E180" ca="1">INDEX(INDIRECT($M180),
       MATCH(TRIM($C180), TRIM(INDIRECT($N180)), 0),
       MATCH(TRIM(E$2), TRIM(INDIRECT($O180)), 0))</f>
        <v>52323922</v>
      </c>
      <c r="F180" s="11" cm="1">
        <f t="array" aca="1" ref="F180" ca="1">INDEX(INDIRECT($M180),
       MATCH(TRIM($C180), TRIM(INDIRECT($N180)), 0),
       MATCH(TRIM(F$2), TRIM(INDIRECT($O180)), 0))</f>
        <v>52.323922000000003</v>
      </c>
      <c r="G180" s="11" cm="1">
        <f t="array" aca="1" ref="G180" ca="1">INDEX(INDIRECT($M180),
       MATCH(TRIM($C180), TRIM(INDIRECT($N180)), 0),
       MATCH(TRIM(G$2), TRIM(INDIRECT($O180)), 0))</f>
        <v>3</v>
      </c>
      <c r="H180" s="9" cm="1">
        <f t="array" aca="1" ref="H180" ca="1">INDEX(INDIRECT($M180),
       MATCH(TRIM($C180), TRIM(INDIRECT($N180)), 0),
       MATCH(TRIM(H$2), TRIM(INDIRECT($O180)), 0))</f>
        <v>3731000</v>
      </c>
      <c r="I180" s="11" cm="1">
        <f t="array" aca="1" ref="I180" ca="1">INDEX(INDIRECT($M180),
       MATCH(TRIM($C180), TRIM(INDIRECT($N180)), 0),
       MATCH(TRIM(I$2), TRIM(INDIRECT($O180)), 0))</f>
        <v>3.7309999999999999</v>
      </c>
      <c r="J180" s="9" cm="1">
        <f t="array" aca="1" ref="J180" ca="1">INDEX(INDIRECT($M180),
       MATCH(TRIM($C180), TRIM(INDIRECT($N180)), 0),
       MATCH(TRIM(J$2), TRIM(INDIRECT($O180)), 0))</f>
        <v>13</v>
      </c>
      <c r="K180" s="11" cm="1">
        <f t="array" aca="1" ref="K180" ca="1">INDEX(INDIRECT($M180),
       MATCH(TRIM($C180), TRIM(INDIRECT($N180)), 0),
       MATCH(TRIM(K$2), TRIM(INDIRECT($O180)), 0))</f>
        <v>3.6928476444444445</v>
      </c>
      <c r="L180" s="11" cm="1">
        <f t="array" aca="1" ref="L180" ca="1">INDEX(INDIRECT($M180),
       MATCH(TRIM($C180), TRIM(INDIRECT($N180)), 0),
       MATCH(TRIM(L$2), TRIM(INDIRECT($O180)), 0))</f>
        <v>59.747769644444446</v>
      </c>
      <c r="M180" s="5" t="str">
        <f t="shared" si="6"/>
        <v>'2017'!$N$3:$V$80</v>
      </c>
      <c r="N180" s="5" t="str">
        <f t="shared" si="7"/>
        <v>'2017'!$M$2:$M$80</v>
      </c>
      <c r="O180" s="5" t="str">
        <f t="shared" si="8"/>
        <v>'2017'!$N$2:$W$2</v>
      </c>
    </row>
    <row r="181" spans="1:15" x14ac:dyDescent="0.3">
      <c r="A181">
        <v>53</v>
      </c>
      <c r="B181" s="9">
        <v>2017</v>
      </c>
      <c r="C181" t="s">
        <v>52</v>
      </c>
      <c r="D181" s="11" cm="1">
        <f t="array" aca="1" ref="D181" ca="1">INDEX(INDIRECT($M181),
       MATCH(TRIM($C181), TRIM(INDIRECT($N181)), 0),
       MATCH(TRIM(D$2), TRIM(INDIRECT($O181)), 0))</f>
        <v>1</v>
      </c>
      <c r="E181" s="9" cm="1">
        <f t="array" aca="1" ref="E181" ca="1">INDEX(INDIRECT($M181),
       MATCH(TRIM($C181), TRIM(INDIRECT($N181)), 0),
       MATCH(TRIM(E$2), TRIM(INDIRECT($O181)), 0))</f>
        <v>2800000</v>
      </c>
      <c r="F181" s="11" cm="1">
        <f t="array" aca="1" ref="F181" ca="1">INDEX(INDIRECT($M181),
       MATCH(TRIM($C181), TRIM(INDIRECT($N181)), 0),
       MATCH(TRIM(F$2), TRIM(INDIRECT($O181)), 0))</f>
        <v>2.8</v>
      </c>
      <c r="G181" s="11" cm="1">
        <f t="array" aca="1" ref="G181" ca="1">INDEX(INDIRECT($M181),
       MATCH(TRIM($C181), TRIM(INDIRECT($N181)), 0),
       MATCH(TRIM(G$2), TRIM(INDIRECT($O181)), 0))</f>
        <v>0</v>
      </c>
      <c r="H181" s="9" cm="1">
        <f t="array" aca="1" ref="H181" ca="1">INDEX(INDIRECT($M181),
       MATCH(TRIM($C181), TRIM(INDIRECT($N181)), 0),
       MATCH(TRIM(H$2), TRIM(INDIRECT($O181)), 0))</f>
        <v>0</v>
      </c>
      <c r="I181" s="11" cm="1">
        <f t="array" aca="1" ref="I181" ca="1">INDEX(INDIRECT($M181),
       MATCH(TRIM($C181), TRIM(INDIRECT($N181)), 0),
       MATCH(TRIM(I$2), TRIM(INDIRECT($O181)), 0))</f>
        <v>0</v>
      </c>
      <c r="J181" s="9" cm="1">
        <f t="array" aca="1" ref="J181" ca="1">INDEX(INDIRECT($M181),
       MATCH(TRIM($C181), TRIM(INDIRECT($N181)), 0),
       MATCH(TRIM(J$2), TRIM(INDIRECT($O181)), 0))</f>
        <v>0</v>
      </c>
      <c r="K181" s="11" cm="1">
        <f t="array" aca="1" ref="K181" ca="1">INDEX(INDIRECT($M181),
       MATCH(TRIM($C181), TRIM(INDIRECT($N181)), 0),
       MATCH(TRIM(K$2), TRIM(INDIRECT($O181)), 0))</f>
        <v>0</v>
      </c>
      <c r="L181" s="11" cm="1">
        <f t="array" aca="1" ref="L181" ca="1">INDEX(INDIRECT($M181),
       MATCH(TRIM($C181), TRIM(INDIRECT($N181)), 0),
       MATCH(TRIM(L$2), TRIM(INDIRECT($O181)), 0))</f>
        <v>2.8</v>
      </c>
      <c r="M181" s="5" t="str">
        <f t="shared" si="6"/>
        <v>'2017'!$N$3:$V$80</v>
      </c>
      <c r="N181" s="5" t="str">
        <f t="shared" si="7"/>
        <v>'2017'!$M$2:$M$80</v>
      </c>
      <c r="O181" s="5" t="str">
        <f t="shared" si="8"/>
        <v>'2017'!$N$2:$W$2</v>
      </c>
    </row>
    <row r="182" spans="1:15" x14ac:dyDescent="0.3">
      <c r="A182">
        <v>54</v>
      </c>
      <c r="B182" s="9">
        <v>2017</v>
      </c>
      <c r="C182" t="s">
        <v>53</v>
      </c>
      <c r="D182" s="11" cm="1">
        <f t="array" aca="1" ref="D182" ca="1">INDEX(INDIRECT($M182),
       MATCH(TRIM($C182), TRIM(INDIRECT($N182)), 0),
       MATCH(TRIM(D$2), TRIM(INDIRECT($O182)), 0))</f>
        <v>3</v>
      </c>
      <c r="E182" s="9" cm="1">
        <f t="array" aca="1" ref="E182" ca="1">INDEX(INDIRECT($M182),
       MATCH(TRIM($C182), TRIM(INDIRECT($N182)), 0),
       MATCH(TRIM(E$2), TRIM(INDIRECT($O182)), 0))</f>
        <v>4516000</v>
      </c>
      <c r="F182" s="11" cm="1">
        <f t="array" aca="1" ref="F182" ca="1">INDEX(INDIRECT($M182),
       MATCH(TRIM($C182), TRIM(INDIRECT($N182)), 0),
       MATCH(TRIM(F$2), TRIM(INDIRECT($O182)), 0))</f>
        <v>4.516</v>
      </c>
      <c r="G182" s="11" cm="1">
        <f t="array" aca="1" ref="G182" ca="1">INDEX(INDIRECT($M182),
       MATCH(TRIM($C182), TRIM(INDIRECT($N182)), 0),
       MATCH(TRIM(G$2), TRIM(INDIRECT($O182)), 0))</f>
        <v>0</v>
      </c>
      <c r="H182" s="9" cm="1">
        <f t="array" aca="1" ref="H182" ca="1">INDEX(INDIRECT($M182),
       MATCH(TRIM($C182), TRIM(INDIRECT($N182)), 0),
       MATCH(TRIM(H$2), TRIM(INDIRECT($O182)), 0))</f>
        <v>0</v>
      </c>
      <c r="I182" s="11" cm="1">
        <f t="array" aca="1" ref="I182" ca="1">INDEX(INDIRECT($M182),
       MATCH(TRIM($C182), TRIM(INDIRECT($N182)), 0),
       MATCH(TRIM(I$2), TRIM(INDIRECT($O182)), 0))</f>
        <v>0</v>
      </c>
      <c r="J182" s="9" cm="1">
        <f t="array" aca="1" ref="J182" ca="1">INDEX(INDIRECT($M182),
       MATCH(TRIM($C182), TRIM(INDIRECT($N182)), 0),
       MATCH(TRIM(J$2), TRIM(INDIRECT($O182)), 0))</f>
        <v>2</v>
      </c>
      <c r="K182" s="11" cm="1">
        <f t="array" aca="1" ref="K182" ca="1">INDEX(INDIRECT($M182),
       MATCH(TRIM($C182), TRIM(INDIRECT($N182)), 0),
       MATCH(TRIM(K$2), TRIM(INDIRECT($O182)), 0))</f>
        <v>0.45093333333333335</v>
      </c>
      <c r="L182" s="11" cm="1">
        <f t="array" aca="1" ref="L182" ca="1">INDEX(INDIRECT($M182),
       MATCH(TRIM($C182), TRIM(INDIRECT($N182)), 0),
       MATCH(TRIM(L$2), TRIM(INDIRECT($O182)), 0))</f>
        <v>4.9669333333333334</v>
      </c>
      <c r="M182" s="5" t="str">
        <f t="shared" si="6"/>
        <v>'2017'!$N$3:$V$80</v>
      </c>
      <c r="N182" s="5" t="str">
        <f t="shared" si="7"/>
        <v>'2017'!$M$2:$M$80</v>
      </c>
      <c r="O182" s="5" t="str">
        <f t="shared" si="8"/>
        <v>'2017'!$N$2:$W$2</v>
      </c>
    </row>
    <row r="183" spans="1:15" x14ac:dyDescent="0.3">
      <c r="A183">
        <v>55</v>
      </c>
      <c r="B183" s="9">
        <v>2017</v>
      </c>
      <c r="C183" t="s">
        <v>54</v>
      </c>
      <c r="D183" s="11" cm="1">
        <f t="array" aca="1" ref="D183" ca="1">INDEX(INDIRECT($M183),
       MATCH(TRIM($C183), TRIM(INDIRECT($N183)), 0),
       MATCH(TRIM(D$2), TRIM(INDIRECT($O183)), 0))</f>
        <v>2</v>
      </c>
      <c r="E183" s="9" cm="1">
        <f t="array" aca="1" ref="E183" ca="1">INDEX(INDIRECT($M183),
       MATCH(TRIM($C183), TRIM(INDIRECT($N183)), 0),
       MATCH(TRIM(E$2), TRIM(INDIRECT($O183)), 0))</f>
        <v>13830000</v>
      </c>
      <c r="F183" s="11" cm="1">
        <f t="array" aca="1" ref="F183" ca="1">INDEX(INDIRECT($M183),
       MATCH(TRIM($C183), TRIM(INDIRECT($N183)), 0),
       MATCH(TRIM(F$2), TRIM(INDIRECT($O183)), 0))</f>
        <v>13.83</v>
      </c>
      <c r="G183" s="11" cm="1">
        <f t="array" aca="1" ref="G183" ca="1">INDEX(INDIRECT($M183),
       MATCH(TRIM($C183), TRIM(INDIRECT($N183)), 0),
       MATCH(TRIM(G$2), TRIM(INDIRECT($O183)), 0))</f>
        <v>1</v>
      </c>
      <c r="H183" s="9" cm="1">
        <f t="array" aca="1" ref="H183" ca="1">INDEX(INDIRECT($M183),
       MATCH(TRIM($C183), TRIM(INDIRECT($N183)), 0),
       MATCH(TRIM(H$2), TRIM(INDIRECT($O183)), 0))</f>
        <v>300000</v>
      </c>
      <c r="I183" s="11" cm="1">
        <f t="array" aca="1" ref="I183" ca="1">INDEX(INDIRECT($M183),
       MATCH(TRIM($C183), TRIM(INDIRECT($N183)), 0),
       MATCH(TRIM(I$2), TRIM(INDIRECT($O183)), 0))</f>
        <v>0.3</v>
      </c>
      <c r="J183" s="9" cm="1">
        <f t="array" aca="1" ref="J183" ca="1">INDEX(INDIRECT($M183),
       MATCH(TRIM($C183), TRIM(INDIRECT($N183)), 0),
       MATCH(TRIM(J$2), TRIM(INDIRECT($O183)), 0))</f>
        <v>1</v>
      </c>
      <c r="K183" s="11" cm="1">
        <f t="array" aca="1" ref="K183" ca="1">INDEX(INDIRECT($M183),
       MATCH(TRIM($C183), TRIM(INDIRECT($N183)), 0),
       MATCH(TRIM(K$2), TRIM(INDIRECT($O183)), 0))</f>
        <v>1.0068888888888887</v>
      </c>
      <c r="L183" s="11" cm="1">
        <f t="array" aca="1" ref="L183" ca="1">INDEX(INDIRECT($M183),
       MATCH(TRIM($C183), TRIM(INDIRECT($N183)), 0),
       MATCH(TRIM(L$2), TRIM(INDIRECT($O183)), 0))</f>
        <v>15.13688888888889</v>
      </c>
      <c r="M183" s="5" t="str">
        <f t="shared" si="6"/>
        <v>'2017'!$N$3:$V$80</v>
      </c>
      <c r="N183" s="5" t="str">
        <f t="shared" si="7"/>
        <v>'2017'!$M$2:$M$80</v>
      </c>
      <c r="O183" s="5" t="str">
        <f t="shared" si="8"/>
        <v>'2017'!$N$2:$W$2</v>
      </c>
    </row>
    <row r="184" spans="1:15" x14ac:dyDescent="0.3">
      <c r="A184">
        <v>56</v>
      </c>
      <c r="B184" s="9">
        <v>2017</v>
      </c>
      <c r="C184" t="s">
        <v>55</v>
      </c>
      <c r="D184" s="11" cm="1">
        <f t="array" aca="1" ref="D184" ca="1">INDEX(INDIRECT($M184),
       MATCH(TRIM($C184), TRIM(INDIRECT($N184)), 0),
       MATCH(TRIM(D$2), TRIM(INDIRECT($O184)), 0))</f>
        <v>44</v>
      </c>
      <c r="E184" s="9" cm="1">
        <f t="array" aca="1" ref="E184" ca="1">INDEX(INDIRECT($M184),
       MATCH(TRIM($C184), TRIM(INDIRECT($N184)), 0),
       MATCH(TRIM(E$2), TRIM(INDIRECT($O184)), 0))</f>
        <v>108806296</v>
      </c>
      <c r="F184" s="11" cm="1">
        <f t="array" aca="1" ref="F184" ca="1">INDEX(INDIRECT($M184),
       MATCH(TRIM($C184), TRIM(INDIRECT($N184)), 0),
       MATCH(TRIM(F$2), TRIM(INDIRECT($O184)), 0))</f>
        <v>108.806296</v>
      </c>
      <c r="G184" s="11" cm="1">
        <f t="array" aca="1" ref="G184" ca="1">INDEX(INDIRECT($M184),
       MATCH(TRIM($C184), TRIM(INDIRECT($N184)), 0),
       MATCH(TRIM(G$2), TRIM(INDIRECT($O184)), 0))</f>
        <v>7</v>
      </c>
      <c r="H184" s="9" cm="1">
        <f t="array" aca="1" ref="H184" ca="1">INDEX(INDIRECT($M184),
       MATCH(TRIM($C184), TRIM(INDIRECT($N184)), 0),
       MATCH(TRIM(H$2), TRIM(INDIRECT($O184)), 0))</f>
        <v>54100000</v>
      </c>
      <c r="I184" s="11" cm="1">
        <f t="array" aca="1" ref="I184" ca="1">INDEX(INDIRECT($M184),
       MATCH(TRIM($C184), TRIM(INDIRECT($N184)), 0),
       MATCH(TRIM(I$2), TRIM(INDIRECT($O184)), 0))</f>
        <v>54.1</v>
      </c>
      <c r="J184" s="9" cm="1">
        <f t="array" aca="1" ref="J184" ca="1">INDEX(INDIRECT($M184),
       MATCH(TRIM($C184), TRIM(INDIRECT($N184)), 0),
       MATCH(TRIM(J$2), TRIM(INDIRECT($O184)), 0))</f>
        <v>52</v>
      </c>
      <c r="K184" s="11" cm="1">
        <f t="array" aca="1" ref="K184" ca="1">INDEX(INDIRECT($M184),
       MATCH(TRIM($C184), TRIM(INDIRECT($N184)), 0),
       MATCH(TRIM(K$2), TRIM(INDIRECT($O184)), 0))</f>
        <v>40.522424491244443</v>
      </c>
      <c r="L184" s="11" cm="1">
        <f t="array" aca="1" ref="L184" ca="1">INDEX(INDIRECT($M184),
       MATCH(TRIM($C184), TRIM(INDIRECT($N184)), 0),
       MATCH(TRIM(L$2), TRIM(INDIRECT($O184)), 0))</f>
        <v>203.42872049124443</v>
      </c>
      <c r="M184" s="5" t="str">
        <f t="shared" si="6"/>
        <v>'2017'!$N$3:$V$80</v>
      </c>
      <c r="N184" s="5" t="str">
        <f t="shared" si="7"/>
        <v>'2017'!$M$2:$M$80</v>
      </c>
      <c r="O184" s="5" t="str">
        <f t="shared" si="8"/>
        <v>'2017'!$N$2:$W$2</v>
      </c>
    </row>
    <row r="185" spans="1:15" x14ac:dyDescent="0.3">
      <c r="A185">
        <v>57</v>
      </c>
      <c r="B185" s="9">
        <v>2017</v>
      </c>
      <c r="C185" t="s">
        <v>56</v>
      </c>
      <c r="D185" s="11" cm="1">
        <f t="array" aca="1" ref="D185" ca="1">INDEX(INDIRECT($M185),
       MATCH(TRIM($C185), TRIM(INDIRECT($N185)), 0),
       MATCH(TRIM(D$2), TRIM(INDIRECT($O185)), 0))</f>
        <v>0</v>
      </c>
      <c r="E185" s="9" cm="1">
        <f t="array" aca="1" ref="E185" ca="1">INDEX(INDIRECT($M185),
       MATCH(TRIM($C185), TRIM(INDIRECT($N185)), 0),
       MATCH(TRIM(E$2), TRIM(INDIRECT($O185)), 0))</f>
        <v>0</v>
      </c>
      <c r="F185" s="11" cm="1">
        <f t="array" aca="1" ref="F185" ca="1">INDEX(INDIRECT($M185),
       MATCH(TRIM($C185), TRIM(INDIRECT($N185)), 0),
       MATCH(TRIM(F$2), TRIM(INDIRECT($O185)), 0))</f>
        <v>0</v>
      </c>
      <c r="G185" s="11" cm="1">
        <f t="array" aca="1" ref="G185" ca="1">INDEX(INDIRECT($M185),
       MATCH(TRIM($C185), TRIM(INDIRECT($N185)), 0),
       MATCH(TRIM(G$2), TRIM(INDIRECT($O185)), 0))</f>
        <v>1</v>
      </c>
      <c r="H185" s="9" cm="1">
        <f t="array" aca="1" ref="H185" ca="1">INDEX(INDIRECT($M185),
       MATCH(TRIM($C185), TRIM(INDIRECT($N185)), 0),
       MATCH(TRIM(H$2), TRIM(INDIRECT($O185)), 0))</f>
        <v>4000000</v>
      </c>
      <c r="I185" s="11" cm="1">
        <f t="array" aca="1" ref="I185" ca="1">INDEX(INDIRECT($M185),
       MATCH(TRIM($C185), TRIM(INDIRECT($N185)), 0),
       MATCH(TRIM(I$2), TRIM(INDIRECT($O185)), 0))</f>
        <v>4</v>
      </c>
      <c r="J185" s="9" cm="1">
        <f t="array" aca="1" ref="J185" ca="1">INDEX(INDIRECT($M185),
       MATCH(TRIM($C185), TRIM(INDIRECT($N185)), 0),
       MATCH(TRIM(J$2), TRIM(INDIRECT($O185)), 0))</f>
        <v>0</v>
      </c>
      <c r="K185" s="11" cm="1">
        <f t="array" aca="1" ref="K185" ca="1">INDEX(INDIRECT($M185),
       MATCH(TRIM($C185), TRIM(INDIRECT($N185)), 0),
       MATCH(TRIM(K$2), TRIM(INDIRECT($O185)), 0))</f>
        <v>0</v>
      </c>
      <c r="L185" s="11" cm="1">
        <f t="array" aca="1" ref="L185" ca="1">INDEX(INDIRECT($M185),
       MATCH(TRIM($C185), TRIM(INDIRECT($N185)), 0),
       MATCH(TRIM(L$2), TRIM(INDIRECT($O185)), 0))</f>
        <v>4</v>
      </c>
      <c r="M185" s="5" t="str">
        <f t="shared" si="6"/>
        <v>'2017'!$N$3:$V$80</v>
      </c>
      <c r="N185" s="5" t="str">
        <f t="shared" si="7"/>
        <v>'2017'!$M$2:$M$80</v>
      </c>
      <c r="O185" s="5" t="str">
        <f t="shared" si="8"/>
        <v>'2017'!$N$2:$W$2</v>
      </c>
    </row>
    <row r="186" spans="1:15" x14ac:dyDescent="0.3">
      <c r="A186">
        <v>58</v>
      </c>
      <c r="B186" s="9">
        <v>2017</v>
      </c>
      <c r="C186" t="s">
        <v>57</v>
      </c>
      <c r="D186" s="11" cm="1">
        <f t="array" aca="1" ref="D186" ca="1">INDEX(INDIRECT($M186),
       MATCH(TRIM($C186), TRIM(INDIRECT($N186)), 0),
       MATCH(TRIM(D$2), TRIM(INDIRECT($O186)), 0))</f>
        <v>1</v>
      </c>
      <c r="E186" s="9" cm="1">
        <f t="array" aca="1" ref="E186" ca="1">INDEX(INDIRECT($M186),
       MATCH(TRIM($C186), TRIM(INDIRECT($N186)), 0),
       MATCH(TRIM(E$2), TRIM(INDIRECT($O186)), 0))</f>
        <v>10000000</v>
      </c>
      <c r="F186" s="11" cm="1">
        <f t="array" aca="1" ref="F186" ca="1">INDEX(INDIRECT($M186),
       MATCH(TRIM($C186), TRIM(INDIRECT($N186)), 0),
       MATCH(TRIM(F$2), TRIM(INDIRECT($O186)), 0))</f>
        <v>10</v>
      </c>
      <c r="G186" s="11" cm="1">
        <f t="array" aca="1" ref="G186" ca="1">INDEX(INDIRECT($M186),
       MATCH(TRIM($C186), TRIM(INDIRECT($N186)), 0),
       MATCH(TRIM(G$2), TRIM(INDIRECT($O186)), 0))</f>
        <v>1</v>
      </c>
      <c r="H186" s="9" cm="1">
        <f t="array" aca="1" ref="H186" ca="1">INDEX(INDIRECT($M186),
       MATCH(TRIM($C186), TRIM(INDIRECT($N186)), 0),
       MATCH(TRIM(H$2), TRIM(INDIRECT($O186)), 0))</f>
        <v>-2100000</v>
      </c>
      <c r="I186" s="11" cm="1">
        <f t="array" aca="1" ref="I186" ca="1">INDEX(INDIRECT($M186),
       MATCH(TRIM($C186), TRIM(INDIRECT($N186)), 0),
       MATCH(TRIM(I$2), TRIM(INDIRECT($O186)), 0))</f>
        <v>-2.1</v>
      </c>
      <c r="J186" s="9" cm="1">
        <f t="array" aca="1" ref="J186" ca="1">INDEX(INDIRECT($M186),
       MATCH(TRIM($C186), TRIM(INDIRECT($N186)), 0),
       MATCH(TRIM(J$2), TRIM(INDIRECT($O186)), 0))</f>
        <v>1</v>
      </c>
      <c r="K186" s="11" cm="1">
        <f t="array" aca="1" ref="K186" ca="1">INDEX(INDIRECT($M186),
       MATCH(TRIM($C186), TRIM(INDIRECT($N186)), 0),
       MATCH(TRIM(K$2), TRIM(INDIRECT($O186)), 0))</f>
        <v>0.26666666666666666</v>
      </c>
      <c r="L186" s="11" cm="1">
        <f t="array" aca="1" ref="L186" ca="1">INDEX(INDIRECT($M186),
       MATCH(TRIM($C186), TRIM(INDIRECT($N186)), 0),
       MATCH(TRIM(L$2), TRIM(INDIRECT($O186)), 0))</f>
        <v>8.1666666666666679</v>
      </c>
      <c r="M186" s="5" t="str">
        <f t="shared" si="6"/>
        <v>'2017'!$N$3:$V$80</v>
      </c>
      <c r="N186" s="5" t="str">
        <f t="shared" si="7"/>
        <v>'2017'!$M$2:$M$80</v>
      </c>
      <c r="O186" s="5" t="str">
        <f t="shared" si="8"/>
        <v>'2017'!$N$2:$W$2</v>
      </c>
    </row>
    <row r="187" spans="1:15" x14ac:dyDescent="0.3">
      <c r="A187">
        <v>59</v>
      </c>
      <c r="B187" s="9">
        <v>2017</v>
      </c>
      <c r="C187" t="s">
        <v>58</v>
      </c>
      <c r="D187" s="11" cm="1">
        <f t="array" aca="1" ref="D187" ca="1">INDEX(INDIRECT($M187),
       MATCH(TRIM($C187), TRIM(INDIRECT($N187)), 0),
       MATCH(TRIM(D$2), TRIM(INDIRECT($O187)), 0))</f>
        <v>2</v>
      </c>
      <c r="E187" s="9" cm="1">
        <f t="array" aca="1" ref="E187" ca="1">INDEX(INDIRECT($M187),
       MATCH(TRIM($C187), TRIM(INDIRECT($N187)), 0),
       MATCH(TRIM(E$2), TRIM(INDIRECT($O187)), 0))</f>
        <v>32411000</v>
      </c>
      <c r="F187" s="11" cm="1">
        <f t="array" aca="1" ref="F187" ca="1">INDEX(INDIRECT($M187),
       MATCH(TRIM($C187), TRIM(INDIRECT($N187)), 0),
       MATCH(TRIM(F$2), TRIM(INDIRECT($O187)), 0))</f>
        <v>32.411000000000001</v>
      </c>
      <c r="G187" s="11" cm="1">
        <f t="array" aca="1" ref="G187" ca="1">INDEX(INDIRECT($M187),
       MATCH(TRIM($C187), TRIM(INDIRECT($N187)), 0),
       MATCH(TRIM(G$2), TRIM(INDIRECT($O187)), 0))</f>
        <v>1</v>
      </c>
      <c r="H187" s="9" cm="1">
        <f t="array" aca="1" ref="H187" ca="1">INDEX(INDIRECT($M187),
       MATCH(TRIM($C187), TRIM(INDIRECT($N187)), 0),
       MATCH(TRIM(H$2), TRIM(INDIRECT($O187)), 0))</f>
        <v>-11428000</v>
      </c>
      <c r="I187" s="11" cm="1">
        <f t="array" aca="1" ref="I187" ca="1">INDEX(INDIRECT($M187),
       MATCH(TRIM($C187), TRIM(INDIRECT($N187)), 0),
       MATCH(TRIM(I$2), TRIM(INDIRECT($O187)), 0))</f>
        <v>-11.428000000000001</v>
      </c>
      <c r="J187" s="9" cm="1">
        <f t="array" aca="1" ref="J187" ca="1">INDEX(INDIRECT($M187),
       MATCH(TRIM($C187), TRIM(INDIRECT($N187)), 0),
       MATCH(TRIM(J$2), TRIM(INDIRECT($O187)), 0))</f>
        <v>1</v>
      </c>
      <c r="K187" s="11" cm="1">
        <f t="array" aca="1" ref="K187" ca="1">INDEX(INDIRECT($M187),
       MATCH(TRIM($C187), TRIM(INDIRECT($N187)), 0),
       MATCH(TRIM(K$2), TRIM(INDIRECT($O187)), 0))</f>
        <v>0</v>
      </c>
      <c r="L187" s="11" cm="1">
        <f t="array" aca="1" ref="L187" ca="1">INDEX(INDIRECT($M187),
       MATCH(TRIM($C187), TRIM(INDIRECT($N187)), 0),
       MATCH(TRIM(L$2), TRIM(INDIRECT($O187)), 0))</f>
        <v>20.983000000000001</v>
      </c>
      <c r="M187" s="5" t="str">
        <f t="shared" si="6"/>
        <v>'2017'!$N$3:$V$80</v>
      </c>
      <c r="N187" s="5" t="str">
        <f t="shared" si="7"/>
        <v>'2017'!$M$2:$M$80</v>
      </c>
      <c r="O187" s="5" t="str">
        <f t="shared" si="8"/>
        <v>'2017'!$N$2:$W$2</v>
      </c>
    </row>
    <row r="188" spans="1:15" x14ac:dyDescent="0.3">
      <c r="A188">
        <v>60</v>
      </c>
      <c r="B188" s="9">
        <v>2017</v>
      </c>
      <c r="C188" t="s">
        <v>59</v>
      </c>
      <c r="D188" s="11" cm="1">
        <f t="array" aca="1" ref="D188" ca="1">INDEX(INDIRECT($M188),
       MATCH(TRIM($C188), TRIM(INDIRECT($N188)), 0),
       MATCH(TRIM(D$2), TRIM(INDIRECT($O188)), 0))</f>
        <v>1</v>
      </c>
      <c r="E188" s="9" cm="1">
        <f t="array" aca="1" ref="E188" ca="1">INDEX(INDIRECT($M188),
       MATCH(TRIM($C188), TRIM(INDIRECT($N188)), 0),
       MATCH(TRIM(E$2), TRIM(INDIRECT($O188)), 0))</f>
        <v>197345</v>
      </c>
      <c r="F188" s="11" cm="1">
        <f t="array" aca="1" ref="F188" ca="1">INDEX(INDIRECT($M188),
       MATCH(TRIM($C188), TRIM(INDIRECT($N188)), 0),
       MATCH(TRIM(F$2), TRIM(INDIRECT($O188)), 0))</f>
        <v>0.19734499999999999</v>
      </c>
      <c r="G188" s="11" cm="1">
        <f t="array" aca="1" ref="G188" ca="1">INDEX(INDIRECT($M188),
       MATCH(TRIM($C188), TRIM(INDIRECT($N188)), 0),
       MATCH(TRIM(G$2), TRIM(INDIRECT($O188)), 0))</f>
        <v>0</v>
      </c>
      <c r="H188" s="9" cm="1">
        <f t="array" aca="1" ref="H188" ca="1">INDEX(INDIRECT($M188),
       MATCH(TRIM($C188), TRIM(INDIRECT($N188)), 0),
       MATCH(TRIM(H$2), TRIM(INDIRECT($O188)), 0))</f>
        <v>0</v>
      </c>
      <c r="I188" s="11" cm="1">
        <f t="array" aca="1" ref="I188" ca="1">INDEX(INDIRECT($M188),
       MATCH(TRIM($C188), TRIM(INDIRECT($N188)), 0),
       MATCH(TRIM(I$2), TRIM(INDIRECT($O188)), 0))</f>
        <v>0</v>
      </c>
      <c r="J188" s="9" cm="1">
        <f t="array" aca="1" ref="J188" ca="1">INDEX(INDIRECT($M188),
       MATCH(TRIM($C188), TRIM(INDIRECT($N188)), 0),
       MATCH(TRIM(J$2), TRIM(INDIRECT($O188)), 0))</f>
        <v>4</v>
      </c>
      <c r="K188" s="11" cm="1">
        <f t="array" aca="1" ref="K188" ca="1">INDEX(INDIRECT($M188),
       MATCH(TRIM($C188), TRIM(INDIRECT($N188)), 0),
       MATCH(TRIM(K$2), TRIM(INDIRECT($O188)), 0))</f>
        <v>7.7307530173777783</v>
      </c>
      <c r="L188" s="11" cm="1">
        <f t="array" aca="1" ref="L188" ca="1">INDEX(INDIRECT($M188),
       MATCH(TRIM($C188), TRIM(INDIRECT($N188)), 0),
       MATCH(TRIM(L$2), TRIM(INDIRECT($O188)), 0))</f>
        <v>7.9280980173777786</v>
      </c>
      <c r="M188" s="5" t="str">
        <f t="shared" si="6"/>
        <v>'2017'!$N$3:$V$80</v>
      </c>
      <c r="N188" s="5" t="str">
        <f t="shared" si="7"/>
        <v>'2017'!$M$2:$M$80</v>
      </c>
      <c r="O188" s="5" t="str">
        <f t="shared" si="8"/>
        <v>'2017'!$N$2:$W$2</v>
      </c>
    </row>
    <row r="189" spans="1:15" x14ac:dyDescent="0.3">
      <c r="A189">
        <v>61</v>
      </c>
      <c r="B189" s="9">
        <v>2017</v>
      </c>
      <c r="C189" t="s">
        <v>60</v>
      </c>
      <c r="D189" s="11" t="e" cm="1">
        <f t="array" aca="1" ref="D189" ca="1">INDEX(INDIRECT($M189),
       MATCH(TRIM($C189), TRIM(INDIRECT($N189)), 0),
       MATCH(TRIM(D$2), TRIM(INDIRECT($O189)), 0))</f>
        <v>#N/A</v>
      </c>
      <c r="E189" s="9" t="e" cm="1">
        <f t="array" aca="1" ref="E189" ca="1">INDEX(INDIRECT($M189),
       MATCH(TRIM($C189), TRIM(INDIRECT($N189)), 0),
       MATCH(TRIM(E$2), TRIM(INDIRECT($O189)), 0))</f>
        <v>#N/A</v>
      </c>
      <c r="F189" s="11" t="e" cm="1">
        <f t="array" aca="1" ref="F189" ca="1">INDEX(INDIRECT($M189),
       MATCH(TRIM($C189), TRIM(INDIRECT($N189)), 0),
       MATCH(TRIM(F$2), TRIM(INDIRECT($O189)), 0))</f>
        <v>#N/A</v>
      </c>
      <c r="G189" s="11" t="e" cm="1">
        <f t="array" aca="1" ref="G189" ca="1">INDEX(INDIRECT($M189),
       MATCH(TRIM($C189), TRIM(INDIRECT($N189)), 0),
       MATCH(TRIM(G$2), TRIM(INDIRECT($O189)), 0))</f>
        <v>#N/A</v>
      </c>
      <c r="H189" s="9" t="e" cm="1">
        <f t="array" aca="1" ref="H189" ca="1">INDEX(INDIRECT($M189),
       MATCH(TRIM($C189), TRIM(INDIRECT($N189)), 0),
       MATCH(TRIM(H$2), TRIM(INDIRECT($O189)), 0))</f>
        <v>#N/A</v>
      </c>
      <c r="I189" s="11" t="e" cm="1">
        <f t="array" aca="1" ref="I189" ca="1">INDEX(INDIRECT($M189),
       MATCH(TRIM($C189), TRIM(INDIRECT($N189)), 0),
       MATCH(TRIM(I$2), TRIM(INDIRECT($O189)), 0))</f>
        <v>#N/A</v>
      </c>
      <c r="J189" s="9" t="e" cm="1">
        <f t="array" aca="1" ref="J189" ca="1">INDEX(INDIRECT($M189),
       MATCH(TRIM($C189), TRIM(INDIRECT($N189)), 0),
       MATCH(TRIM(J$2), TRIM(INDIRECT($O189)), 0))</f>
        <v>#N/A</v>
      </c>
      <c r="K189" s="11" t="e" cm="1">
        <f t="array" aca="1" ref="K189" ca="1">INDEX(INDIRECT($M189),
       MATCH(TRIM($C189), TRIM(INDIRECT($N189)), 0),
       MATCH(TRIM(K$2), TRIM(INDIRECT($O189)), 0))</f>
        <v>#N/A</v>
      </c>
      <c r="L189" s="11" t="e" cm="1">
        <f t="array" aca="1" ref="L189" ca="1">INDEX(INDIRECT($M189),
       MATCH(TRIM($C189), TRIM(INDIRECT($N189)), 0),
       MATCH(TRIM(L$2), TRIM(INDIRECT($O189)), 0))</f>
        <v>#N/A</v>
      </c>
      <c r="M189" s="5" t="str">
        <f t="shared" si="6"/>
        <v>'2017'!$N$3:$V$80</v>
      </c>
      <c r="N189" s="5" t="str">
        <f t="shared" si="7"/>
        <v>'2017'!$M$2:$M$80</v>
      </c>
      <c r="O189" s="5" t="str">
        <f t="shared" si="8"/>
        <v>'2017'!$N$2:$W$2</v>
      </c>
    </row>
    <row r="190" spans="1:15" x14ac:dyDescent="0.3">
      <c r="A190">
        <v>62</v>
      </c>
      <c r="B190" s="9">
        <v>2017</v>
      </c>
      <c r="C190" t="s">
        <v>61</v>
      </c>
      <c r="D190" s="11" cm="1">
        <f t="array" aca="1" ref="D190" ca="1">INDEX(INDIRECT($M190),
       MATCH(TRIM($C190), TRIM(INDIRECT($N190)), 0),
       MATCH(TRIM(D$2), TRIM(INDIRECT($O190)), 0))</f>
        <v>6</v>
      </c>
      <c r="E190" s="9" cm="1">
        <f t="array" aca="1" ref="E190" ca="1">INDEX(INDIRECT($M190),
       MATCH(TRIM($C190), TRIM(INDIRECT($N190)), 0),
       MATCH(TRIM(E$2), TRIM(INDIRECT($O190)), 0))</f>
        <v>12554720</v>
      </c>
      <c r="F190" s="11" cm="1">
        <f t="array" aca="1" ref="F190" ca="1">INDEX(INDIRECT($M190),
       MATCH(TRIM($C190), TRIM(INDIRECT($N190)), 0),
       MATCH(TRIM(F$2), TRIM(INDIRECT($O190)), 0))</f>
        <v>12.55472</v>
      </c>
      <c r="G190" s="11" cm="1">
        <f t="array" aca="1" ref="G190" ca="1">INDEX(INDIRECT($M190),
       MATCH(TRIM($C190), TRIM(INDIRECT($N190)), 0),
       MATCH(TRIM(G$2), TRIM(INDIRECT($O190)), 0))</f>
        <v>3</v>
      </c>
      <c r="H190" s="9" cm="1">
        <f t="array" aca="1" ref="H190" ca="1">INDEX(INDIRECT($M190),
       MATCH(TRIM($C190), TRIM(INDIRECT($N190)), 0),
       MATCH(TRIM(H$2), TRIM(INDIRECT($O190)), 0))</f>
        <v>10900000</v>
      </c>
      <c r="I190" s="11" cm="1">
        <f t="array" aca="1" ref="I190" ca="1">INDEX(INDIRECT($M190),
       MATCH(TRIM($C190), TRIM(INDIRECT($N190)), 0),
       MATCH(TRIM(I$2), TRIM(INDIRECT($O190)), 0))</f>
        <v>10.9</v>
      </c>
      <c r="J190" s="9" cm="1">
        <f t="array" aca="1" ref="J190" ca="1">INDEX(INDIRECT($M190),
       MATCH(TRIM($C190), TRIM(INDIRECT($N190)), 0),
       MATCH(TRIM(J$2), TRIM(INDIRECT($O190)), 0))</f>
        <v>9</v>
      </c>
      <c r="K190" s="11" cm="1">
        <f t="array" aca="1" ref="K190" ca="1">INDEX(INDIRECT($M190),
       MATCH(TRIM($C190), TRIM(INDIRECT($N190)), 0),
       MATCH(TRIM(K$2), TRIM(INDIRECT($O190)), 0))</f>
        <v>6.9347196325333327</v>
      </c>
      <c r="L190" s="11" cm="1">
        <f t="array" aca="1" ref="L190" ca="1">INDEX(INDIRECT($M190),
       MATCH(TRIM($C190), TRIM(INDIRECT($N190)), 0),
       MATCH(TRIM(L$2), TRIM(INDIRECT($O190)), 0))</f>
        <v>30.389439632533335</v>
      </c>
      <c r="M190" s="5" t="str">
        <f t="shared" si="6"/>
        <v>'2017'!$N$3:$V$80</v>
      </c>
      <c r="N190" s="5" t="str">
        <f t="shared" si="7"/>
        <v>'2017'!$M$2:$M$80</v>
      </c>
      <c r="O190" s="5" t="str">
        <f t="shared" si="8"/>
        <v>'2017'!$N$2:$W$2</v>
      </c>
    </row>
    <row r="191" spans="1:15" x14ac:dyDescent="0.3">
      <c r="A191">
        <v>63</v>
      </c>
      <c r="B191" s="9">
        <v>2017</v>
      </c>
      <c r="C191" t="s">
        <v>62</v>
      </c>
      <c r="D191" s="11" t="e" cm="1">
        <f t="array" aca="1" ref="D191" ca="1">INDEX(INDIRECT($M191),
       MATCH(TRIM($C191), TRIM(INDIRECT($N191)), 0),
       MATCH(TRIM(D$2), TRIM(INDIRECT($O191)), 0))</f>
        <v>#N/A</v>
      </c>
      <c r="E191" s="9" t="e" cm="1">
        <f t="array" aca="1" ref="E191" ca="1">INDEX(INDIRECT($M191),
       MATCH(TRIM($C191), TRIM(INDIRECT($N191)), 0),
       MATCH(TRIM(E$2), TRIM(INDIRECT($O191)), 0))</f>
        <v>#N/A</v>
      </c>
      <c r="F191" s="11" t="e" cm="1">
        <f t="array" aca="1" ref="F191" ca="1">INDEX(INDIRECT($M191),
       MATCH(TRIM($C191), TRIM(INDIRECT($N191)), 0),
       MATCH(TRIM(F$2), TRIM(INDIRECT($O191)), 0))</f>
        <v>#N/A</v>
      </c>
      <c r="G191" s="11" t="e" cm="1">
        <f t="array" aca="1" ref="G191" ca="1">INDEX(INDIRECT($M191),
       MATCH(TRIM($C191), TRIM(INDIRECT($N191)), 0),
       MATCH(TRIM(G$2), TRIM(INDIRECT($O191)), 0))</f>
        <v>#N/A</v>
      </c>
      <c r="H191" s="9" t="e" cm="1">
        <f t="array" aca="1" ref="H191" ca="1">INDEX(INDIRECT($M191),
       MATCH(TRIM($C191), TRIM(INDIRECT($N191)), 0),
       MATCH(TRIM(H$2), TRIM(INDIRECT($O191)), 0))</f>
        <v>#N/A</v>
      </c>
      <c r="I191" s="11" t="e" cm="1">
        <f t="array" aca="1" ref="I191" ca="1">INDEX(INDIRECT($M191),
       MATCH(TRIM($C191), TRIM(INDIRECT($N191)), 0),
       MATCH(TRIM(I$2), TRIM(INDIRECT($O191)), 0))</f>
        <v>#N/A</v>
      </c>
      <c r="J191" s="9" t="e" cm="1">
        <f t="array" aca="1" ref="J191" ca="1">INDEX(INDIRECT($M191),
       MATCH(TRIM($C191), TRIM(INDIRECT($N191)), 0),
       MATCH(TRIM(J$2), TRIM(INDIRECT($O191)), 0))</f>
        <v>#N/A</v>
      </c>
      <c r="K191" s="11" t="e" cm="1">
        <f t="array" aca="1" ref="K191" ca="1">INDEX(INDIRECT($M191),
       MATCH(TRIM($C191), TRIM(INDIRECT($N191)), 0),
       MATCH(TRIM(K$2), TRIM(INDIRECT($O191)), 0))</f>
        <v>#N/A</v>
      </c>
      <c r="L191" s="11" t="e" cm="1">
        <f t="array" aca="1" ref="L191" ca="1">INDEX(INDIRECT($M191),
       MATCH(TRIM($C191), TRIM(INDIRECT($N191)), 0),
       MATCH(TRIM(L$2), TRIM(INDIRECT($O191)), 0))</f>
        <v>#N/A</v>
      </c>
      <c r="M191" s="5" t="str">
        <f t="shared" si="6"/>
        <v>'2017'!$N$3:$V$80</v>
      </c>
      <c r="N191" s="5" t="str">
        <f t="shared" si="7"/>
        <v>'2017'!$M$2:$M$80</v>
      </c>
      <c r="O191" s="5" t="str">
        <f t="shared" si="8"/>
        <v>'2017'!$N$2:$W$2</v>
      </c>
    </row>
    <row r="192" spans="1:15" x14ac:dyDescent="0.3">
      <c r="A192">
        <v>1</v>
      </c>
      <c r="B192" s="9">
        <v>2018</v>
      </c>
      <c r="C192" t="s">
        <v>0</v>
      </c>
      <c r="D192" s="11" cm="1">
        <f t="array" aca="1" ref="D192" ca="1">INDEX(INDIRECT($M192),
       MATCH(TRIM($C192), TRIM(INDIRECT($N192)), 0),
       MATCH(TRIM(D$2), TRIM(INDIRECT($O192)), 0))</f>
        <v>1029</v>
      </c>
      <c r="E192" s="9" cm="1">
        <f t="array" aca="1" ref="E192" ca="1">INDEX(INDIRECT($M192),
       MATCH(TRIM($C192), TRIM(INDIRECT($N192)), 0),
       MATCH(TRIM(E$2), TRIM(INDIRECT($O192)), 0))</f>
        <v>784811386.36000001</v>
      </c>
      <c r="F192" s="11" cm="1">
        <f t="array" aca="1" ref="F192" ca="1">INDEX(INDIRECT($M192),
       MATCH(TRIM($C192), TRIM(INDIRECT($N192)), 0),
       MATCH(TRIM(F$2), TRIM(INDIRECT($O192)), 0))</f>
        <v>784.81138636000003</v>
      </c>
      <c r="G192" s="11" cm="1">
        <f t="array" aca="1" ref="G192" ca="1">INDEX(INDIRECT($M192),
       MATCH(TRIM($C192), TRIM(INDIRECT($N192)), 0),
       MATCH(TRIM(G$2), TRIM(INDIRECT($O192)), 0))</f>
        <v>254</v>
      </c>
      <c r="H192" s="9" cm="1">
        <f t="array" aca="1" ref="H192" ca="1">INDEX(INDIRECT($M192),
       MATCH(TRIM($C192), TRIM(INDIRECT($N192)), 0),
       MATCH(TRIM(H$2), TRIM(INDIRECT($O192)), 0))</f>
        <v>170723791</v>
      </c>
      <c r="I192" s="11" cm="1">
        <f t="array" aca="1" ref="I192" ca="1">INDEX(INDIRECT($M192),
       MATCH(TRIM($C192), TRIM(INDIRECT($N192)), 0),
       MATCH(TRIM(I$2), TRIM(INDIRECT($O192)), 0))</f>
        <v>170.72379100000001</v>
      </c>
      <c r="J192" s="9" cm="1">
        <f t="array" aca="1" ref="J192" ca="1">INDEX(INDIRECT($M192),
       MATCH(TRIM($C192), TRIM(INDIRECT($N192)), 0),
       MATCH(TRIM(J$2), TRIM(INDIRECT($O192)), 0))</f>
        <v>3710</v>
      </c>
      <c r="K192" s="11" cm="1">
        <f t="array" aca="1" ref="K192" ca="1">INDEX(INDIRECT($M192),
       MATCH(TRIM($C192), TRIM(INDIRECT($N192)), 0),
       MATCH(TRIM(K$2), TRIM(INDIRECT($O192)), 0))</f>
        <v>4993.1112594317137</v>
      </c>
      <c r="L192" s="11" cm="1">
        <f t="array" aca="1" ref="L192" ca="1">INDEX(INDIRECT($M192),
       MATCH(TRIM($C192), TRIM(INDIRECT($N192)), 0),
       MATCH(TRIM(L$2), TRIM(INDIRECT($O192)), 0))</f>
        <v>5948.6464367917142</v>
      </c>
      <c r="M192" s="5" t="str">
        <f t="shared" si="6"/>
        <v>'2018'!$N$3:$V$80</v>
      </c>
      <c r="N192" s="5" t="str">
        <f t="shared" si="7"/>
        <v>'2018'!$M$2:$M$80</v>
      </c>
      <c r="O192" s="5" t="str">
        <f t="shared" si="8"/>
        <v>'2018'!$N$2:$W$2</v>
      </c>
    </row>
    <row r="193" spans="1:15" x14ac:dyDescent="0.3">
      <c r="A193">
        <v>2</v>
      </c>
      <c r="B193" s="9">
        <v>2018</v>
      </c>
      <c r="C193" t="s">
        <v>1</v>
      </c>
      <c r="D193" s="11" cm="1">
        <f t="array" aca="1" ref="D193" ca="1">INDEX(INDIRECT($M193),
       MATCH(TRIM($C193), TRIM(INDIRECT($N193)), 0),
       MATCH(TRIM(D$2), TRIM(INDIRECT($O193)), 0))</f>
        <v>111</v>
      </c>
      <c r="E193" s="9" cm="1">
        <f t="array" aca="1" ref="E193" ca="1">INDEX(INDIRECT($M193),
       MATCH(TRIM($C193), TRIM(INDIRECT($N193)), 0),
       MATCH(TRIM(E$2), TRIM(INDIRECT($O193)), 0))</f>
        <v>723844601</v>
      </c>
      <c r="F193" s="11" cm="1">
        <f t="array" aca="1" ref="F193" ca="1">INDEX(INDIRECT($M193),
       MATCH(TRIM($C193), TRIM(INDIRECT($N193)), 0),
       MATCH(TRIM(F$2), TRIM(INDIRECT($O193)), 0))</f>
        <v>723.84460100000001</v>
      </c>
      <c r="G193" s="11" cm="1">
        <f t="array" aca="1" ref="G193" ca="1">INDEX(INDIRECT($M193),
       MATCH(TRIM($C193), TRIM(INDIRECT($N193)), 0),
       MATCH(TRIM(G$2), TRIM(INDIRECT($O193)), 0))</f>
        <v>50</v>
      </c>
      <c r="H193" s="9" cm="1">
        <f t="array" aca="1" ref="H193" ca="1">INDEX(INDIRECT($M193),
       MATCH(TRIM($C193), TRIM(INDIRECT($N193)), 0),
       MATCH(TRIM(H$2), TRIM(INDIRECT($O193)), 0))</f>
        <v>1829642359</v>
      </c>
      <c r="I193" s="11" cm="1">
        <f t="array" aca="1" ref="I193" ca="1">INDEX(INDIRECT($M193),
       MATCH(TRIM($C193), TRIM(INDIRECT($N193)), 0),
       MATCH(TRIM(I$2), TRIM(INDIRECT($O193)), 0))</f>
        <v>1829.6423589999999</v>
      </c>
      <c r="J193" s="9" cm="1">
        <f t="array" aca="1" ref="J193" ca="1">INDEX(INDIRECT($M193),
       MATCH(TRIM($C193), TRIM(INDIRECT($N193)), 0),
       MATCH(TRIM(J$2), TRIM(INDIRECT($O193)), 0))</f>
        <v>57</v>
      </c>
      <c r="K193" s="11" cm="1">
        <f t="array" aca="1" ref="K193" ca="1">INDEX(INDIRECT($M193),
       MATCH(TRIM($C193), TRIM(INDIRECT($N193)), 0),
       MATCH(TRIM(K$2), TRIM(INDIRECT($O193)), 0))</f>
        <v>540.0050670535918</v>
      </c>
      <c r="L193" s="11" cm="1">
        <f t="array" aca="1" ref="L193" ca="1">INDEX(INDIRECT($M193),
       MATCH(TRIM($C193), TRIM(INDIRECT($N193)), 0),
       MATCH(TRIM(L$2), TRIM(INDIRECT($O193)), 0))</f>
        <v>3093.4920270535922</v>
      </c>
      <c r="M193" s="5" t="str">
        <f t="shared" si="6"/>
        <v>'2018'!$N$3:$V$80</v>
      </c>
      <c r="N193" s="5" t="str">
        <f t="shared" si="7"/>
        <v>'2018'!$M$2:$M$80</v>
      </c>
      <c r="O193" s="5" t="str">
        <f t="shared" si="8"/>
        <v>'2018'!$N$2:$W$2</v>
      </c>
    </row>
    <row r="194" spans="1:15" x14ac:dyDescent="0.3">
      <c r="A194">
        <v>3</v>
      </c>
      <c r="B194" s="9">
        <v>2018</v>
      </c>
      <c r="C194" t="s">
        <v>2</v>
      </c>
      <c r="D194" s="11" cm="1">
        <f t="array" aca="1" ref="D194" ca="1">INDEX(INDIRECT($M194),
       MATCH(TRIM($C194), TRIM(INDIRECT($N194)), 0),
       MATCH(TRIM(D$2), TRIM(INDIRECT($O194)), 0))</f>
        <v>45</v>
      </c>
      <c r="E194" s="9" cm="1">
        <f t="array" aca="1" ref="E194" ca="1">INDEX(INDIRECT($M194),
       MATCH(TRIM($C194), TRIM(INDIRECT($N194)), 0),
       MATCH(TRIM(E$2), TRIM(INDIRECT($O194)), 0))</f>
        <v>1803512051</v>
      </c>
      <c r="F194" s="11" cm="1">
        <f t="array" aca="1" ref="F194" ca="1">INDEX(INDIRECT($M194),
       MATCH(TRIM($C194), TRIM(INDIRECT($N194)), 0),
       MATCH(TRIM(F$2), TRIM(INDIRECT($O194)), 0))</f>
        <v>1803.5120509999999</v>
      </c>
      <c r="G194" s="11" cm="1">
        <f t="array" aca="1" ref="G194" ca="1">INDEX(INDIRECT($M194),
       MATCH(TRIM($C194), TRIM(INDIRECT($N194)), 0),
       MATCH(TRIM(G$2), TRIM(INDIRECT($O194)), 0))</f>
        <v>25</v>
      </c>
      <c r="H194" s="9" cm="1">
        <f t="array" aca="1" ref="H194" ca="1">INDEX(INDIRECT($M194),
       MATCH(TRIM($C194), TRIM(INDIRECT($N194)), 0),
       MATCH(TRIM(H$2), TRIM(INDIRECT($O194)), 0))</f>
        <v>148429004</v>
      </c>
      <c r="I194" s="11" cm="1">
        <f t="array" aca="1" ref="I194" ca="1">INDEX(INDIRECT($M194),
       MATCH(TRIM($C194), TRIM(INDIRECT($N194)), 0),
       MATCH(TRIM(I$2), TRIM(INDIRECT($O194)), 0))</f>
        <v>148.42900399999999</v>
      </c>
      <c r="J194" s="9" cm="1">
        <f t="array" aca="1" ref="J194" ca="1">INDEX(INDIRECT($M194),
       MATCH(TRIM($C194), TRIM(INDIRECT($N194)), 0),
       MATCH(TRIM(J$2), TRIM(INDIRECT($O194)), 0))</f>
        <v>60</v>
      </c>
      <c r="K194" s="11" cm="1">
        <f t="array" aca="1" ref="K194" ca="1">INDEX(INDIRECT($M194),
       MATCH(TRIM($C194), TRIM(INDIRECT($N194)), 0),
       MATCH(TRIM(K$2), TRIM(INDIRECT($O194)), 0))</f>
        <v>162.73866982821247</v>
      </c>
      <c r="L194" s="11" cm="1">
        <f t="array" aca="1" ref="L194" ca="1">INDEX(INDIRECT($M194),
       MATCH(TRIM($C194), TRIM(INDIRECT($N194)), 0),
       MATCH(TRIM(L$2), TRIM(INDIRECT($O194)), 0))</f>
        <v>2114.6797248282123</v>
      </c>
      <c r="M194" s="5" t="str">
        <f t="shared" si="6"/>
        <v>'2018'!$N$3:$V$80</v>
      </c>
      <c r="N194" s="5" t="str">
        <f t="shared" si="7"/>
        <v>'2018'!$M$2:$M$80</v>
      </c>
      <c r="O194" s="5" t="str">
        <f t="shared" si="8"/>
        <v>'2018'!$N$2:$W$2</v>
      </c>
    </row>
    <row r="195" spans="1:15" x14ac:dyDescent="0.3">
      <c r="A195">
        <v>4</v>
      </c>
      <c r="B195" s="9">
        <v>2018</v>
      </c>
      <c r="C195" t="s">
        <v>3</v>
      </c>
      <c r="D195" s="11" cm="1">
        <f t="array" aca="1" ref="D195" ca="1">INDEX(INDIRECT($M195),
       MATCH(TRIM($C195), TRIM(INDIRECT($N195)), 0),
       MATCH(TRIM(D$2), TRIM(INDIRECT($O195)), 0))</f>
        <v>8</v>
      </c>
      <c r="E195" s="9" cm="1">
        <f t="array" aca="1" ref="E195" ca="1">INDEX(INDIRECT($M195),
       MATCH(TRIM($C195), TRIM(INDIRECT($N195)), 0),
       MATCH(TRIM(E$2), TRIM(INDIRECT($O195)), 0))</f>
        <v>27693595</v>
      </c>
      <c r="F195" s="11" cm="1">
        <f t="array" aca="1" ref="F195" ca="1">INDEX(INDIRECT($M195),
       MATCH(TRIM($C195), TRIM(INDIRECT($N195)), 0),
       MATCH(TRIM(F$2), TRIM(INDIRECT($O195)), 0))</f>
        <v>27.693594999999998</v>
      </c>
      <c r="G195" s="11" cm="1">
        <f t="array" aca="1" ref="G195" ca="1">INDEX(INDIRECT($M195),
       MATCH(TRIM($C195), TRIM(INDIRECT($N195)), 0),
       MATCH(TRIM(G$2), TRIM(INDIRECT($O195)), 0))</f>
        <v>5</v>
      </c>
      <c r="H195" s="9" cm="1">
        <f t="array" aca="1" ref="H195" ca="1">INDEX(INDIRECT($M195),
       MATCH(TRIM($C195), TRIM(INDIRECT($N195)), 0),
       MATCH(TRIM(H$2), TRIM(INDIRECT($O195)), 0))</f>
        <v>1139999096</v>
      </c>
      <c r="I195" s="11" cm="1">
        <f t="array" aca="1" ref="I195" ca="1">INDEX(INDIRECT($M195),
       MATCH(TRIM($C195), TRIM(INDIRECT($N195)), 0),
       MATCH(TRIM(I$2), TRIM(INDIRECT($O195)), 0))</f>
        <v>1139.999096</v>
      </c>
      <c r="J195" s="9" cm="1">
        <f t="array" aca="1" ref="J195" ca="1">INDEX(INDIRECT($M195),
       MATCH(TRIM($C195), TRIM(INDIRECT($N195)), 0),
       MATCH(TRIM(J$2), TRIM(INDIRECT($O195)), 0))</f>
        <v>16</v>
      </c>
      <c r="K195" s="11" cm="1">
        <f t="array" aca="1" ref="K195" ca="1">INDEX(INDIRECT($M195),
       MATCH(TRIM($C195), TRIM(INDIRECT($N195)), 0),
       MATCH(TRIM(K$2), TRIM(INDIRECT($O195)), 0))</f>
        <v>104.69344224938001</v>
      </c>
      <c r="L195" s="11" cm="1">
        <f t="array" aca="1" ref="L195" ca="1">INDEX(INDIRECT($M195),
       MATCH(TRIM($C195), TRIM(INDIRECT($N195)), 0),
       MATCH(TRIM(L$2), TRIM(INDIRECT($O195)), 0))</f>
        <v>1272.38613324938</v>
      </c>
      <c r="M195" s="5" t="str">
        <f t="shared" si="6"/>
        <v>'2018'!$N$3:$V$80</v>
      </c>
      <c r="N195" s="5" t="str">
        <f t="shared" si="7"/>
        <v>'2018'!$M$2:$M$80</v>
      </c>
      <c r="O195" s="5" t="str">
        <f t="shared" si="8"/>
        <v>'2018'!$N$2:$W$2</v>
      </c>
    </row>
    <row r="196" spans="1:15" x14ac:dyDescent="0.3">
      <c r="A196">
        <v>5</v>
      </c>
      <c r="B196" s="9">
        <v>2018</v>
      </c>
      <c r="C196" t="s">
        <v>4</v>
      </c>
      <c r="D196" s="11" cm="1">
        <f t="array" aca="1" ref="D196" ca="1">INDEX(INDIRECT($M196),
       MATCH(TRIM($C196), TRIM(INDIRECT($N196)), 0),
       MATCH(TRIM(D$2), TRIM(INDIRECT($O196)), 0))</f>
        <v>30</v>
      </c>
      <c r="E196" s="9" cm="1">
        <f t="array" aca="1" ref="E196" ca="1">INDEX(INDIRECT($M196),
       MATCH(TRIM($C196), TRIM(INDIRECT($N196)), 0),
       MATCH(TRIM(E$2), TRIM(INDIRECT($O196)), 0))</f>
        <v>453319630</v>
      </c>
      <c r="F196" s="11" cm="1">
        <f t="array" aca="1" ref="F196" ca="1">INDEX(INDIRECT($M196),
       MATCH(TRIM($C196), TRIM(INDIRECT($N196)), 0),
       MATCH(TRIM(F$2), TRIM(INDIRECT($O196)), 0))</f>
        <v>453.31963000000002</v>
      </c>
      <c r="G196" s="11" cm="1">
        <f t="array" aca="1" ref="G196" ca="1">INDEX(INDIRECT($M196),
       MATCH(TRIM($C196), TRIM(INDIRECT($N196)), 0),
       MATCH(TRIM(G$2), TRIM(INDIRECT($O196)), 0))</f>
        <v>27</v>
      </c>
      <c r="H196" s="9" cm="1">
        <f t="array" aca="1" ref="H196" ca="1">INDEX(INDIRECT($M196),
       MATCH(TRIM($C196), TRIM(INDIRECT($N196)), 0),
       MATCH(TRIM(H$2), TRIM(INDIRECT($O196)), 0))</f>
        <v>317531788</v>
      </c>
      <c r="I196" s="11" cm="1">
        <f t="array" aca="1" ref="I196" ca="1">INDEX(INDIRECT($M196),
       MATCH(TRIM($C196), TRIM(INDIRECT($N196)), 0),
       MATCH(TRIM(I$2), TRIM(INDIRECT($O196)), 0))</f>
        <v>317.53178800000001</v>
      </c>
      <c r="J196" s="9" cm="1">
        <f t="array" aca="1" ref="J196" ca="1">INDEX(INDIRECT($M196),
       MATCH(TRIM($C196), TRIM(INDIRECT($N196)), 0),
       MATCH(TRIM(J$2), TRIM(INDIRECT($O196)), 0))</f>
        <v>43</v>
      </c>
      <c r="K196" s="11" cm="1">
        <f t="array" aca="1" ref="K196" ca="1">INDEX(INDIRECT($M196),
       MATCH(TRIM($C196), TRIM(INDIRECT($N196)), 0),
       MATCH(TRIM(K$2), TRIM(INDIRECT($O196)), 0))</f>
        <v>65.971710406174438</v>
      </c>
      <c r="L196" s="11" cm="1">
        <f t="array" aca="1" ref="L196" ca="1">INDEX(INDIRECT($M196),
       MATCH(TRIM($C196), TRIM(INDIRECT($N196)), 0),
       MATCH(TRIM(L$2), TRIM(INDIRECT($O196)), 0))</f>
        <v>836.82312840617442</v>
      </c>
      <c r="M196" s="5" t="str">
        <f t="shared" ref="M196:M259" si="9">_xlfn.CONCAT("'",$B196,"'","!","$N$3:$V$80")</f>
        <v>'2018'!$N$3:$V$80</v>
      </c>
      <c r="N196" s="5" t="str">
        <f t="shared" ref="N196:N259" si="10">_xlfn.CONCAT("'",$B196,"'","!","$M$2:$M$80")</f>
        <v>'2018'!$M$2:$M$80</v>
      </c>
      <c r="O196" s="5" t="str">
        <f t="shared" ref="O196:O259" si="11">_xlfn.CONCAT("'",$B196,"'","!","$N$2:$W$2")</f>
        <v>'2018'!$N$2:$W$2</v>
      </c>
    </row>
    <row r="197" spans="1:15" x14ac:dyDescent="0.3">
      <c r="A197">
        <v>6</v>
      </c>
      <c r="B197" s="9">
        <v>2018</v>
      </c>
      <c r="C197" t="s">
        <v>5</v>
      </c>
      <c r="D197" s="11" cm="1">
        <f t="array" aca="1" ref="D197" ca="1">INDEX(INDIRECT($M197),
       MATCH(TRIM($C197), TRIM(INDIRECT($N197)), 0),
       MATCH(TRIM(D$2), TRIM(INDIRECT($O197)), 0))</f>
        <v>215</v>
      </c>
      <c r="E197" s="9" cm="1">
        <f t="array" aca="1" ref="E197" ca="1">INDEX(INDIRECT($M197),
       MATCH(TRIM($C197), TRIM(INDIRECT($N197)), 0),
       MATCH(TRIM(E$2), TRIM(INDIRECT($O197)), 0))</f>
        <v>1216584859</v>
      </c>
      <c r="F197" s="11" cm="1">
        <f t="array" aca="1" ref="F197" ca="1">INDEX(INDIRECT($M197),
       MATCH(TRIM($C197), TRIM(INDIRECT($N197)), 0),
       MATCH(TRIM(F$2), TRIM(INDIRECT($O197)), 0))</f>
        <v>1216.5848590000001</v>
      </c>
      <c r="G197" s="11" cm="1">
        <f t="array" aca="1" ref="G197" ca="1">INDEX(INDIRECT($M197),
       MATCH(TRIM($C197), TRIM(INDIRECT($N197)), 0),
       MATCH(TRIM(G$2), TRIM(INDIRECT($O197)), 0))</f>
        <v>135</v>
      </c>
      <c r="H197" s="9" cm="1">
        <f t="array" aca="1" ref="H197" ca="1">INDEX(INDIRECT($M197),
       MATCH(TRIM($C197), TRIM(INDIRECT($N197)), 0),
       MATCH(TRIM(H$2), TRIM(INDIRECT($O197)), 0))</f>
        <v>548371823.84000003</v>
      </c>
      <c r="I197" s="11" cm="1">
        <f t="array" aca="1" ref="I197" ca="1">INDEX(INDIRECT($M197),
       MATCH(TRIM($C197), TRIM(INDIRECT($N197)), 0),
       MATCH(TRIM(I$2), TRIM(INDIRECT($O197)), 0))</f>
        <v>548.37182384000005</v>
      </c>
      <c r="J197" s="9" cm="1">
        <f t="array" aca="1" ref="J197" ca="1">INDEX(INDIRECT($M197),
       MATCH(TRIM($C197), TRIM(INDIRECT($N197)), 0),
       MATCH(TRIM(J$2), TRIM(INDIRECT($O197)), 0))</f>
        <v>492</v>
      </c>
      <c r="K197" s="11" cm="1">
        <f t="array" aca="1" ref="K197" ca="1">INDEX(INDIRECT($M197),
       MATCH(TRIM($C197), TRIM(INDIRECT($N197)), 0),
       MATCH(TRIM(K$2), TRIM(INDIRECT($O197)), 0))</f>
        <v>562.20352383799388</v>
      </c>
      <c r="L197" s="11" cm="1">
        <f t="array" aca="1" ref="L197" ca="1">INDEX(INDIRECT($M197),
       MATCH(TRIM($C197), TRIM(INDIRECT($N197)), 0),
       MATCH(TRIM(L$2), TRIM(INDIRECT($O197)), 0))</f>
        <v>2327.1602066779942</v>
      </c>
      <c r="M197" s="5" t="str">
        <f t="shared" si="9"/>
        <v>'2018'!$N$3:$V$80</v>
      </c>
      <c r="N197" s="5" t="str">
        <f t="shared" si="10"/>
        <v>'2018'!$M$2:$M$80</v>
      </c>
      <c r="O197" s="5" t="str">
        <f t="shared" si="11"/>
        <v>'2018'!$N$2:$W$2</v>
      </c>
    </row>
    <row r="198" spans="1:15" x14ac:dyDescent="0.3">
      <c r="A198">
        <v>7</v>
      </c>
      <c r="B198" s="9">
        <v>2018</v>
      </c>
      <c r="C198" t="s">
        <v>6</v>
      </c>
      <c r="D198" s="11" cm="1">
        <f t="array" aca="1" ref="D198" ca="1">INDEX(INDIRECT($M198),
       MATCH(TRIM($C198), TRIM(INDIRECT($N198)), 0),
       MATCH(TRIM(D$2), TRIM(INDIRECT($O198)), 0))</f>
        <v>86</v>
      </c>
      <c r="E198" s="9" cm="1">
        <f t="array" aca="1" ref="E198" ca="1">INDEX(INDIRECT($M198),
       MATCH(TRIM($C198), TRIM(INDIRECT($N198)), 0),
       MATCH(TRIM(E$2), TRIM(INDIRECT($O198)), 0))</f>
        <v>275097046</v>
      </c>
      <c r="F198" s="11" cm="1">
        <f t="array" aca="1" ref="F198" ca="1">INDEX(INDIRECT($M198),
       MATCH(TRIM($C198), TRIM(INDIRECT($N198)), 0),
       MATCH(TRIM(F$2), TRIM(INDIRECT($O198)), 0))</f>
        <v>275.09704599999998</v>
      </c>
      <c r="G198" s="11" cm="1">
        <f t="array" aca="1" ref="G198" ca="1">INDEX(INDIRECT($M198),
       MATCH(TRIM($C198), TRIM(INDIRECT($N198)), 0),
       MATCH(TRIM(G$2), TRIM(INDIRECT($O198)), 0))</f>
        <v>88</v>
      </c>
      <c r="H198" s="9" cm="1">
        <f t="array" aca="1" ref="H198" ca="1">INDEX(INDIRECT($M198),
       MATCH(TRIM($C198), TRIM(INDIRECT($N198)), 0),
       MATCH(TRIM(H$2), TRIM(INDIRECT($O198)), 0))</f>
        <v>220073323</v>
      </c>
      <c r="I198" s="11" cm="1">
        <f t="array" aca="1" ref="I198" ca="1">INDEX(INDIRECT($M198),
       MATCH(TRIM($C198), TRIM(INDIRECT($N198)), 0),
       MATCH(TRIM(I$2), TRIM(INDIRECT($O198)), 0))</f>
        <v>220.07332299999999</v>
      </c>
      <c r="J198" s="9" cm="1">
        <f t="array" aca="1" ref="J198" ca="1">INDEX(INDIRECT($M198),
       MATCH(TRIM($C198), TRIM(INDIRECT($N198)), 0),
       MATCH(TRIM(J$2), TRIM(INDIRECT($O198)), 0))</f>
        <v>166</v>
      </c>
      <c r="K198" s="11" cm="1">
        <f t="array" aca="1" ref="K198" ca="1">INDEX(INDIRECT($M198),
       MATCH(TRIM($C198), TRIM(INDIRECT($N198)), 0),
       MATCH(TRIM(K$2), TRIM(INDIRECT($O198)), 0))</f>
        <v>193.11031603076967</v>
      </c>
      <c r="L198" s="11" cm="1">
        <f t="array" aca="1" ref="L198" ca="1">INDEX(INDIRECT($M198),
       MATCH(TRIM($C198), TRIM(INDIRECT($N198)), 0),
       MATCH(TRIM(L$2), TRIM(INDIRECT($O198)), 0))</f>
        <v>688.28068503076963</v>
      </c>
      <c r="M198" s="5" t="str">
        <f t="shared" si="9"/>
        <v>'2018'!$N$3:$V$80</v>
      </c>
      <c r="N198" s="5" t="str">
        <f t="shared" si="10"/>
        <v>'2018'!$M$2:$M$80</v>
      </c>
      <c r="O198" s="5" t="str">
        <f t="shared" si="11"/>
        <v>'2018'!$N$2:$W$2</v>
      </c>
    </row>
    <row r="199" spans="1:15" x14ac:dyDescent="0.3">
      <c r="A199">
        <v>8</v>
      </c>
      <c r="B199" s="9">
        <v>2018</v>
      </c>
      <c r="C199" t="s">
        <v>7</v>
      </c>
      <c r="D199" s="11" cm="1">
        <f t="array" aca="1" ref="D199" ca="1">INDEX(INDIRECT($M199),
       MATCH(TRIM($C199), TRIM(INDIRECT($N199)), 0),
       MATCH(TRIM(D$2), TRIM(INDIRECT($O199)), 0))</f>
        <v>29</v>
      </c>
      <c r="E199" s="9" cm="1">
        <f t="array" aca="1" ref="E199" ca="1">INDEX(INDIRECT($M199),
       MATCH(TRIM($C199), TRIM(INDIRECT($N199)), 0),
       MATCH(TRIM(E$2), TRIM(INDIRECT($O199)), 0))</f>
        <v>348654025</v>
      </c>
      <c r="F199" s="11" cm="1">
        <f t="array" aca="1" ref="F199" ca="1">INDEX(INDIRECT($M199),
       MATCH(TRIM($C199), TRIM(INDIRECT($N199)), 0),
       MATCH(TRIM(F$2), TRIM(INDIRECT($O199)), 0))</f>
        <v>348.65402499999999</v>
      </c>
      <c r="G199" s="11" cm="1">
        <f t="array" aca="1" ref="G199" ca="1">INDEX(INDIRECT($M199),
       MATCH(TRIM($C199), TRIM(INDIRECT($N199)), 0),
       MATCH(TRIM(G$2), TRIM(INDIRECT($O199)), 0))</f>
        <v>20</v>
      </c>
      <c r="H199" s="9" cm="1">
        <f t="array" aca="1" ref="H199" ca="1">INDEX(INDIRECT($M199),
       MATCH(TRIM($C199), TRIM(INDIRECT($N199)), 0),
       MATCH(TRIM(H$2), TRIM(INDIRECT($O199)), 0))</f>
        <v>96975824</v>
      </c>
      <c r="I199" s="11" cm="1">
        <f t="array" aca="1" ref="I199" ca="1">INDEX(INDIRECT($M199),
       MATCH(TRIM($C199), TRIM(INDIRECT($N199)), 0),
       MATCH(TRIM(I$2), TRIM(INDIRECT($O199)), 0))</f>
        <v>96.975824000000003</v>
      </c>
      <c r="J199" s="9" cm="1">
        <f t="array" aca="1" ref="J199" ca="1">INDEX(INDIRECT($M199),
       MATCH(TRIM($C199), TRIM(INDIRECT($N199)), 0),
       MATCH(TRIM(J$2), TRIM(INDIRECT($O199)), 0))</f>
        <v>32</v>
      </c>
      <c r="K199" s="11" cm="1">
        <f t="array" aca="1" ref="K199" ca="1">INDEX(INDIRECT($M199),
       MATCH(TRIM($C199), TRIM(INDIRECT($N199)), 0),
       MATCH(TRIM(K$2), TRIM(INDIRECT($O199)), 0))</f>
        <v>35.051236407670011</v>
      </c>
      <c r="L199" s="11" cm="1">
        <f t="array" aca="1" ref="L199" ca="1">INDEX(INDIRECT($M199),
       MATCH(TRIM($C199), TRIM(INDIRECT($N199)), 0),
       MATCH(TRIM(L$2), TRIM(INDIRECT($O199)), 0))</f>
        <v>480.68108540766997</v>
      </c>
      <c r="M199" s="5" t="str">
        <f t="shared" si="9"/>
        <v>'2018'!$N$3:$V$80</v>
      </c>
      <c r="N199" s="5" t="str">
        <f t="shared" si="10"/>
        <v>'2018'!$M$2:$M$80</v>
      </c>
      <c r="O199" s="5" t="str">
        <f t="shared" si="11"/>
        <v>'2018'!$N$2:$W$2</v>
      </c>
    </row>
    <row r="200" spans="1:15" x14ac:dyDescent="0.3">
      <c r="A200">
        <v>9</v>
      </c>
      <c r="B200" s="9">
        <v>2018</v>
      </c>
      <c r="C200" t="s">
        <v>8</v>
      </c>
      <c r="D200" s="11" cm="1">
        <f t="array" aca="1" ref="D200" ca="1">INDEX(INDIRECT($M200),
       MATCH(TRIM($C200), TRIM(INDIRECT($N200)), 0),
       MATCH(TRIM(D$2), TRIM(INDIRECT($O200)), 0))</f>
        <v>125</v>
      </c>
      <c r="E200" s="9" cm="1">
        <f t="array" aca="1" ref="E200" ca="1">INDEX(INDIRECT($M200),
       MATCH(TRIM($C200), TRIM(INDIRECT($N200)), 0),
       MATCH(TRIM(E$2), TRIM(INDIRECT($O200)), 0))</f>
        <v>988993579</v>
      </c>
      <c r="F200" s="11" cm="1">
        <f t="array" aca="1" ref="F200" ca="1">INDEX(INDIRECT($M200),
       MATCH(TRIM($C200), TRIM(INDIRECT($N200)), 0),
       MATCH(TRIM(F$2), TRIM(INDIRECT($O200)), 0))</f>
        <v>988.99357899999995</v>
      </c>
      <c r="G200" s="11" cm="1">
        <f t="array" aca="1" ref="G200" ca="1">INDEX(INDIRECT($M200),
       MATCH(TRIM($C200), TRIM(INDIRECT($N200)), 0),
       MATCH(TRIM(G$2), TRIM(INDIRECT($O200)), 0))</f>
        <v>21</v>
      </c>
      <c r="H200" s="9" cm="1">
        <f t="array" aca="1" ref="H200" ca="1">INDEX(INDIRECT($M200),
       MATCH(TRIM($C200), TRIM(INDIRECT($N200)), 0),
       MATCH(TRIM(H$2), TRIM(INDIRECT($O200)), 0))</f>
        <v>63211621</v>
      </c>
      <c r="I200" s="11" cm="1">
        <f t="array" aca="1" ref="I200" ca="1">INDEX(INDIRECT($M200),
       MATCH(TRIM($C200), TRIM(INDIRECT($N200)), 0),
       MATCH(TRIM(I$2), TRIM(INDIRECT($O200)), 0))</f>
        <v>63.211621000000001</v>
      </c>
      <c r="J200" s="9" cm="1">
        <f t="array" aca="1" ref="J200" ca="1">INDEX(INDIRECT($M200),
       MATCH(TRIM($C200), TRIM(INDIRECT($N200)), 0),
       MATCH(TRIM(J$2), TRIM(INDIRECT($O200)), 0))</f>
        <v>211</v>
      </c>
      <c r="K200" s="11" cm="1">
        <f t="array" aca="1" ref="K200" ca="1">INDEX(INDIRECT($M200),
       MATCH(TRIM($C200), TRIM(INDIRECT($N200)), 0),
       MATCH(TRIM(K$2), TRIM(INDIRECT($O200)), 0))</f>
        <v>403.37421130749152</v>
      </c>
      <c r="L200" s="11" cm="1">
        <f t="array" aca="1" ref="L200" ca="1">INDEX(INDIRECT($M200),
       MATCH(TRIM($C200), TRIM(INDIRECT($N200)), 0),
       MATCH(TRIM(L$2), TRIM(INDIRECT($O200)), 0))</f>
        <v>1455.5794113074915</v>
      </c>
      <c r="M200" s="5" t="str">
        <f t="shared" si="9"/>
        <v>'2018'!$N$3:$V$80</v>
      </c>
      <c r="N200" s="5" t="str">
        <f t="shared" si="10"/>
        <v>'2018'!$M$2:$M$80</v>
      </c>
      <c r="O200" s="5" t="str">
        <f t="shared" si="11"/>
        <v>'2018'!$N$2:$W$2</v>
      </c>
    </row>
    <row r="201" spans="1:15" x14ac:dyDescent="0.3">
      <c r="A201">
        <v>10</v>
      </c>
      <c r="B201" s="9">
        <v>2018</v>
      </c>
      <c r="C201" t="s">
        <v>9</v>
      </c>
      <c r="D201" s="11" cm="1">
        <f t="array" aca="1" ref="D201" ca="1">INDEX(INDIRECT($M201),
       MATCH(TRIM($C201), TRIM(INDIRECT($N201)), 0),
       MATCH(TRIM(D$2), TRIM(INDIRECT($O201)), 0))</f>
        <v>8</v>
      </c>
      <c r="E201" s="9" cm="1">
        <f t="array" aca="1" ref="E201" ca="1">INDEX(INDIRECT($M201),
       MATCH(TRIM($C201), TRIM(INDIRECT($N201)), 0),
       MATCH(TRIM(E$2), TRIM(INDIRECT($O201)), 0))</f>
        <v>387530106</v>
      </c>
      <c r="F201" s="11" cm="1">
        <f t="array" aca="1" ref="F201" ca="1">INDEX(INDIRECT($M201),
       MATCH(TRIM($C201), TRIM(INDIRECT($N201)), 0),
       MATCH(TRIM(F$2), TRIM(INDIRECT($O201)), 0))</f>
        <v>387.53010599999999</v>
      </c>
      <c r="G201" s="11" cm="1">
        <f t="array" aca="1" ref="G201" ca="1">INDEX(INDIRECT($M201),
       MATCH(TRIM($C201), TRIM(INDIRECT($N201)), 0),
       MATCH(TRIM(G$2), TRIM(INDIRECT($O201)), 0))</f>
        <v>0</v>
      </c>
      <c r="H201" s="9" cm="1">
        <f t="array" aca="1" ref="H201" ca="1">INDEX(INDIRECT($M201),
       MATCH(TRIM($C201), TRIM(INDIRECT($N201)), 0),
       MATCH(TRIM(H$2), TRIM(INDIRECT($O201)), 0))</f>
        <v>0</v>
      </c>
      <c r="I201" s="11" cm="1">
        <f t="array" aca="1" ref="I201" ca="1">INDEX(INDIRECT($M201),
       MATCH(TRIM($C201), TRIM(INDIRECT($N201)), 0),
       MATCH(TRIM(I$2), TRIM(INDIRECT($O201)), 0))</f>
        <v>0</v>
      </c>
      <c r="J201" s="9" cm="1">
        <f t="array" aca="1" ref="J201" ca="1">INDEX(INDIRECT($M201),
       MATCH(TRIM($C201), TRIM(INDIRECT($N201)), 0),
       MATCH(TRIM(J$2), TRIM(INDIRECT($O201)), 0))</f>
        <v>5</v>
      </c>
      <c r="K201" s="11" cm="1">
        <f t="array" aca="1" ref="K201" ca="1">INDEX(INDIRECT($M201),
       MATCH(TRIM($C201), TRIM(INDIRECT($N201)), 0),
       MATCH(TRIM(K$2), TRIM(INDIRECT($O201)), 0))</f>
        <v>14.118503577777799</v>
      </c>
      <c r="L201" s="11" cm="1">
        <f t="array" aca="1" ref="L201" ca="1">INDEX(INDIRECT($M201),
       MATCH(TRIM($C201), TRIM(INDIRECT($N201)), 0),
       MATCH(TRIM(L$2), TRIM(INDIRECT($O201)), 0))</f>
        <v>401.64860957777779</v>
      </c>
      <c r="M201" s="5" t="str">
        <f t="shared" si="9"/>
        <v>'2018'!$N$3:$V$80</v>
      </c>
      <c r="N201" s="5" t="str">
        <f t="shared" si="10"/>
        <v>'2018'!$M$2:$M$80</v>
      </c>
      <c r="O201" s="5" t="str">
        <f t="shared" si="11"/>
        <v>'2018'!$N$2:$W$2</v>
      </c>
    </row>
    <row r="202" spans="1:15" x14ac:dyDescent="0.3">
      <c r="A202">
        <v>11</v>
      </c>
      <c r="B202" s="9">
        <v>2018</v>
      </c>
      <c r="C202" t="s">
        <v>10</v>
      </c>
      <c r="D202" s="11" cm="1">
        <f t="array" aca="1" ref="D202" ca="1">INDEX(INDIRECT($M202),
       MATCH(TRIM($C202), TRIM(INDIRECT($N202)), 0),
       MATCH(TRIM(D$2), TRIM(INDIRECT($O202)), 0))</f>
        <v>44</v>
      </c>
      <c r="E202" s="9" cm="1">
        <f t="array" aca="1" ref="E202" ca="1">INDEX(INDIRECT($M202),
       MATCH(TRIM($C202), TRIM(INDIRECT($N202)), 0),
       MATCH(TRIM(E$2), TRIM(INDIRECT($O202)), 0))</f>
        <v>235980639</v>
      </c>
      <c r="F202" s="11" cm="1">
        <f t="array" aca="1" ref="F202" ca="1">INDEX(INDIRECT($M202),
       MATCH(TRIM($C202), TRIM(INDIRECT($N202)), 0),
       MATCH(TRIM(F$2), TRIM(INDIRECT($O202)), 0))</f>
        <v>235.980639</v>
      </c>
      <c r="G202" s="11" cm="1">
        <f t="array" aca="1" ref="G202" ca="1">INDEX(INDIRECT($M202),
       MATCH(TRIM($C202), TRIM(INDIRECT($N202)), 0),
       MATCH(TRIM(G$2), TRIM(INDIRECT($O202)), 0))</f>
        <v>28</v>
      </c>
      <c r="H202" s="9" cm="1">
        <f t="array" aca="1" ref="H202" ca="1">INDEX(INDIRECT($M202),
       MATCH(TRIM($C202), TRIM(INDIRECT($N202)), 0),
       MATCH(TRIM(H$2), TRIM(INDIRECT($O202)), 0))</f>
        <v>299182802.58105469</v>
      </c>
      <c r="I202" s="11" cm="1">
        <f t="array" aca="1" ref="I202" ca="1">INDEX(INDIRECT($M202),
       MATCH(TRIM($C202), TRIM(INDIRECT($N202)), 0),
       MATCH(TRIM(I$2), TRIM(INDIRECT($O202)), 0))</f>
        <v>299.18280258105466</v>
      </c>
      <c r="J202" s="9" cm="1">
        <f t="array" aca="1" ref="J202" ca="1">INDEX(INDIRECT($M202),
       MATCH(TRIM($C202), TRIM(INDIRECT($N202)), 0),
       MATCH(TRIM(J$2), TRIM(INDIRECT($O202)), 0))</f>
        <v>50</v>
      </c>
      <c r="K202" s="11" cm="1">
        <f t="array" aca="1" ref="K202" ca="1">INDEX(INDIRECT($M202),
       MATCH(TRIM($C202), TRIM(INDIRECT($N202)), 0),
       MATCH(TRIM(K$2), TRIM(INDIRECT($O202)), 0))</f>
        <v>61.845554545580008</v>
      </c>
      <c r="L202" s="11" cm="1">
        <f t="array" aca="1" ref="L202" ca="1">INDEX(INDIRECT($M202),
       MATCH(TRIM($C202), TRIM(INDIRECT($N202)), 0),
       MATCH(TRIM(L$2), TRIM(INDIRECT($O202)), 0))</f>
        <v>597.00899612663477</v>
      </c>
      <c r="M202" s="5" t="str">
        <f t="shared" si="9"/>
        <v>'2018'!$N$3:$V$80</v>
      </c>
      <c r="N202" s="5" t="str">
        <f t="shared" si="10"/>
        <v>'2018'!$M$2:$M$80</v>
      </c>
      <c r="O202" s="5" t="str">
        <f t="shared" si="11"/>
        <v>'2018'!$N$2:$W$2</v>
      </c>
    </row>
    <row r="203" spans="1:15" x14ac:dyDescent="0.3">
      <c r="A203">
        <v>12</v>
      </c>
      <c r="B203" s="9">
        <v>2018</v>
      </c>
      <c r="C203" t="s">
        <v>11</v>
      </c>
      <c r="D203" s="11" cm="1">
        <f t="array" aca="1" ref="D203" ca="1">INDEX(INDIRECT($M203),
       MATCH(TRIM($C203), TRIM(INDIRECT($N203)), 0),
       MATCH(TRIM(D$2), TRIM(INDIRECT($O203)), 0))</f>
        <v>67</v>
      </c>
      <c r="E203" s="9" cm="1">
        <f t="array" aca="1" ref="E203" ca="1">INDEX(INDIRECT($M203),
       MATCH(TRIM($C203), TRIM(INDIRECT($N203)), 0),
       MATCH(TRIM(E$2), TRIM(INDIRECT($O203)), 0))</f>
        <v>183782447</v>
      </c>
      <c r="F203" s="11" cm="1">
        <f t="array" aca="1" ref="F203" ca="1">INDEX(INDIRECT($M203),
       MATCH(TRIM($C203), TRIM(INDIRECT($N203)), 0),
       MATCH(TRIM(F$2), TRIM(INDIRECT($O203)), 0))</f>
        <v>183.78244699999999</v>
      </c>
      <c r="G203" s="11" cm="1">
        <f t="array" aca="1" ref="G203" ca="1">INDEX(INDIRECT($M203),
       MATCH(TRIM($C203), TRIM(INDIRECT($N203)), 0),
       MATCH(TRIM(G$2), TRIM(INDIRECT($O203)), 0))</f>
        <v>36</v>
      </c>
      <c r="H203" s="9" cm="1">
        <f t="array" aca="1" ref="H203" ca="1">INDEX(INDIRECT($M203),
       MATCH(TRIM($C203), TRIM(INDIRECT($N203)), 0),
       MATCH(TRIM(H$2), TRIM(INDIRECT($O203)), 0))</f>
        <v>318891064</v>
      </c>
      <c r="I203" s="11" cm="1">
        <f t="array" aca="1" ref="I203" ca="1">INDEX(INDIRECT($M203),
       MATCH(TRIM($C203), TRIM(INDIRECT($N203)), 0),
       MATCH(TRIM(I$2), TRIM(INDIRECT($O203)), 0))</f>
        <v>318.89106399999997</v>
      </c>
      <c r="J203" s="9" cm="1">
        <f t="array" aca="1" ref="J203" ca="1">INDEX(INDIRECT($M203),
       MATCH(TRIM($C203), TRIM(INDIRECT($N203)), 0),
       MATCH(TRIM(J$2), TRIM(INDIRECT($O203)), 0))</f>
        <v>44</v>
      </c>
      <c r="K203" s="11" cm="1">
        <f t="array" aca="1" ref="K203" ca="1">INDEX(INDIRECT($M203),
       MATCH(TRIM($C203), TRIM(INDIRECT($N203)), 0),
       MATCH(TRIM(K$2), TRIM(INDIRECT($O203)), 0))</f>
        <v>40.323069181133988</v>
      </c>
      <c r="L203" s="11" cm="1">
        <f t="array" aca="1" ref="L203" ca="1">INDEX(INDIRECT($M203),
       MATCH(TRIM($C203), TRIM(INDIRECT($N203)), 0),
       MATCH(TRIM(L$2), TRIM(INDIRECT($O203)), 0))</f>
        <v>542.99658018113394</v>
      </c>
      <c r="M203" s="5" t="str">
        <f t="shared" si="9"/>
        <v>'2018'!$N$3:$V$80</v>
      </c>
      <c r="N203" s="5" t="str">
        <f t="shared" si="10"/>
        <v>'2018'!$M$2:$M$80</v>
      </c>
      <c r="O203" s="5" t="str">
        <f t="shared" si="11"/>
        <v>'2018'!$N$2:$W$2</v>
      </c>
    </row>
    <row r="204" spans="1:15" x14ac:dyDescent="0.3">
      <c r="A204">
        <v>13</v>
      </c>
      <c r="B204" s="9">
        <v>2018</v>
      </c>
      <c r="C204" t="s">
        <v>12</v>
      </c>
      <c r="D204" s="11" cm="1">
        <f t="array" aca="1" ref="D204" ca="1">INDEX(INDIRECT($M204),
       MATCH(TRIM($C204), TRIM(INDIRECT($N204)), 0),
       MATCH(TRIM(D$2), TRIM(INDIRECT($O204)), 0))</f>
        <v>42</v>
      </c>
      <c r="E204" s="9" cm="1">
        <f t="array" aca="1" ref="E204" ca="1">INDEX(INDIRECT($M204),
       MATCH(TRIM($C204), TRIM(INDIRECT($N204)), 0),
       MATCH(TRIM(E$2), TRIM(INDIRECT($O204)), 0))</f>
        <v>329865656</v>
      </c>
      <c r="F204" s="11" cm="1">
        <f t="array" aca="1" ref="F204" ca="1">INDEX(INDIRECT($M204),
       MATCH(TRIM($C204), TRIM(INDIRECT($N204)), 0),
       MATCH(TRIM(F$2), TRIM(INDIRECT($O204)), 0))</f>
        <v>329.865656</v>
      </c>
      <c r="G204" s="11" cm="1">
        <f t="array" aca="1" ref="G204" ca="1">INDEX(INDIRECT($M204),
       MATCH(TRIM($C204), TRIM(INDIRECT($N204)), 0),
       MATCH(TRIM(G$2), TRIM(INDIRECT($O204)), 0))</f>
        <v>32</v>
      </c>
      <c r="H204" s="9" cm="1">
        <f t="array" aca="1" ref="H204" ca="1">INDEX(INDIRECT($M204),
       MATCH(TRIM($C204), TRIM(INDIRECT($N204)), 0),
       MATCH(TRIM(H$2), TRIM(INDIRECT($O204)), 0))</f>
        <v>91670955</v>
      </c>
      <c r="I204" s="11" cm="1">
        <f t="array" aca="1" ref="I204" ca="1">INDEX(INDIRECT($M204),
       MATCH(TRIM($C204), TRIM(INDIRECT($N204)), 0),
       MATCH(TRIM(I$2), TRIM(INDIRECT($O204)), 0))</f>
        <v>91.670955000000006</v>
      </c>
      <c r="J204" s="9" cm="1">
        <f t="array" aca="1" ref="J204" ca="1">INDEX(INDIRECT($M204),
       MATCH(TRIM($C204), TRIM(INDIRECT($N204)), 0),
       MATCH(TRIM(J$2), TRIM(INDIRECT($O204)), 0))</f>
        <v>21</v>
      </c>
      <c r="K204" s="11" cm="1">
        <f t="array" aca="1" ref="K204" ca="1">INDEX(INDIRECT($M204),
       MATCH(TRIM($C204), TRIM(INDIRECT($N204)), 0),
       MATCH(TRIM(K$2), TRIM(INDIRECT($O204)), 0))</f>
        <v>15.212370916983001</v>
      </c>
      <c r="L204" s="11" cm="1">
        <f t="array" aca="1" ref="L204" ca="1">INDEX(INDIRECT($M204),
       MATCH(TRIM($C204), TRIM(INDIRECT($N204)), 0),
       MATCH(TRIM(L$2), TRIM(INDIRECT($O204)), 0))</f>
        <v>436.74898191698298</v>
      </c>
      <c r="M204" s="5" t="str">
        <f t="shared" si="9"/>
        <v>'2018'!$N$3:$V$80</v>
      </c>
      <c r="N204" s="5" t="str">
        <f t="shared" si="10"/>
        <v>'2018'!$M$2:$M$80</v>
      </c>
      <c r="O204" s="5" t="str">
        <f t="shared" si="11"/>
        <v>'2018'!$N$2:$W$2</v>
      </c>
    </row>
    <row r="205" spans="1:15" x14ac:dyDescent="0.3">
      <c r="A205">
        <v>14</v>
      </c>
      <c r="B205" s="9">
        <v>2018</v>
      </c>
      <c r="C205" t="s">
        <v>13</v>
      </c>
      <c r="D205" s="11" cm="1">
        <f t="array" aca="1" ref="D205" ca="1">INDEX(INDIRECT($M205),
       MATCH(TRIM($C205), TRIM(INDIRECT($N205)), 0),
       MATCH(TRIM(D$2), TRIM(INDIRECT($O205)), 0))</f>
        <v>1</v>
      </c>
      <c r="E205" s="9" cm="1">
        <f t="array" aca="1" ref="E205" ca="1">INDEX(INDIRECT($M205),
       MATCH(TRIM($C205), TRIM(INDIRECT($N205)), 0),
       MATCH(TRIM(E$2), TRIM(INDIRECT($O205)), 0))</f>
        <v>365760000</v>
      </c>
      <c r="F205" s="11" cm="1">
        <f t="array" aca="1" ref="F205" ca="1">INDEX(INDIRECT($M205),
       MATCH(TRIM($C205), TRIM(INDIRECT($N205)), 0),
       MATCH(TRIM(F$2), TRIM(INDIRECT($O205)), 0))</f>
        <v>365.76</v>
      </c>
      <c r="G205" s="11" cm="1">
        <f t="array" aca="1" ref="G205" ca="1">INDEX(INDIRECT($M205),
       MATCH(TRIM($C205), TRIM(INDIRECT($N205)), 0),
       MATCH(TRIM(G$2), TRIM(INDIRECT($O205)), 0))</f>
        <v>1</v>
      </c>
      <c r="H205" s="9" cm="1">
        <f t="array" aca="1" ref="H205" ca="1">INDEX(INDIRECT($M205),
       MATCH(TRIM($C205), TRIM(INDIRECT($N205)), 0),
       MATCH(TRIM(H$2), TRIM(INDIRECT($O205)), 0))</f>
        <v>1960000</v>
      </c>
      <c r="I205" s="11" cm="1">
        <f t="array" aca="1" ref="I205" ca="1">INDEX(INDIRECT($M205),
       MATCH(TRIM($C205), TRIM(INDIRECT($N205)), 0),
       MATCH(TRIM(I$2), TRIM(INDIRECT($O205)), 0))</f>
        <v>1.96</v>
      </c>
      <c r="J205" s="9" cm="1">
        <f t="array" aca="1" ref="J205" ca="1">INDEX(INDIRECT($M205),
       MATCH(TRIM($C205), TRIM(INDIRECT($N205)), 0),
       MATCH(TRIM(J$2), TRIM(INDIRECT($O205)), 0))</f>
        <v>1</v>
      </c>
      <c r="K205" s="11" cm="1">
        <f t="array" aca="1" ref="K205" ca="1">INDEX(INDIRECT($M205),
       MATCH(TRIM($C205), TRIM(INDIRECT($N205)), 0),
       MATCH(TRIM(K$2), TRIM(INDIRECT($O205)), 0))</f>
        <v>0.3484444444</v>
      </c>
      <c r="L205" s="11" cm="1">
        <f t="array" aca="1" ref="L205" ca="1">INDEX(INDIRECT($M205),
       MATCH(TRIM($C205), TRIM(INDIRECT($N205)), 0),
       MATCH(TRIM(L$2), TRIM(INDIRECT($O205)), 0))</f>
        <v>368.06844444439997</v>
      </c>
      <c r="M205" s="5" t="str">
        <f t="shared" si="9"/>
        <v>'2018'!$N$3:$V$80</v>
      </c>
      <c r="N205" s="5" t="str">
        <f t="shared" si="10"/>
        <v>'2018'!$M$2:$M$80</v>
      </c>
      <c r="O205" s="5" t="str">
        <f t="shared" si="11"/>
        <v>'2018'!$N$2:$W$2</v>
      </c>
    </row>
    <row r="206" spans="1:15" x14ac:dyDescent="0.3">
      <c r="A206">
        <v>15</v>
      </c>
      <c r="B206" s="9">
        <v>2018</v>
      </c>
      <c r="C206" t="s">
        <v>14</v>
      </c>
      <c r="D206" s="11" cm="1">
        <f t="array" aca="1" ref="D206" ca="1">INDEX(INDIRECT($M206),
       MATCH(TRIM($C206), TRIM(INDIRECT($N206)), 0),
       MATCH(TRIM(D$2), TRIM(INDIRECT($O206)), 0))</f>
        <v>15</v>
      </c>
      <c r="E206" s="9" cm="1">
        <f t="array" aca="1" ref="E206" ca="1">INDEX(INDIRECT($M206),
       MATCH(TRIM($C206), TRIM(INDIRECT($N206)), 0),
       MATCH(TRIM(E$2), TRIM(INDIRECT($O206)), 0))</f>
        <v>137478485</v>
      </c>
      <c r="F206" s="11" cm="1">
        <f t="array" aca="1" ref="F206" ca="1">INDEX(INDIRECT($M206),
       MATCH(TRIM($C206), TRIM(INDIRECT($N206)), 0),
       MATCH(TRIM(F$2), TRIM(INDIRECT($O206)), 0))</f>
        <v>137.47848500000001</v>
      </c>
      <c r="G206" s="11" cm="1">
        <f t="array" aca="1" ref="G206" ca="1">INDEX(INDIRECT($M206),
       MATCH(TRIM($C206), TRIM(INDIRECT($N206)), 0),
       MATCH(TRIM(G$2), TRIM(INDIRECT($O206)), 0))</f>
        <v>9</v>
      </c>
      <c r="H206" s="9" cm="1">
        <f t="array" aca="1" ref="H206" ca="1">INDEX(INDIRECT($M206),
       MATCH(TRIM($C206), TRIM(INDIRECT($N206)), 0),
       MATCH(TRIM(H$2), TRIM(INDIRECT($O206)), 0))</f>
        <v>34200000</v>
      </c>
      <c r="I206" s="11" cm="1">
        <f t="array" aca="1" ref="I206" ca="1">INDEX(INDIRECT($M206),
       MATCH(TRIM($C206), TRIM(INDIRECT($N206)), 0),
       MATCH(TRIM(I$2), TRIM(INDIRECT($O206)), 0))</f>
        <v>34.200000000000003</v>
      </c>
      <c r="J206" s="9" cm="1">
        <f t="array" aca="1" ref="J206" ca="1">INDEX(INDIRECT($M206),
       MATCH(TRIM($C206), TRIM(INDIRECT($N206)), 0),
       MATCH(TRIM(J$2), TRIM(INDIRECT($O206)), 0))</f>
        <v>13</v>
      </c>
      <c r="K206" s="11" cm="1">
        <f t="array" aca="1" ref="K206" ca="1">INDEX(INDIRECT($M206),
       MATCH(TRIM($C206), TRIM(INDIRECT($N206)), 0),
       MATCH(TRIM(K$2), TRIM(INDIRECT($O206)), 0))</f>
        <v>107.11479711116</v>
      </c>
      <c r="L206" s="11" cm="1">
        <f t="array" aca="1" ref="L206" ca="1">INDEX(INDIRECT($M206),
       MATCH(TRIM($C206), TRIM(INDIRECT($N206)), 0),
       MATCH(TRIM(L$2), TRIM(INDIRECT($O206)), 0))</f>
        <v>278.79328211116001</v>
      </c>
      <c r="M206" s="5" t="str">
        <f t="shared" si="9"/>
        <v>'2018'!$N$3:$V$80</v>
      </c>
      <c r="N206" s="5" t="str">
        <f t="shared" si="10"/>
        <v>'2018'!$M$2:$M$80</v>
      </c>
      <c r="O206" s="5" t="str">
        <f t="shared" si="11"/>
        <v>'2018'!$N$2:$W$2</v>
      </c>
    </row>
    <row r="207" spans="1:15" x14ac:dyDescent="0.3">
      <c r="A207">
        <v>16</v>
      </c>
      <c r="B207" s="9">
        <v>2018</v>
      </c>
      <c r="C207" t="s">
        <v>15</v>
      </c>
      <c r="D207" s="11" cm="1">
        <f t="array" aca="1" ref="D207" ca="1">INDEX(INDIRECT($M207),
       MATCH(TRIM($C207), TRIM(INDIRECT($N207)), 0),
       MATCH(TRIM(D$2), TRIM(INDIRECT($O207)), 0))</f>
        <v>29</v>
      </c>
      <c r="E207" s="9" cm="1">
        <f t="array" aca="1" ref="E207" ca="1">INDEX(INDIRECT($M207),
       MATCH(TRIM($C207), TRIM(INDIRECT($N207)), 0),
       MATCH(TRIM(E$2), TRIM(INDIRECT($O207)), 0))</f>
        <v>322856122</v>
      </c>
      <c r="F207" s="11" cm="1">
        <f t="array" aca="1" ref="F207" ca="1">INDEX(INDIRECT($M207),
       MATCH(TRIM($C207), TRIM(INDIRECT($N207)), 0),
       MATCH(TRIM(F$2), TRIM(INDIRECT($O207)), 0))</f>
        <v>322.85612200000003</v>
      </c>
      <c r="G207" s="11" cm="1">
        <f t="array" aca="1" ref="G207" ca="1">INDEX(INDIRECT($M207),
       MATCH(TRIM($C207), TRIM(INDIRECT($N207)), 0),
       MATCH(TRIM(G$2), TRIM(INDIRECT($O207)), 0))</f>
        <v>5</v>
      </c>
      <c r="H207" s="9" cm="1">
        <f t="array" aca="1" ref="H207" ca="1">INDEX(INDIRECT($M207),
       MATCH(TRIM($C207), TRIM(INDIRECT($N207)), 0),
       MATCH(TRIM(H$2), TRIM(INDIRECT($O207)), 0))</f>
        <v>107975704</v>
      </c>
      <c r="I207" s="11" cm="1">
        <f t="array" aca="1" ref="I207" ca="1">INDEX(INDIRECT($M207),
       MATCH(TRIM($C207), TRIM(INDIRECT($N207)), 0),
       MATCH(TRIM(I$2), TRIM(INDIRECT($O207)), 0))</f>
        <v>107.97570399999999</v>
      </c>
      <c r="J207" s="9" cm="1">
        <f t="array" aca="1" ref="J207" ca="1">INDEX(INDIRECT($M207),
       MATCH(TRIM($C207), TRIM(INDIRECT($N207)), 0),
       MATCH(TRIM(J$2), TRIM(INDIRECT($O207)), 0))</f>
        <v>24</v>
      </c>
      <c r="K207" s="11" cm="1">
        <f t="array" aca="1" ref="K207" ca="1">INDEX(INDIRECT($M207),
       MATCH(TRIM($C207), TRIM(INDIRECT($N207)), 0),
       MATCH(TRIM(K$2), TRIM(INDIRECT($O207)), 0))</f>
        <v>31.099206433623902</v>
      </c>
      <c r="L207" s="11" cm="1">
        <f t="array" aca="1" ref="L207" ca="1">INDEX(INDIRECT($M207),
       MATCH(TRIM($C207), TRIM(INDIRECT($N207)), 0),
       MATCH(TRIM(L$2), TRIM(INDIRECT($O207)), 0))</f>
        <v>461.93103243362395</v>
      </c>
      <c r="M207" s="5" t="str">
        <f t="shared" si="9"/>
        <v>'2018'!$N$3:$V$80</v>
      </c>
      <c r="N207" s="5" t="str">
        <f t="shared" si="10"/>
        <v>'2018'!$M$2:$M$80</v>
      </c>
      <c r="O207" s="5" t="str">
        <f t="shared" si="11"/>
        <v>'2018'!$N$2:$W$2</v>
      </c>
    </row>
    <row r="208" spans="1:15" x14ac:dyDescent="0.3">
      <c r="A208">
        <v>17</v>
      </c>
      <c r="B208" s="9">
        <v>2018</v>
      </c>
      <c r="C208" t="s">
        <v>16</v>
      </c>
      <c r="D208" s="11" cm="1">
        <f t="array" aca="1" ref="D208" ca="1">INDEX(INDIRECT($M208),
       MATCH(TRIM($C208), TRIM(INDIRECT($N208)), 0),
       MATCH(TRIM(D$2), TRIM(INDIRECT($O208)), 0))</f>
        <v>29</v>
      </c>
      <c r="E208" s="9" cm="1">
        <f t="array" aca="1" ref="E208" ca="1">INDEX(INDIRECT($M208),
       MATCH(TRIM($C208), TRIM(INDIRECT($N208)), 0),
       MATCH(TRIM(E$2), TRIM(INDIRECT($O208)), 0))</f>
        <v>127537938</v>
      </c>
      <c r="F208" s="11" cm="1">
        <f t="array" aca="1" ref="F208" ca="1">INDEX(INDIRECT($M208),
       MATCH(TRIM($C208), TRIM(INDIRECT($N208)), 0),
       MATCH(TRIM(F$2), TRIM(INDIRECT($O208)), 0))</f>
        <v>127.537938</v>
      </c>
      <c r="G208" s="11" cm="1">
        <f t="array" aca="1" ref="G208" ca="1">INDEX(INDIRECT($M208),
       MATCH(TRIM($C208), TRIM(INDIRECT($N208)), 0),
       MATCH(TRIM(G$2), TRIM(INDIRECT($O208)), 0))</f>
        <v>47</v>
      </c>
      <c r="H208" s="9" cm="1">
        <f t="array" aca="1" ref="H208" ca="1">INDEX(INDIRECT($M208),
       MATCH(TRIM($C208), TRIM(INDIRECT($N208)), 0),
       MATCH(TRIM(H$2), TRIM(INDIRECT($O208)), 0))</f>
        <v>277837860</v>
      </c>
      <c r="I208" s="11" cm="1">
        <f t="array" aca="1" ref="I208" ca="1">INDEX(INDIRECT($M208),
       MATCH(TRIM($C208), TRIM(INDIRECT($N208)), 0),
       MATCH(TRIM(I$2), TRIM(INDIRECT($O208)), 0))</f>
        <v>277.83785999999998</v>
      </c>
      <c r="J208" s="9" cm="1">
        <f t="array" aca="1" ref="J208" ca="1">INDEX(INDIRECT($M208),
       MATCH(TRIM($C208), TRIM(INDIRECT($N208)), 0),
       MATCH(TRIM(J$2), TRIM(INDIRECT($O208)), 0))</f>
        <v>55</v>
      </c>
      <c r="K208" s="11" cm="1">
        <f t="array" aca="1" ref="K208" ca="1">INDEX(INDIRECT($M208),
       MATCH(TRIM($C208), TRIM(INDIRECT($N208)), 0),
       MATCH(TRIM(K$2), TRIM(INDIRECT($O208)), 0))</f>
        <v>73.042708667826005</v>
      </c>
      <c r="L208" s="11" cm="1">
        <f t="array" aca="1" ref="L208" ca="1">INDEX(INDIRECT($M208),
       MATCH(TRIM($C208), TRIM(INDIRECT($N208)), 0),
       MATCH(TRIM(L$2), TRIM(INDIRECT($O208)), 0))</f>
        <v>478.41850666782597</v>
      </c>
      <c r="M208" s="5" t="str">
        <f t="shared" si="9"/>
        <v>'2018'!$N$3:$V$80</v>
      </c>
      <c r="N208" s="5" t="str">
        <f t="shared" si="10"/>
        <v>'2018'!$M$2:$M$80</v>
      </c>
      <c r="O208" s="5" t="str">
        <f t="shared" si="11"/>
        <v>'2018'!$N$2:$W$2</v>
      </c>
    </row>
    <row r="209" spans="1:15" x14ac:dyDescent="0.3">
      <c r="A209">
        <v>18</v>
      </c>
      <c r="B209" s="9">
        <v>2018</v>
      </c>
      <c r="C209" t="s">
        <v>17</v>
      </c>
      <c r="D209" s="11" cm="1">
        <f t="array" aca="1" ref="D209" ca="1">INDEX(INDIRECT($M209),
       MATCH(TRIM($C209), TRIM(INDIRECT($N209)), 0),
       MATCH(TRIM(D$2), TRIM(INDIRECT($O209)), 0))</f>
        <v>2</v>
      </c>
      <c r="E209" s="9" cm="1">
        <f t="array" aca="1" ref="E209" ca="1">INDEX(INDIRECT($M209),
       MATCH(TRIM($C209), TRIM(INDIRECT($N209)), 0),
       MATCH(TRIM(E$2), TRIM(INDIRECT($O209)), 0))</f>
        <v>200087652</v>
      </c>
      <c r="F209" s="11" cm="1">
        <f t="array" aca="1" ref="F209" ca="1">INDEX(INDIRECT($M209),
       MATCH(TRIM($C209), TRIM(INDIRECT($N209)), 0),
       MATCH(TRIM(F$2), TRIM(INDIRECT($O209)), 0))</f>
        <v>200.08765199999999</v>
      </c>
      <c r="G209" s="11" cm="1">
        <f t="array" aca="1" ref="G209" ca="1">INDEX(INDIRECT($M209),
       MATCH(TRIM($C209), TRIM(INDIRECT($N209)), 0),
       MATCH(TRIM(G$2), TRIM(INDIRECT($O209)), 0))</f>
        <v>2</v>
      </c>
      <c r="H209" s="9" cm="1">
        <f t="array" aca="1" ref="H209" ca="1">INDEX(INDIRECT($M209),
       MATCH(TRIM($C209), TRIM(INDIRECT($N209)), 0),
       MATCH(TRIM(H$2), TRIM(INDIRECT($O209)), 0))</f>
        <v>12000000</v>
      </c>
      <c r="I209" s="11" cm="1">
        <f t="array" aca="1" ref="I209" ca="1">INDEX(INDIRECT($M209),
       MATCH(TRIM($C209), TRIM(INDIRECT($N209)), 0),
       MATCH(TRIM(I$2), TRIM(INDIRECT($O209)), 0))</f>
        <v>12</v>
      </c>
      <c r="J209" s="9" cm="1">
        <f t="array" aca="1" ref="J209" ca="1">INDEX(INDIRECT($M209),
       MATCH(TRIM($C209), TRIM(INDIRECT($N209)), 0),
       MATCH(TRIM(J$2), TRIM(INDIRECT($O209)), 0))</f>
        <v>8</v>
      </c>
      <c r="K209" s="11" cm="1">
        <f t="array" aca="1" ref="K209" ca="1">INDEX(INDIRECT($M209),
       MATCH(TRIM($C209), TRIM(INDIRECT($N209)), 0),
       MATCH(TRIM(K$2), TRIM(INDIRECT($O209)), 0))</f>
        <v>3.0736335112399997</v>
      </c>
      <c r="L209" s="11" cm="1">
        <f t="array" aca="1" ref="L209" ca="1">INDEX(INDIRECT($M209),
       MATCH(TRIM($C209), TRIM(INDIRECT($N209)), 0),
       MATCH(TRIM(L$2), TRIM(INDIRECT($O209)), 0))</f>
        <v>215.16128551123998</v>
      </c>
      <c r="M209" s="5" t="str">
        <f t="shared" si="9"/>
        <v>'2018'!$N$3:$V$80</v>
      </c>
      <c r="N209" s="5" t="str">
        <f t="shared" si="10"/>
        <v>'2018'!$M$2:$M$80</v>
      </c>
      <c r="O209" s="5" t="str">
        <f t="shared" si="11"/>
        <v>'2018'!$N$2:$W$2</v>
      </c>
    </row>
    <row r="210" spans="1:15" x14ac:dyDescent="0.3">
      <c r="A210">
        <v>19</v>
      </c>
      <c r="B210" s="9">
        <v>2018</v>
      </c>
      <c r="C210" t="s">
        <v>18</v>
      </c>
      <c r="D210" s="11" cm="1">
        <f t="array" aca="1" ref="D210" ca="1">INDEX(INDIRECT($M210),
       MATCH(TRIM($C210), TRIM(INDIRECT($N210)), 0),
       MATCH(TRIM(D$2), TRIM(INDIRECT($O210)), 0))</f>
        <v>4</v>
      </c>
      <c r="E210" s="9" cm="1">
        <f t="array" aca="1" ref="E210" ca="1">INDEX(INDIRECT($M210),
       MATCH(TRIM($C210), TRIM(INDIRECT($N210)), 0),
       MATCH(TRIM(E$2), TRIM(INDIRECT($O210)), 0))</f>
        <v>353588553</v>
      </c>
      <c r="F210" s="11" cm="1">
        <f t="array" aca="1" ref="F210" ca="1">INDEX(INDIRECT($M210),
       MATCH(TRIM($C210), TRIM(INDIRECT($N210)), 0),
       MATCH(TRIM(F$2), TRIM(INDIRECT($O210)), 0))</f>
        <v>353.58855299999999</v>
      </c>
      <c r="G210" s="11" cm="1">
        <f t="array" aca="1" ref="G210" ca="1">INDEX(INDIRECT($M210),
       MATCH(TRIM($C210), TRIM(INDIRECT($N210)), 0),
       MATCH(TRIM(G$2), TRIM(INDIRECT($O210)), 0))</f>
        <v>1</v>
      </c>
      <c r="H210" s="9" cm="1">
        <f t="array" aca="1" ref="H210" ca="1">INDEX(INDIRECT($M210),
       MATCH(TRIM($C210), TRIM(INDIRECT($N210)), 0),
       MATCH(TRIM(H$2), TRIM(INDIRECT($O210)), 0))</f>
        <v>-217391</v>
      </c>
      <c r="I210" s="11" cm="1">
        <f t="array" aca="1" ref="I210" ca="1">INDEX(INDIRECT($M210),
       MATCH(TRIM($C210), TRIM(INDIRECT($N210)), 0),
       MATCH(TRIM(I$2), TRIM(INDIRECT($O210)), 0))</f>
        <v>-0.217391</v>
      </c>
      <c r="J210" s="9" cm="1">
        <f t="array" aca="1" ref="J210" ca="1">INDEX(INDIRECT($M210),
       MATCH(TRIM($C210), TRIM(INDIRECT($N210)), 0),
       MATCH(TRIM(J$2), TRIM(INDIRECT($O210)), 0))</f>
        <v>2</v>
      </c>
      <c r="K210" s="11" cm="1">
        <f t="array" aca="1" ref="K210" ca="1">INDEX(INDIRECT($M210),
       MATCH(TRIM($C210), TRIM(INDIRECT($N210)), 0),
       MATCH(TRIM(K$2), TRIM(INDIRECT($O210)), 0))</f>
        <v>0.52444444449000005</v>
      </c>
      <c r="L210" s="11" cm="1">
        <f t="array" aca="1" ref="L210" ca="1">INDEX(INDIRECT($M210),
       MATCH(TRIM($C210), TRIM(INDIRECT($N210)), 0),
       MATCH(TRIM(L$2), TRIM(INDIRECT($O210)), 0))</f>
        <v>353.89560644448994</v>
      </c>
      <c r="M210" s="5" t="str">
        <f t="shared" si="9"/>
        <v>'2018'!$N$3:$V$80</v>
      </c>
      <c r="N210" s="5" t="str">
        <f t="shared" si="10"/>
        <v>'2018'!$M$2:$M$80</v>
      </c>
      <c r="O210" s="5" t="str">
        <f t="shared" si="11"/>
        <v>'2018'!$N$2:$W$2</v>
      </c>
    </row>
    <row r="211" spans="1:15" x14ac:dyDescent="0.3">
      <c r="A211">
        <v>20</v>
      </c>
      <c r="B211" s="9">
        <v>2018</v>
      </c>
      <c r="C211" t="s">
        <v>19</v>
      </c>
      <c r="D211" s="11" cm="1">
        <f t="array" aca="1" ref="D211" ca="1">INDEX(INDIRECT($M211),
       MATCH(TRIM($C211), TRIM(INDIRECT($N211)), 0),
       MATCH(TRIM(D$2), TRIM(INDIRECT($O211)), 0))</f>
        <v>9</v>
      </c>
      <c r="E211" s="9" cm="1">
        <f t="array" aca="1" ref="E211" ca="1">INDEX(INDIRECT($M211),
       MATCH(TRIM($C211), TRIM(INDIRECT($N211)), 0),
       MATCH(TRIM(E$2), TRIM(INDIRECT($O211)), 0))</f>
        <v>142019134</v>
      </c>
      <c r="F211" s="11" cm="1">
        <f t="array" aca="1" ref="F211" ca="1">INDEX(INDIRECT($M211),
       MATCH(TRIM($C211), TRIM(INDIRECT($N211)), 0),
       MATCH(TRIM(F$2), TRIM(INDIRECT($O211)), 0))</f>
        <v>142.01913400000001</v>
      </c>
      <c r="G211" s="11" cm="1">
        <f t="array" aca="1" ref="G211" ca="1">INDEX(INDIRECT($M211),
       MATCH(TRIM($C211), TRIM(INDIRECT($N211)), 0),
       MATCH(TRIM(G$2), TRIM(INDIRECT($O211)), 0))</f>
        <v>2</v>
      </c>
      <c r="H211" s="9" cm="1">
        <f t="array" aca="1" ref="H211" ca="1">INDEX(INDIRECT($M211),
       MATCH(TRIM($C211), TRIM(INDIRECT($N211)), 0),
       MATCH(TRIM(H$2), TRIM(INDIRECT($O211)), 0))</f>
        <v>308298</v>
      </c>
      <c r="I211" s="11" cm="1">
        <f t="array" aca="1" ref="I211" ca="1">INDEX(INDIRECT($M211),
       MATCH(TRIM($C211), TRIM(INDIRECT($N211)), 0),
       MATCH(TRIM(I$2), TRIM(INDIRECT($O211)), 0))</f>
        <v>0.30829800000000002</v>
      </c>
      <c r="J211" s="9" cm="1">
        <f t="array" aca="1" ref="J211" ca="1">INDEX(INDIRECT($M211),
       MATCH(TRIM($C211), TRIM(INDIRECT($N211)), 0),
       MATCH(TRIM(J$2), TRIM(INDIRECT($O211)), 0))</f>
        <v>11</v>
      </c>
      <c r="K211" s="11" cm="1">
        <f t="array" aca="1" ref="K211" ca="1">INDEX(INDIRECT($M211),
       MATCH(TRIM($C211), TRIM(INDIRECT($N211)), 0),
       MATCH(TRIM(K$2), TRIM(INDIRECT($O211)), 0))</f>
        <v>14.909894555500001</v>
      </c>
      <c r="L211" s="11" cm="1">
        <f t="array" aca="1" ref="L211" ca="1">INDEX(INDIRECT($M211),
       MATCH(TRIM($C211), TRIM(INDIRECT($N211)), 0),
       MATCH(TRIM(L$2), TRIM(INDIRECT($O211)), 0))</f>
        <v>157.2373265555</v>
      </c>
      <c r="M211" s="5" t="str">
        <f t="shared" si="9"/>
        <v>'2018'!$N$3:$V$80</v>
      </c>
      <c r="N211" s="5" t="str">
        <f t="shared" si="10"/>
        <v>'2018'!$M$2:$M$80</v>
      </c>
      <c r="O211" s="5" t="str">
        <f t="shared" si="11"/>
        <v>'2018'!$N$2:$W$2</v>
      </c>
    </row>
    <row r="212" spans="1:15" x14ac:dyDescent="0.3">
      <c r="A212">
        <v>21</v>
      </c>
      <c r="B212" s="9">
        <v>2018</v>
      </c>
      <c r="C212" t="s">
        <v>20</v>
      </c>
      <c r="D212" s="11" cm="1">
        <f t="array" aca="1" ref="D212" ca="1">INDEX(INDIRECT($M212),
       MATCH(TRIM($C212), TRIM(INDIRECT($N212)), 0),
       MATCH(TRIM(D$2), TRIM(INDIRECT($O212)), 0))</f>
        <v>173</v>
      </c>
      <c r="E212" s="9" cm="1">
        <f t="array" aca="1" ref="E212" ca="1">INDEX(INDIRECT($M212),
       MATCH(TRIM($C212), TRIM(INDIRECT($N212)), 0),
       MATCH(TRIM(E$2), TRIM(INDIRECT($O212)), 0))</f>
        <v>394690566</v>
      </c>
      <c r="F212" s="11" cm="1">
        <f t="array" aca="1" ref="F212" ca="1">INDEX(INDIRECT($M212),
       MATCH(TRIM($C212), TRIM(INDIRECT($N212)), 0),
       MATCH(TRIM(F$2), TRIM(INDIRECT($O212)), 0))</f>
        <v>394.69056599999999</v>
      </c>
      <c r="G212" s="11" cm="1">
        <f t="array" aca="1" ref="G212" ca="1">INDEX(INDIRECT($M212),
       MATCH(TRIM($C212), TRIM(INDIRECT($N212)), 0),
       MATCH(TRIM(G$2), TRIM(INDIRECT($O212)), 0))</f>
        <v>116</v>
      </c>
      <c r="H212" s="9" cm="1">
        <f t="array" aca="1" ref="H212" ca="1">INDEX(INDIRECT($M212),
       MATCH(TRIM($C212), TRIM(INDIRECT($N212)), 0),
       MATCH(TRIM(H$2), TRIM(INDIRECT($O212)), 0))</f>
        <v>677553165.13999999</v>
      </c>
      <c r="I212" s="11" cm="1">
        <f t="array" aca="1" ref="I212" ca="1">INDEX(INDIRECT($M212),
       MATCH(TRIM($C212), TRIM(INDIRECT($N212)), 0),
       MATCH(TRIM(I$2), TRIM(INDIRECT($O212)), 0))</f>
        <v>677.55316514000003</v>
      </c>
      <c r="J212" s="9" cm="1">
        <f t="array" aca="1" ref="J212" ca="1">INDEX(INDIRECT($M212),
       MATCH(TRIM($C212), TRIM(INDIRECT($N212)), 0),
       MATCH(TRIM(J$2), TRIM(INDIRECT($O212)), 0))</f>
        <v>156</v>
      </c>
      <c r="K212" s="11" cm="1">
        <f t="array" aca="1" ref="K212" ca="1">INDEX(INDIRECT($M212),
       MATCH(TRIM($C212), TRIM(INDIRECT($N212)), 0),
       MATCH(TRIM(K$2), TRIM(INDIRECT($O212)), 0))</f>
        <v>51.753875643488804</v>
      </c>
      <c r="L212" s="11" cm="1">
        <f t="array" aca="1" ref="L212" ca="1">INDEX(INDIRECT($M212),
       MATCH(TRIM($C212), TRIM(INDIRECT($N212)), 0),
       MATCH(TRIM(L$2), TRIM(INDIRECT($O212)), 0))</f>
        <v>1123.9976067834887</v>
      </c>
      <c r="M212" s="5" t="str">
        <f t="shared" si="9"/>
        <v>'2018'!$N$3:$V$80</v>
      </c>
      <c r="N212" s="5" t="str">
        <f t="shared" si="10"/>
        <v>'2018'!$M$2:$M$80</v>
      </c>
      <c r="O212" s="5" t="str">
        <f t="shared" si="11"/>
        <v>'2018'!$N$2:$W$2</v>
      </c>
    </row>
    <row r="213" spans="1:15" x14ac:dyDescent="0.3">
      <c r="A213">
        <v>22</v>
      </c>
      <c r="B213" s="9">
        <v>2018</v>
      </c>
      <c r="C213" t="s">
        <v>21</v>
      </c>
      <c r="D213" s="11" cm="1">
        <f t="array" aca="1" ref="D213" ca="1">INDEX(INDIRECT($M213),
       MATCH(TRIM($C213), TRIM(INDIRECT($N213)), 0),
       MATCH(TRIM(D$2), TRIM(INDIRECT($O213)), 0))</f>
        <v>0</v>
      </c>
      <c r="E213" s="9" cm="1">
        <f t="array" aca="1" ref="E213" ca="1">INDEX(INDIRECT($M213),
       MATCH(TRIM($C213), TRIM(INDIRECT($N213)), 0),
       MATCH(TRIM(E$2), TRIM(INDIRECT($O213)), 0))</f>
        <v>0</v>
      </c>
      <c r="F213" s="11" cm="1">
        <f t="array" aca="1" ref="F213" ca="1">INDEX(INDIRECT($M213),
       MATCH(TRIM($C213), TRIM(INDIRECT($N213)), 0),
       MATCH(TRIM(F$2), TRIM(INDIRECT($O213)), 0))</f>
        <v>0</v>
      </c>
      <c r="G213" s="11" cm="1">
        <f t="array" aca="1" ref="G213" ca="1">INDEX(INDIRECT($M213),
       MATCH(TRIM($C213), TRIM(INDIRECT($N213)), 0),
       MATCH(TRIM(G$2), TRIM(INDIRECT($O213)), 0))</f>
        <v>1</v>
      </c>
      <c r="H213" s="9" cm="1">
        <f t="array" aca="1" ref="H213" ca="1">INDEX(INDIRECT($M213),
       MATCH(TRIM($C213), TRIM(INDIRECT($N213)), 0),
       MATCH(TRIM(H$2), TRIM(INDIRECT($O213)), 0))</f>
        <v>407695</v>
      </c>
      <c r="I213" s="11" cm="1">
        <f t="array" aca="1" ref="I213" ca="1">INDEX(INDIRECT($M213),
       MATCH(TRIM($C213), TRIM(INDIRECT($N213)), 0),
       MATCH(TRIM(I$2), TRIM(INDIRECT($O213)), 0))</f>
        <v>0.40769499999999997</v>
      </c>
      <c r="J213" s="9" cm="1">
        <f t="array" aca="1" ref="J213" ca="1">INDEX(INDIRECT($M213),
       MATCH(TRIM($C213), TRIM(INDIRECT($N213)), 0),
       MATCH(TRIM(J$2), TRIM(INDIRECT($O213)), 0))</f>
        <v>7</v>
      </c>
      <c r="K213" s="11" cm="1">
        <f t="array" aca="1" ref="K213" ca="1">INDEX(INDIRECT($M213),
       MATCH(TRIM($C213), TRIM(INDIRECT($N213)), 0),
       MATCH(TRIM(K$2), TRIM(INDIRECT($O213)), 0))</f>
        <v>18.708610086700002</v>
      </c>
      <c r="L213" s="11" cm="1">
        <f t="array" aca="1" ref="L213" ca="1">INDEX(INDIRECT($M213),
       MATCH(TRIM($C213), TRIM(INDIRECT($N213)), 0),
       MATCH(TRIM(L$2), TRIM(INDIRECT($O213)), 0))</f>
        <v>19.116305086700002</v>
      </c>
      <c r="M213" s="5" t="str">
        <f t="shared" si="9"/>
        <v>'2018'!$N$3:$V$80</v>
      </c>
      <c r="N213" s="5" t="str">
        <f t="shared" si="10"/>
        <v>'2018'!$M$2:$M$80</v>
      </c>
      <c r="O213" s="5" t="str">
        <f t="shared" si="11"/>
        <v>'2018'!$N$2:$W$2</v>
      </c>
    </row>
    <row r="214" spans="1:15" x14ac:dyDescent="0.3">
      <c r="A214">
        <v>23</v>
      </c>
      <c r="B214" s="9">
        <v>2018</v>
      </c>
      <c r="C214" t="s">
        <v>22</v>
      </c>
      <c r="D214" s="11" cm="1">
        <f t="array" aca="1" ref="D214" ca="1">INDEX(INDIRECT($M214),
       MATCH(TRIM($C214), TRIM(INDIRECT($N214)), 0),
       MATCH(TRIM(D$2), TRIM(INDIRECT($O214)), 0))</f>
        <v>4</v>
      </c>
      <c r="E214" s="9" cm="1">
        <f t="array" aca="1" ref="E214" ca="1">INDEX(INDIRECT($M214),
       MATCH(TRIM($C214), TRIM(INDIRECT($N214)), 0),
       MATCH(TRIM(E$2), TRIM(INDIRECT($O214)), 0))</f>
        <v>382811668</v>
      </c>
      <c r="F214" s="11" cm="1">
        <f t="array" aca="1" ref="F214" ca="1">INDEX(INDIRECT($M214),
       MATCH(TRIM($C214), TRIM(INDIRECT($N214)), 0),
       MATCH(TRIM(F$2), TRIM(INDIRECT($O214)), 0))</f>
        <v>382.811668</v>
      </c>
      <c r="G214" s="11" cm="1">
        <f t="array" aca="1" ref="G214" ca="1">INDEX(INDIRECT($M214),
       MATCH(TRIM($C214), TRIM(INDIRECT($N214)), 0),
       MATCH(TRIM(G$2), TRIM(INDIRECT($O214)), 0))</f>
        <v>5</v>
      </c>
      <c r="H214" s="9" cm="1">
        <f t="array" aca="1" ref="H214" ca="1">INDEX(INDIRECT($M214),
       MATCH(TRIM($C214), TRIM(INDIRECT($N214)), 0),
       MATCH(TRIM(H$2), TRIM(INDIRECT($O214)), 0))</f>
        <v>-4313869</v>
      </c>
      <c r="I214" s="11" cm="1">
        <f t="array" aca="1" ref="I214" ca="1">INDEX(INDIRECT($M214),
       MATCH(TRIM($C214), TRIM(INDIRECT($N214)), 0),
       MATCH(TRIM(I$2), TRIM(INDIRECT($O214)), 0))</f>
        <v>-4.3138690000000004</v>
      </c>
      <c r="J214" s="9" cm="1">
        <f t="array" aca="1" ref="J214" ca="1">INDEX(INDIRECT($M214),
       MATCH(TRIM($C214), TRIM(INDIRECT($N214)), 0),
       MATCH(TRIM(J$2), TRIM(INDIRECT($O214)), 0))</f>
        <v>12</v>
      </c>
      <c r="K214" s="11" cm="1">
        <f t="array" aca="1" ref="K214" ca="1">INDEX(INDIRECT($M214),
       MATCH(TRIM($C214), TRIM(INDIRECT($N214)), 0),
       MATCH(TRIM(K$2), TRIM(INDIRECT($O214)), 0))</f>
        <v>16.46035647643</v>
      </c>
      <c r="L214" s="11" cm="1">
        <f t="array" aca="1" ref="L214" ca="1">INDEX(INDIRECT($M214),
       MATCH(TRIM($C214), TRIM(INDIRECT($N214)), 0),
       MATCH(TRIM(L$2), TRIM(INDIRECT($O214)), 0))</f>
        <v>394.95815547642997</v>
      </c>
      <c r="M214" s="5" t="str">
        <f t="shared" si="9"/>
        <v>'2018'!$N$3:$V$80</v>
      </c>
      <c r="N214" s="5" t="str">
        <f t="shared" si="10"/>
        <v>'2018'!$M$2:$M$80</v>
      </c>
      <c r="O214" s="5" t="str">
        <f t="shared" si="11"/>
        <v>'2018'!$N$2:$W$2</v>
      </c>
    </row>
    <row r="215" spans="1:15" x14ac:dyDescent="0.3">
      <c r="A215">
        <v>24</v>
      </c>
      <c r="B215" s="9">
        <v>2018</v>
      </c>
      <c r="C215" t="s">
        <v>23</v>
      </c>
      <c r="D215" s="11" cm="1">
        <f t="array" aca="1" ref="D215" ca="1">INDEX(INDIRECT($M215),
       MATCH(TRIM($C215), TRIM(INDIRECT($N215)), 0),
       MATCH(TRIM(D$2), TRIM(INDIRECT($O215)), 0))</f>
        <v>1</v>
      </c>
      <c r="E215" s="9" cm="1">
        <f t="array" aca="1" ref="E215" ca="1">INDEX(INDIRECT($M215),
       MATCH(TRIM($C215), TRIM(INDIRECT($N215)), 0),
       MATCH(TRIM(E$2), TRIM(INDIRECT($O215)), 0))</f>
        <v>900000</v>
      </c>
      <c r="F215" s="11" cm="1">
        <f t="array" aca="1" ref="F215" ca="1">INDEX(INDIRECT($M215),
       MATCH(TRIM($C215), TRIM(INDIRECT($N215)), 0),
       MATCH(TRIM(F$2), TRIM(INDIRECT($O215)), 0))</f>
        <v>0.9</v>
      </c>
      <c r="G215" s="11" cm="1">
        <f t="array" aca="1" ref="G215" ca="1">INDEX(INDIRECT($M215),
       MATCH(TRIM($C215), TRIM(INDIRECT($N215)), 0),
       MATCH(TRIM(G$2), TRIM(INDIRECT($O215)), 0))</f>
        <v>1</v>
      </c>
      <c r="H215" s="9" cm="1">
        <f t="array" aca="1" ref="H215" ca="1">INDEX(INDIRECT($M215),
       MATCH(TRIM($C215), TRIM(INDIRECT($N215)), 0),
       MATCH(TRIM(H$2), TRIM(INDIRECT($O215)), 0))</f>
        <v>10000000</v>
      </c>
      <c r="I215" s="11" cm="1">
        <f t="array" aca="1" ref="I215" ca="1">INDEX(INDIRECT($M215),
       MATCH(TRIM($C215), TRIM(INDIRECT($N215)), 0),
       MATCH(TRIM(I$2), TRIM(INDIRECT($O215)), 0))</f>
        <v>10</v>
      </c>
      <c r="J215" s="9" cm="1">
        <f t="array" aca="1" ref="J215" ca="1">INDEX(INDIRECT($M215),
       MATCH(TRIM($C215), TRIM(INDIRECT($N215)), 0),
       MATCH(TRIM(J$2), TRIM(INDIRECT($O215)), 0))</f>
        <v>6</v>
      </c>
      <c r="K215" s="11" cm="1">
        <f t="array" aca="1" ref="K215" ca="1">INDEX(INDIRECT($M215),
       MATCH(TRIM($C215), TRIM(INDIRECT($N215)), 0),
       MATCH(TRIM(K$2), TRIM(INDIRECT($O215)), 0))</f>
        <v>3.0010326356300006</v>
      </c>
      <c r="L215" s="11" cm="1">
        <f t="array" aca="1" ref="L215" ca="1">INDEX(INDIRECT($M215),
       MATCH(TRIM($C215), TRIM(INDIRECT($N215)), 0),
       MATCH(TRIM(L$2), TRIM(INDIRECT($O215)), 0))</f>
        <v>13.901032635630001</v>
      </c>
      <c r="M215" s="5" t="str">
        <f t="shared" si="9"/>
        <v>'2018'!$N$3:$V$80</v>
      </c>
      <c r="N215" s="5" t="str">
        <f t="shared" si="10"/>
        <v>'2018'!$M$2:$M$80</v>
      </c>
      <c r="O215" s="5" t="str">
        <f t="shared" si="11"/>
        <v>'2018'!$N$2:$W$2</v>
      </c>
    </row>
    <row r="216" spans="1:15" x14ac:dyDescent="0.3">
      <c r="A216">
        <v>25</v>
      </c>
      <c r="B216" s="9">
        <v>2018</v>
      </c>
      <c r="C216" t="s">
        <v>24</v>
      </c>
      <c r="D216" s="11" cm="1">
        <f t="array" aca="1" ref="D216" ca="1">INDEX(INDIRECT($M216),
       MATCH(TRIM($C216), TRIM(INDIRECT($N216)), 0),
       MATCH(TRIM(D$2), TRIM(INDIRECT($O216)), 0))</f>
        <v>3</v>
      </c>
      <c r="E216" s="9" cm="1">
        <f t="array" aca="1" ref="E216" ca="1">INDEX(INDIRECT($M216),
       MATCH(TRIM($C216), TRIM(INDIRECT($N216)), 0),
       MATCH(TRIM(E$2), TRIM(INDIRECT($O216)), 0))</f>
        <v>89756031</v>
      </c>
      <c r="F216" s="11" cm="1">
        <f t="array" aca="1" ref="F216" ca="1">INDEX(INDIRECT($M216),
       MATCH(TRIM($C216), TRIM(INDIRECT($N216)), 0),
       MATCH(TRIM(F$2), TRIM(INDIRECT($O216)), 0))</f>
        <v>89.756030999999993</v>
      </c>
      <c r="G216" s="11" cm="1">
        <f t="array" aca="1" ref="G216" ca="1">INDEX(INDIRECT($M216),
       MATCH(TRIM($C216), TRIM(INDIRECT($N216)), 0),
       MATCH(TRIM(G$2), TRIM(INDIRECT($O216)), 0))</f>
        <v>0</v>
      </c>
      <c r="H216" s="9" cm="1">
        <f t="array" aca="1" ref="H216" ca="1">INDEX(INDIRECT($M216),
       MATCH(TRIM($C216), TRIM(INDIRECT($N216)), 0),
       MATCH(TRIM(H$2), TRIM(INDIRECT($O216)), 0))</f>
        <v>0</v>
      </c>
      <c r="I216" s="11" cm="1">
        <f t="array" aca="1" ref="I216" ca="1">INDEX(INDIRECT($M216),
       MATCH(TRIM($C216), TRIM(INDIRECT($N216)), 0),
       MATCH(TRIM(I$2), TRIM(INDIRECT($O216)), 0))</f>
        <v>0</v>
      </c>
      <c r="J216" s="9" cm="1">
        <f t="array" aca="1" ref="J216" ca="1">INDEX(INDIRECT($M216),
       MATCH(TRIM($C216), TRIM(INDIRECT($N216)), 0),
       MATCH(TRIM(J$2), TRIM(INDIRECT($O216)), 0))</f>
        <v>0</v>
      </c>
      <c r="K216" s="11" cm="1">
        <f t="array" aca="1" ref="K216" ca="1">INDEX(INDIRECT($M216),
       MATCH(TRIM($C216), TRIM(INDIRECT($N216)), 0),
       MATCH(TRIM(K$2), TRIM(INDIRECT($O216)), 0))</f>
        <v>0</v>
      </c>
      <c r="L216" s="11" cm="1">
        <f t="array" aca="1" ref="L216" ca="1">INDEX(INDIRECT($M216),
       MATCH(TRIM($C216), TRIM(INDIRECT($N216)), 0),
       MATCH(TRIM(L$2), TRIM(INDIRECT($O216)), 0))</f>
        <v>89.756030999999993</v>
      </c>
      <c r="M216" s="5" t="str">
        <f t="shared" si="9"/>
        <v>'2018'!$N$3:$V$80</v>
      </c>
      <c r="N216" s="5" t="str">
        <f t="shared" si="10"/>
        <v>'2018'!$M$2:$M$80</v>
      </c>
      <c r="O216" s="5" t="str">
        <f t="shared" si="11"/>
        <v>'2018'!$N$2:$W$2</v>
      </c>
    </row>
    <row r="217" spans="1:15" x14ac:dyDescent="0.3">
      <c r="A217">
        <v>26</v>
      </c>
      <c r="B217" s="9">
        <v>2018</v>
      </c>
      <c r="C217" t="s">
        <v>25</v>
      </c>
      <c r="D217" s="11" cm="1">
        <f t="array" aca="1" ref="D217" ca="1">INDEX(INDIRECT($M217),
       MATCH(TRIM($C217), TRIM(INDIRECT($N217)), 0),
       MATCH(TRIM(D$2), TRIM(INDIRECT($O217)), 0))</f>
        <v>14</v>
      </c>
      <c r="E217" s="9" cm="1">
        <f t="array" aca="1" ref="E217" ca="1">INDEX(INDIRECT($M217),
       MATCH(TRIM($C217), TRIM(INDIRECT($N217)), 0),
       MATCH(TRIM(E$2), TRIM(INDIRECT($O217)), 0))</f>
        <v>387088987</v>
      </c>
      <c r="F217" s="11" cm="1">
        <f t="array" aca="1" ref="F217" ca="1">INDEX(INDIRECT($M217),
       MATCH(TRIM($C217), TRIM(INDIRECT($N217)), 0),
       MATCH(TRIM(F$2), TRIM(INDIRECT($O217)), 0))</f>
        <v>387.08898699999997</v>
      </c>
      <c r="G217" s="11" cm="1">
        <f t="array" aca="1" ref="G217" ca="1">INDEX(INDIRECT($M217),
       MATCH(TRIM($C217), TRIM(INDIRECT($N217)), 0),
       MATCH(TRIM(G$2), TRIM(INDIRECT($O217)), 0))</f>
        <v>16</v>
      </c>
      <c r="H217" s="9" cm="1">
        <f t="array" aca="1" ref="H217" ca="1">INDEX(INDIRECT($M217),
       MATCH(TRIM($C217), TRIM(INDIRECT($N217)), 0),
       MATCH(TRIM(H$2), TRIM(INDIRECT($O217)), 0))</f>
        <v>33881873</v>
      </c>
      <c r="I217" s="11" cm="1">
        <f t="array" aca="1" ref="I217" ca="1">INDEX(INDIRECT($M217),
       MATCH(TRIM($C217), TRIM(INDIRECT($N217)), 0),
       MATCH(TRIM(I$2), TRIM(INDIRECT($O217)), 0))</f>
        <v>33.881872999999999</v>
      </c>
      <c r="J217" s="9" cm="1">
        <f t="array" aca="1" ref="J217" ca="1">INDEX(INDIRECT($M217),
       MATCH(TRIM($C217), TRIM(INDIRECT($N217)), 0),
       MATCH(TRIM(J$2), TRIM(INDIRECT($O217)), 0))</f>
        <v>22</v>
      </c>
      <c r="K217" s="11" cm="1">
        <f t="array" aca="1" ref="K217" ca="1">INDEX(INDIRECT($M217),
       MATCH(TRIM($C217), TRIM(INDIRECT($N217)), 0),
       MATCH(TRIM(K$2), TRIM(INDIRECT($O217)), 0))</f>
        <v>24.508203396900004</v>
      </c>
      <c r="L217" s="11" cm="1">
        <f t="array" aca="1" ref="L217" ca="1">INDEX(INDIRECT($M217),
       MATCH(TRIM($C217), TRIM(INDIRECT($N217)), 0),
       MATCH(TRIM(L$2), TRIM(INDIRECT($O217)), 0))</f>
        <v>445.47906339689996</v>
      </c>
      <c r="M217" s="5" t="str">
        <f t="shared" si="9"/>
        <v>'2018'!$N$3:$V$80</v>
      </c>
      <c r="N217" s="5" t="str">
        <f t="shared" si="10"/>
        <v>'2018'!$M$2:$M$80</v>
      </c>
      <c r="O217" s="5" t="str">
        <f t="shared" si="11"/>
        <v>'2018'!$N$2:$W$2</v>
      </c>
    </row>
    <row r="218" spans="1:15" x14ac:dyDescent="0.3">
      <c r="A218">
        <v>27</v>
      </c>
      <c r="B218" s="9">
        <v>2018</v>
      </c>
      <c r="C218" t="s">
        <v>26</v>
      </c>
      <c r="D218" s="11" cm="1">
        <f t="array" aca="1" ref="D218" ca="1">INDEX(INDIRECT($M218),
       MATCH(TRIM($C218), TRIM(INDIRECT($N218)), 0),
       MATCH(TRIM(D$2), TRIM(INDIRECT($O218)), 0))</f>
        <v>5</v>
      </c>
      <c r="E218" s="9" cm="1">
        <f t="array" aca="1" ref="E218" ca="1">INDEX(INDIRECT($M218),
       MATCH(TRIM($C218), TRIM(INDIRECT($N218)), 0),
       MATCH(TRIM(E$2), TRIM(INDIRECT($O218)), 0))</f>
        <v>13850000</v>
      </c>
      <c r="F218" s="11" cm="1">
        <f t="array" aca="1" ref="F218" ca="1">INDEX(INDIRECT($M218),
       MATCH(TRIM($C218), TRIM(INDIRECT($N218)), 0),
       MATCH(TRIM(F$2), TRIM(INDIRECT($O218)), 0))</f>
        <v>13.85</v>
      </c>
      <c r="G218" s="11" cm="1">
        <f t="array" aca="1" ref="G218" ca="1">INDEX(INDIRECT($M218),
       MATCH(TRIM($C218), TRIM(INDIRECT($N218)), 0),
       MATCH(TRIM(G$2), TRIM(INDIRECT($O218)), 0))</f>
        <v>1</v>
      </c>
      <c r="H218" s="9" cm="1">
        <f t="array" aca="1" ref="H218" ca="1">INDEX(INDIRECT($M218),
       MATCH(TRIM($C218), TRIM(INDIRECT($N218)), 0),
       MATCH(TRIM(H$2), TRIM(INDIRECT($O218)), 0))</f>
        <v>165000</v>
      </c>
      <c r="I218" s="11" cm="1">
        <f t="array" aca="1" ref="I218" ca="1">INDEX(INDIRECT($M218),
       MATCH(TRIM($C218), TRIM(INDIRECT($N218)), 0),
       MATCH(TRIM(I$2), TRIM(INDIRECT($O218)), 0))</f>
        <v>0.16500000000000001</v>
      </c>
      <c r="J218" s="9" cm="1">
        <f t="array" aca="1" ref="J218" ca="1">INDEX(INDIRECT($M218),
       MATCH(TRIM($C218), TRIM(INDIRECT($N218)), 0),
       MATCH(TRIM(J$2), TRIM(INDIRECT($O218)), 0))</f>
        <v>3</v>
      </c>
      <c r="K218" s="11" cm="1">
        <f t="array" aca="1" ref="K218" ca="1">INDEX(INDIRECT($M218),
       MATCH(TRIM($C218), TRIM(INDIRECT($N218)), 0),
       MATCH(TRIM(K$2), TRIM(INDIRECT($O218)), 0))</f>
        <v>1.6201553555600001</v>
      </c>
      <c r="L218" s="11" cm="1">
        <f t="array" aca="1" ref="L218" ca="1">INDEX(INDIRECT($M218),
       MATCH(TRIM($C218), TRIM(INDIRECT($N218)), 0),
       MATCH(TRIM(L$2), TRIM(INDIRECT($O218)), 0))</f>
        <v>15.635155355559998</v>
      </c>
      <c r="M218" s="5" t="str">
        <f t="shared" si="9"/>
        <v>'2018'!$N$3:$V$80</v>
      </c>
      <c r="N218" s="5" t="str">
        <f t="shared" si="10"/>
        <v>'2018'!$M$2:$M$80</v>
      </c>
      <c r="O218" s="5" t="str">
        <f t="shared" si="11"/>
        <v>'2018'!$N$2:$W$2</v>
      </c>
    </row>
    <row r="219" spans="1:15" x14ac:dyDescent="0.3">
      <c r="A219">
        <v>28</v>
      </c>
      <c r="B219" s="9">
        <v>2018</v>
      </c>
      <c r="C219" t="s">
        <v>27</v>
      </c>
      <c r="D219" s="11" cm="1">
        <f t="array" aca="1" ref="D219" ca="1">INDEX(INDIRECT($M219),
       MATCH(TRIM($C219), TRIM(INDIRECT($N219)), 0),
       MATCH(TRIM(D$2), TRIM(INDIRECT($O219)), 0))</f>
        <v>13</v>
      </c>
      <c r="E219" s="9" cm="1">
        <f t="array" aca="1" ref="E219" ca="1">INDEX(INDIRECT($M219),
       MATCH(TRIM($C219), TRIM(INDIRECT($N219)), 0),
       MATCH(TRIM(E$2), TRIM(INDIRECT($O219)), 0))</f>
        <v>96118842</v>
      </c>
      <c r="F219" s="11" cm="1">
        <f t="array" aca="1" ref="F219" ca="1">INDEX(INDIRECT($M219),
       MATCH(TRIM($C219), TRIM(INDIRECT($N219)), 0),
       MATCH(TRIM(F$2), TRIM(INDIRECT($O219)), 0))</f>
        <v>96.118842000000001</v>
      </c>
      <c r="G219" s="11" cm="1">
        <f t="array" aca="1" ref="G219" ca="1">INDEX(INDIRECT($M219),
       MATCH(TRIM($C219), TRIM(INDIRECT($N219)), 0),
       MATCH(TRIM(G$2), TRIM(INDIRECT($O219)), 0))</f>
        <v>10</v>
      </c>
      <c r="H219" s="9" cm="1">
        <f t="array" aca="1" ref="H219" ca="1">INDEX(INDIRECT($M219),
       MATCH(TRIM($C219), TRIM(INDIRECT($N219)), 0),
       MATCH(TRIM(H$2), TRIM(INDIRECT($O219)), 0))</f>
        <v>60332158</v>
      </c>
      <c r="I219" s="11" cm="1">
        <f t="array" aca="1" ref="I219" ca="1">INDEX(INDIRECT($M219),
       MATCH(TRIM($C219), TRIM(INDIRECT($N219)), 0),
       MATCH(TRIM(I$2), TRIM(INDIRECT($O219)), 0))</f>
        <v>60.332158</v>
      </c>
      <c r="J219" s="9" cm="1">
        <f t="array" aca="1" ref="J219" ca="1">INDEX(INDIRECT($M219),
       MATCH(TRIM($C219), TRIM(INDIRECT($N219)), 0),
       MATCH(TRIM(J$2), TRIM(INDIRECT($O219)), 0))</f>
        <v>14</v>
      </c>
      <c r="K219" s="11" cm="1">
        <f t="array" aca="1" ref="K219" ca="1">INDEX(INDIRECT($M219),
       MATCH(TRIM($C219), TRIM(INDIRECT($N219)), 0),
       MATCH(TRIM(K$2), TRIM(INDIRECT($O219)), 0))</f>
        <v>8.8858413362899995</v>
      </c>
      <c r="L219" s="11" cm="1">
        <f t="array" aca="1" ref="L219" ca="1">INDEX(INDIRECT($M219),
       MATCH(TRIM($C219), TRIM(INDIRECT($N219)), 0),
       MATCH(TRIM(L$2), TRIM(INDIRECT($O219)), 0))</f>
        <v>165.33684133628998</v>
      </c>
      <c r="M219" s="5" t="str">
        <f t="shared" si="9"/>
        <v>'2018'!$N$3:$V$80</v>
      </c>
      <c r="N219" s="5" t="str">
        <f t="shared" si="10"/>
        <v>'2018'!$M$2:$M$80</v>
      </c>
      <c r="O219" s="5" t="str">
        <f t="shared" si="11"/>
        <v>'2018'!$N$2:$W$2</v>
      </c>
    </row>
    <row r="220" spans="1:15" x14ac:dyDescent="0.3">
      <c r="A220">
        <v>29</v>
      </c>
      <c r="B220" s="9">
        <v>2018</v>
      </c>
      <c r="C220" t="s">
        <v>28</v>
      </c>
      <c r="D220" s="11" cm="1">
        <f t="array" aca="1" ref="D220" ca="1">INDEX(INDIRECT($M220),
       MATCH(TRIM($C220), TRIM(INDIRECT($N220)), 0),
       MATCH(TRIM(D$2), TRIM(INDIRECT($O220)), 0))</f>
        <v>11</v>
      </c>
      <c r="E220" s="9" cm="1">
        <f t="array" aca="1" ref="E220" ca="1">INDEX(INDIRECT($M220),
       MATCH(TRIM($C220), TRIM(INDIRECT($N220)), 0),
       MATCH(TRIM(E$2), TRIM(INDIRECT($O220)), 0))</f>
        <v>158999110</v>
      </c>
      <c r="F220" s="11" cm="1">
        <f t="array" aca="1" ref="F220" ca="1">INDEX(INDIRECT($M220),
       MATCH(TRIM($C220), TRIM(INDIRECT($N220)), 0),
       MATCH(TRIM(F$2), TRIM(INDIRECT($O220)), 0))</f>
        <v>158.99911</v>
      </c>
      <c r="G220" s="11" cm="1">
        <f t="array" aca="1" ref="G220" ca="1">INDEX(INDIRECT($M220),
       MATCH(TRIM($C220), TRIM(INDIRECT($N220)), 0),
       MATCH(TRIM(G$2), TRIM(INDIRECT($O220)), 0))</f>
        <v>5</v>
      </c>
      <c r="H220" s="9" cm="1">
        <f t="array" aca="1" ref="H220" ca="1">INDEX(INDIRECT($M220),
       MATCH(TRIM($C220), TRIM(INDIRECT($N220)), 0),
       MATCH(TRIM(H$2), TRIM(INDIRECT($O220)), 0))</f>
        <v>11038373</v>
      </c>
      <c r="I220" s="11" cm="1">
        <f t="array" aca="1" ref="I220" ca="1">INDEX(INDIRECT($M220),
       MATCH(TRIM($C220), TRIM(INDIRECT($N220)), 0),
       MATCH(TRIM(I$2), TRIM(INDIRECT($O220)), 0))</f>
        <v>11.038373</v>
      </c>
      <c r="J220" s="9" cm="1">
        <f t="array" aca="1" ref="J220" ca="1">INDEX(INDIRECT($M220),
       MATCH(TRIM($C220), TRIM(INDIRECT($N220)), 0),
       MATCH(TRIM(J$2), TRIM(INDIRECT($O220)), 0))</f>
        <v>2</v>
      </c>
      <c r="K220" s="11" cm="1">
        <f t="array" aca="1" ref="K220" ca="1">INDEX(INDIRECT($M220),
       MATCH(TRIM($C220), TRIM(INDIRECT($N220)), 0),
       MATCH(TRIM(K$2), TRIM(INDIRECT($O220)), 0))</f>
        <v>0.71666666663000012</v>
      </c>
      <c r="L220" s="11" cm="1">
        <f t="array" aca="1" ref="L220" ca="1">INDEX(INDIRECT($M220),
       MATCH(TRIM($C220), TRIM(INDIRECT($N220)), 0),
       MATCH(TRIM(L$2), TRIM(INDIRECT($O220)), 0))</f>
        <v>170.75414966663001</v>
      </c>
      <c r="M220" s="5" t="str">
        <f t="shared" si="9"/>
        <v>'2018'!$N$3:$V$80</v>
      </c>
      <c r="N220" s="5" t="str">
        <f t="shared" si="10"/>
        <v>'2018'!$M$2:$M$80</v>
      </c>
      <c r="O220" s="5" t="str">
        <f t="shared" si="11"/>
        <v>'2018'!$N$2:$W$2</v>
      </c>
    </row>
    <row r="221" spans="1:15" x14ac:dyDescent="0.3">
      <c r="A221">
        <v>30</v>
      </c>
      <c r="B221" s="9">
        <v>2018</v>
      </c>
      <c r="C221" t="s">
        <v>29</v>
      </c>
      <c r="D221" s="11" cm="1">
        <f t="array" aca="1" ref="D221" ca="1">INDEX(INDIRECT($M221),
       MATCH(TRIM($C221), TRIM(INDIRECT($N221)), 0),
       MATCH(TRIM(D$2), TRIM(INDIRECT($O221)), 0))</f>
        <v>16</v>
      </c>
      <c r="E221" s="9" cm="1">
        <f t="array" aca="1" ref="E221" ca="1">INDEX(INDIRECT($M221),
       MATCH(TRIM($C221), TRIM(INDIRECT($N221)), 0),
       MATCH(TRIM(E$2), TRIM(INDIRECT($O221)), 0))</f>
        <v>52417620</v>
      </c>
      <c r="F221" s="11" cm="1">
        <f t="array" aca="1" ref="F221" ca="1">INDEX(INDIRECT($M221),
       MATCH(TRIM($C221), TRIM(INDIRECT($N221)), 0),
       MATCH(TRIM(F$2), TRIM(INDIRECT($O221)), 0))</f>
        <v>52.417619999999999</v>
      </c>
      <c r="G221" s="11" cm="1">
        <f t="array" aca="1" ref="G221" ca="1">INDEX(INDIRECT($M221),
       MATCH(TRIM($C221), TRIM(INDIRECT($N221)), 0),
       MATCH(TRIM(G$2), TRIM(INDIRECT($O221)), 0))</f>
        <v>2</v>
      </c>
      <c r="H221" s="9" cm="1">
        <f t="array" aca="1" ref="H221" ca="1">INDEX(INDIRECT($M221),
       MATCH(TRIM($C221), TRIM(INDIRECT($N221)), 0),
       MATCH(TRIM(H$2), TRIM(INDIRECT($O221)), 0))</f>
        <v>14300000</v>
      </c>
      <c r="I221" s="11" cm="1">
        <f t="array" aca="1" ref="I221" ca="1">INDEX(INDIRECT($M221),
       MATCH(TRIM($C221), TRIM(INDIRECT($N221)), 0),
       MATCH(TRIM(I$2), TRIM(INDIRECT($O221)), 0))</f>
        <v>14.3</v>
      </c>
      <c r="J221" s="9" cm="1">
        <f t="array" aca="1" ref="J221" ca="1">INDEX(INDIRECT($M221),
       MATCH(TRIM($C221), TRIM(INDIRECT($N221)), 0),
       MATCH(TRIM(J$2), TRIM(INDIRECT($O221)), 0))</f>
        <v>21</v>
      </c>
      <c r="K221" s="11" cm="1">
        <f t="array" aca="1" ref="K221" ca="1">INDEX(INDIRECT($M221),
       MATCH(TRIM($C221), TRIM(INDIRECT($N221)), 0),
       MATCH(TRIM(K$2), TRIM(INDIRECT($O221)), 0))</f>
        <v>297.95747975712004</v>
      </c>
      <c r="L221" s="11" cm="1">
        <f t="array" aca="1" ref="L221" ca="1">INDEX(INDIRECT($M221),
       MATCH(TRIM($C221), TRIM(INDIRECT($N221)), 0),
       MATCH(TRIM(L$2), TRIM(INDIRECT($O221)), 0))</f>
        <v>364.67509975712005</v>
      </c>
      <c r="M221" s="5" t="str">
        <f t="shared" si="9"/>
        <v>'2018'!$N$3:$V$80</v>
      </c>
      <c r="N221" s="5" t="str">
        <f t="shared" si="10"/>
        <v>'2018'!$M$2:$M$80</v>
      </c>
      <c r="O221" s="5" t="str">
        <f t="shared" si="11"/>
        <v>'2018'!$N$2:$W$2</v>
      </c>
    </row>
    <row r="222" spans="1:15" x14ac:dyDescent="0.3">
      <c r="A222">
        <v>31</v>
      </c>
      <c r="B222" s="9">
        <v>2018</v>
      </c>
      <c r="C222" t="s">
        <v>30</v>
      </c>
      <c r="D222" s="11" cm="1">
        <f t="array" aca="1" ref="D222" ca="1">INDEX(INDIRECT($M222),
       MATCH(TRIM($C222), TRIM(INDIRECT($N222)), 0),
       MATCH(TRIM(D$2), TRIM(INDIRECT($O222)), 0))</f>
        <v>7</v>
      </c>
      <c r="E222" s="9" cm="1">
        <f t="array" aca="1" ref="E222" ca="1">INDEX(INDIRECT($M222),
       MATCH(TRIM($C222), TRIM(INDIRECT($N222)), 0),
       MATCH(TRIM(E$2), TRIM(INDIRECT($O222)), 0))</f>
        <v>385735268</v>
      </c>
      <c r="F222" s="11" cm="1">
        <f t="array" aca="1" ref="F222" ca="1">INDEX(INDIRECT($M222),
       MATCH(TRIM($C222), TRIM(INDIRECT($N222)), 0),
       MATCH(TRIM(F$2), TRIM(INDIRECT($O222)), 0))</f>
        <v>385.73526800000002</v>
      </c>
      <c r="G222" s="11" cm="1">
        <f t="array" aca="1" ref="G222" ca="1">INDEX(INDIRECT($M222),
       MATCH(TRIM($C222), TRIM(INDIRECT($N222)), 0),
       MATCH(TRIM(G$2), TRIM(INDIRECT($O222)), 0))</f>
        <v>0</v>
      </c>
      <c r="H222" s="9" cm="1">
        <f t="array" aca="1" ref="H222" ca="1">INDEX(INDIRECT($M222),
       MATCH(TRIM($C222), TRIM(INDIRECT($N222)), 0),
       MATCH(TRIM(H$2), TRIM(INDIRECT($O222)), 0))</f>
        <v>0</v>
      </c>
      <c r="I222" s="11" cm="1">
        <f t="array" aca="1" ref="I222" ca="1">INDEX(INDIRECT($M222),
       MATCH(TRIM($C222), TRIM(INDIRECT($N222)), 0),
       MATCH(TRIM(I$2), TRIM(INDIRECT($O222)), 0))</f>
        <v>0</v>
      </c>
      <c r="J222" s="9" cm="1">
        <f t="array" aca="1" ref="J222" ca="1">INDEX(INDIRECT($M222),
       MATCH(TRIM($C222), TRIM(INDIRECT($N222)), 0),
       MATCH(TRIM(J$2), TRIM(INDIRECT($O222)), 0))</f>
        <v>12</v>
      </c>
      <c r="K222" s="11" cm="1">
        <f t="array" aca="1" ref="K222" ca="1">INDEX(INDIRECT($M222),
       MATCH(TRIM($C222), TRIM(INDIRECT($N222)), 0),
       MATCH(TRIM(K$2), TRIM(INDIRECT($O222)), 0))</f>
        <v>12.409848879506669</v>
      </c>
      <c r="L222" s="11" cm="1">
        <f t="array" aca="1" ref="L222" ca="1">INDEX(INDIRECT($M222),
       MATCH(TRIM($C222), TRIM(INDIRECT($N222)), 0),
       MATCH(TRIM(L$2), TRIM(INDIRECT($O222)), 0))</f>
        <v>398.1451168795067</v>
      </c>
      <c r="M222" s="5" t="str">
        <f t="shared" si="9"/>
        <v>'2018'!$N$3:$V$80</v>
      </c>
      <c r="N222" s="5" t="str">
        <f t="shared" si="10"/>
        <v>'2018'!$M$2:$M$80</v>
      </c>
      <c r="O222" s="5" t="str">
        <f t="shared" si="11"/>
        <v>'2018'!$N$2:$W$2</v>
      </c>
    </row>
    <row r="223" spans="1:15" x14ac:dyDescent="0.3">
      <c r="A223">
        <v>32</v>
      </c>
      <c r="B223" s="9">
        <v>2018</v>
      </c>
      <c r="C223" t="s">
        <v>31</v>
      </c>
      <c r="D223" s="11" cm="1">
        <f t="array" aca="1" ref="D223" ca="1">INDEX(INDIRECT($M223),
       MATCH(TRIM($C223), TRIM(INDIRECT($N223)), 0),
       MATCH(TRIM(D$2), TRIM(INDIRECT($O223)), 0))</f>
        <v>14</v>
      </c>
      <c r="E223" s="9" cm="1">
        <f t="array" aca="1" ref="E223" ca="1">INDEX(INDIRECT($M223),
       MATCH(TRIM($C223), TRIM(INDIRECT($N223)), 0),
       MATCH(TRIM(E$2), TRIM(INDIRECT($O223)), 0))</f>
        <v>356337581</v>
      </c>
      <c r="F223" s="11" cm="1">
        <f t="array" aca="1" ref="F223" ca="1">INDEX(INDIRECT($M223),
       MATCH(TRIM($C223), TRIM(INDIRECT($N223)), 0),
       MATCH(TRIM(F$2), TRIM(INDIRECT($O223)), 0))</f>
        <v>356.337581</v>
      </c>
      <c r="G223" s="11" cm="1">
        <f t="array" aca="1" ref="G223" ca="1">INDEX(INDIRECT($M223),
       MATCH(TRIM($C223), TRIM(INDIRECT($N223)), 0),
       MATCH(TRIM(G$2), TRIM(INDIRECT($O223)), 0))</f>
        <v>1</v>
      </c>
      <c r="H223" s="9" cm="1">
        <f t="array" aca="1" ref="H223" ca="1">INDEX(INDIRECT($M223),
       MATCH(TRIM($C223), TRIM(INDIRECT($N223)), 0),
       MATCH(TRIM(H$2), TRIM(INDIRECT($O223)), 0))</f>
        <v>10000000</v>
      </c>
      <c r="I223" s="11" cm="1">
        <f t="array" aca="1" ref="I223" ca="1">INDEX(INDIRECT($M223),
       MATCH(TRIM($C223), TRIM(INDIRECT($N223)), 0),
       MATCH(TRIM(I$2), TRIM(INDIRECT($O223)), 0))</f>
        <v>10</v>
      </c>
      <c r="J223" s="9" cm="1">
        <f t="array" aca="1" ref="J223" ca="1">INDEX(INDIRECT($M223),
       MATCH(TRIM($C223), TRIM(INDIRECT($N223)), 0),
       MATCH(TRIM(J$2), TRIM(INDIRECT($O223)), 0))</f>
        <v>1</v>
      </c>
      <c r="K223" s="11" cm="1">
        <f t="array" aca="1" ref="K223" ca="1">INDEX(INDIRECT($M223),
       MATCH(TRIM($C223), TRIM(INDIRECT($N223)), 0),
       MATCH(TRIM(K$2), TRIM(INDIRECT($O223)), 0))</f>
        <v>4.8888888890000003E-2</v>
      </c>
      <c r="L223" s="11" cm="1">
        <f t="array" aca="1" ref="L223" ca="1">INDEX(INDIRECT($M223),
       MATCH(TRIM($C223), TRIM(INDIRECT($N223)), 0),
       MATCH(TRIM(L$2), TRIM(INDIRECT($O223)), 0))</f>
        <v>366.38646988889002</v>
      </c>
      <c r="M223" s="5" t="str">
        <f t="shared" si="9"/>
        <v>'2018'!$N$3:$V$80</v>
      </c>
      <c r="N223" s="5" t="str">
        <f t="shared" si="10"/>
        <v>'2018'!$M$2:$M$80</v>
      </c>
      <c r="O223" s="5" t="str">
        <f t="shared" si="11"/>
        <v>'2018'!$N$2:$W$2</v>
      </c>
    </row>
    <row r="224" spans="1:15" x14ac:dyDescent="0.3">
      <c r="A224">
        <v>33</v>
      </c>
      <c r="B224" s="9">
        <v>2018</v>
      </c>
      <c r="C224" t="s">
        <v>32</v>
      </c>
      <c r="D224" s="11" cm="1">
        <f t="array" aca="1" ref="D224" ca="1">INDEX(INDIRECT($M224),
       MATCH(TRIM($C224), TRIM(INDIRECT($N224)), 0),
       MATCH(TRIM(D$2), TRIM(INDIRECT($O224)), 0))</f>
        <v>6</v>
      </c>
      <c r="E224" s="9" cm="1">
        <f t="array" aca="1" ref="E224" ca="1">INDEX(INDIRECT($M224),
       MATCH(TRIM($C224), TRIM(INDIRECT($N224)), 0),
       MATCH(TRIM(E$2), TRIM(INDIRECT($O224)), 0))</f>
        <v>31310575</v>
      </c>
      <c r="F224" s="11" cm="1">
        <f t="array" aca="1" ref="F224" ca="1">INDEX(INDIRECT($M224),
       MATCH(TRIM($C224), TRIM(INDIRECT($N224)), 0),
       MATCH(TRIM(F$2), TRIM(INDIRECT($O224)), 0))</f>
        <v>31.310575</v>
      </c>
      <c r="G224" s="11" cm="1">
        <f t="array" aca="1" ref="G224" ca="1">INDEX(INDIRECT($M224),
       MATCH(TRIM($C224), TRIM(INDIRECT($N224)), 0),
       MATCH(TRIM(G$2), TRIM(INDIRECT($O224)), 0))</f>
        <v>7</v>
      </c>
      <c r="H224" s="9" cm="1">
        <f t="array" aca="1" ref="H224" ca="1">INDEX(INDIRECT($M224),
       MATCH(TRIM($C224), TRIM(INDIRECT($N224)), 0),
       MATCH(TRIM(H$2), TRIM(INDIRECT($O224)), 0))</f>
        <v>10236893</v>
      </c>
      <c r="I224" s="11" cm="1">
        <f t="array" aca="1" ref="I224" ca="1">INDEX(INDIRECT($M224),
       MATCH(TRIM($C224), TRIM(INDIRECT($N224)), 0),
       MATCH(TRIM(I$2), TRIM(INDIRECT($O224)), 0))</f>
        <v>10.236893</v>
      </c>
      <c r="J224" s="9" cm="1">
        <f t="array" aca="1" ref="J224" ca="1">INDEX(INDIRECT($M224),
       MATCH(TRIM($C224), TRIM(INDIRECT($N224)), 0),
       MATCH(TRIM(J$2), TRIM(INDIRECT($O224)), 0))</f>
        <v>10</v>
      </c>
      <c r="K224" s="11" cm="1">
        <f t="array" aca="1" ref="K224" ca="1">INDEX(INDIRECT($M224),
       MATCH(TRIM($C224), TRIM(INDIRECT($N224)), 0),
       MATCH(TRIM(K$2), TRIM(INDIRECT($O224)), 0))</f>
        <v>14.516666771570003</v>
      </c>
      <c r="L224" s="11" cm="1">
        <f t="array" aca="1" ref="L224" ca="1">INDEX(INDIRECT($M224),
       MATCH(TRIM($C224), TRIM(INDIRECT($N224)), 0),
       MATCH(TRIM(L$2), TRIM(INDIRECT($O224)), 0))</f>
        <v>56.064134771570004</v>
      </c>
      <c r="M224" s="5" t="str">
        <f t="shared" si="9"/>
        <v>'2018'!$N$3:$V$80</v>
      </c>
      <c r="N224" s="5" t="str">
        <f t="shared" si="10"/>
        <v>'2018'!$M$2:$M$80</v>
      </c>
      <c r="O224" s="5" t="str">
        <f t="shared" si="11"/>
        <v>'2018'!$N$2:$W$2</v>
      </c>
    </row>
    <row r="225" spans="1:15" x14ac:dyDescent="0.3">
      <c r="A225">
        <v>34</v>
      </c>
      <c r="B225" s="9">
        <v>2018</v>
      </c>
      <c r="C225" t="s">
        <v>33</v>
      </c>
      <c r="D225" s="11" cm="1">
        <f t="array" aca="1" ref="D225" ca="1">INDEX(INDIRECT($M225),
       MATCH(TRIM($C225), TRIM(INDIRECT($N225)), 0),
       MATCH(TRIM(D$2), TRIM(INDIRECT($O225)), 0))</f>
        <v>8</v>
      </c>
      <c r="E225" s="9" cm="1">
        <f t="array" aca="1" ref="E225" ca="1">INDEX(INDIRECT($M225),
       MATCH(TRIM($C225), TRIM(INDIRECT($N225)), 0),
       MATCH(TRIM(E$2), TRIM(INDIRECT($O225)), 0))</f>
        <v>98257753</v>
      </c>
      <c r="F225" s="11" cm="1">
        <f t="array" aca="1" ref="F225" ca="1">INDEX(INDIRECT($M225),
       MATCH(TRIM($C225), TRIM(INDIRECT($N225)), 0),
       MATCH(TRIM(F$2), TRIM(INDIRECT($O225)), 0))</f>
        <v>98.257752999999994</v>
      </c>
      <c r="G225" s="11" cm="1">
        <f t="array" aca="1" ref="G225" ca="1">INDEX(INDIRECT($M225),
       MATCH(TRIM($C225), TRIM(INDIRECT($N225)), 0),
       MATCH(TRIM(G$2), TRIM(INDIRECT($O225)), 0))</f>
        <v>0</v>
      </c>
      <c r="H225" s="9" cm="1">
        <f t="array" aca="1" ref="H225" ca="1">INDEX(INDIRECT($M225),
       MATCH(TRIM($C225), TRIM(INDIRECT($N225)), 0),
       MATCH(TRIM(H$2), TRIM(INDIRECT($O225)), 0))</f>
        <v>0</v>
      </c>
      <c r="I225" s="11" cm="1">
        <f t="array" aca="1" ref="I225" ca="1">INDEX(INDIRECT($M225),
       MATCH(TRIM($C225), TRIM(INDIRECT($N225)), 0),
       MATCH(TRIM(I$2), TRIM(INDIRECT($O225)), 0))</f>
        <v>0</v>
      </c>
      <c r="J225" s="9" cm="1">
        <f t="array" aca="1" ref="J225" ca="1">INDEX(INDIRECT($M225),
       MATCH(TRIM($C225), TRIM(INDIRECT($N225)), 0),
       MATCH(TRIM(J$2), TRIM(INDIRECT($O225)), 0))</f>
        <v>13</v>
      </c>
      <c r="K225" s="11" cm="1">
        <f t="array" aca="1" ref="K225" ca="1">INDEX(INDIRECT($M225),
       MATCH(TRIM($C225), TRIM(INDIRECT($N225)), 0),
       MATCH(TRIM(K$2), TRIM(INDIRECT($O225)), 0))</f>
        <v>34.502341211400001</v>
      </c>
      <c r="L225" s="11" cm="1">
        <f t="array" aca="1" ref="L225" ca="1">INDEX(INDIRECT($M225),
       MATCH(TRIM($C225), TRIM(INDIRECT($N225)), 0),
       MATCH(TRIM(L$2), TRIM(INDIRECT($O225)), 0))</f>
        <v>132.7600942114</v>
      </c>
      <c r="M225" s="5" t="str">
        <f t="shared" si="9"/>
        <v>'2018'!$N$3:$V$80</v>
      </c>
      <c r="N225" s="5" t="str">
        <f t="shared" si="10"/>
        <v>'2018'!$M$2:$M$80</v>
      </c>
      <c r="O225" s="5" t="str">
        <f t="shared" si="11"/>
        <v>'2018'!$N$2:$W$2</v>
      </c>
    </row>
    <row r="226" spans="1:15" x14ac:dyDescent="0.3">
      <c r="A226">
        <v>35</v>
      </c>
      <c r="B226" s="9">
        <v>2018</v>
      </c>
      <c r="C226" t="s">
        <v>34</v>
      </c>
      <c r="D226" s="11" cm="1">
        <f t="array" aca="1" ref="D226" ca="1">INDEX(INDIRECT($M226),
       MATCH(TRIM($C226), TRIM(INDIRECT($N226)), 0),
       MATCH(TRIM(D$2), TRIM(INDIRECT($O226)), 0))</f>
        <v>2</v>
      </c>
      <c r="E226" s="9" cm="1">
        <f t="array" aca="1" ref="E226" ca="1">INDEX(INDIRECT($M226),
       MATCH(TRIM($C226), TRIM(INDIRECT($N226)), 0),
       MATCH(TRIM(E$2), TRIM(INDIRECT($O226)), 0))</f>
        <v>150158072</v>
      </c>
      <c r="F226" s="11" cm="1">
        <f t="array" aca="1" ref="F226" ca="1">INDEX(INDIRECT($M226),
       MATCH(TRIM($C226), TRIM(INDIRECT($N226)), 0),
       MATCH(TRIM(F$2), TRIM(INDIRECT($O226)), 0))</f>
        <v>150.158072</v>
      </c>
      <c r="G226" s="11" cm="1">
        <f t="array" aca="1" ref="G226" ca="1">INDEX(INDIRECT($M226),
       MATCH(TRIM($C226), TRIM(INDIRECT($N226)), 0),
       MATCH(TRIM(G$2), TRIM(INDIRECT($O226)), 0))</f>
        <v>0</v>
      </c>
      <c r="H226" s="9" cm="1">
        <f t="array" aca="1" ref="H226" ca="1">INDEX(INDIRECT($M226),
       MATCH(TRIM($C226), TRIM(INDIRECT($N226)), 0),
       MATCH(TRIM(H$2), TRIM(INDIRECT($O226)), 0))</f>
        <v>0</v>
      </c>
      <c r="I226" s="11" cm="1">
        <f t="array" aca="1" ref="I226" ca="1">INDEX(INDIRECT($M226),
       MATCH(TRIM($C226), TRIM(INDIRECT($N226)), 0),
       MATCH(TRIM(I$2), TRIM(INDIRECT($O226)), 0))</f>
        <v>0</v>
      </c>
      <c r="J226" s="9" cm="1">
        <f t="array" aca="1" ref="J226" ca="1">INDEX(INDIRECT($M226),
       MATCH(TRIM($C226), TRIM(INDIRECT($N226)), 0),
       MATCH(TRIM(J$2), TRIM(INDIRECT($O226)), 0))</f>
        <v>5</v>
      </c>
      <c r="K226" s="11" cm="1">
        <f t="array" aca="1" ref="K226" ca="1">INDEX(INDIRECT($M226),
       MATCH(TRIM($C226), TRIM(INDIRECT($N226)), 0),
       MATCH(TRIM(K$2), TRIM(INDIRECT($O226)), 0))</f>
        <v>0.66627200006667997</v>
      </c>
      <c r="L226" s="11" cm="1">
        <f t="array" aca="1" ref="L226" ca="1">INDEX(INDIRECT($M226),
       MATCH(TRIM($C226), TRIM(INDIRECT($N226)), 0),
       MATCH(TRIM(L$2), TRIM(INDIRECT($O226)), 0))</f>
        <v>150.82434400006667</v>
      </c>
      <c r="M226" s="5" t="str">
        <f t="shared" si="9"/>
        <v>'2018'!$N$3:$V$80</v>
      </c>
      <c r="N226" s="5" t="str">
        <f t="shared" si="10"/>
        <v>'2018'!$M$2:$M$80</v>
      </c>
      <c r="O226" s="5" t="str">
        <f t="shared" si="11"/>
        <v>'2018'!$N$2:$W$2</v>
      </c>
    </row>
    <row r="227" spans="1:15" x14ac:dyDescent="0.3">
      <c r="A227">
        <v>36</v>
      </c>
      <c r="B227" s="9">
        <v>2018</v>
      </c>
      <c r="C227" t="s">
        <v>35</v>
      </c>
      <c r="D227" s="11" cm="1">
        <f t="array" aca="1" ref="D227" ca="1">INDEX(INDIRECT($M227),
       MATCH(TRIM($C227), TRIM(INDIRECT($N227)), 0),
       MATCH(TRIM(D$2), TRIM(INDIRECT($O227)), 0))</f>
        <v>6</v>
      </c>
      <c r="E227" s="9" cm="1">
        <f t="array" aca="1" ref="E227" ca="1">INDEX(INDIRECT($M227),
       MATCH(TRIM($C227), TRIM(INDIRECT($N227)), 0),
       MATCH(TRIM(E$2), TRIM(INDIRECT($O227)), 0))</f>
        <v>4736842</v>
      </c>
      <c r="F227" s="11" cm="1">
        <f t="array" aca="1" ref="F227" ca="1">INDEX(INDIRECT($M227),
       MATCH(TRIM($C227), TRIM(INDIRECT($N227)), 0),
       MATCH(TRIM(F$2), TRIM(INDIRECT($O227)), 0))</f>
        <v>4.7368420000000002</v>
      </c>
      <c r="G227" s="11" cm="1">
        <f t="array" aca="1" ref="G227" ca="1">INDEX(INDIRECT($M227),
       MATCH(TRIM($C227), TRIM(INDIRECT($N227)), 0),
       MATCH(TRIM(G$2), TRIM(INDIRECT($O227)), 0))</f>
        <v>1</v>
      </c>
      <c r="H227" s="9" cm="1">
        <f t="array" aca="1" ref="H227" ca="1">INDEX(INDIRECT($M227),
       MATCH(TRIM($C227), TRIM(INDIRECT($N227)), 0),
       MATCH(TRIM(H$2), TRIM(INDIRECT($O227)), 0))</f>
        <v>30609422</v>
      </c>
      <c r="I227" s="11" cm="1">
        <f t="array" aca="1" ref="I227" ca="1">INDEX(INDIRECT($M227),
       MATCH(TRIM($C227), TRIM(INDIRECT($N227)), 0),
       MATCH(TRIM(I$2), TRIM(INDIRECT($O227)), 0))</f>
        <v>30.609421999999999</v>
      </c>
      <c r="J227" s="9" cm="1">
        <f t="array" aca="1" ref="J227" ca="1">INDEX(INDIRECT($M227),
       MATCH(TRIM($C227), TRIM(INDIRECT($N227)), 0),
       MATCH(TRIM(J$2), TRIM(INDIRECT($O227)), 0))</f>
        <v>14</v>
      </c>
      <c r="K227" s="11" cm="1">
        <f t="array" aca="1" ref="K227" ca="1">INDEX(INDIRECT($M227),
       MATCH(TRIM($C227), TRIM(INDIRECT($N227)), 0),
       MATCH(TRIM(K$2), TRIM(INDIRECT($O227)), 0))</f>
        <v>2.0953074648600003</v>
      </c>
      <c r="L227" s="11" cm="1">
        <f t="array" aca="1" ref="L227" ca="1">INDEX(INDIRECT($M227),
       MATCH(TRIM($C227), TRIM(INDIRECT($N227)), 0),
       MATCH(TRIM(L$2), TRIM(INDIRECT($O227)), 0))</f>
        <v>37.441571464859997</v>
      </c>
      <c r="M227" s="5" t="str">
        <f t="shared" si="9"/>
        <v>'2018'!$N$3:$V$80</v>
      </c>
      <c r="N227" s="5" t="str">
        <f t="shared" si="10"/>
        <v>'2018'!$M$2:$M$80</v>
      </c>
      <c r="O227" s="5" t="str">
        <f t="shared" si="11"/>
        <v>'2018'!$N$2:$W$2</v>
      </c>
    </row>
    <row r="228" spans="1:15" x14ac:dyDescent="0.3">
      <c r="A228">
        <v>37</v>
      </c>
      <c r="B228" s="9">
        <v>2018</v>
      </c>
      <c r="C228" t="s">
        <v>36</v>
      </c>
      <c r="D228" s="11" cm="1">
        <f t="array" aca="1" ref="D228" ca="1">INDEX(INDIRECT($M228),
       MATCH(TRIM($C228), TRIM(INDIRECT($N228)), 0),
       MATCH(TRIM(D$2), TRIM(INDIRECT($O228)), 0))</f>
        <v>2</v>
      </c>
      <c r="E228" s="9" cm="1">
        <f t="array" aca="1" ref="E228" ca="1">INDEX(INDIRECT($M228),
       MATCH(TRIM($C228), TRIM(INDIRECT($N228)), 0),
       MATCH(TRIM(E$2), TRIM(INDIRECT($O228)), 0))</f>
        <v>319111</v>
      </c>
      <c r="F228" s="11" cm="1">
        <f t="array" aca="1" ref="F228" ca="1">INDEX(INDIRECT($M228),
       MATCH(TRIM($C228), TRIM(INDIRECT($N228)), 0),
       MATCH(TRIM(F$2), TRIM(INDIRECT($O228)), 0))</f>
        <v>0.31911099999999998</v>
      </c>
      <c r="G228" s="11" cm="1">
        <f t="array" aca="1" ref="G228" ca="1">INDEX(INDIRECT($M228),
       MATCH(TRIM($C228), TRIM(INDIRECT($N228)), 0),
       MATCH(TRIM(G$2), TRIM(INDIRECT($O228)), 0))</f>
        <v>0</v>
      </c>
      <c r="H228" s="9" cm="1">
        <f t="array" aca="1" ref="H228" ca="1">INDEX(INDIRECT($M228),
       MATCH(TRIM($C228), TRIM(INDIRECT($N228)), 0),
       MATCH(TRIM(H$2), TRIM(INDIRECT($O228)), 0))</f>
        <v>0</v>
      </c>
      <c r="I228" s="11" cm="1">
        <f t="array" aca="1" ref="I228" ca="1">INDEX(INDIRECT($M228),
       MATCH(TRIM($C228), TRIM(INDIRECT($N228)), 0),
       MATCH(TRIM(I$2), TRIM(INDIRECT($O228)), 0))</f>
        <v>0</v>
      </c>
      <c r="J228" s="9" cm="1">
        <f t="array" aca="1" ref="J228" ca="1">INDEX(INDIRECT($M228),
       MATCH(TRIM($C228), TRIM(INDIRECT($N228)), 0),
       MATCH(TRIM(J$2), TRIM(INDIRECT($O228)), 0))</f>
        <v>4</v>
      </c>
      <c r="K228" s="11" cm="1">
        <f t="array" aca="1" ref="K228" ca="1">INDEX(INDIRECT($M228),
       MATCH(TRIM($C228), TRIM(INDIRECT($N228)), 0),
       MATCH(TRIM(K$2), TRIM(INDIRECT($O228)), 0))</f>
        <v>1.8906527952000001</v>
      </c>
      <c r="L228" s="11" cm="1">
        <f t="array" aca="1" ref="L228" ca="1">INDEX(INDIRECT($M228),
       MATCH(TRIM($C228), TRIM(INDIRECT($N228)), 0),
       MATCH(TRIM(L$2), TRIM(INDIRECT($O228)), 0))</f>
        <v>2.2097637952000002</v>
      </c>
      <c r="M228" s="5" t="str">
        <f t="shared" si="9"/>
        <v>'2018'!$N$3:$V$80</v>
      </c>
      <c r="N228" s="5" t="str">
        <f t="shared" si="10"/>
        <v>'2018'!$M$2:$M$80</v>
      </c>
      <c r="O228" s="5" t="str">
        <f t="shared" si="11"/>
        <v>'2018'!$N$2:$W$2</v>
      </c>
    </row>
    <row r="229" spans="1:15" x14ac:dyDescent="0.3">
      <c r="A229">
        <v>38</v>
      </c>
      <c r="B229" s="9">
        <v>2018</v>
      </c>
      <c r="C229" t="s">
        <v>37</v>
      </c>
      <c r="D229" s="11" cm="1">
        <f t="array" aca="1" ref="D229" ca="1">INDEX(INDIRECT($M229),
       MATCH(TRIM($C229), TRIM(INDIRECT($N229)), 0),
       MATCH(TRIM(D$2), TRIM(INDIRECT($O229)), 0))</f>
        <v>2</v>
      </c>
      <c r="E229" s="9" cm="1">
        <f t="array" aca="1" ref="E229" ca="1">INDEX(INDIRECT($M229),
       MATCH(TRIM($C229), TRIM(INDIRECT($N229)), 0),
       MATCH(TRIM(E$2), TRIM(INDIRECT($O229)), 0))</f>
        <v>13070250</v>
      </c>
      <c r="F229" s="11" cm="1">
        <f t="array" aca="1" ref="F229" ca="1">INDEX(INDIRECT($M229),
       MATCH(TRIM($C229), TRIM(INDIRECT($N229)), 0),
       MATCH(TRIM(F$2), TRIM(INDIRECT($O229)), 0))</f>
        <v>13.07025</v>
      </c>
      <c r="G229" s="11" cm="1">
        <f t="array" aca="1" ref="G229" ca="1">INDEX(INDIRECT($M229),
       MATCH(TRIM($C229), TRIM(INDIRECT($N229)), 0),
       MATCH(TRIM(G$2), TRIM(INDIRECT($O229)), 0))</f>
        <v>2</v>
      </c>
      <c r="H229" s="9" cm="1">
        <f t="array" aca="1" ref="H229" ca="1">INDEX(INDIRECT($M229),
       MATCH(TRIM($C229), TRIM(INDIRECT($N229)), 0),
       MATCH(TRIM(H$2), TRIM(INDIRECT($O229)), 0))</f>
        <v>18497583</v>
      </c>
      <c r="I229" s="11" cm="1">
        <f t="array" aca="1" ref="I229" ca="1">INDEX(INDIRECT($M229),
       MATCH(TRIM($C229), TRIM(INDIRECT($N229)), 0),
       MATCH(TRIM(I$2), TRIM(INDIRECT($O229)), 0))</f>
        <v>18.497582999999999</v>
      </c>
      <c r="J229" s="9" cm="1">
        <f t="array" aca="1" ref="J229" ca="1">INDEX(INDIRECT($M229),
       MATCH(TRIM($C229), TRIM(INDIRECT($N229)), 0),
       MATCH(TRIM(J$2), TRIM(INDIRECT($O229)), 0))</f>
        <v>3</v>
      </c>
      <c r="K229" s="11" cm="1">
        <f t="array" aca="1" ref="K229" ca="1">INDEX(INDIRECT($M229),
       MATCH(TRIM($C229), TRIM(INDIRECT($N229)), 0),
       MATCH(TRIM(K$2), TRIM(INDIRECT($O229)), 0))</f>
        <v>0.133337777744444</v>
      </c>
      <c r="L229" s="11" cm="1">
        <f t="array" aca="1" ref="L229" ca="1">INDEX(INDIRECT($M229),
       MATCH(TRIM($C229), TRIM(INDIRECT($N229)), 0),
       MATCH(TRIM(L$2), TRIM(INDIRECT($O229)), 0))</f>
        <v>31.701170777744444</v>
      </c>
      <c r="M229" s="5" t="str">
        <f t="shared" si="9"/>
        <v>'2018'!$N$3:$V$80</v>
      </c>
      <c r="N229" s="5" t="str">
        <f t="shared" si="10"/>
        <v>'2018'!$M$2:$M$80</v>
      </c>
      <c r="O229" s="5" t="str">
        <f t="shared" si="11"/>
        <v>'2018'!$N$2:$W$2</v>
      </c>
    </row>
    <row r="230" spans="1:15" x14ac:dyDescent="0.3">
      <c r="A230">
        <v>39</v>
      </c>
      <c r="B230" s="9">
        <v>2018</v>
      </c>
      <c r="C230" t="s">
        <v>38</v>
      </c>
      <c r="D230" s="11" cm="1">
        <f t="array" aca="1" ref="D230" ca="1">INDEX(INDIRECT($M230),
       MATCH(TRIM($C230), TRIM(INDIRECT($N230)), 0),
       MATCH(TRIM(D$2), TRIM(INDIRECT($O230)), 0))</f>
        <v>1</v>
      </c>
      <c r="E230" s="9" cm="1">
        <f t="array" aca="1" ref="E230" ca="1">INDEX(INDIRECT($M230),
       MATCH(TRIM($C230), TRIM(INDIRECT($N230)), 0),
       MATCH(TRIM(E$2), TRIM(INDIRECT($O230)), 0))</f>
        <v>48752475</v>
      </c>
      <c r="F230" s="11" cm="1">
        <f t="array" aca="1" ref="F230" ca="1">INDEX(INDIRECT($M230),
       MATCH(TRIM($C230), TRIM(INDIRECT($N230)), 0),
       MATCH(TRIM(F$2), TRIM(INDIRECT($O230)), 0))</f>
        <v>48.752474999999997</v>
      </c>
      <c r="G230" s="11" cm="1">
        <f t="array" aca="1" ref="G230" ca="1">INDEX(INDIRECT($M230),
       MATCH(TRIM($C230), TRIM(INDIRECT($N230)), 0),
       MATCH(TRIM(G$2), TRIM(INDIRECT($O230)), 0))</f>
        <v>0</v>
      </c>
      <c r="H230" s="9" cm="1">
        <f t="array" aca="1" ref="H230" ca="1">INDEX(INDIRECT($M230),
       MATCH(TRIM($C230), TRIM(INDIRECT($N230)), 0),
       MATCH(TRIM(H$2), TRIM(INDIRECT($O230)), 0))</f>
        <v>0</v>
      </c>
      <c r="I230" s="11" cm="1">
        <f t="array" aca="1" ref="I230" ca="1">INDEX(INDIRECT($M230),
       MATCH(TRIM($C230), TRIM(INDIRECT($N230)), 0),
       MATCH(TRIM(I$2), TRIM(INDIRECT($O230)), 0))</f>
        <v>0</v>
      </c>
      <c r="J230" s="9" cm="1">
        <f t="array" aca="1" ref="J230" ca="1">INDEX(INDIRECT($M230),
       MATCH(TRIM($C230), TRIM(INDIRECT($N230)), 0),
       MATCH(TRIM(J$2), TRIM(INDIRECT($O230)), 0))</f>
        <v>0</v>
      </c>
      <c r="K230" s="11" cm="1">
        <f t="array" aca="1" ref="K230" ca="1">INDEX(INDIRECT($M230),
       MATCH(TRIM($C230), TRIM(INDIRECT($N230)), 0),
       MATCH(TRIM(K$2), TRIM(INDIRECT($O230)), 0))</f>
        <v>0</v>
      </c>
      <c r="L230" s="11" cm="1">
        <f t="array" aca="1" ref="L230" ca="1">INDEX(INDIRECT($M230),
       MATCH(TRIM($C230), TRIM(INDIRECT($N230)), 0),
       MATCH(TRIM(L$2), TRIM(INDIRECT($O230)), 0))</f>
        <v>48.752474999999997</v>
      </c>
      <c r="M230" s="5" t="str">
        <f t="shared" si="9"/>
        <v>'2018'!$N$3:$V$80</v>
      </c>
      <c r="N230" s="5" t="str">
        <f t="shared" si="10"/>
        <v>'2018'!$M$2:$M$80</v>
      </c>
      <c r="O230" s="5" t="str">
        <f t="shared" si="11"/>
        <v>'2018'!$N$2:$W$2</v>
      </c>
    </row>
    <row r="231" spans="1:15" x14ac:dyDescent="0.3">
      <c r="A231">
        <v>40</v>
      </c>
      <c r="B231" s="9">
        <v>2018</v>
      </c>
      <c r="C231" t="s">
        <v>39</v>
      </c>
      <c r="D231" s="11" cm="1">
        <f t="array" aca="1" ref="D231" ca="1">INDEX(INDIRECT($M231),
       MATCH(TRIM($C231), TRIM(INDIRECT($N231)), 0),
       MATCH(TRIM(D$2), TRIM(INDIRECT($O231)), 0))</f>
        <v>0</v>
      </c>
      <c r="E231" s="9" cm="1">
        <f t="array" aca="1" ref="E231" ca="1">INDEX(INDIRECT($M231),
       MATCH(TRIM($C231), TRIM(INDIRECT($N231)), 0),
       MATCH(TRIM(E$2), TRIM(INDIRECT($O231)), 0))</f>
        <v>0</v>
      </c>
      <c r="F231" s="11" cm="1">
        <f t="array" aca="1" ref="F231" ca="1">INDEX(INDIRECT($M231),
       MATCH(TRIM($C231), TRIM(INDIRECT($N231)), 0),
       MATCH(TRIM(F$2), TRIM(INDIRECT($O231)), 0))</f>
        <v>0</v>
      </c>
      <c r="G231" s="11" cm="1">
        <f t="array" aca="1" ref="G231" ca="1">INDEX(INDIRECT($M231),
       MATCH(TRIM($C231), TRIM(INDIRECT($N231)), 0),
       MATCH(TRIM(G$2), TRIM(INDIRECT($O231)), 0))</f>
        <v>1</v>
      </c>
      <c r="H231" s="9" cm="1">
        <f t="array" aca="1" ref="H231" ca="1">INDEX(INDIRECT($M231),
       MATCH(TRIM($C231), TRIM(INDIRECT($N231)), 0),
       MATCH(TRIM(H$2), TRIM(INDIRECT($O231)), 0))</f>
        <v>900000</v>
      </c>
      <c r="I231" s="11" cm="1">
        <f t="array" aca="1" ref="I231" ca="1">INDEX(INDIRECT($M231),
       MATCH(TRIM($C231), TRIM(INDIRECT($N231)), 0),
       MATCH(TRIM(I$2), TRIM(INDIRECT($O231)), 0))</f>
        <v>0.9</v>
      </c>
      <c r="J231" s="9" cm="1">
        <f t="array" aca="1" ref="J231" ca="1">INDEX(INDIRECT($M231),
       MATCH(TRIM($C231), TRIM(INDIRECT($N231)), 0),
       MATCH(TRIM(J$2), TRIM(INDIRECT($O231)), 0))</f>
        <v>2</v>
      </c>
      <c r="K231" s="11" cm="1">
        <f t="array" aca="1" ref="K231" ca="1">INDEX(INDIRECT($M231),
       MATCH(TRIM($C231), TRIM(INDIRECT($N231)), 0),
       MATCH(TRIM(K$2), TRIM(INDIRECT($O231)), 0))</f>
        <v>1.1976538399999999</v>
      </c>
      <c r="L231" s="11" cm="1">
        <f t="array" aca="1" ref="L231" ca="1">INDEX(INDIRECT($M231),
       MATCH(TRIM($C231), TRIM(INDIRECT($N231)), 0),
       MATCH(TRIM(L$2), TRIM(INDIRECT($O231)), 0))</f>
        <v>2.09765384</v>
      </c>
      <c r="M231" s="5" t="str">
        <f t="shared" si="9"/>
        <v>'2018'!$N$3:$V$80</v>
      </c>
      <c r="N231" s="5" t="str">
        <f t="shared" si="10"/>
        <v>'2018'!$M$2:$M$80</v>
      </c>
      <c r="O231" s="5" t="str">
        <f t="shared" si="11"/>
        <v>'2018'!$N$2:$W$2</v>
      </c>
    </row>
    <row r="232" spans="1:15" x14ac:dyDescent="0.3">
      <c r="A232">
        <v>41</v>
      </c>
      <c r="B232" s="9">
        <v>2018</v>
      </c>
      <c r="C232" t="s">
        <v>40</v>
      </c>
      <c r="D232" s="11" cm="1">
        <f t="array" aca="1" ref="D232" ca="1">INDEX(INDIRECT($M232),
       MATCH(TRIM($C232), TRIM(INDIRECT($N232)), 0),
       MATCH(TRIM(D$2), TRIM(INDIRECT($O232)), 0))</f>
        <v>10</v>
      </c>
      <c r="E232" s="9" cm="1">
        <f t="array" aca="1" ref="E232" ca="1">INDEX(INDIRECT($M232),
       MATCH(TRIM($C232), TRIM(INDIRECT($N232)), 0),
       MATCH(TRIM(E$2), TRIM(INDIRECT($O232)), 0))</f>
        <v>103161301</v>
      </c>
      <c r="F232" s="11" cm="1">
        <f t="array" aca="1" ref="F232" ca="1">INDEX(INDIRECT($M232),
       MATCH(TRIM($C232), TRIM(INDIRECT($N232)), 0),
       MATCH(TRIM(F$2), TRIM(INDIRECT($O232)), 0))</f>
        <v>103.16130099999999</v>
      </c>
      <c r="G232" s="11" cm="1">
        <f t="array" aca="1" ref="G232" ca="1">INDEX(INDIRECT($M232),
       MATCH(TRIM($C232), TRIM(INDIRECT($N232)), 0),
       MATCH(TRIM(G$2), TRIM(INDIRECT($O232)), 0))</f>
        <v>14</v>
      </c>
      <c r="H232" s="9" cm="1">
        <f t="array" aca="1" ref="H232" ca="1">INDEX(INDIRECT($M232),
       MATCH(TRIM($C232), TRIM(INDIRECT($N232)), 0),
       MATCH(TRIM(H$2), TRIM(INDIRECT($O232)), 0))</f>
        <v>106182000</v>
      </c>
      <c r="I232" s="11" cm="1">
        <f t="array" aca="1" ref="I232" ca="1">INDEX(INDIRECT($M232),
       MATCH(TRIM($C232), TRIM(INDIRECT($N232)), 0),
       MATCH(TRIM(I$2), TRIM(INDIRECT($O232)), 0))</f>
        <v>106.182</v>
      </c>
      <c r="J232" s="9" cm="1">
        <f t="array" aca="1" ref="J232" ca="1">INDEX(INDIRECT($M232),
       MATCH(TRIM($C232), TRIM(INDIRECT($N232)), 0),
       MATCH(TRIM(J$2), TRIM(INDIRECT($O232)), 0))</f>
        <v>9</v>
      </c>
      <c r="K232" s="11" cm="1">
        <f t="array" aca="1" ref="K232" ca="1">INDEX(INDIRECT($M232),
       MATCH(TRIM($C232), TRIM(INDIRECT($N232)), 0),
       MATCH(TRIM(K$2), TRIM(INDIRECT($O232)), 0))</f>
        <v>37.620386552730004</v>
      </c>
      <c r="L232" s="11" cm="1">
        <f t="array" aca="1" ref="L232" ca="1">INDEX(INDIRECT($M232),
       MATCH(TRIM($C232), TRIM(INDIRECT($N232)), 0),
       MATCH(TRIM(L$2), TRIM(INDIRECT($O232)), 0))</f>
        <v>246.96368755272999</v>
      </c>
      <c r="M232" s="5" t="str">
        <f t="shared" si="9"/>
        <v>'2018'!$N$3:$V$80</v>
      </c>
      <c r="N232" s="5" t="str">
        <f t="shared" si="10"/>
        <v>'2018'!$M$2:$M$80</v>
      </c>
      <c r="O232" s="5" t="str">
        <f t="shared" si="11"/>
        <v>'2018'!$N$2:$W$2</v>
      </c>
    </row>
    <row r="233" spans="1:15" x14ac:dyDescent="0.3">
      <c r="A233">
        <v>42</v>
      </c>
      <c r="B233" s="9">
        <v>2018</v>
      </c>
      <c r="C233" t="s">
        <v>41</v>
      </c>
      <c r="D233" s="11" cm="1">
        <f t="array" aca="1" ref="D233" ca="1">INDEX(INDIRECT($M233),
       MATCH(TRIM($C233), TRIM(INDIRECT($N233)), 0),
       MATCH(TRIM(D$2), TRIM(INDIRECT($O233)), 0))</f>
        <v>59</v>
      </c>
      <c r="E233" s="9" cm="1">
        <f t="array" aca="1" ref="E233" ca="1">INDEX(INDIRECT($M233),
       MATCH(TRIM($C233), TRIM(INDIRECT($N233)), 0),
       MATCH(TRIM(E$2), TRIM(INDIRECT($O233)), 0))</f>
        <v>268450247</v>
      </c>
      <c r="F233" s="11" cm="1">
        <f t="array" aca="1" ref="F233" ca="1">INDEX(INDIRECT($M233),
       MATCH(TRIM($C233), TRIM(INDIRECT($N233)), 0),
       MATCH(TRIM(F$2), TRIM(INDIRECT($O233)), 0))</f>
        <v>268.45024699999999</v>
      </c>
      <c r="G233" s="11" cm="1">
        <f t="array" aca="1" ref="G233" ca="1">INDEX(INDIRECT($M233),
       MATCH(TRIM($C233), TRIM(INDIRECT($N233)), 0),
       MATCH(TRIM(G$2), TRIM(INDIRECT($O233)), 0))</f>
        <v>5</v>
      </c>
      <c r="H233" s="9" cm="1">
        <f t="array" aca="1" ref="H233" ca="1">INDEX(INDIRECT($M233),
       MATCH(TRIM($C233), TRIM(INDIRECT($N233)), 0),
       MATCH(TRIM(H$2), TRIM(INDIRECT($O233)), 0))</f>
        <v>87195239</v>
      </c>
      <c r="I233" s="11" cm="1">
        <f t="array" aca="1" ref="I233" ca="1">INDEX(INDIRECT($M233),
       MATCH(TRIM($C233), TRIM(INDIRECT($N233)), 0),
       MATCH(TRIM(I$2), TRIM(INDIRECT($O233)), 0))</f>
        <v>87.195239000000001</v>
      </c>
      <c r="J233" s="9" cm="1">
        <f t="array" aca="1" ref="J233" ca="1">INDEX(INDIRECT($M233),
       MATCH(TRIM($C233), TRIM(INDIRECT($N233)), 0),
       MATCH(TRIM(J$2), TRIM(INDIRECT($O233)), 0))</f>
        <v>61</v>
      </c>
      <c r="K233" s="11" cm="1">
        <f t="array" aca="1" ref="K233" ca="1">INDEX(INDIRECT($M233),
       MATCH(TRIM($C233), TRIM(INDIRECT($N233)), 0),
       MATCH(TRIM(K$2), TRIM(INDIRECT($O233)), 0))</f>
        <v>29.538277249431005</v>
      </c>
      <c r="L233" s="11" cm="1">
        <f t="array" aca="1" ref="L233" ca="1">INDEX(INDIRECT($M233),
       MATCH(TRIM($C233), TRIM(INDIRECT($N233)), 0),
       MATCH(TRIM(L$2), TRIM(INDIRECT($O233)), 0))</f>
        <v>385.18376324943102</v>
      </c>
      <c r="M233" s="5" t="str">
        <f t="shared" si="9"/>
        <v>'2018'!$N$3:$V$80</v>
      </c>
      <c r="N233" s="5" t="str">
        <f t="shared" si="10"/>
        <v>'2018'!$M$2:$M$80</v>
      </c>
      <c r="O233" s="5" t="str">
        <f t="shared" si="11"/>
        <v>'2018'!$N$2:$W$2</v>
      </c>
    </row>
    <row r="234" spans="1:15" x14ac:dyDescent="0.3">
      <c r="A234">
        <v>43</v>
      </c>
      <c r="B234" s="9">
        <v>2018</v>
      </c>
      <c r="C234" t="s">
        <v>42</v>
      </c>
      <c r="D234" s="11" cm="1">
        <f t="array" aca="1" ref="D234" ca="1">INDEX(INDIRECT($M234),
       MATCH(TRIM($C234), TRIM(INDIRECT($N234)), 0),
       MATCH(TRIM(D$2), TRIM(INDIRECT($O234)), 0))</f>
        <v>7</v>
      </c>
      <c r="E234" s="9" cm="1">
        <f t="array" aca="1" ref="E234" ca="1">INDEX(INDIRECT($M234),
       MATCH(TRIM($C234), TRIM(INDIRECT($N234)), 0),
       MATCH(TRIM(E$2), TRIM(INDIRECT($O234)), 0))</f>
        <v>8197943</v>
      </c>
      <c r="F234" s="11" cm="1">
        <f t="array" aca="1" ref="F234" ca="1">INDEX(INDIRECT($M234),
       MATCH(TRIM($C234), TRIM(INDIRECT($N234)), 0),
       MATCH(TRIM(F$2), TRIM(INDIRECT($O234)), 0))</f>
        <v>8.1979430000000004</v>
      </c>
      <c r="G234" s="11" cm="1">
        <f t="array" aca="1" ref="G234" ca="1">INDEX(INDIRECT($M234),
       MATCH(TRIM($C234), TRIM(INDIRECT($N234)), 0),
       MATCH(TRIM(G$2), TRIM(INDIRECT($O234)), 0))</f>
        <v>5</v>
      </c>
      <c r="H234" s="9" cm="1">
        <f t="array" aca="1" ref="H234" ca="1">INDEX(INDIRECT($M234),
       MATCH(TRIM($C234), TRIM(INDIRECT($N234)), 0),
       MATCH(TRIM(H$2), TRIM(INDIRECT($O234)), 0))</f>
        <v>4650000</v>
      </c>
      <c r="I234" s="11" cm="1">
        <f t="array" aca="1" ref="I234" ca="1">INDEX(INDIRECT($M234),
       MATCH(TRIM($C234), TRIM(INDIRECT($N234)), 0),
       MATCH(TRIM(I$2), TRIM(INDIRECT($O234)), 0))</f>
        <v>4.6500000000000004</v>
      </c>
      <c r="J234" s="9" cm="1">
        <f t="array" aca="1" ref="J234" ca="1">INDEX(INDIRECT($M234),
       MATCH(TRIM($C234), TRIM(INDIRECT($N234)), 0),
       MATCH(TRIM(J$2), TRIM(INDIRECT($O234)), 0))</f>
        <v>43</v>
      </c>
      <c r="K234" s="11" cm="1">
        <f t="array" aca="1" ref="K234" ca="1">INDEX(INDIRECT($M234),
       MATCH(TRIM($C234), TRIM(INDIRECT($N234)), 0),
       MATCH(TRIM(K$2), TRIM(INDIRECT($O234)), 0))</f>
        <v>78.051350436700005</v>
      </c>
      <c r="L234" s="11" cm="1">
        <f t="array" aca="1" ref="L234" ca="1">INDEX(INDIRECT($M234),
       MATCH(TRIM($C234), TRIM(INDIRECT($N234)), 0),
       MATCH(TRIM(L$2), TRIM(INDIRECT($O234)), 0))</f>
        <v>90.899293436700006</v>
      </c>
      <c r="M234" s="5" t="str">
        <f t="shared" si="9"/>
        <v>'2018'!$N$3:$V$80</v>
      </c>
      <c r="N234" s="5" t="str">
        <f t="shared" si="10"/>
        <v>'2018'!$M$2:$M$80</v>
      </c>
      <c r="O234" s="5" t="str">
        <f t="shared" si="11"/>
        <v>'2018'!$N$2:$W$2</v>
      </c>
    </row>
    <row r="235" spans="1:15" x14ac:dyDescent="0.3">
      <c r="A235">
        <v>44</v>
      </c>
      <c r="B235" s="9">
        <v>2018</v>
      </c>
      <c r="C235" t="s">
        <v>43</v>
      </c>
      <c r="D235" s="11" cm="1">
        <f t="array" aca="1" ref="D235" ca="1">INDEX(INDIRECT($M235),
       MATCH(TRIM($C235), TRIM(INDIRECT($N235)), 0),
       MATCH(TRIM(D$2), TRIM(INDIRECT($O235)), 0))</f>
        <v>1</v>
      </c>
      <c r="E235" s="9" cm="1">
        <f t="array" aca="1" ref="E235" ca="1">INDEX(INDIRECT($M235),
       MATCH(TRIM($C235), TRIM(INDIRECT($N235)), 0),
       MATCH(TRIM(E$2), TRIM(INDIRECT($O235)), 0))</f>
        <v>1000000</v>
      </c>
      <c r="F235" s="11" cm="1">
        <f t="array" aca="1" ref="F235" ca="1">INDEX(INDIRECT($M235),
       MATCH(TRIM($C235), TRIM(INDIRECT($N235)), 0),
       MATCH(TRIM(F$2), TRIM(INDIRECT($O235)), 0))</f>
        <v>1</v>
      </c>
      <c r="G235" s="11" cm="1">
        <f t="array" aca="1" ref="G235" ca="1">INDEX(INDIRECT($M235),
       MATCH(TRIM($C235), TRIM(INDIRECT($N235)), 0),
       MATCH(TRIM(G$2), TRIM(INDIRECT($O235)), 0))</f>
        <v>0</v>
      </c>
      <c r="H235" s="9" cm="1">
        <f t="array" aca="1" ref="H235" ca="1">INDEX(INDIRECT($M235),
       MATCH(TRIM($C235), TRIM(INDIRECT($N235)), 0),
       MATCH(TRIM(H$2), TRIM(INDIRECT($O235)), 0))</f>
        <v>0</v>
      </c>
      <c r="I235" s="11" cm="1">
        <f t="array" aca="1" ref="I235" ca="1">INDEX(INDIRECT($M235),
       MATCH(TRIM($C235), TRIM(INDIRECT($N235)), 0),
       MATCH(TRIM(I$2), TRIM(INDIRECT($O235)), 0))</f>
        <v>0</v>
      </c>
      <c r="J235" s="9" cm="1">
        <f t="array" aca="1" ref="J235" ca="1">INDEX(INDIRECT($M235),
       MATCH(TRIM($C235), TRIM(INDIRECT($N235)), 0),
       MATCH(TRIM(J$2), TRIM(INDIRECT($O235)), 0))</f>
        <v>9</v>
      </c>
      <c r="K235" s="11" cm="1">
        <f t="array" aca="1" ref="K235" ca="1">INDEX(INDIRECT($M235),
       MATCH(TRIM($C235), TRIM(INDIRECT($N235)), 0),
       MATCH(TRIM(K$2), TRIM(INDIRECT($O235)), 0))</f>
        <v>7.2355976667000013</v>
      </c>
      <c r="L235" s="11" cm="1">
        <f t="array" aca="1" ref="L235" ca="1">INDEX(INDIRECT($M235),
       MATCH(TRIM($C235), TRIM(INDIRECT($N235)), 0),
       MATCH(TRIM(L$2), TRIM(INDIRECT($O235)), 0))</f>
        <v>8.2355976667000022</v>
      </c>
      <c r="M235" s="5" t="str">
        <f t="shared" si="9"/>
        <v>'2018'!$N$3:$V$80</v>
      </c>
      <c r="N235" s="5" t="str">
        <f t="shared" si="10"/>
        <v>'2018'!$M$2:$M$80</v>
      </c>
      <c r="O235" s="5" t="str">
        <f t="shared" si="11"/>
        <v>'2018'!$N$2:$W$2</v>
      </c>
    </row>
    <row r="236" spans="1:15" x14ac:dyDescent="0.3">
      <c r="A236">
        <v>45</v>
      </c>
      <c r="B236" s="9">
        <v>2018</v>
      </c>
      <c r="C236" t="s">
        <v>44</v>
      </c>
      <c r="D236" s="11" cm="1">
        <f t="array" aca="1" ref="D236" ca="1">INDEX(INDIRECT($M236),
       MATCH(TRIM($C236), TRIM(INDIRECT($N236)), 0),
       MATCH(TRIM(D$2), TRIM(INDIRECT($O236)), 0))</f>
        <v>102</v>
      </c>
      <c r="E236" s="9" cm="1">
        <f t="array" aca="1" ref="E236" ca="1">INDEX(INDIRECT($M236),
       MATCH(TRIM($C236), TRIM(INDIRECT($N236)), 0),
       MATCH(TRIM(E$2), TRIM(INDIRECT($O236)), 0))</f>
        <v>267962115</v>
      </c>
      <c r="F236" s="11" cm="1">
        <f t="array" aca="1" ref="F236" ca="1">INDEX(INDIRECT($M236),
       MATCH(TRIM($C236), TRIM(INDIRECT($N236)), 0),
       MATCH(TRIM(F$2), TRIM(INDIRECT($O236)), 0))</f>
        <v>267.96211499999998</v>
      </c>
      <c r="G236" s="11" cm="1">
        <f t="array" aca="1" ref="G236" ca="1">INDEX(INDIRECT($M236),
       MATCH(TRIM($C236), TRIM(INDIRECT($N236)), 0),
       MATCH(TRIM(G$2), TRIM(INDIRECT($O236)), 0))</f>
        <v>9</v>
      </c>
      <c r="H236" s="9" cm="1">
        <f t="array" aca="1" ref="H236" ca="1">INDEX(INDIRECT($M236),
       MATCH(TRIM($C236), TRIM(INDIRECT($N236)), 0),
       MATCH(TRIM(H$2), TRIM(INDIRECT($O236)), 0))</f>
        <v>1102725</v>
      </c>
      <c r="I236" s="11" cm="1">
        <f t="array" aca="1" ref="I236" ca="1">INDEX(INDIRECT($M236),
       MATCH(TRIM($C236), TRIM(INDIRECT($N236)), 0),
       MATCH(TRIM(I$2), TRIM(INDIRECT($O236)), 0))</f>
        <v>1.102725</v>
      </c>
      <c r="J236" s="9" cm="1">
        <f t="array" aca="1" ref="J236" ca="1">INDEX(INDIRECT($M236),
       MATCH(TRIM($C236), TRIM(INDIRECT($N236)), 0),
       MATCH(TRIM(J$2), TRIM(INDIRECT($O236)), 0))</f>
        <v>180</v>
      </c>
      <c r="K236" s="11" cm="1">
        <f t="array" aca="1" ref="K236" ca="1">INDEX(INDIRECT($M236),
       MATCH(TRIM($C236), TRIM(INDIRECT($N236)), 0),
       MATCH(TRIM(K$2), TRIM(INDIRECT($O236)), 0))</f>
        <v>42.744157609056295</v>
      </c>
      <c r="L236" s="11" cm="1">
        <f t="array" aca="1" ref="L236" ca="1">INDEX(INDIRECT($M236),
       MATCH(TRIM($C236), TRIM(INDIRECT($N236)), 0),
       MATCH(TRIM(L$2), TRIM(INDIRECT($O236)), 0))</f>
        <v>311.80899760905629</v>
      </c>
      <c r="M236" s="5" t="str">
        <f t="shared" si="9"/>
        <v>'2018'!$N$3:$V$80</v>
      </c>
      <c r="N236" s="5" t="str">
        <f t="shared" si="10"/>
        <v>'2018'!$M$2:$M$80</v>
      </c>
      <c r="O236" s="5" t="str">
        <f t="shared" si="11"/>
        <v>'2018'!$N$2:$W$2</v>
      </c>
    </row>
    <row r="237" spans="1:15" x14ac:dyDescent="0.3">
      <c r="A237">
        <v>46</v>
      </c>
      <c r="B237" s="9">
        <v>2018</v>
      </c>
      <c r="C237" t="s">
        <v>45</v>
      </c>
      <c r="D237" s="11" cm="1">
        <f t="array" aca="1" ref="D237" ca="1">INDEX(INDIRECT($M237),
       MATCH(TRIM($C237), TRIM(INDIRECT($N237)), 0),
       MATCH(TRIM(D$2), TRIM(INDIRECT($O237)), 0))</f>
        <v>2</v>
      </c>
      <c r="E237" s="9" cm="1">
        <f t="array" aca="1" ref="E237" ca="1">INDEX(INDIRECT($M237),
       MATCH(TRIM($C237), TRIM(INDIRECT($N237)), 0),
       MATCH(TRIM(E$2), TRIM(INDIRECT($O237)), 0))</f>
        <v>444086</v>
      </c>
      <c r="F237" s="11" cm="1">
        <f t="array" aca="1" ref="F237" ca="1">INDEX(INDIRECT($M237),
       MATCH(TRIM($C237), TRIM(INDIRECT($N237)), 0),
       MATCH(TRIM(F$2), TRIM(INDIRECT($O237)), 0))</f>
        <v>0.44408599999999998</v>
      </c>
      <c r="G237" s="11" cm="1">
        <f t="array" aca="1" ref="G237" ca="1">INDEX(INDIRECT($M237),
       MATCH(TRIM($C237), TRIM(INDIRECT($N237)), 0),
       MATCH(TRIM(G$2), TRIM(INDIRECT($O237)), 0))</f>
        <v>0</v>
      </c>
      <c r="H237" s="9" cm="1">
        <f t="array" aca="1" ref="H237" ca="1">INDEX(INDIRECT($M237),
       MATCH(TRIM($C237), TRIM(INDIRECT($N237)), 0),
       MATCH(TRIM(H$2), TRIM(INDIRECT($O237)), 0))</f>
        <v>0</v>
      </c>
      <c r="I237" s="11" cm="1">
        <f t="array" aca="1" ref="I237" ca="1">INDEX(INDIRECT($M237),
       MATCH(TRIM($C237), TRIM(INDIRECT($N237)), 0),
       MATCH(TRIM(I$2), TRIM(INDIRECT($O237)), 0))</f>
        <v>0</v>
      </c>
      <c r="J237" s="9" cm="1">
        <f t="array" aca="1" ref="J237" ca="1">INDEX(INDIRECT($M237),
       MATCH(TRIM($C237), TRIM(INDIRECT($N237)), 0),
       MATCH(TRIM(J$2), TRIM(INDIRECT($O237)), 0))</f>
        <v>2</v>
      </c>
      <c r="K237" s="11" cm="1">
        <f t="array" aca="1" ref="K237" ca="1">INDEX(INDIRECT($M237),
       MATCH(TRIM($C237), TRIM(INDIRECT($N237)), 0),
       MATCH(TRIM(K$2), TRIM(INDIRECT($O237)), 0))</f>
        <v>0.19760000002</v>
      </c>
      <c r="L237" s="11" cm="1">
        <f t="array" aca="1" ref="L237" ca="1">INDEX(INDIRECT($M237),
       MATCH(TRIM($C237), TRIM(INDIRECT($N237)), 0),
       MATCH(TRIM(L$2), TRIM(INDIRECT($O237)), 0))</f>
        <v>0.64168600001999998</v>
      </c>
      <c r="M237" s="5" t="str">
        <f t="shared" si="9"/>
        <v>'2018'!$N$3:$V$80</v>
      </c>
      <c r="N237" s="5" t="str">
        <f t="shared" si="10"/>
        <v>'2018'!$M$2:$M$80</v>
      </c>
      <c r="O237" s="5" t="str">
        <f t="shared" si="11"/>
        <v>'2018'!$N$2:$W$2</v>
      </c>
    </row>
    <row r="238" spans="1:15" x14ac:dyDescent="0.3">
      <c r="A238">
        <v>47</v>
      </c>
      <c r="B238" s="9">
        <v>2018</v>
      </c>
      <c r="C238" t="s">
        <v>46</v>
      </c>
      <c r="D238" s="11" cm="1">
        <f t="array" aca="1" ref="D238" ca="1">INDEX(INDIRECT($M238),
       MATCH(TRIM($C238), TRIM(INDIRECT($N238)), 0),
       MATCH(TRIM(D$2), TRIM(INDIRECT($O238)), 0))</f>
        <v>5</v>
      </c>
      <c r="E238" s="9" cm="1">
        <f t="array" aca="1" ref="E238" ca="1">INDEX(INDIRECT($M238),
       MATCH(TRIM($C238), TRIM(INDIRECT($N238)), 0),
       MATCH(TRIM(E$2), TRIM(INDIRECT($O238)), 0))</f>
        <v>24682000</v>
      </c>
      <c r="F238" s="11" cm="1">
        <f t="array" aca="1" ref="F238" ca="1">INDEX(INDIRECT($M238),
       MATCH(TRIM($C238), TRIM(INDIRECT($N238)), 0),
       MATCH(TRIM(F$2), TRIM(INDIRECT($O238)), 0))</f>
        <v>24.681999999999999</v>
      </c>
      <c r="G238" s="11" cm="1">
        <f t="array" aca="1" ref="G238" ca="1">INDEX(INDIRECT($M238),
       MATCH(TRIM($C238), TRIM(INDIRECT($N238)), 0),
       MATCH(TRIM(G$2), TRIM(INDIRECT($O238)), 0))</f>
        <v>0</v>
      </c>
      <c r="H238" s="9" cm="1">
        <f t="array" aca="1" ref="H238" ca="1">INDEX(INDIRECT($M238),
       MATCH(TRIM($C238), TRIM(INDIRECT($N238)), 0),
       MATCH(TRIM(H$2), TRIM(INDIRECT($O238)), 0))</f>
        <v>0</v>
      </c>
      <c r="I238" s="11" cm="1">
        <f t="array" aca="1" ref="I238" ca="1">INDEX(INDIRECT($M238),
       MATCH(TRIM($C238), TRIM(INDIRECT($N238)), 0),
       MATCH(TRIM(I$2), TRIM(INDIRECT($O238)), 0))</f>
        <v>0</v>
      </c>
      <c r="J238" s="9" cm="1">
        <f t="array" aca="1" ref="J238" ca="1">INDEX(INDIRECT($M238),
       MATCH(TRIM($C238), TRIM(INDIRECT($N238)), 0),
       MATCH(TRIM(J$2), TRIM(INDIRECT($O238)), 0))</f>
        <v>3</v>
      </c>
      <c r="K238" s="11" cm="1">
        <f t="array" aca="1" ref="K238" ca="1">INDEX(INDIRECT($M238),
       MATCH(TRIM($C238), TRIM(INDIRECT($N238)), 0),
       MATCH(TRIM(K$2), TRIM(INDIRECT($O238)), 0))</f>
        <v>0.99969033736000001</v>
      </c>
      <c r="L238" s="11" cm="1">
        <f t="array" aca="1" ref="L238" ca="1">INDEX(INDIRECT($M238),
       MATCH(TRIM($C238), TRIM(INDIRECT($N238)), 0),
       MATCH(TRIM(L$2), TRIM(INDIRECT($O238)), 0))</f>
        <v>25.681690337359999</v>
      </c>
      <c r="M238" s="5" t="str">
        <f t="shared" si="9"/>
        <v>'2018'!$N$3:$V$80</v>
      </c>
      <c r="N238" s="5" t="str">
        <f t="shared" si="10"/>
        <v>'2018'!$M$2:$M$80</v>
      </c>
      <c r="O238" s="5" t="str">
        <f t="shared" si="11"/>
        <v>'2018'!$N$2:$W$2</v>
      </c>
    </row>
    <row r="239" spans="1:15" x14ac:dyDescent="0.3">
      <c r="A239">
        <v>48</v>
      </c>
      <c r="B239" s="9">
        <v>2018</v>
      </c>
      <c r="C239" t="s">
        <v>47</v>
      </c>
      <c r="D239" s="11" cm="1">
        <f t="array" aca="1" ref="D239" ca="1">INDEX(INDIRECT($M239),
       MATCH(TRIM($C239), TRIM(INDIRECT($N239)), 0),
       MATCH(TRIM(D$2), TRIM(INDIRECT($O239)), 0))</f>
        <v>1</v>
      </c>
      <c r="E239" s="9" cm="1">
        <f t="array" aca="1" ref="E239" ca="1">INDEX(INDIRECT($M239),
       MATCH(TRIM($C239), TRIM(INDIRECT($N239)), 0),
       MATCH(TRIM(E$2), TRIM(INDIRECT($O239)), 0))</f>
        <v>2898000</v>
      </c>
      <c r="F239" s="11" cm="1">
        <f t="array" aca="1" ref="F239" ca="1">INDEX(INDIRECT($M239),
       MATCH(TRIM($C239), TRIM(INDIRECT($N239)), 0),
       MATCH(TRIM(F$2), TRIM(INDIRECT($O239)), 0))</f>
        <v>2.8980000000000001</v>
      </c>
      <c r="G239" s="11" cm="1">
        <f t="array" aca="1" ref="G239" ca="1">INDEX(INDIRECT($M239),
       MATCH(TRIM($C239), TRIM(INDIRECT($N239)), 0),
       MATCH(TRIM(G$2), TRIM(INDIRECT($O239)), 0))</f>
        <v>1</v>
      </c>
      <c r="H239" s="9" cm="1">
        <f t="array" aca="1" ref="H239" ca="1">INDEX(INDIRECT($M239),
       MATCH(TRIM($C239), TRIM(INDIRECT($N239)), 0),
       MATCH(TRIM(H$2), TRIM(INDIRECT($O239)), 0))</f>
        <v>3000000</v>
      </c>
      <c r="I239" s="11" cm="1">
        <f t="array" aca="1" ref="I239" ca="1">INDEX(INDIRECT($M239),
       MATCH(TRIM($C239), TRIM(INDIRECT($N239)), 0),
       MATCH(TRIM(I$2), TRIM(INDIRECT($O239)), 0))</f>
        <v>3</v>
      </c>
      <c r="J239" s="9" cm="1">
        <f t="array" aca="1" ref="J239" ca="1">INDEX(INDIRECT($M239),
       MATCH(TRIM($C239), TRIM(INDIRECT($N239)), 0),
       MATCH(TRIM(J$2), TRIM(INDIRECT($O239)), 0))</f>
        <v>0</v>
      </c>
      <c r="K239" s="11" cm="1">
        <f t="array" aca="1" ref="K239" ca="1">INDEX(INDIRECT($M239),
       MATCH(TRIM($C239), TRIM(INDIRECT($N239)), 0),
       MATCH(TRIM(K$2), TRIM(INDIRECT($O239)), 0))</f>
        <v>0</v>
      </c>
      <c r="L239" s="11" cm="1">
        <f t="array" aca="1" ref="L239" ca="1">INDEX(INDIRECT($M239),
       MATCH(TRIM($C239), TRIM(INDIRECT($N239)), 0),
       MATCH(TRIM(L$2), TRIM(INDIRECT($O239)), 0))</f>
        <v>5.8979999999999997</v>
      </c>
      <c r="M239" s="5" t="str">
        <f t="shared" si="9"/>
        <v>'2018'!$N$3:$V$80</v>
      </c>
      <c r="N239" s="5" t="str">
        <f t="shared" si="10"/>
        <v>'2018'!$M$2:$M$80</v>
      </c>
      <c r="O239" s="5" t="str">
        <f t="shared" si="11"/>
        <v>'2018'!$N$2:$W$2</v>
      </c>
    </row>
    <row r="240" spans="1:15" x14ac:dyDescent="0.3">
      <c r="A240">
        <v>49</v>
      </c>
      <c r="B240" s="9">
        <v>2018</v>
      </c>
      <c r="C240" t="s">
        <v>48</v>
      </c>
      <c r="D240" s="11" cm="1">
        <f t="array" aca="1" ref="D240" ca="1">INDEX(INDIRECT($M240),
       MATCH(TRIM($C240), TRIM(INDIRECT($N240)), 0),
       MATCH(TRIM(D$2), TRIM(INDIRECT($O240)), 0))</f>
        <v>1</v>
      </c>
      <c r="E240" s="9" cm="1">
        <f t="array" aca="1" ref="E240" ca="1">INDEX(INDIRECT($M240),
       MATCH(TRIM($C240), TRIM(INDIRECT($N240)), 0),
       MATCH(TRIM(E$2), TRIM(INDIRECT($O240)), 0))</f>
        <v>1000000</v>
      </c>
      <c r="F240" s="11" cm="1">
        <f t="array" aca="1" ref="F240" ca="1">INDEX(INDIRECT($M240),
       MATCH(TRIM($C240), TRIM(INDIRECT($N240)), 0),
       MATCH(TRIM(F$2), TRIM(INDIRECT($O240)), 0))</f>
        <v>1</v>
      </c>
      <c r="G240" s="11" cm="1">
        <f t="array" aca="1" ref="G240" ca="1">INDEX(INDIRECT($M240),
       MATCH(TRIM($C240), TRIM(INDIRECT($N240)), 0),
       MATCH(TRIM(G$2), TRIM(INDIRECT($O240)), 0))</f>
        <v>0</v>
      </c>
      <c r="H240" s="9" cm="1">
        <f t="array" aca="1" ref="H240" ca="1">INDEX(INDIRECT($M240),
       MATCH(TRIM($C240), TRIM(INDIRECT($N240)), 0),
       MATCH(TRIM(H$2), TRIM(INDIRECT($O240)), 0))</f>
        <v>0</v>
      </c>
      <c r="I240" s="11" cm="1">
        <f t="array" aca="1" ref="I240" ca="1">INDEX(INDIRECT($M240),
       MATCH(TRIM($C240), TRIM(INDIRECT($N240)), 0),
       MATCH(TRIM(I$2), TRIM(INDIRECT($O240)), 0))</f>
        <v>0</v>
      </c>
      <c r="J240" s="9" cm="1">
        <f t="array" aca="1" ref="J240" ca="1">INDEX(INDIRECT($M240),
       MATCH(TRIM($C240), TRIM(INDIRECT($N240)), 0),
       MATCH(TRIM(J$2), TRIM(INDIRECT($O240)), 0))</f>
        <v>4</v>
      </c>
      <c r="K240" s="11" cm="1">
        <f t="array" aca="1" ref="K240" ca="1">INDEX(INDIRECT($M240),
       MATCH(TRIM($C240), TRIM(INDIRECT($N240)), 0),
       MATCH(TRIM(K$2), TRIM(INDIRECT($O240)), 0))</f>
        <v>6.3462086666999999</v>
      </c>
      <c r="L240" s="11" cm="1">
        <f t="array" aca="1" ref="L240" ca="1">INDEX(INDIRECT($M240),
       MATCH(TRIM($C240), TRIM(INDIRECT($N240)), 0),
       MATCH(TRIM(L$2), TRIM(INDIRECT($O240)), 0))</f>
        <v>7.3462086666999999</v>
      </c>
      <c r="M240" s="5" t="str">
        <f t="shared" si="9"/>
        <v>'2018'!$N$3:$V$80</v>
      </c>
      <c r="N240" s="5" t="str">
        <f t="shared" si="10"/>
        <v>'2018'!$M$2:$M$80</v>
      </c>
      <c r="O240" s="5" t="str">
        <f t="shared" si="11"/>
        <v>'2018'!$N$2:$W$2</v>
      </c>
    </row>
    <row r="241" spans="1:15" x14ac:dyDescent="0.3">
      <c r="A241">
        <v>50</v>
      </c>
      <c r="B241" s="9">
        <v>2018</v>
      </c>
      <c r="C241" t="s">
        <v>49</v>
      </c>
      <c r="D241" s="11" cm="1">
        <f t="array" aca="1" ref="D241" ca="1">INDEX(INDIRECT($M241),
       MATCH(TRIM($C241), TRIM(INDIRECT($N241)), 0),
       MATCH(TRIM(D$2), TRIM(INDIRECT($O241)), 0))</f>
        <v>2</v>
      </c>
      <c r="E241" s="9" cm="1">
        <f t="array" aca="1" ref="E241" ca="1">INDEX(INDIRECT($M241),
       MATCH(TRIM($C241), TRIM(INDIRECT($N241)), 0),
       MATCH(TRIM(E$2), TRIM(INDIRECT($O241)), 0))</f>
        <v>5400000</v>
      </c>
      <c r="F241" s="11" cm="1">
        <f t="array" aca="1" ref="F241" ca="1">INDEX(INDIRECT($M241),
       MATCH(TRIM($C241), TRIM(INDIRECT($N241)), 0),
       MATCH(TRIM(F$2), TRIM(INDIRECT($O241)), 0))</f>
        <v>5.4</v>
      </c>
      <c r="G241" s="11" cm="1">
        <f t="array" aca="1" ref="G241" ca="1">INDEX(INDIRECT($M241),
       MATCH(TRIM($C241), TRIM(INDIRECT($N241)), 0),
       MATCH(TRIM(G$2), TRIM(INDIRECT($O241)), 0))</f>
        <v>2</v>
      </c>
      <c r="H241" s="9" cm="1">
        <f t="array" aca="1" ref="H241" ca="1">INDEX(INDIRECT($M241),
       MATCH(TRIM($C241), TRIM(INDIRECT($N241)), 0),
       MATCH(TRIM(H$2), TRIM(INDIRECT($O241)), 0))</f>
        <v>369994</v>
      </c>
      <c r="I241" s="11" cm="1">
        <f t="array" aca="1" ref="I241" ca="1">INDEX(INDIRECT($M241),
       MATCH(TRIM($C241), TRIM(INDIRECT($N241)), 0),
       MATCH(TRIM(I$2), TRIM(INDIRECT($O241)), 0))</f>
        <v>0.36999399999999999</v>
      </c>
      <c r="J241" s="9" cm="1">
        <f t="array" aca="1" ref="J241" ca="1">INDEX(INDIRECT($M241),
       MATCH(TRIM($C241), TRIM(INDIRECT($N241)), 0),
       MATCH(TRIM(J$2), TRIM(INDIRECT($O241)), 0))</f>
        <v>34</v>
      </c>
      <c r="K241" s="11" cm="1">
        <f t="array" aca="1" ref="K241" ca="1">INDEX(INDIRECT($M241),
       MATCH(TRIM($C241), TRIM(INDIRECT($N241)), 0),
       MATCH(TRIM(K$2), TRIM(INDIRECT($O241)), 0))</f>
        <v>4.6515455444400002</v>
      </c>
      <c r="L241" s="11" cm="1">
        <f t="array" aca="1" ref="L241" ca="1">INDEX(INDIRECT($M241),
       MATCH(TRIM($C241), TRIM(INDIRECT($N241)), 0),
       MATCH(TRIM(L$2), TRIM(INDIRECT($O241)), 0))</f>
        <v>10.421539544440002</v>
      </c>
      <c r="M241" s="5" t="str">
        <f t="shared" si="9"/>
        <v>'2018'!$N$3:$V$80</v>
      </c>
      <c r="N241" s="5" t="str">
        <f t="shared" si="10"/>
        <v>'2018'!$M$2:$M$80</v>
      </c>
      <c r="O241" s="5" t="str">
        <f t="shared" si="11"/>
        <v>'2018'!$N$2:$W$2</v>
      </c>
    </row>
    <row r="242" spans="1:15" x14ac:dyDescent="0.3">
      <c r="A242">
        <v>51</v>
      </c>
      <c r="B242" s="9">
        <v>2018</v>
      </c>
      <c r="C242" t="s">
        <v>50</v>
      </c>
      <c r="D242" s="11" t="e" cm="1">
        <f t="array" aca="1" ref="D242" ca="1">INDEX(INDIRECT($M242),
       MATCH(TRIM($C242), TRIM(INDIRECT($N242)), 0),
       MATCH(TRIM(D$2), TRIM(INDIRECT($O242)), 0))</f>
        <v>#N/A</v>
      </c>
      <c r="E242" s="9" t="e" cm="1">
        <f t="array" aca="1" ref="E242" ca="1">INDEX(INDIRECT($M242),
       MATCH(TRIM($C242), TRIM(INDIRECT($N242)), 0),
       MATCH(TRIM(E$2), TRIM(INDIRECT($O242)), 0))</f>
        <v>#N/A</v>
      </c>
      <c r="F242" s="11" t="e" cm="1">
        <f t="array" aca="1" ref="F242" ca="1">INDEX(INDIRECT($M242),
       MATCH(TRIM($C242), TRIM(INDIRECT($N242)), 0),
       MATCH(TRIM(F$2), TRIM(INDIRECT($O242)), 0))</f>
        <v>#N/A</v>
      </c>
      <c r="G242" s="11" t="e" cm="1">
        <f t="array" aca="1" ref="G242" ca="1">INDEX(INDIRECT($M242),
       MATCH(TRIM($C242), TRIM(INDIRECT($N242)), 0),
       MATCH(TRIM(G$2), TRIM(INDIRECT($O242)), 0))</f>
        <v>#N/A</v>
      </c>
      <c r="H242" s="9" t="e" cm="1">
        <f t="array" aca="1" ref="H242" ca="1">INDEX(INDIRECT($M242),
       MATCH(TRIM($C242), TRIM(INDIRECT($N242)), 0),
       MATCH(TRIM(H$2), TRIM(INDIRECT($O242)), 0))</f>
        <v>#N/A</v>
      </c>
      <c r="I242" s="11" t="e" cm="1">
        <f t="array" aca="1" ref="I242" ca="1">INDEX(INDIRECT($M242),
       MATCH(TRIM($C242), TRIM(INDIRECT($N242)), 0),
       MATCH(TRIM(I$2), TRIM(INDIRECT($O242)), 0))</f>
        <v>#N/A</v>
      </c>
      <c r="J242" s="9" t="e" cm="1">
        <f t="array" aca="1" ref="J242" ca="1">INDEX(INDIRECT($M242),
       MATCH(TRIM($C242), TRIM(INDIRECT($N242)), 0),
       MATCH(TRIM(J$2), TRIM(INDIRECT($O242)), 0))</f>
        <v>#N/A</v>
      </c>
      <c r="K242" s="11" t="e" cm="1">
        <f t="array" aca="1" ref="K242" ca="1">INDEX(INDIRECT($M242),
       MATCH(TRIM($C242), TRIM(INDIRECT($N242)), 0),
       MATCH(TRIM(K$2), TRIM(INDIRECT($O242)), 0))</f>
        <v>#N/A</v>
      </c>
      <c r="L242" s="11" t="e" cm="1">
        <f t="array" aca="1" ref="L242" ca="1">INDEX(INDIRECT($M242),
       MATCH(TRIM($C242), TRIM(INDIRECT($N242)), 0),
       MATCH(TRIM(L$2), TRIM(INDIRECT($O242)), 0))</f>
        <v>#N/A</v>
      </c>
      <c r="M242" s="5" t="str">
        <f t="shared" si="9"/>
        <v>'2018'!$N$3:$V$80</v>
      </c>
      <c r="N242" s="5" t="str">
        <f t="shared" si="10"/>
        <v>'2018'!$M$2:$M$80</v>
      </c>
      <c r="O242" s="5" t="str">
        <f t="shared" si="11"/>
        <v>'2018'!$N$2:$W$2</v>
      </c>
    </row>
    <row r="243" spans="1:15" x14ac:dyDescent="0.3">
      <c r="A243">
        <v>52</v>
      </c>
      <c r="B243" s="9">
        <v>2018</v>
      </c>
      <c r="C243" t="s">
        <v>51</v>
      </c>
      <c r="D243" s="11" cm="1">
        <f t="array" aca="1" ref="D243" ca="1">INDEX(INDIRECT($M243),
       MATCH(TRIM($C243), TRIM(INDIRECT($N243)), 0),
       MATCH(TRIM(D$2), TRIM(INDIRECT($O243)), 0))</f>
        <v>1</v>
      </c>
      <c r="E243" s="9" cm="1">
        <f t="array" aca="1" ref="E243" ca="1">INDEX(INDIRECT($M243),
       MATCH(TRIM($C243), TRIM(INDIRECT($N243)), 0),
       MATCH(TRIM(E$2), TRIM(INDIRECT($O243)), 0))</f>
        <v>21369965</v>
      </c>
      <c r="F243" s="11" cm="1">
        <f t="array" aca="1" ref="F243" ca="1">INDEX(INDIRECT($M243),
       MATCH(TRIM($C243), TRIM(INDIRECT($N243)), 0),
       MATCH(TRIM(F$2), TRIM(INDIRECT($O243)), 0))</f>
        <v>21.369965000000001</v>
      </c>
      <c r="G243" s="11" cm="1">
        <f t="array" aca="1" ref="G243" ca="1">INDEX(INDIRECT($M243),
       MATCH(TRIM($C243), TRIM(INDIRECT($N243)), 0),
       MATCH(TRIM(G$2), TRIM(INDIRECT($O243)), 0))</f>
        <v>1</v>
      </c>
      <c r="H243" s="9" cm="1">
        <f t="array" aca="1" ref="H243" ca="1">INDEX(INDIRECT($M243),
       MATCH(TRIM($C243), TRIM(INDIRECT($N243)), 0),
       MATCH(TRIM(H$2), TRIM(INDIRECT($O243)), 0))</f>
        <v>3630035</v>
      </c>
      <c r="I243" s="11" cm="1">
        <f t="array" aca="1" ref="I243" ca="1">INDEX(INDIRECT($M243),
       MATCH(TRIM($C243), TRIM(INDIRECT($N243)), 0),
       MATCH(TRIM(I$2), TRIM(INDIRECT($O243)), 0))</f>
        <v>3.6300349999999999</v>
      </c>
      <c r="J243" s="9" cm="1">
        <f t="array" aca="1" ref="J243" ca="1">INDEX(INDIRECT($M243),
       MATCH(TRIM($C243), TRIM(INDIRECT($N243)), 0),
       MATCH(TRIM(J$2), TRIM(INDIRECT($O243)), 0))</f>
        <v>5</v>
      </c>
      <c r="K243" s="11" cm="1">
        <f t="array" aca="1" ref="K243" ca="1">INDEX(INDIRECT($M243),
       MATCH(TRIM($C243), TRIM(INDIRECT($N243)), 0),
       MATCH(TRIM(K$2), TRIM(INDIRECT($O243)), 0))</f>
        <v>1.5877619999999999</v>
      </c>
      <c r="L243" s="11" cm="1">
        <f t="array" aca="1" ref="L243" ca="1">INDEX(INDIRECT($M243),
       MATCH(TRIM($C243), TRIM(INDIRECT($N243)), 0),
       MATCH(TRIM(L$2), TRIM(INDIRECT($O243)), 0))</f>
        <v>26.587762000000001</v>
      </c>
      <c r="M243" s="5" t="str">
        <f t="shared" si="9"/>
        <v>'2018'!$N$3:$V$80</v>
      </c>
      <c r="N243" s="5" t="str">
        <f t="shared" si="10"/>
        <v>'2018'!$M$2:$M$80</v>
      </c>
      <c r="O243" s="5" t="str">
        <f t="shared" si="11"/>
        <v>'2018'!$N$2:$W$2</v>
      </c>
    </row>
    <row r="244" spans="1:15" x14ac:dyDescent="0.3">
      <c r="A244">
        <v>53</v>
      </c>
      <c r="B244" s="9">
        <v>2018</v>
      </c>
      <c r="C244" t="s">
        <v>52</v>
      </c>
      <c r="D244" s="11" cm="1">
        <f t="array" aca="1" ref="D244" ca="1">INDEX(INDIRECT($M244),
       MATCH(TRIM($C244), TRIM(INDIRECT($N244)), 0),
       MATCH(TRIM(D$2), TRIM(INDIRECT($O244)), 0))</f>
        <v>1</v>
      </c>
      <c r="E244" s="9" cm="1">
        <f t="array" aca="1" ref="E244" ca="1">INDEX(INDIRECT($M244),
       MATCH(TRIM($C244), TRIM(INDIRECT($N244)), 0),
       MATCH(TRIM(E$2), TRIM(INDIRECT($O244)), 0))</f>
        <v>2000000</v>
      </c>
      <c r="F244" s="11" cm="1">
        <f t="array" aca="1" ref="F244" ca="1">INDEX(INDIRECT($M244),
       MATCH(TRIM($C244), TRIM(INDIRECT($N244)), 0),
       MATCH(TRIM(F$2), TRIM(INDIRECT($O244)), 0))</f>
        <v>2</v>
      </c>
      <c r="G244" s="11" cm="1">
        <f t="array" aca="1" ref="G244" ca="1">INDEX(INDIRECT($M244),
       MATCH(TRIM($C244), TRIM(INDIRECT($N244)), 0),
       MATCH(TRIM(G$2), TRIM(INDIRECT($O244)), 0))</f>
        <v>1</v>
      </c>
      <c r="H244" s="9" cm="1">
        <f t="array" aca="1" ref="H244" ca="1">INDEX(INDIRECT($M244),
       MATCH(TRIM($C244), TRIM(INDIRECT($N244)), 0),
       MATCH(TRIM(H$2), TRIM(INDIRECT($O244)), 0))</f>
        <v>9000000</v>
      </c>
      <c r="I244" s="11" cm="1">
        <f t="array" aca="1" ref="I244" ca="1">INDEX(INDIRECT($M244),
       MATCH(TRIM($C244), TRIM(INDIRECT($N244)), 0),
       MATCH(TRIM(I$2), TRIM(INDIRECT($O244)), 0))</f>
        <v>9</v>
      </c>
      <c r="J244" s="9" cm="1">
        <f t="array" aca="1" ref="J244" ca="1">INDEX(INDIRECT($M244),
       MATCH(TRIM($C244), TRIM(INDIRECT($N244)), 0),
       MATCH(TRIM(J$2), TRIM(INDIRECT($O244)), 0))</f>
        <v>0</v>
      </c>
      <c r="K244" s="11" cm="1">
        <f t="array" aca="1" ref="K244" ca="1">INDEX(INDIRECT($M244),
       MATCH(TRIM($C244), TRIM(INDIRECT($N244)), 0),
       MATCH(TRIM(K$2), TRIM(INDIRECT($O244)), 0))</f>
        <v>0</v>
      </c>
      <c r="L244" s="11" cm="1">
        <f t="array" aca="1" ref="L244" ca="1">INDEX(INDIRECT($M244),
       MATCH(TRIM($C244), TRIM(INDIRECT($N244)), 0),
       MATCH(TRIM(L$2), TRIM(INDIRECT($O244)), 0))</f>
        <v>11</v>
      </c>
      <c r="M244" s="5" t="str">
        <f t="shared" si="9"/>
        <v>'2018'!$N$3:$V$80</v>
      </c>
      <c r="N244" s="5" t="str">
        <f t="shared" si="10"/>
        <v>'2018'!$M$2:$M$80</v>
      </c>
      <c r="O244" s="5" t="str">
        <f t="shared" si="11"/>
        <v>'2018'!$N$2:$W$2</v>
      </c>
    </row>
    <row r="245" spans="1:15" x14ac:dyDescent="0.3">
      <c r="A245">
        <v>54</v>
      </c>
      <c r="B245" s="9">
        <v>2018</v>
      </c>
      <c r="C245" t="s">
        <v>53</v>
      </c>
      <c r="D245" s="11" cm="1">
        <f t="array" aca="1" ref="D245" ca="1">INDEX(INDIRECT($M245),
       MATCH(TRIM($C245), TRIM(INDIRECT($N245)), 0),
       MATCH(TRIM(D$2), TRIM(INDIRECT($O245)), 0))</f>
        <v>3046</v>
      </c>
      <c r="E245" s="9" cm="1">
        <f t="array" aca="1" ref="E245" ca="1">INDEX(INDIRECT($M245),
       MATCH(TRIM($C245), TRIM(INDIRECT($N245)), 0),
       MATCH(TRIM(E$2), TRIM(INDIRECT($O245)), 0))</f>
        <v>17976172492.360001</v>
      </c>
      <c r="F245" s="11" cm="1">
        <f t="array" aca="1" ref="F245" ca="1">INDEX(INDIRECT($M245),
       MATCH(TRIM($C245), TRIM(INDIRECT($N245)), 0),
       MATCH(TRIM(F$2), TRIM(INDIRECT($O245)), 0))</f>
        <v>17976.172492359998</v>
      </c>
      <c r="G245" s="11" cm="1">
        <f t="array" aca="1" ref="G245" ca="1">INDEX(INDIRECT($M245),
       MATCH(TRIM($C245), TRIM(INDIRECT($N245)), 0),
       MATCH(TRIM(G$2), TRIM(INDIRECT($O245)), 0))</f>
        <v>1169</v>
      </c>
      <c r="H245" s="9" cm="1">
        <f t="array" aca="1" ref="H245" ca="1">INDEX(INDIRECT($M245),
       MATCH(TRIM($C245), TRIM(INDIRECT($N245)), 0),
       MATCH(TRIM(H$2), TRIM(INDIRECT($O245)), 0))</f>
        <v>7596654907.5610552</v>
      </c>
      <c r="I245" s="11" cm="1">
        <f t="array" aca="1" ref="I245" ca="1">INDEX(INDIRECT($M245),
       MATCH(TRIM($C245), TRIM(INDIRECT($N245)), 0),
       MATCH(TRIM(I$2), TRIM(INDIRECT($O245)), 0))</f>
        <v>7596.6549075610537</v>
      </c>
      <c r="J245" s="9" cm="1">
        <f t="array" aca="1" ref="J245" ca="1">INDEX(INDIRECT($M245),
       MATCH(TRIM($C245), TRIM(INDIRECT($N245)), 0),
       MATCH(TRIM(J$2), TRIM(INDIRECT($O245)), 0))</f>
        <v>6496</v>
      </c>
      <c r="K245" s="11" cm="1">
        <f t="array" aca="1" ref="K245" ca="1">INDEX(INDIRECT($M245),
       MATCH(TRIM($C245), TRIM(INDIRECT($N245)), 0),
       MATCH(TRIM(K$2), TRIM(INDIRECT($O245)), 0))</f>
        <v>9892.7282302669628</v>
      </c>
      <c r="L245" s="11" cm="1">
        <f t="array" aca="1" ref="L245" ca="1">INDEX(INDIRECT($M245),
       MATCH(TRIM($C245), TRIM(INDIRECT($N245)), 0),
       MATCH(TRIM(L$2), TRIM(INDIRECT($O245)), 0))</f>
        <v>35465.555630188006</v>
      </c>
      <c r="M245" s="5" t="str">
        <f t="shared" si="9"/>
        <v>'2018'!$N$3:$V$80</v>
      </c>
      <c r="N245" s="5" t="str">
        <f t="shared" si="10"/>
        <v>'2018'!$M$2:$M$80</v>
      </c>
      <c r="O245" s="5" t="str">
        <f t="shared" si="11"/>
        <v>'2018'!$N$2:$W$2</v>
      </c>
    </row>
    <row r="246" spans="1:15" x14ac:dyDescent="0.3">
      <c r="A246">
        <v>55</v>
      </c>
      <c r="B246" s="9">
        <v>2018</v>
      </c>
      <c r="C246" t="s">
        <v>54</v>
      </c>
      <c r="D246" s="11" cm="1">
        <f t="array" aca="1" ref="D246" ca="1">INDEX(INDIRECT($M246),
       MATCH(TRIM($C246), TRIM(INDIRECT($N246)), 0),
       MATCH(TRIM(D$2), TRIM(INDIRECT($O246)), 0))</f>
        <v>0</v>
      </c>
      <c r="E246" s="9" cm="1">
        <f t="array" aca="1" ref="E246" ca="1">INDEX(INDIRECT($M246),
       MATCH(TRIM($C246), TRIM(INDIRECT($N246)), 0),
       MATCH(TRIM(E$2), TRIM(INDIRECT($O246)), 0))</f>
        <v>0</v>
      </c>
      <c r="F246" s="11" cm="1">
        <f t="array" aca="1" ref="F246" ca="1">INDEX(INDIRECT($M246),
       MATCH(TRIM($C246), TRIM(INDIRECT($N246)), 0),
       MATCH(TRIM(F$2), TRIM(INDIRECT($O246)), 0))</f>
        <v>0</v>
      </c>
      <c r="G246" s="11" cm="1">
        <f t="array" aca="1" ref="G246" ca="1">INDEX(INDIRECT($M246),
       MATCH(TRIM($C246), TRIM(INDIRECT($N246)), 0),
       MATCH(TRIM(G$2), TRIM(INDIRECT($O246)), 0))</f>
        <v>0</v>
      </c>
      <c r="H246" s="9" cm="1">
        <f t="array" aca="1" ref="H246" ca="1">INDEX(INDIRECT($M246),
       MATCH(TRIM($C246), TRIM(INDIRECT($N246)), 0),
       MATCH(TRIM(H$2), TRIM(INDIRECT($O246)), 0))</f>
        <v>0</v>
      </c>
      <c r="I246" s="11" cm="1">
        <f t="array" aca="1" ref="I246" ca="1">INDEX(INDIRECT($M246),
       MATCH(TRIM($C246), TRIM(INDIRECT($N246)), 0),
       MATCH(TRIM(I$2), TRIM(INDIRECT($O246)), 0))</f>
        <v>0</v>
      </c>
      <c r="J246" s="9" cm="1">
        <f t="array" aca="1" ref="J246" ca="1">INDEX(INDIRECT($M246),
       MATCH(TRIM($C246), TRIM(INDIRECT($N246)), 0),
       MATCH(TRIM(J$2), TRIM(INDIRECT($O246)), 0))</f>
        <v>1</v>
      </c>
      <c r="K246" s="11" cm="1">
        <f t="array" aca="1" ref="K246" ca="1">INDEX(INDIRECT($M246),
       MATCH(TRIM($C246), TRIM(INDIRECT($N246)), 0),
       MATCH(TRIM(K$2), TRIM(INDIRECT($O246)), 0))</f>
        <v>0.70666666669999989</v>
      </c>
      <c r="L246" s="11" cm="1">
        <f t="array" aca="1" ref="L246" ca="1">INDEX(INDIRECT($M246),
       MATCH(TRIM($C246), TRIM(INDIRECT($N246)), 0),
       MATCH(TRIM(L$2), TRIM(INDIRECT($O246)), 0))</f>
        <v>0.70666666669999989</v>
      </c>
      <c r="M246" s="5" t="str">
        <f t="shared" si="9"/>
        <v>'2018'!$N$3:$V$80</v>
      </c>
      <c r="N246" s="5" t="str">
        <f t="shared" si="10"/>
        <v>'2018'!$M$2:$M$80</v>
      </c>
      <c r="O246" s="5" t="str">
        <f t="shared" si="11"/>
        <v>'2018'!$N$2:$W$2</v>
      </c>
    </row>
    <row r="247" spans="1:15" x14ac:dyDescent="0.3">
      <c r="A247">
        <v>56</v>
      </c>
      <c r="B247" s="9">
        <v>2018</v>
      </c>
      <c r="C247" t="s">
        <v>55</v>
      </c>
      <c r="D247" s="11" cm="1">
        <f t="array" aca="1" ref="D247" ca="1">INDEX(INDIRECT($M247),
       MATCH(TRIM($C247), TRIM(INDIRECT($N247)), 0),
       MATCH(TRIM(D$2), TRIM(INDIRECT($O247)), 0))</f>
        <v>2</v>
      </c>
      <c r="E247" s="9" cm="1">
        <f t="array" aca="1" ref="E247" ca="1">INDEX(INDIRECT($M247),
       MATCH(TRIM($C247), TRIM(INDIRECT($N247)), 0),
       MATCH(TRIM(E$2), TRIM(INDIRECT($O247)), 0))</f>
        <v>2020000</v>
      </c>
      <c r="F247" s="11" cm="1">
        <f t="array" aca="1" ref="F247" ca="1">INDEX(INDIRECT($M247),
       MATCH(TRIM($C247), TRIM(INDIRECT($N247)), 0),
       MATCH(TRIM(F$2), TRIM(INDIRECT($O247)), 0))</f>
        <v>2.02</v>
      </c>
      <c r="G247" s="11" cm="1">
        <f t="array" aca="1" ref="G247" ca="1">INDEX(INDIRECT($M247),
       MATCH(TRIM($C247), TRIM(INDIRECT($N247)), 0),
       MATCH(TRIM(G$2), TRIM(INDIRECT($O247)), 0))</f>
        <v>1</v>
      </c>
      <c r="H247" s="9" cm="1">
        <f t="array" aca="1" ref="H247" ca="1">INDEX(INDIRECT($M247),
       MATCH(TRIM($C247), TRIM(INDIRECT($N247)), 0),
       MATCH(TRIM(H$2), TRIM(INDIRECT($O247)), 0))</f>
        <v>2466979</v>
      </c>
      <c r="I247" s="11" cm="1">
        <f t="array" aca="1" ref="I247" ca="1">INDEX(INDIRECT($M247),
       MATCH(TRIM($C247), TRIM(INDIRECT($N247)), 0),
       MATCH(TRIM(I$2), TRIM(INDIRECT($O247)), 0))</f>
        <v>2.4669789999999998</v>
      </c>
      <c r="J247" s="9" cm="1">
        <f t="array" aca="1" ref="J247" ca="1">INDEX(INDIRECT($M247),
       MATCH(TRIM($C247), TRIM(INDIRECT($N247)), 0),
       MATCH(TRIM(J$2), TRIM(INDIRECT($O247)), 0))</f>
        <v>2</v>
      </c>
      <c r="K247" s="11" cm="1">
        <f t="array" aca="1" ref="K247" ca="1">INDEX(INDIRECT($M247),
       MATCH(TRIM($C247), TRIM(INDIRECT($N247)), 0),
       MATCH(TRIM(K$2), TRIM(INDIRECT($O247)), 0))</f>
        <v>25.006666666666998</v>
      </c>
      <c r="L247" s="11" cm="1">
        <f t="array" aca="1" ref="L247" ca="1">INDEX(INDIRECT($M247),
       MATCH(TRIM($C247), TRIM(INDIRECT($N247)), 0),
       MATCH(TRIM(L$2), TRIM(INDIRECT($O247)), 0))</f>
        <v>29.493645666667</v>
      </c>
      <c r="M247" s="5" t="str">
        <f t="shared" si="9"/>
        <v>'2018'!$N$3:$V$80</v>
      </c>
      <c r="N247" s="5" t="str">
        <f t="shared" si="10"/>
        <v>'2018'!$M$2:$M$80</v>
      </c>
      <c r="O247" s="5" t="str">
        <f t="shared" si="11"/>
        <v>'2018'!$N$2:$W$2</v>
      </c>
    </row>
    <row r="248" spans="1:15" x14ac:dyDescent="0.3">
      <c r="A248">
        <v>57</v>
      </c>
      <c r="B248" s="9">
        <v>2018</v>
      </c>
      <c r="C248" t="s">
        <v>56</v>
      </c>
      <c r="D248" s="11" cm="1">
        <f t="array" aca="1" ref="D248" ca="1">INDEX(INDIRECT($M248),
       MATCH(TRIM($C248), TRIM(INDIRECT($N248)), 0),
       MATCH(TRIM(D$2), TRIM(INDIRECT($O248)), 0))</f>
        <v>0</v>
      </c>
      <c r="E248" s="9" cm="1">
        <f t="array" aca="1" ref="E248" ca="1">INDEX(INDIRECT($M248),
       MATCH(TRIM($C248), TRIM(INDIRECT($N248)), 0),
       MATCH(TRIM(E$2), TRIM(INDIRECT($O248)), 0))</f>
        <v>0</v>
      </c>
      <c r="F248" s="11" cm="1">
        <f t="array" aca="1" ref="F248" ca="1">INDEX(INDIRECT($M248),
       MATCH(TRIM($C248), TRIM(INDIRECT($N248)), 0),
       MATCH(TRIM(F$2), TRIM(INDIRECT($O248)), 0))</f>
        <v>0</v>
      </c>
      <c r="G248" s="11" cm="1">
        <f t="array" aca="1" ref="G248" ca="1">INDEX(INDIRECT($M248),
       MATCH(TRIM($C248), TRIM(INDIRECT($N248)), 0),
       MATCH(TRIM(G$2), TRIM(INDIRECT($O248)), 0))</f>
        <v>0</v>
      </c>
      <c r="H248" s="9" cm="1">
        <f t="array" aca="1" ref="H248" ca="1">INDEX(INDIRECT($M248),
       MATCH(TRIM($C248), TRIM(INDIRECT($N248)), 0),
       MATCH(TRIM(H$2), TRIM(INDIRECT($O248)), 0))</f>
        <v>0</v>
      </c>
      <c r="I248" s="11" cm="1">
        <f t="array" aca="1" ref="I248" ca="1">INDEX(INDIRECT($M248),
       MATCH(TRIM($C248), TRIM(INDIRECT($N248)), 0),
       MATCH(TRIM(I$2), TRIM(INDIRECT($O248)), 0))</f>
        <v>0</v>
      </c>
      <c r="J248" s="9" cm="1">
        <f t="array" aca="1" ref="J248" ca="1">INDEX(INDIRECT($M248),
       MATCH(TRIM($C248), TRIM(INDIRECT($N248)), 0),
       MATCH(TRIM(J$2), TRIM(INDIRECT($O248)), 0))</f>
        <v>1</v>
      </c>
      <c r="K248" s="11" cm="1">
        <f t="array" aca="1" ref="K248" ca="1">INDEX(INDIRECT($M248),
       MATCH(TRIM($C248), TRIM(INDIRECT($N248)), 0),
       MATCH(TRIM(K$2), TRIM(INDIRECT($O248)), 0))</f>
        <v>0.06</v>
      </c>
      <c r="L248" s="11" cm="1">
        <f t="array" aca="1" ref="L248" ca="1">INDEX(INDIRECT($M248),
       MATCH(TRIM($C248), TRIM(INDIRECT($N248)), 0),
       MATCH(TRIM(L$2), TRIM(INDIRECT($O248)), 0))</f>
        <v>0.06</v>
      </c>
      <c r="M248" s="5" t="str">
        <f t="shared" si="9"/>
        <v>'2018'!$N$3:$V$80</v>
      </c>
      <c r="N248" s="5" t="str">
        <f t="shared" si="10"/>
        <v>'2018'!$M$2:$M$80</v>
      </c>
      <c r="O248" s="5" t="str">
        <f t="shared" si="11"/>
        <v>'2018'!$N$2:$W$2</v>
      </c>
    </row>
    <row r="249" spans="1:15" x14ac:dyDescent="0.3">
      <c r="A249">
        <v>58</v>
      </c>
      <c r="B249" s="9">
        <v>2018</v>
      </c>
      <c r="C249" t="s">
        <v>57</v>
      </c>
      <c r="D249" s="11" cm="1">
        <f t="array" aca="1" ref="D249" ca="1">INDEX(INDIRECT($M249),
       MATCH(TRIM($C249), TRIM(INDIRECT($N249)), 0),
       MATCH(TRIM(D$2), TRIM(INDIRECT($O249)), 0))</f>
        <v>0</v>
      </c>
      <c r="E249" s="9" cm="1">
        <f t="array" aca="1" ref="E249" ca="1">INDEX(INDIRECT($M249),
       MATCH(TRIM($C249), TRIM(INDIRECT($N249)), 0),
       MATCH(TRIM(E$2), TRIM(INDIRECT($O249)), 0))</f>
        <v>0</v>
      </c>
      <c r="F249" s="11" cm="1">
        <f t="array" aca="1" ref="F249" ca="1">INDEX(INDIRECT($M249),
       MATCH(TRIM($C249), TRIM(INDIRECT($N249)), 0),
       MATCH(TRIM(F$2), TRIM(INDIRECT($O249)), 0))</f>
        <v>0</v>
      </c>
      <c r="G249" s="11" cm="1">
        <f t="array" aca="1" ref="G249" ca="1">INDEX(INDIRECT($M249),
       MATCH(TRIM($C249), TRIM(INDIRECT($N249)), 0),
       MATCH(TRIM(G$2), TRIM(INDIRECT($O249)), 0))</f>
        <v>0</v>
      </c>
      <c r="H249" s="9" cm="1">
        <f t="array" aca="1" ref="H249" ca="1">INDEX(INDIRECT($M249),
       MATCH(TRIM($C249), TRIM(INDIRECT($N249)), 0),
       MATCH(TRIM(H$2), TRIM(INDIRECT($O249)), 0))</f>
        <v>0</v>
      </c>
      <c r="I249" s="11" cm="1">
        <f t="array" aca="1" ref="I249" ca="1">INDEX(INDIRECT($M249),
       MATCH(TRIM($C249), TRIM(INDIRECT($N249)), 0),
       MATCH(TRIM(I$2), TRIM(INDIRECT($O249)), 0))</f>
        <v>0</v>
      </c>
      <c r="J249" s="9" cm="1">
        <f t="array" aca="1" ref="J249" ca="1">INDEX(INDIRECT($M249),
       MATCH(TRIM($C249), TRIM(INDIRECT($N249)), 0),
       MATCH(TRIM(J$2), TRIM(INDIRECT($O249)), 0))</f>
        <v>2</v>
      </c>
      <c r="K249" s="11" cm="1">
        <f t="array" aca="1" ref="K249" ca="1">INDEX(INDIRECT($M249),
       MATCH(TRIM($C249), TRIM(INDIRECT($N249)), 0),
       MATCH(TRIM(K$2), TRIM(INDIRECT($O249)), 0))</f>
        <v>0.83555555559999994</v>
      </c>
      <c r="L249" s="11" cm="1">
        <f t="array" aca="1" ref="L249" ca="1">INDEX(INDIRECT($M249),
       MATCH(TRIM($C249), TRIM(INDIRECT($N249)), 0),
       MATCH(TRIM(L$2), TRIM(INDIRECT($O249)), 0))</f>
        <v>0.83555555559999994</v>
      </c>
      <c r="M249" s="5" t="str">
        <f t="shared" si="9"/>
        <v>'2018'!$N$3:$V$80</v>
      </c>
      <c r="N249" s="5" t="str">
        <f t="shared" si="10"/>
        <v>'2018'!$M$2:$M$80</v>
      </c>
      <c r="O249" s="5" t="str">
        <f t="shared" si="11"/>
        <v>'2018'!$N$2:$W$2</v>
      </c>
    </row>
    <row r="250" spans="1:15" x14ac:dyDescent="0.3">
      <c r="A250">
        <v>59</v>
      </c>
      <c r="B250" s="9">
        <v>2018</v>
      </c>
      <c r="C250" t="s">
        <v>58</v>
      </c>
      <c r="D250" s="11" cm="1">
        <f t="array" aca="1" ref="D250" ca="1">INDEX(INDIRECT($M250),
       MATCH(TRIM($C250), TRIM(INDIRECT($N250)), 0),
       MATCH(TRIM(D$2), TRIM(INDIRECT($O250)), 0))</f>
        <v>2</v>
      </c>
      <c r="E250" s="9" cm="1">
        <f t="array" aca="1" ref="E250" ca="1">INDEX(INDIRECT($M250),
       MATCH(TRIM($C250), TRIM(INDIRECT($N250)), 0),
       MATCH(TRIM(E$2), TRIM(INDIRECT($O250)), 0))</f>
        <v>37144000</v>
      </c>
      <c r="F250" s="11" cm="1">
        <f t="array" aca="1" ref="F250" ca="1">INDEX(INDIRECT($M250),
       MATCH(TRIM($C250), TRIM(INDIRECT($N250)), 0),
       MATCH(TRIM(F$2), TRIM(INDIRECT($O250)), 0))</f>
        <v>37.143999999999998</v>
      </c>
      <c r="G250" s="11" cm="1">
        <f t="array" aca="1" ref="G250" ca="1">INDEX(INDIRECT($M250),
       MATCH(TRIM($C250), TRIM(INDIRECT($N250)), 0),
       MATCH(TRIM(G$2), TRIM(INDIRECT($O250)), 0))</f>
        <v>0</v>
      </c>
      <c r="H250" s="9" cm="1">
        <f t="array" aca="1" ref="H250" ca="1">INDEX(INDIRECT($M250),
       MATCH(TRIM($C250), TRIM(INDIRECT($N250)), 0),
       MATCH(TRIM(H$2), TRIM(INDIRECT($O250)), 0))</f>
        <v>0</v>
      </c>
      <c r="I250" s="11" cm="1">
        <f t="array" aca="1" ref="I250" ca="1">INDEX(INDIRECT($M250),
       MATCH(TRIM($C250), TRIM(INDIRECT($N250)), 0),
       MATCH(TRIM(I$2), TRIM(INDIRECT($O250)), 0))</f>
        <v>0</v>
      </c>
      <c r="J250" s="9" cm="1">
        <f t="array" aca="1" ref="J250" ca="1">INDEX(INDIRECT($M250),
       MATCH(TRIM($C250), TRIM(INDIRECT($N250)), 0),
       MATCH(TRIM(J$2), TRIM(INDIRECT($O250)), 0))</f>
        <v>1</v>
      </c>
      <c r="K250" s="11" cm="1">
        <f t="array" aca="1" ref="K250" ca="1">INDEX(INDIRECT($M250),
       MATCH(TRIM($C250), TRIM(INDIRECT($N250)), 0),
       MATCH(TRIM(K$2), TRIM(INDIRECT($O250)), 0))</f>
        <v>0.51030799999999998</v>
      </c>
      <c r="L250" s="11" cm="1">
        <f t="array" aca="1" ref="L250" ca="1">INDEX(INDIRECT($M250),
       MATCH(TRIM($C250), TRIM(INDIRECT($N250)), 0),
       MATCH(TRIM(L$2), TRIM(INDIRECT($O250)), 0))</f>
        <v>37.654308</v>
      </c>
      <c r="M250" s="5" t="str">
        <f t="shared" si="9"/>
        <v>'2018'!$N$3:$V$80</v>
      </c>
      <c r="N250" s="5" t="str">
        <f t="shared" si="10"/>
        <v>'2018'!$M$2:$M$80</v>
      </c>
      <c r="O250" s="5" t="str">
        <f t="shared" si="11"/>
        <v>'2018'!$N$2:$W$2</v>
      </c>
    </row>
    <row r="251" spans="1:15" x14ac:dyDescent="0.3">
      <c r="A251">
        <v>60</v>
      </c>
      <c r="B251" s="9">
        <v>2018</v>
      </c>
      <c r="C251" t="s">
        <v>59</v>
      </c>
      <c r="D251" s="11" t="e" cm="1">
        <f t="array" aca="1" ref="D251" ca="1">INDEX(INDIRECT($M251),
       MATCH(TRIM($C251), TRIM(INDIRECT($N251)), 0),
       MATCH(TRIM(D$2), TRIM(INDIRECT($O251)), 0))</f>
        <v>#N/A</v>
      </c>
      <c r="E251" s="9" t="e" cm="1">
        <f t="array" aca="1" ref="E251" ca="1">INDEX(INDIRECT($M251),
       MATCH(TRIM($C251), TRIM(INDIRECT($N251)), 0),
       MATCH(TRIM(E$2), TRIM(INDIRECT($O251)), 0))</f>
        <v>#N/A</v>
      </c>
      <c r="F251" s="11" t="e" cm="1">
        <f t="array" aca="1" ref="F251" ca="1">INDEX(INDIRECT($M251),
       MATCH(TRIM($C251), TRIM(INDIRECT($N251)), 0),
       MATCH(TRIM(F$2), TRIM(INDIRECT($O251)), 0))</f>
        <v>#N/A</v>
      </c>
      <c r="G251" s="11" t="e" cm="1">
        <f t="array" aca="1" ref="G251" ca="1">INDEX(INDIRECT($M251),
       MATCH(TRIM($C251), TRIM(INDIRECT($N251)), 0),
       MATCH(TRIM(G$2), TRIM(INDIRECT($O251)), 0))</f>
        <v>#N/A</v>
      </c>
      <c r="H251" s="9" t="e" cm="1">
        <f t="array" aca="1" ref="H251" ca="1">INDEX(INDIRECT($M251),
       MATCH(TRIM($C251), TRIM(INDIRECT($N251)), 0),
       MATCH(TRIM(H$2), TRIM(INDIRECT($O251)), 0))</f>
        <v>#N/A</v>
      </c>
      <c r="I251" s="11" t="e" cm="1">
        <f t="array" aca="1" ref="I251" ca="1">INDEX(INDIRECT($M251),
       MATCH(TRIM($C251), TRIM(INDIRECT($N251)), 0),
       MATCH(TRIM(I$2), TRIM(INDIRECT($O251)), 0))</f>
        <v>#N/A</v>
      </c>
      <c r="J251" s="9" t="e" cm="1">
        <f t="array" aca="1" ref="J251" ca="1">INDEX(INDIRECT($M251),
       MATCH(TRIM($C251), TRIM(INDIRECT($N251)), 0),
       MATCH(TRIM(J$2), TRIM(INDIRECT($O251)), 0))</f>
        <v>#N/A</v>
      </c>
      <c r="K251" s="11" t="e" cm="1">
        <f t="array" aca="1" ref="K251" ca="1">INDEX(INDIRECT($M251),
       MATCH(TRIM($C251), TRIM(INDIRECT($N251)), 0),
       MATCH(TRIM(K$2), TRIM(INDIRECT($O251)), 0))</f>
        <v>#N/A</v>
      </c>
      <c r="L251" s="11" t="e" cm="1">
        <f t="array" aca="1" ref="L251" ca="1">INDEX(INDIRECT($M251),
       MATCH(TRIM($C251), TRIM(INDIRECT($N251)), 0),
       MATCH(TRIM(L$2), TRIM(INDIRECT($O251)), 0))</f>
        <v>#N/A</v>
      </c>
      <c r="M251" s="5" t="str">
        <f t="shared" si="9"/>
        <v>'2018'!$N$3:$V$80</v>
      </c>
      <c r="N251" s="5" t="str">
        <f t="shared" si="10"/>
        <v>'2018'!$M$2:$M$80</v>
      </c>
      <c r="O251" s="5" t="str">
        <f t="shared" si="11"/>
        <v>'2018'!$N$2:$W$2</v>
      </c>
    </row>
    <row r="252" spans="1:15" x14ac:dyDescent="0.3">
      <c r="A252">
        <v>61</v>
      </c>
      <c r="B252" s="9">
        <v>2018</v>
      </c>
      <c r="C252" t="s">
        <v>60</v>
      </c>
      <c r="D252" s="11" t="e" cm="1">
        <f t="array" aca="1" ref="D252" ca="1">INDEX(INDIRECT($M252),
       MATCH(TRIM($C252), TRIM(INDIRECT($N252)), 0),
       MATCH(TRIM(D$2), TRIM(INDIRECT($O252)), 0))</f>
        <v>#N/A</v>
      </c>
      <c r="E252" s="9" t="e" cm="1">
        <f t="array" aca="1" ref="E252" ca="1">INDEX(INDIRECT($M252),
       MATCH(TRIM($C252), TRIM(INDIRECT($N252)), 0),
       MATCH(TRIM(E$2), TRIM(INDIRECT($O252)), 0))</f>
        <v>#N/A</v>
      </c>
      <c r="F252" s="11" t="e" cm="1">
        <f t="array" aca="1" ref="F252" ca="1">INDEX(INDIRECT($M252),
       MATCH(TRIM($C252), TRIM(INDIRECT($N252)), 0),
       MATCH(TRIM(F$2), TRIM(INDIRECT($O252)), 0))</f>
        <v>#N/A</v>
      </c>
      <c r="G252" s="11" t="e" cm="1">
        <f t="array" aca="1" ref="G252" ca="1">INDEX(INDIRECT($M252),
       MATCH(TRIM($C252), TRIM(INDIRECT($N252)), 0),
       MATCH(TRIM(G$2), TRIM(INDIRECT($O252)), 0))</f>
        <v>#N/A</v>
      </c>
      <c r="H252" s="9" t="e" cm="1">
        <f t="array" aca="1" ref="H252" ca="1">INDEX(INDIRECT($M252),
       MATCH(TRIM($C252), TRIM(INDIRECT($N252)), 0),
       MATCH(TRIM(H$2), TRIM(INDIRECT($O252)), 0))</f>
        <v>#N/A</v>
      </c>
      <c r="I252" s="11" t="e" cm="1">
        <f t="array" aca="1" ref="I252" ca="1">INDEX(INDIRECT($M252),
       MATCH(TRIM($C252), TRIM(INDIRECT($N252)), 0),
       MATCH(TRIM(I$2), TRIM(INDIRECT($O252)), 0))</f>
        <v>#N/A</v>
      </c>
      <c r="J252" s="9" t="e" cm="1">
        <f t="array" aca="1" ref="J252" ca="1">INDEX(INDIRECT($M252),
       MATCH(TRIM($C252), TRIM(INDIRECT($N252)), 0),
       MATCH(TRIM(J$2), TRIM(INDIRECT($O252)), 0))</f>
        <v>#N/A</v>
      </c>
      <c r="K252" s="11" t="e" cm="1">
        <f t="array" aca="1" ref="K252" ca="1">INDEX(INDIRECT($M252),
       MATCH(TRIM($C252), TRIM(INDIRECT($N252)), 0),
       MATCH(TRIM(K$2), TRIM(INDIRECT($O252)), 0))</f>
        <v>#N/A</v>
      </c>
      <c r="L252" s="11" t="e" cm="1">
        <f t="array" aca="1" ref="L252" ca="1">INDEX(INDIRECT($M252),
       MATCH(TRIM($C252), TRIM(INDIRECT($N252)), 0),
       MATCH(TRIM(L$2), TRIM(INDIRECT($O252)), 0))</f>
        <v>#N/A</v>
      </c>
      <c r="M252" s="5" t="str">
        <f t="shared" si="9"/>
        <v>'2018'!$N$3:$V$80</v>
      </c>
      <c r="N252" s="5" t="str">
        <f t="shared" si="10"/>
        <v>'2018'!$M$2:$M$80</v>
      </c>
      <c r="O252" s="5" t="str">
        <f t="shared" si="11"/>
        <v>'2018'!$N$2:$W$2</v>
      </c>
    </row>
    <row r="253" spans="1:15" x14ac:dyDescent="0.3">
      <c r="A253">
        <v>62</v>
      </c>
      <c r="B253" s="9">
        <v>2018</v>
      </c>
      <c r="C253" t="s">
        <v>61</v>
      </c>
      <c r="D253" s="11" cm="1">
        <f t="array" aca="1" ref="D253" ca="1">INDEX(INDIRECT($M253),
       MATCH(TRIM($C253), TRIM(INDIRECT($N253)), 0),
       MATCH(TRIM(D$2), TRIM(INDIRECT($O253)), 0))</f>
        <v>12</v>
      </c>
      <c r="E253" s="9" cm="1">
        <f t="array" aca="1" ref="E253" ca="1">INDEX(INDIRECT($M253),
       MATCH(TRIM($C253), TRIM(INDIRECT($N253)), 0),
       MATCH(TRIM(E$2), TRIM(INDIRECT($O253)), 0))</f>
        <v>115081992</v>
      </c>
      <c r="F253" s="11" cm="1">
        <f t="array" aca="1" ref="F253" ca="1">INDEX(INDIRECT($M253),
       MATCH(TRIM($C253), TRIM(INDIRECT($N253)), 0),
       MATCH(TRIM(F$2), TRIM(INDIRECT($O253)), 0))</f>
        <v>115.081992</v>
      </c>
      <c r="G253" s="11" cm="1">
        <f t="array" aca="1" ref="G253" ca="1">INDEX(INDIRECT($M253),
       MATCH(TRIM($C253), TRIM(INDIRECT($N253)), 0),
       MATCH(TRIM(G$2), TRIM(INDIRECT($O253)), 0))</f>
        <v>6</v>
      </c>
      <c r="H253" s="9" cm="1">
        <f t="array" aca="1" ref="H253" ca="1">INDEX(INDIRECT($M253),
       MATCH(TRIM($C253), TRIM(INDIRECT($N253)), 0),
       MATCH(TRIM(H$2), TRIM(INDIRECT($O253)), 0))</f>
        <v>51548154</v>
      </c>
      <c r="I253" s="11" cm="1">
        <f t="array" aca="1" ref="I253" ca="1">INDEX(INDIRECT($M253),
       MATCH(TRIM($C253), TRIM(INDIRECT($N253)), 0),
       MATCH(TRIM(I$2), TRIM(INDIRECT($O253)), 0))</f>
        <v>51.548153999999997</v>
      </c>
      <c r="J253" s="9" cm="1">
        <f t="array" aca="1" ref="J253" ca="1">INDEX(INDIRECT($M253),
       MATCH(TRIM($C253), TRIM(INDIRECT($N253)), 0),
       MATCH(TRIM(J$2), TRIM(INDIRECT($O253)), 0))</f>
        <v>8</v>
      </c>
      <c r="K253" s="11" cm="1">
        <f t="array" aca="1" ref="K253" ca="1">INDEX(INDIRECT($M253),
       MATCH(TRIM($C253), TRIM(INDIRECT($N253)), 0),
       MATCH(TRIM(K$2), TRIM(INDIRECT($O253)), 0))</f>
        <v>40.563545666669995</v>
      </c>
      <c r="L253" s="11" cm="1">
        <f t="array" aca="1" ref="L253" ca="1">INDEX(INDIRECT($M253),
       MATCH(TRIM($C253), TRIM(INDIRECT($N253)), 0),
       MATCH(TRIM(L$2), TRIM(INDIRECT($O253)), 0))</f>
        <v>207.19369166666999</v>
      </c>
      <c r="M253" s="5" t="str">
        <f t="shared" si="9"/>
        <v>'2018'!$N$3:$V$80</v>
      </c>
      <c r="N253" s="5" t="str">
        <f t="shared" si="10"/>
        <v>'2018'!$M$2:$M$80</v>
      </c>
      <c r="O253" s="5" t="str">
        <f t="shared" si="11"/>
        <v>'2018'!$N$2:$W$2</v>
      </c>
    </row>
    <row r="254" spans="1:15" x14ac:dyDescent="0.3">
      <c r="A254">
        <v>63</v>
      </c>
      <c r="B254" s="9">
        <v>2018</v>
      </c>
      <c r="C254" t="s">
        <v>62</v>
      </c>
      <c r="D254" s="11" t="e" cm="1">
        <f t="array" aca="1" ref="D254" ca="1">INDEX(INDIRECT($M254),
       MATCH(TRIM($C254), TRIM(INDIRECT($N254)), 0),
       MATCH(TRIM(D$2), TRIM(INDIRECT($O254)), 0))</f>
        <v>#N/A</v>
      </c>
      <c r="E254" s="9" t="e" cm="1">
        <f t="array" aca="1" ref="E254" ca="1">INDEX(INDIRECT($M254),
       MATCH(TRIM($C254), TRIM(INDIRECT($N254)), 0),
       MATCH(TRIM(E$2), TRIM(INDIRECT($O254)), 0))</f>
        <v>#N/A</v>
      </c>
      <c r="F254" s="11" t="e" cm="1">
        <f t="array" aca="1" ref="F254" ca="1">INDEX(INDIRECT($M254),
       MATCH(TRIM($C254), TRIM(INDIRECT($N254)), 0),
       MATCH(TRIM(F$2), TRIM(INDIRECT($O254)), 0))</f>
        <v>#N/A</v>
      </c>
      <c r="G254" s="11" t="e" cm="1">
        <f t="array" aca="1" ref="G254" ca="1">INDEX(INDIRECT($M254),
       MATCH(TRIM($C254), TRIM(INDIRECT($N254)), 0),
       MATCH(TRIM(G$2), TRIM(INDIRECT($O254)), 0))</f>
        <v>#N/A</v>
      </c>
      <c r="H254" s="9" t="e" cm="1">
        <f t="array" aca="1" ref="H254" ca="1">INDEX(INDIRECT($M254),
       MATCH(TRIM($C254), TRIM(INDIRECT($N254)), 0),
       MATCH(TRIM(H$2), TRIM(INDIRECT($O254)), 0))</f>
        <v>#N/A</v>
      </c>
      <c r="I254" s="11" t="e" cm="1">
        <f t="array" aca="1" ref="I254" ca="1">INDEX(INDIRECT($M254),
       MATCH(TRIM($C254), TRIM(INDIRECT($N254)), 0),
       MATCH(TRIM(I$2), TRIM(INDIRECT($O254)), 0))</f>
        <v>#N/A</v>
      </c>
      <c r="J254" s="9" t="e" cm="1">
        <f t="array" aca="1" ref="J254" ca="1">INDEX(INDIRECT($M254),
       MATCH(TRIM($C254), TRIM(INDIRECT($N254)), 0),
       MATCH(TRIM(J$2), TRIM(INDIRECT($O254)), 0))</f>
        <v>#N/A</v>
      </c>
      <c r="K254" s="11" t="e" cm="1">
        <f t="array" aca="1" ref="K254" ca="1">INDEX(INDIRECT($M254),
       MATCH(TRIM($C254), TRIM(INDIRECT($N254)), 0),
       MATCH(TRIM(K$2), TRIM(INDIRECT($O254)), 0))</f>
        <v>#N/A</v>
      </c>
      <c r="L254" s="11" t="e" cm="1">
        <f t="array" aca="1" ref="L254" ca="1">INDEX(INDIRECT($M254),
       MATCH(TRIM($C254), TRIM(INDIRECT($N254)), 0),
       MATCH(TRIM(L$2), TRIM(INDIRECT($O254)), 0))</f>
        <v>#N/A</v>
      </c>
      <c r="M254" s="5" t="str">
        <f t="shared" si="9"/>
        <v>'2018'!$N$3:$V$80</v>
      </c>
      <c r="N254" s="5" t="str">
        <f t="shared" si="10"/>
        <v>'2018'!$M$2:$M$80</v>
      </c>
      <c r="O254" s="5" t="str">
        <f t="shared" si="11"/>
        <v>'2018'!$N$2:$W$2</v>
      </c>
    </row>
    <row r="255" spans="1:15" x14ac:dyDescent="0.3">
      <c r="A255">
        <v>1</v>
      </c>
      <c r="B255" s="9">
        <v>2019</v>
      </c>
      <c r="C255" t="s">
        <v>0</v>
      </c>
      <c r="D255" s="11" cm="1">
        <f t="array" aca="1" ref="D255" ca="1">INDEX(INDIRECT($M255),
       MATCH(TRIM($C255), TRIM(INDIRECT($N255)), 0),
       MATCH(TRIM(D$2), TRIM(INDIRECT($O255)), 0))</f>
        <v>1320</v>
      </c>
      <c r="E255" s="9" cm="1">
        <f t="array" aca="1" ref="E255" ca="1">INDEX(INDIRECT($M255),
       MATCH(TRIM($C255), TRIM(INDIRECT($N255)), 0),
       MATCH(TRIM(E$2), TRIM(INDIRECT($O255)), 0))</f>
        <v>1841346344</v>
      </c>
      <c r="F255" s="11" cm="1">
        <f t="array" aca="1" ref="F255" ca="1">INDEX(INDIRECT($M255),
       MATCH(TRIM($C255), TRIM(INDIRECT($N255)), 0),
       MATCH(TRIM(F$2), TRIM(INDIRECT($O255)), 0))</f>
        <v>1841.346344</v>
      </c>
      <c r="G255" s="11" cm="1">
        <f t="array" aca="1" ref="G255" ca="1">INDEX(INDIRECT($M255),
       MATCH(TRIM($C255), TRIM(INDIRECT($N255)), 0),
       MATCH(TRIM(G$2), TRIM(INDIRECT($O255)), 0))</f>
        <v>309</v>
      </c>
      <c r="H255" s="9" cm="1">
        <f t="array" aca="1" ref="H255" ca="1">INDEX(INDIRECT($M255),
       MATCH(TRIM($C255), TRIM(INDIRECT($N255)), 0),
       MATCH(TRIM(H$2), TRIM(INDIRECT($O255)), 0))</f>
        <v>858738429.99000001</v>
      </c>
      <c r="I255" s="11" cm="1">
        <f t="array" aca="1" ref="I255" ca="1">INDEX(INDIRECT($M255),
       MATCH(TRIM($C255), TRIM(INDIRECT($N255)), 0),
       MATCH(TRIM(I$2), TRIM(INDIRECT($O255)), 0))</f>
        <v>858.73842998999999</v>
      </c>
      <c r="J255" s="9" cm="1">
        <f t="array" aca="1" ref="J255" ca="1">INDEX(INDIRECT($M255),
       MATCH(TRIM($C255), TRIM(INDIRECT($N255)), 0),
       MATCH(TRIM(J$2), TRIM(INDIRECT($O255)), 0))</f>
        <v>5720</v>
      </c>
      <c r="K255" s="11" cm="1">
        <f t="array" aca="1" ref="K255" ca="1">INDEX(INDIRECT($M255),
       MATCH(TRIM($C255), TRIM(INDIRECT($N255)), 0),
       MATCH(TRIM(K$2), TRIM(INDIRECT($O255)), 0))</f>
        <v>5595.3255619566271</v>
      </c>
      <c r="L255" s="11" cm="1">
        <f t="array" aca="1" ref="L255" ca="1">INDEX(INDIRECT($M255),
       MATCH(TRIM($C255), TRIM(INDIRECT($N255)), 0),
       MATCH(TRIM(L$2), TRIM(INDIRECT($O255)), 0))</f>
        <v>8295.410335946628</v>
      </c>
      <c r="M255" s="5" t="str">
        <f t="shared" si="9"/>
        <v>'2019'!$N$3:$V$80</v>
      </c>
      <c r="N255" s="5" t="str">
        <f t="shared" si="10"/>
        <v>'2019'!$M$2:$M$80</v>
      </c>
      <c r="O255" s="5" t="str">
        <f t="shared" si="11"/>
        <v>'2019'!$N$2:$W$2</v>
      </c>
    </row>
    <row r="256" spans="1:15" x14ac:dyDescent="0.3">
      <c r="A256">
        <v>2</v>
      </c>
      <c r="B256" s="9">
        <v>2019</v>
      </c>
      <c r="C256" t="s">
        <v>1</v>
      </c>
      <c r="D256" s="11" cm="1">
        <f t="array" aca="1" ref="D256" ca="1">INDEX(INDIRECT($M256),
       MATCH(TRIM($C256), TRIM(INDIRECT($N256)), 0),
       MATCH(TRIM(D$2), TRIM(INDIRECT($O256)), 0))</f>
        <v>243</v>
      </c>
      <c r="E256" s="9" cm="1">
        <f t="array" aca="1" ref="E256" ca="1">INDEX(INDIRECT($M256),
       MATCH(TRIM($C256), TRIM(INDIRECT($N256)), 0),
       MATCH(TRIM(E$2), TRIM(INDIRECT($O256)), 0))</f>
        <v>1546586669</v>
      </c>
      <c r="F256" s="11" cm="1">
        <f t="array" aca="1" ref="F256" ca="1">INDEX(INDIRECT($M256),
       MATCH(TRIM($C256), TRIM(INDIRECT($N256)), 0),
       MATCH(TRIM(F$2), TRIM(INDIRECT($O256)), 0))</f>
        <v>1546.586669</v>
      </c>
      <c r="G256" s="11" cm="1">
        <f t="array" aca="1" ref="G256" ca="1">INDEX(INDIRECT($M256),
       MATCH(TRIM($C256), TRIM(INDIRECT($N256)), 0),
       MATCH(TRIM(G$2), TRIM(INDIRECT($O256)), 0))</f>
        <v>150</v>
      </c>
      <c r="H256" s="9" cm="1">
        <f t="array" aca="1" ref="H256" ca="1">INDEX(INDIRECT($M256),
       MATCH(TRIM($C256), TRIM(INDIRECT($N256)), 0),
       MATCH(TRIM(H$2), TRIM(INDIRECT($O256)), 0))</f>
        <v>951390013.3125</v>
      </c>
      <c r="I256" s="11" cm="1">
        <f t="array" aca="1" ref="I256" ca="1">INDEX(INDIRECT($M256),
       MATCH(TRIM($C256), TRIM(INDIRECT($N256)), 0),
       MATCH(TRIM(I$2), TRIM(INDIRECT($O256)), 0))</f>
        <v>951.39001331249995</v>
      </c>
      <c r="J256" s="9" cm="1">
        <f t="array" aca="1" ref="J256" ca="1">INDEX(INDIRECT($M256),
       MATCH(TRIM($C256), TRIM(INDIRECT($N256)), 0),
       MATCH(TRIM(J$2), TRIM(INDIRECT($O256)), 0))</f>
        <v>626</v>
      </c>
      <c r="K256" s="11" cm="1">
        <f t="array" aca="1" ref="K256" ca="1">INDEX(INDIRECT($M256),
       MATCH(TRIM($C256), TRIM(INDIRECT($N256)), 0),
       MATCH(TRIM(K$2), TRIM(INDIRECT($O256)), 0))</f>
        <v>914.82839685026192</v>
      </c>
      <c r="L256" s="11" cm="1">
        <f t="array" aca="1" ref="L256" ca="1">INDEX(INDIRECT($M256),
       MATCH(TRIM($C256), TRIM(INDIRECT($N256)), 0),
       MATCH(TRIM(L$2), TRIM(INDIRECT($O256)), 0))</f>
        <v>3412.805079162762</v>
      </c>
      <c r="M256" s="5" t="str">
        <f t="shared" si="9"/>
        <v>'2019'!$N$3:$V$80</v>
      </c>
      <c r="N256" s="5" t="str">
        <f t="shared" si="10"/>
        <v>'2019'!$M$2:$M$80</v>
      </c>
      <c r="O256" s="5" t="str">
        <f t="shared" si="11"/>
        <v>'2019'!$N$2:$W$2</v>
      </c>
    </row>
    <row r="257" spans="1:15" x14ac:dyDescent="0.3">
      <c r="A257">
        <v>3</v>
      </c>
      <c r="B257" s="9">
        <v>2019</v>
      </c>
      <c r="C257" t="s">
        <v>2</v>
      </c>
      <c r="D257" s="11" cm="1">
        <f t="array" aca="1" ref="D257" ca="1">INDEX(INDIRECT($M257),
       MATCH(TRIM($C257), TRIM(INDIRECT($N257)), 0),
       MATCH(TRIM(D$2), TRIM(INDIRECT($O257)), 0))</f>
        <v>121</v>
      </c>
      <c r="E257" s="9" cm="1">
        <f t="array" aca="1" ref="E257" ca="1">INDEX(INDIRECT($M257),
       MATCH(TRIM($C257), TRIM(INDIRECT($N257)), 0),
       MATCH(TRIM(E$2), TRIM(INDIRECT($O257)), 0))</f>
        <v>1296698693</v>
      </c>
      <c r="F257" s="11" cm="1">
        <f t="array" aca="1" ref="F257" ca="1">INDEX(INDIRECT($M257),
       MATCH(TRIM($C257), TRIM(INDIRECT($N257)), 0),
       MATCH(TRIM(F$2), TRIM(INDIRECT($O257)), 0))</f>
        <v>1296.698693</v>
      </c>
      <c r="G257" s="11" cm="1">
        <f t="array" aca="1" ref="G257" ca="1">INDEX(INDIRECT($M257),
       MATCH(TRIM($C257), TRIM(INDIRECT($N257)), 0),
       MATCH(TRIM(G$2), TRIM(INDIRECT($O257)), 0))</f>
        <v>63</v>
      </c>
      <c r="H257" s="9" cm="1">
        <f t="array" aca="1" ref="H257" ca="1">INDEX(INDIRECT($M257),
       MATCH(TRIM($C257), TRIM(INDIRECT($N257)), 0),
       MATCH(TRIM(H$2), TRIM(INDIRECT($O257)), 0))</f>
        <v>-162862129</v>
      </c>
      <c r="I257" s="11" cm="1">
        <f t="array" aca="1" ref="I257" ca="1">INDEX(INDIRECT($M257),
       MATCH(TRIM($C257), TRIM(INDIRECT($N257)), 0),
       MATCH(TRIM(I$2), TRIM(INDIRECT($O257)), 0))</f>
        <v>-162.86212900000001</v>
      </c>
      <c r="J257" s="9" cm="1">
        <f t="array" aca="1" ref="J257" ca="1">INDEX(INDIRECT($M257),
       MATCH(TRIM($C257), TRIM(INDIRECT($N257)), 0),
       MATCH(TRIM(J$2), TRIM(INDIRECT($O257)), 0))</f>
        <v>275</v>
      </c>
      <c r="K257" s="11" cm="1">
        <f t="array" aca="1" ref="K257" ca="1">INDEX(INDIRECT($M257),
       MATCH(TRIM($C257), TRIM(INDIRECT($N257)), 0),
       MATCH(TRIM(K$2), TRIM(INDIRECT($O257)), 0))</f>
        <v>1009.5526234594804</v>
      </c>
      <c r="L257" s="11" cm="1">
        <f t="array" aca="1" ref="L257" ca="1">INDEX(INDIRECT($M257),
       MATCH(TRIM($C257), TRIM(INDIRECT($N257)), 0),
       MATCH(TRIM(L$2), TRIM(INDIRECT($O257)), 0))</f>
        <v>2143.3891874594801</v>
      </c>
      <c r="M257" s="5" t="str">
        <f t="shared" si="9"/>
        <v>'2019'!$N$3:$V$80</v>
      </c>
      <c r="N257" s="5" t="str">
        <f t="shared" si="10"/>
        <v>'2019'!$M$2:$M$80</v>
      </c>
      <c r="O257" s="5" t="str">
        <f t="shared" si="11"/>
        <v>'2019'!$N$2:$W$2</v>
      </c>
    </row>
    <row r="258" spans="1:15" x14ac:dyDescent="0.3">
      <c r="A258">
        <v>4</v>
      </c>
      <c r="B258" s="9">
        <v>2019</v>
      </c>
      <c r="C258" t="s">
        <v>3</v>
      </c>
      <c r="D258" s="11" cm="1">
        <f t="array" aca="1" ref="D258" ca="1">INDEX(INDIRECT($M258),
       MATCH(TRIM($C258), TRIM(INDIRECT($N258)), 0),
       MATCH(TRIM(D$2), TRIM(INDIRECT($O258)), 0))</f>
        <v>247</v>
      </c>
      <c r="E258" s="9" cm="1">
        <f t="array" aca="1" ref="E258" ca="1">INDEX(INDIRECT($M258),
       MATCH(TRIM($C258), TRIM(INDIRECT($N258)), 0),
       MATCH(TRIM(E$2), TRIM(INDIRECT($O258)), 0))</f>
        <v>833872442</v>
      </c>
      <c r="F258" s="11" cm="1">
        <f t="array" aca="1" ref="F258" ca="1">INDEX(INDIRECT($M258),
       MATCH(TRIM($C258), TRIM(INDIRECT($N258)), 0),
       MATCH(TRIM(F$2), TRIM(INDIRECT($O258)), 0))</f>
        <v>833.87244199999998</v>
      </c>
      <c r="G258" s="11" cm="1">
        <f t="array" aca="1" ref="G258" ca="1">INDEX(INDIRECT($M258),
       MATCH(TRIM($C258), TRIM(INDIRECT($N258)), 0),
       MATCH(TRIM(G$2), TRIM(INDIRECT($O258)), 0))</f>
        <v>162</v>
      </c>
      <c r="H258" s="9" cm="1">
        <f t="array" aca="1" ref="H258" ca="1">INDEX(INDIRECT($M258),
       MATCH(TRIM($C258), TRIM(INDIRECT($N258)), 0),
       MATCH(TRIM(H$2), TRIM(INDIRECT($O258)), 0))</f>
        <v>663345687.75</v>
      </c>
      <c r="I258" s="11" cm="1">
        <f t="array" aca="1" ref="I258" ca="1">INDEX(INDIRECT($M258),
       MATCH(TRIM($C258), TRIM(INDIRECT($N258)), 0),
       MATCH(TRIM(I$2), TRIM(INDIRECT($O258)), 0))</f>
        <v>663.34568775000002</v>
      </c>
      <c r="J258" s="9" cm="1">
        <f t="array" aca="1" ref="J258" ca="1">INDEX(INDIRECT($M258),
       MATCH(TRIM($C258), TRIM(INDIRECT($N258)), 0),
       MATCH(TRIM(J$2), TRIM(INDIRECT($O258)), 0))</f>
        <v>263</v>
      </c>
      <c r="K258" s="11" cm="1">
        <f t="array" aca="1" ref="K258" ca="1">INDEX(INDIRECT($M258),
       MATCH(TRIM($C258), TRIM(INDIRECT($N258)), 0),
       MATCH(TRIM(K$2), TRIM(INDIRECT($O258)), 0))</f>
        <v>85.377926424497758</v>
      </c>
      <c r="L258" s="11" cm="1">
        <f t="array" aca="1" ref="L258" ca="1">INDEX(INDIRECT($M258),
       MATCH(TRIM($C258), TRIM(INDIRECT($N258)), 0),
       MATCH(TRIM(L$2), TRIM(INDIRECT($O258)), 0))</f>
        <v>1582.5960561744978</v>
      </c>
      <c r="M258" s="5" t="str">
        <f t="shared" si="9"/>
        <v>'2019'!$N$3:$V$80</v>
      </c>
      <c r="N258" s="5" t="str">
        <f t="shared" si="10"/>
        <v>'2019'!$M$2:$M$80</v>
      </c>
      <c r="O258" s="5" t="str">
        <f t="shared" si="11"/>
        <v>'2019'!$N$2:$W$2</v>
      </c>
    </row>
    <row r="259" spans="1:15" x14ac:dyDescent="0.3">
      <c r="A259">
        <v>5</v>
      </c>
      <c r="B259" s="9">
        <v>2019</v>
      </c>
      <c r="C259" t="s">
        <v>4</v>
      </c>
      <c r="D259" s="11" cm="1">
        <f t="array" aca="1" ref="D259" ca="1">INDEX(INDIRECT($M259),
       MATCH(TRIM($C259), TRIM(INDIRECT($N259)), 0),
       MATCH(TRIM(D$2), TRIM(INDIRECT($O259)), 0))</f>
        <v>87</v>
      </c>
      <c r="E259" s="9" cm="1">
        <f t="array" aca="1" ref="E259" ca="1">INDEX(INDIRECT($M259),
       MATCH(TRIM($C259), TRIM(INDIRECT($N259)), 0),
       MATCH(TRIM(E$2), TRIM(INDIRECT($O259)), 0))</f>
        <v>595129594</v>
      </c>
      <c r="F259" s="11" cm="1">
        <f t="array" aca="1" ref="F259" ca="1">INDEX(INDIRECT($M259),
       MATCH(TRIM($C259), TRIM(INDIRECT($N259)), 0),
       MATCH(TRIM(F$2), TRIM(INDIRECT($O259)), 0))</f>
        <v>595.129594</v>
      </c>
      <c r="G259" s="11" cm="1">
        <f t="array" aca="1" ref="G259" ca="1">INDEX(INDIRECT($M259),
       MATCH(TRIM($C259), TRIM(INDIRECT($N259)), 0),
       MATCH(TRIM(G$2), TRIM(INDIRECT($O259)), 0))</f>
        <v>55</v>
      </c>
      <c r="H259" s="9" cm="1">
        <f t="array" aca="1" ref="H259" ca="1">INDEX(INDIRECT($M259),
       MATCH(TRIM($C259), TRIM(INDIRECT($N259)), 0),
       MATCH(TRIM(H$2), TRIM(INDIRECT($O259)), 0))</f>
        <v>686479005.3125</v>
      </c>
      <c r="I259" s="11" cm="1">
        <f t="array" aca="1" ref="I259" ca="1">INDEX(INDIRECT($M259),
       MATCH(TRIM($C259), TRIM(INDIRECT($N259)), 0),
       MATCH(TRIM(I$2), TRIM(INDIRECT($O259)), 0))</f>
        <v>686.47900531250002</v>
      </c>
      <c r="J259" s="9" cm="1">
        <f t="array" aca="1" ref="J259" ca="1">INDEX(INDIRECT($M259),
       MATCH(TRIM($C259), TRIM(INDIRECT($N259)), 0),
       MATCH(TRIM(J$2), TRIM(INDIRECT($O259)), 0))</f>
        <v>109</v>
      </c>
      <c r="K259" s="11" cm="1">
        <f t="array" aca="1" ref="K259" ca="1">INDEX(INDIRECT($M259),
       MATCH(TRIM($C259), TRIM(INDIRECT($N259)), 0),
       MATCH(TRIM(K$2), TRIM(INDIRECT($O259)), 0))</f>
        <v>101.9318101494152</v>
      </c>
      <c r="L259" s="11" cm="1">
        <f t="array" aca="1" ref="L259" ca="1">INDEX(INDIRECT($M259),
       MATCH(TRIM($C259), TRIM(INDIRECT($N259)), 0),
       MATCH(TRIM(L$2), TRIM(INDIRECT($O259)), 0))</f>
        <v>1383.5404094619153</v>
      </c>
      <c r="M259" s="5" t="str">
        <f t="shared" si="9"/>
        <v>'2019'!$N$3:$V$80</v>
      </c>
      <c r="N259" s="5" t="str">
        <f t="shared" si="10"/>
        <v>'2019'!$M$2:$M$80</v>
      </c>
      <c r="O259" s="5" t="str">
        <f t="shared" si="11"/>
        <v>'2019'!$N$2:$W$2</v>
      </c>
    </row>
    <row r="260" spans="1:15" x14ac:dyDescent="0.3">
      <c r="A260">
        <v>6</v>
      </c>
      <c r="B260" s="9">
        <v>2019</v>
      </c>
      <c r="C260" t="s">
        <v>5</v>
      </c>
      <c r="D260" s="11" cm="1">
        <f t="array" aca="1" ref="D260" ca="1">INDEX(INDIRECT($M260),
       MATCH(TRIM($C260), TRIM(INDIRECT($N260)), 0),
       MATCH(TRIM(D$2), TRIM(INDIRECT($O260)), 0))</f>
        <v>35</v>
      </c>
      <c r="E260" s="9" cm="1">
        <f t="array" aca="1" ref="E260" ca="1">INDEX(INDIRECT($M260),
       MATCH(TRIM($C260), TRIM(INDIRECT($N260)), 0),
       MATCH(TRIM(E$2), TRIM(INDIRECT($O260)), 0))</f>
        <v>860200000</v>
      </c>
      <c r="F260" s="11" cm="1">
        <f t="array" aca="1" ref="F260" ca="1">INDEX(INDIRECT($M260),
       MATCH(TRIM($C260), TRIM(INDIRECT($N260)), 0),
       MATCH(TRIM(F$2), TRIM(INDIRECT($O260)), 0))</f>
        <v>860.2</v>
      </c>
      <c r="G260" s="11" cm="1">
        <f t="array" aca="1" ref="G260" ca="1">INDEX(INDIRECT($M260),
       MATCH(TRIM($C260), TRIM(INDIRECT($N260)), 0),
       MATCH(TRIM(G$2), TRIM(INDIRECT($O260)), 0))</f>
        <v>34</v>
      </c>
      <c r="H260" s="9" cm="1">
        <f t="array" aca="1" ref="H260" ca="1">INDEX(INDIRECT($M260),
       MATCH(TRIM($C260), TRIM(INDIRECT($N260)), 0),
       MATCH(TRIM(H$2), TRIM(INDIRECT($O260)), 0))</f>
        <v>329287424</v>
      </c>
      <c r="I260" s="11" cm="1">
        <f t="array" aca="1" ref="I260" ca="1">INDEX(INDIRECT($M260),
       MATCH(TRIM($C260), TRIM(INDIRECT($N260)), 0),
       MATCH(TRIM(I$2), TRIM(INDIRECT($O260)), 0))</f>
        <v>329.28742399999999</v>
      </c>
      <c r="J260" s="9" cm="1">
        <f t="array" aca="1" ref="J260" ca="1">INDEX(INDIRECT($M260),
       MATCH(TRIM($C260), TRIM(INDIRECT($N260)), 0),
       MATCH(TRIM(J$2), TRIM(INDIRECT($O260)), 0))</f>
        <v>39</v>
      </c>
      <c r="K260" s="11" cm="1">
        <f t="array" aca="1" ref="K260" ca="1">INDEX(INDIRECT($M260),
       MATCH(TRIM($C260), TRIM(INDIRECT($N260)), 0),
       MATCH(TRIM(K$2), TRIM(INDIRECT($O260)), 0))</f>
        <v>63.992713295845924</v>
      </c>
      <c r="L260" s="11" cm="1">
        <f t="array" aca="1" ref="L260" ca="1">INDEX(INDIRECT($M260),
       MATCH(TRIM($C260), TRIM(INDIRECT($N260)), 0),
       MATCH(TRIM(L$2), TRIM(INDIRECT($O260)), 0))</f>
        <v>1253.4801372958459</v>
      </c>
      <c r="M260" s="5" t="str">
        <f t="shared" ref="M260:M323" si="12">_xlfn.CONCAT("'",$B260,"'","!","$N$3:$V$80")</f>
        <v>'2019'!$N$3:$V$80</v>
      </c>
      <c r="N260" s="5" t="str">
        <f t="shared" ref="N260:N323" si="13">_xlfn.CONCAT("'",$B260,"'","!","$M$2:$M$80")</f>
        <v>'2019'!$M$2:$M$80</v>
      </c>
      <c r="O260" s="5" t="str">
        <f t="shared" ref="O260:O323" si="14">_xlfn.CONCAT("'",$B260,"'","!","$N$2:$W$2")</f>
        <v>'2019'!$N$2:$W$2</v>
      </c>
    </row>
    <row r="261" spans="1:15" x14ac:dyDescent="0.3">
      <c r="A261">
        <v>7</v>
      </c>
      <c r="B261" s="9">
        <v>2019</v>
      </c>
      <c r="C261" t="s">
        <v>6</v>
      </c>
      <c r="D261" s="11" cm="1">
        <f t="array" aca="1" ref="D261" ca="1">INDEX(INDIRECT($M261),
       MATCH(TRIM($C261), TRIM(INDIRECT($N261)), 0),
       MATCH(TRIM(D$2), TRIM(INDIRECT($O261)), 0))</f>
        <v>76</v>
      </c>
      <c r="E261" s="9" cm="1">
        <f t="array" aca="1" ref="E261" ca="1">INDEX(INDIRECT($M261),
       MATCH(TRIM($C261), TRIM(INDIRECT($N261)), 0),
       MATCH(TRIM(E$2), TRIM(INDIRECT($O261)), 0))</f>
        <v>787726948</v>
      </c>
      <c r="F261" s="11" cm="1">
        <f t="array" aca="1" ref="F261" ca="1">INDEX(INDIRECT($M261),
       MATCH(TRIM($C261), TRIM(INDIRECT($N261)), 0),
       MATCH(TRIM(F$2), TRIM(INDIRECT($O261)), 0))</f>
        <v>787.72694799999999</v>
      </c>
      <c r="G261" s="11" cm="1">
        <f t="array" aca="1" ref="G261" ca="1">INDEX(INDIRECT($M261),
       MATCH(TRIM($C261), TRIM(INDIRECT($N261)), 0),
       MATCH(TRIM(G$2), TRIM(INDIRECT($O261)), 0))</f>
        <v>35</v>
      </c>
      <c r="H261" s="9" cm="1">
        <f t="array" aca="1" ref="H261" ca="1">INDEX(INDIRECT($M261),
       MATCH(TRIM($C261), TRIM(INDIRECT($N261)), 0),
       MATCH(TRIM(H$2), TRIM(INDIRECT($O261)), 0))</f>
        <v>287594484</v>
      </c>
      <c r="I261" s="11" cm="1">
        <f t="array" aca="1" ref="I261" ca="1">INDEX(INDIRECT($M261),
       MATCH(TRIM($C261), TRIM(INDIRECT($N261)), 0),
       MATCH(TRIM(I$2), TRIM(INDIRECT($O261)), 0))</f>
        <v>287.59448400000002</v>
      </c>
      <c r="J261" s="9" cm="1">
        <f t="array" aca="1" ref="J261" ca="1">INDEX(INDIRECT($M261),
       MATCH(TRIM($C261), TRIM(INDIRECT($N261)), 0),
       MATCH(TRIM(J$2), TRIM(INDIRECT($O261)), 0))</f>
        <v>54</v>
      </c>
      <c r="K261" s="11" cm="1">
        <f t="array" aca="1" ref="K261" ca="1">INDEX(INDIRECT($M261),
       MATCH(TRIM($C261), TRIM(INDIRECT($N261)), 0),
       MATCH(TRIM(K$2), TRIM(INDIRECT($O261)), 0))</f>
        <v>26.744633736487266</v>
      </c>
      <c r="L261" s="11" cm="1">
        <f t="array" aca="1" ref="L261" ca="1">INDEX(INDIRECT($M261),
       MATCH(TRIM($C261), TRIM(INDIRECT($N261)), 0),
       MATCH(TRIM(L$2), TRIM(INDIRECT($O261)), 0))</f>
        <v>1102.0660657364872</v>
      </c>
      <c r="M261" s="5" t="str">
        <f t="shared" si="12"/>
        <v>'2019'!$N$3:$V$80</v>
      </c>
      <c r="N261" s="5" t="str">
        <f t="shared" si="13"/>
        <v>'2019'!$M$2:$M$80</v>
      </c>
      <c r="O261" s="5" t="str">
        <f t="shared" si="14"/>
        <v>'2019'!$N$2:$W$2</v>
      </c>
    </row>
    <row r="262" spans="1:15" x14ac:dyDescent="0.3">
      <c r="A262">
        <v>8</v>
      </c>
      <c r="B262" s="9">
        <v>2019</v>
      </c>
      <c r="C262" t="s">
        <v>7</v>
      </c>
      <c r="D262" s="11" cm="1">
        <f t="array" aca="1" ref="D262" ca="1">INDEX(INDIRECT($M262),
       MATCH(TRIM($C262), TRIM(INDIRECT($N262)), 0),
       MATCH(TRIM(D$2), TRIM(INDIRECT($O262)), 0))</f>
        <v>49</v>
      </c>
      <c r="E262" s="9" cm="1">
        <f t="array" aca="1" ref="E262" ca="1">INDEX(INDIRECT($M262),
       MATCH(TRIM($C262), TRIM(INDIRECT($N262)), 0),
       MATCH(TRIM(E$2), TRIM(INDIRECT($O262)), 0))</f>
        <v>621265045</v>
      </c>
      <c r="F262" s="11" cm="1">
        <f t="array" aca="1" ref="F262" ca="1">INDEX(INDIRECT($M262),
       MATCH(TRIM($C262), TRIM(INDIRECT($N262)), 0),
       MATCH(TRIM(F$2), TRIM(INDIRECT($O262)), 0))</f>
        <v>621.26504499999999</v>
      </c>
      <c r="G262" s="11" cm="1">
        <f t="array" aca="1" ref="G262" ca="1">INDEX(INDIRECT($M262),
       MATCH(TRIM($C262), TRIM(INDIRECT($N262)), 0),
       MATCH(TRIM(G$2), TRIM(INDIRECT($O262)), 0))</f>
        <v>26</v>
      </c>
      <c r="H262" s="9" cm="1">
        <f t="array" aca="1" ref="H262" ca="1">INDEX(INDIRECT($M262),
       MATCH(TRIM($C262), TRIM(INDIRECT($N262)), 0),
       MATCH(TRIM(H$2), TRIM(INDIRECT($O262)), 0))</f>
        <v>397137449</v>
      </c>
      <c r="I262" s="11" cm="1">
        <f t="array" aca="1" ref="I262" ca="1">INDEX(INDIRECT($M262),
       MATCH(TRIM($C262), TRIM(INDIRECT($N262)), 0),
       MATCH(TRIM(I$2), TRIM(INDIRECT($O262)), 0))</f>
        <v>397.137449</v>
      </c>
      <c r="J262" s="9" cm="1">
        <f t="array" aca="1" ref="J262" ca="1">INDEX(INDIRECT($M262),
       MATCH(TRIM($C262), TRIM(INDIRECT($N262)), 0),
       MATCH(TRIM(J$2), TRIM(INDIRECT($O262)), 0))</f>
        <v>45</v>
      </c>
      <c r="K262" s="11" cm="1">
        <f t="array" aca="1" ref="K262" ca="1">INDEX(INDIRECT($M262),
       MATCH(TRIM($C262), TRIM(INDIRECT($N262)), 0),
       MATCH(TRIM(K$2), TRIM(INDIRECT($O262)), 0))</f>
        <v>66.948439898667431</v>
      </c>
      <c r="L262" s="11" cm="1">
        <f t="array" aca="1" ref="L262" ca="1">INDEX(INDIRECT($M262),
       MATCH(TRIM($C262), TRIM(INDIRECT($N262)), 0),
       MATCH(TRIM(L$2), TRIM(INDIRECT($O262)), 0))</f>
        <v>1085.3509338986673</v>
      </c>
      <c r="M262" s="5" t="str">
        <f t="shared" si="12"/>
        <v>'2019'!$N$3:$V$80</v>
      </c>
      <c r="N262" s="5" t="str">
        <f t="shared" si="13"/>
        <v>'2019'!$M$2:$M$80</v>
      </c>
      <c r="O262" s="5" t="str">
        <f t="shared" si="14"/>
        <v>'2019'!$N$2:$W$2</v>
      </c>
    </row>
    <row r="263" spans="1:15" x14ac:dyDescent="0.3">
      <c r="A263">
        <v>9</v>
      </c>
      <c r="B263" s="9">
        <v>2019</v>
      </c>
      <c r="C263" t="s">
        <v>8</v>
      </c>
      <c r="D263" s="11" cm="1">
        <f t="array" aca="1" ref="D263" ca="1">INDEX(INDIRECT($M263),
       MATCH(TRIM($C263), TRIM(INDIRECT($N263)), 0),
       MATCH(TRIM(D$2), TRIM(INDIRECT($O263)), 0))</f>
        <v>61</v>
      </c>
      <c r="E263" s="9" cm="1">
        <f t="array" aca="1" ref="E263" ca="1">INDEX(INDIRECT($M263),
       MATCH(TRIM($C263), TRIM(INDIRECT($N263)), 0),
       MATCH(TRIM(E$2), TRIM(INDIRECT($O263)), 0))</f>
        <v>720376496</v>
      </c>
      <c r="F263" s="11" cm="1">
        <f t="array" aca="1" ref="F263" ca="1">INDEX(INDIRECT($M263),
       MATCH(TRIM($C263), TRIM(INDIRECT($N263)), 0),
       MATCH(TRIM(F$2), TRIM(INDIRECT($O263)), 0))</f>
        <v>720.37649599999997</v>
      </c>
      <c r="G263" s="11" cm="1">
        <f t="array" aca="1" ref="G263" ca="1">INDEX(INDIRECT($M263),
       MATCH(TRIM($C263), TRIM(INDIRECT($N263)), 0),
       MATCH(TRIM(G$2), TRIM(INDIRECT($O263)), 0))</f>
        <v>44</v>
      </c>
      <c r="H263" s="9" cm="1">
        <f t="array" aca="1" ref="H263" ca="1">INDEX(INDIRECT($M263),
       MATCH(TRIM($C263), TRIM(INDIRECT($N263)), 0),
       MATCH(TRIM(H$2), TRIM(INDIRECT($O263)), 0))</f>
        <v>108433722</v>
      </c>
      <c r="I263" s="11" cm="1">
        <f t="array" aca="1" ref="I263" ca="1">INDEX(INDIRECT($M263),
       MATCH(TRIM($C263), TRIM(INDIRECT($N263)), 0),
       MATCH(TRIM(I$2), TRIM(INDIRECT($O263)), 0))</f>
        <v>108.433722</v>
      </c>
      <c r="J263" s="9" cm="1">
        <f t="array" aca="1" ref="J263" ca="1">INDEX(INDIRECT($M263),
       MATCH(TRIM($C263), TRIM(INDIRECT($N263)), 0),
       MATCH(TRIM(J$2), TRIM(INDIRECT($O263)), 0))</f>
        <v>30</v>
      </c>
      <c r="K263" s="11" cm="1">
        <f t="array" aca="1" ref="K263" ca="1">INDEX(INDIRECT($M263),
       MATCH(TRIM($C263), TRIM(INDIRECT($N263)), 0),
       MATCH(TRIM(K$2), TRIM(INDIRECT($O263)), 0))</f>
        <v>14.354668314845824</v>
      </c>
      <c r="L263" s="11" cm="1">
        <f t="array" aca="1" ref="L263" ca="1">INDEX(INDIRECT($M263),
       MATCH(TRIM($C263), TRIM(INDIRECT($N263)), 0),
       MATCH(TRIM(L$2), TRIM(INDIRECT($O263)), 0))</f>
        <v>843.16488631484583</v>
      </c>
      <c r="M263" s="5" t="str">
        <f t="shared" si="12"/>
        <v>'2019'!$N$3:$V$80</v>
      </c>
      <c r="N263" s="5" t="str">
        <f t="shared" si="13"/>
        <v>'2019'!$M$2:$M$80</v>
      </c>
      <c r="O263" s="5" t="str">
        <f t="shared" si="14"/>
        <v>'2019'!$N$2:$W$2</v>
      </c>
    </row>
    <row r="264" spans="1:15" x14ac:dyDescent="0.3">
      <c r="A264">
        <v>10</v>
      </c>
      <c r="B264" s="9">
        <v>2019</v>
      </c>
      <c r="C264" t="s">
        <v>9</v>
      </c>
      <c r="D264" s="11" cm="1">
        <f t="array" aca="1" ref="D264" ca="1">INDEX(INDIRECT($M264),
       MATCH(TRIM($C264), TRIM(INDIRECT($N264)), 0),
       MATCH(TRIM(D$2), TRIM(INDIRECT($O264)), 0))</f>
        <v>146</v>
      </c>
      <c r="E264" s="9" cm="1">
        <f t="array" aca="1" ref="E264" ca="1">INDEX(INDIRECT($M264),
       MATCH(TRIM($C264), TRIM(INDIRECT($N264)), 0),
       MATCH(TRIM(E$2), TRIM(INDIRECT($O264)), 0))</f>
        <v>290911187</v>
      </c>
      <c r="F264" s="11" cm="1">
        <f t="array" aca="1" ref="F264" ca="1">INDEX(INDIRECT($M264),
       MATCH(TRIM($C264), TRIM(INDIRECT($N264)), 0),
       MATCH(TRIM(F$2), TRIM(INDIRECT($O264)), 0))</f>
        <v>290.91118699999998</v>
      </c>
      <c r="G264" s="11" cm="1">
        <f t="array" aca="1" ref="G264" ca="1">INDEX(INDIRECT($M264),
       MATCH(TRIM($C264), TRIM(INDIRECT($N264)), 0),
       MATCH(TRIM(G$2), TRIM(INDIRECT($O264)), 0))</f>
        <v>99</v>
      </c>
      <c r="H264" s="9" cm="1">
        <f t="array" aca="1" ref="H264" ca="1">INDEX(INDIRECT($M264),
       MATCH(TRIM($C264), TRIM(INDIRECT($N264)), 0),
       MATCH(TRIM(H$2), TRIM(INDIRECT($O264)), 0))</f>
        <v>246911634</v>
      </c>
      <c r="I264" s="11" cm="1">
        <f t="array" aca="1" ref="I264" ca="1">INDEX(INDIRECT($M264),
       MATCH(TRIM($C264), TRIM(INDIRECT($N264)), 0),
       MATCH(TRIM(I$2), TRIM(INDIRECT($O264)), 0))</f>
        <v>246.91163399999999</v>
      </c>
      <c r="J264" s="9" cm="1">
        <f t="array" aca="1" ref="J264" ca="1">INDEX(INDIRECT($M264),
       MATCH(TRIM($C264), TRIM(INDIRECT($N264)), 0),
       MATCH(TRIM(J$2), TRIM(INDIRECT($O264)), 0))</f>
        <v>203</v>
      </c>
      <c r="K264" s="11" cm="1">
        <f t="array" aca="1" ref="K264" ca="1">INDEX(INDIRECT($M264),
       MATCH(TRIM($C264), TRIM(INDIRECT($N264)), 0),
       MATCH(TRIM(K$2), TRIM(INDIRECT($O264)), 0))</f>
        <v>259.94161039496311</v>
      </c>
      <c r="L264" s="11" cm="1">
        <f t="array" aca="1" ref="L264" ca="1">INDEX(INDIRECT($M264),
       MATCH(TRIM($C264), TRIM(INDIRECT($N264)), 0),
       MATCH(TRIM(L$2), TRIM(INDIRECT($O264)), 0))</f>
        <v>797.76443139496314</v>
      </c>
      <c r="M264" s="5" t="str">
        <f t="shared" si="12"/>
        <v>'2019'!$N$3:$V$80</v>
      </c>
      <c r="N264" s="5" t="str">
        <f t="shared" si="13"/>
        <v>'2019'!$M$2:$M$80</v>
      </c>
      <c r="O264" s="5" t="str">
        <f t="shared" si="14"/>
        <v>'2019'!$N$2:$W$2</v>
      </c>
    </row>
    <row r="265" spans="1:15" x14ac:dyDescent="0.3">
      <c r="A265">
        <v>11</v>
      </c>
      <c r="B265" s="9">
        <v>2019</v>
      </c>
      <c r="C265" t="s">
        <v>10</v>
      </c>
      <c r="D265" s="11" cm="1">
        <f t="array" aca="1" ref="D265" ca="1">INDEX(INDIRECT($M265),
       MATCH(TRIM($C265), TRIM(INDIRECT($N265)), 0),
       MATCH(TRIM(D$2), TRIM(INDIRECT($O265)), 0))</f>
        <v>67</v>
      </c>
      <c r="E265" s="9" cm="1">
        <f t="array" aca="1" ref="E265" ca="1">INDEX(INDIRECT($M265),
       MATCH(TRIM($C265), TRIM(INDIRECT($N265)), 0),
       MATCH(TRIM(E$2), TRIM(INDIRECT($O265)), 0))</f>
        <v>463699929</v>
      </c>
      <c r="F265" s="11" cm="1">
        <f t="array" aca="1" ref="F265" ca="1">INDEX(INDIRECT($M265),
       MATCH(TRIM($C265), TRIM(INDIRECT($N265)), 0),
       MATCH(TRIM(F$2), TRIM(INDIRECT($O265)), 0))</f>
        <v>463.699929</v>
      </c>
      <c r="G265" s="11" cm="1">
        <f t="array" aca="1" ref="G265" ca="1">INDEX(INDIRECT($M265),
       MATCH(TRIM($C265), TRIM(INDIRECT($N265)), 0),
       MATCH(TRIM(G$2), TRIM(INDIRECT($O265)), 0))</f>
        <v>16</v>
      </c>
      <c r="H265" s="9" cm="1">
        <f t="array" aca="1" ref="H265" ca="1">INDEX(INDIRECT($M265),
       MATCH(TRIM($C265), TRIM(INDIRECT($N265)), 0),
       MATCH(TRIM(H$2), TRIM(INDIRECT($O265)), 0))</f>
        <v>153339734</v>
      </c>
      <c r="I265" s="11" cm="1">
        <f t="array" aca="1" ref="I265" ca="1">INDEX(INDIRECT($M265),
       MATCH(TRIM($C265), TRIM(INDIRECT($N265)), 0),
       MATCH(TRIM(I$2), TRIM(INDIRECT($O265)), 0))</f>
        <v>153.33973399999999</v>
      </c>
      <c r="J265" s="9" cm="1">
        <f t="array" aca="1" ref="J265" ca="1">INDEX(INDIRECT($M265),
       MATCH(TRIM($C265), TRIM(INDIRECT($N265)), 0),
       MATCH(TRIM(J$2), TRIM(INDIRECT($O265)), 0))</f>
        <v>84</v>
      </c>
      <c r="K265" s="11" cm="1">
        <f t="array" aca="1" ref="K265" ca="1">INDEX(INDIRECT($M265),
       MATCH(TRIM($C265), TRIM(INDIRECT($N265)), 0),
       MATCH(TRIM(K$2), TRIM(INDIRECT($O265)), 0))</f>
        <v>66.920957043798481</v>
      </c>
      <c r="L265" s="11" cm="1">
        <f t="array" aca="1" ref="L265" ca="1">INDEX(INDIRECT($M265),
       MATCH(TRIM($C265), TRIM(INDIRECT($N265)), 0),
       MATCH(TRIM(L$2), TRIM(INDIRECT($O265)), 0))</f>
        <v>683.96062004379849</v>
      </c>
      <c r="M265" s="5" t="str">
        <f t="shared" si="12"/>
        <v>'2019'!$N$3:$V$80</v>
      </c>
      <c r="N265" s="5" t="str">
        <f t="shared" si="13"/>
        <v>'2019'!$M$2:$M$80</v>
      </c>
      <c r="O265" s="5" t="str">
        <f t="shared" si="14"/>
        <v>'2019'!$N$2:$W$2</v>
      </c>
    </row>
    <row r="266" spans="1:15" x14ac:dyDescent="0.3">
      <c r="A266">
        <v>12</v>
      </c>
      <c r="B266" s="9">
        <v>2019</v>
      </c>
      <c r="C266" t="s">
        <v>11</v>
      </c>
      <c r="D266" s="11" cm="1">
        <f t="array" aca="1" ref="D266" ca="1">INDEX(INDIRECT($M266),
       MATCH(TRIM($C266), TRIM(INDIRECT($N266)), 0),
       MATCH(TRIM(D$2), TRIM(INDIRECT($O266)), 0))</f>
        <v>18</v>
      </c>
      <c r="E266" s="9" cm="1">
        <f t="array" aca="1" ref="E266" ca="1">INDEX(INDIRECT($M266),
       MATCH(TRIM($C266), TRIM(INDIRECT($N266)), 0),
       MATCH(TRIM(E$2), TRIM(INDIRECT($O266)), 0))</f>
        <v>361838962</v>
      </c>
      <c r="F266" s="11" cm="1">
        <f t="array" aca="1" ref="F266" ca="1">INDEX(INDIRECT($M266),
       MATCH(TRIM($C266), TRIM(INDIRECT($N266)), 0),
       MATCH(TRIM(F$2), TRIM(INDIRECT($O266)), 0))</f>
        <v>361.83896199999998</v>
      </c>
      <c r="G266" s="11" cm="1">
        <f t="array" aca="1" ref="G266" ca="1">INDEX(INDIRECT($M266),
       MATCH(TRIM($C266), TRIM(INDIRECT($N266)), 0),
       MATCH(TRIM(G$2), TRIM(INDIRECT($O266)), 0))</f>
        <v>19</v>
      </c>
      <c r="H266" s="9" cm="1">
        <f t="array" aca="1" ref="H266" ca="1">INDEX(INDIRECT($M266),
       MATCH(TRIM($C266), TRIM(INDIRECT($N266)), 0),
       MATCH(TRIM(H$2), TRIM(INDIRECT($O266)), 0))</f>
        <v>223893365</v>
      </c>
      <c r="I266" s="11" cm="1">
        <f t="array" aca="1" ref="I266" ca="1">INDEX(INDIRECT($M266),
       MATCH(TRIM($C266), TRIM(INDIRECT($N266)), 0),
       MATCH(TRIM(I$2), TRIM(INDIRECT($O266)), 0))</f>
        <v>223.89336499999999</v>
      </c>
      <c r="J266" s="9" cm="1">
        <f t="array" aca="1" ref="J266" ca="1">INDEX(INDIRECT($M266),
       MATCH(TRIM($C266), TRIM(INDIRECT($N266)), 0),
       MATCH(TRIM(J$2), TRIM(INDIRECT($O266)), 0))</f>
        <v>19</v>
      </c>
      <c r="K266" s="11" cm="1">
        <f t="array" aca="1" ref="K266" ca="1">INDEX(INDIRECT($M266),
       MATCH(TRIM($C266), TRIM(INDIRECT($N266)), 0),
       MATCH(TRIM(K$2), TRIM(INDIRECT($O266)), 0))</f>
        <v>20.557838834782611</v>
      </c>
      <c r="L266" s="11" cm="1">
        <f t="array" aca="1" ref="L266" ca="1">INDEX(INDIRECT($M266),
       MATCH(TRIM($C266), TRIM(INDIRECT($N266)), 0),
       MATCH(TRIM(L$2), TRIM(INDIRECT($O266)), 0))</f>
        <v>606.29016583478256</v>
      </c>
      <c r="M266" s="5" t="str">
        <f t="shared" si="12"/>
        <v>'2019'!$N$3:$V$80</v>
      </c>
      <c r="N266" s="5" t="str">
        <f t="shared" si="13"/>
        <v>'2019'!$M$2:$M$80</v>
      </c>
      <c r="O266" s="5" t="str">
        <f t="shared" si="14"/>
        <v>'2019'!$N$2:$W$2</v>
      </c>
    </row>
    <row r="267" spans="1:15" x14ac:dyDescent="0.3">
      <c r="A267">
        <v>13</v>
      </c>
      <c r="B267" s="9">
        <v>2019</v>
      </c>
      <c r="C267" t="s">
        <v>12</v>
      </c>
      <c r="D267" s="11" cm="1">
        <f t="array" aca="1" ref="D267" ca="1">INDEX(INDIRECT($M267),
       MATCH(TRIM($C267), TRIM(INDIRECT($N267)), 0),
       MATCH(TRIM(D$2), TRIM(INDIRECT($O267)), 0))</f>
        <v>60</v>
      </c>
      <c r="E267" s="9" cm="1">
        <f t="array" aca="1" ref="E267" ca="1">INDEX(INDIRECT($M267),
       MATCH(TRIM($C267), TRIM(INDIRECT($N267)), 0),
       MATCH(TRIM(E$2), TRIM(INDIRECT($O267)), 0))</f>
        <v>527748075</v>
      </c>
      <c r="F267" s="11" cm="1">
        <f t="array" aca="1" ref="F267" ca="1">INDEX(INDIRECT($M267),
       MATCH(TRIM($C267), TRIM(INDIRECT($N267)), 0),
       MATCH(TRIM(F$2), TRIM(INDIRECT($O267)), 0))</f>
        <v>527.74807499999997</v>
      </c>
      <c r="G267" s="11" cm="1">
        <f t="array" aca="1" ref="G267" ca="1">INDEX(INDIRECT($M267),
       MATCH(TRIM($C267), TRIM(INDIRECT($N267)), 0),
       MATCH(TRIM(G$2), TRIM(INDIRECT($O267)), 0))</f>
        <v>5</v>
      </c>
      <c r="H267" s="9" cm="1">
        <f t="array" aca="1" ref="H267" ca="1">INDEX(INDIRECT($M267),
       MATCH(TRIM($C267), TRIM(INDIRECT($N267)), 0),
       MATCH(TRIM(H$2), TRIM(INDIRECT($O267)), 0))</f>
        <v>8299739</v>
      </c>
      <c r="I267" s="11" cm="1">
        <f t="array" aca="1" ref="I267" ca="1">INDEX(INDIRECT($M267),
       MATCH(TRIM($C267), TRIM(INDIRECT($N267)), 0),
       MATCH(TRIM(I$2), TRIM(INDIRECT($O267)), 0))</f>
        <v>8.2997390000000006</v>
      </c>
      <c r="J267" s="9" cm="1">
        <f t="array" aca="1" ref="J267" ca="1">INDEX(INDIRECT($M267),
       MATCH(TRIM($C267), TRIM(INDIRECT($N267)), 0),
       MATCH(TRIM(J$2), TRIM(INDIRECT($O267)), 0))</f>
        <v>69</v>
      </c>
      <c r="K267" s="11" cm="1">
        <f t="array" aca="1" ref="K267" ca="1">INDEX(INDIRECT($M267),
       MATCH(TRIM($C267), TRIM(INDIRECT($N267)), 0),
       MATCH(TRIM(K$2), TRIM(INDIRECT($O267)), 0))</f>
        <v>45.03316522947825</v>
      </c>
      <c r="L267" s="11" cm="1">
        <f t="array" aca="1" ref="L267" ca="1">INDEX(INDIRECT($M267),
       MATCH(TRIM($C267), TRIM(INDIRECT($N267)), 0),
       MATCH(TRIM(L$2), TRIM(INDIRECT($O267)), 0))</f>
        <v>581.08097922947832</v>
      </c>
      <c r="M267" s="5" t="str">
        <f t="shared" si="12"/>
        <v>'2019'!$N$3:$V$80</v>
      </c>
      <c r="N267" s="5" t="str">
        <f t="shared" si="13"/>
        <v>'2019'!$M$2:$M$80</v>
      </c>
      <c r="O267" s="5" t="str">
        <f t="shared" si="14"/>
        <v>'2019'!$N$2:$W$2</v>
      </c>
    </row>
    <row r="268" spans="1:15" x14ac:dyDescent="0.3">
      <c r="A268">
        <v>14</v>
      </c>
      <c r="B268" s="9">
        <v>2019</v>
      </c>
      <c r="C268" t="s">
        <v>13</v>
      </c>
      <c r="D268" s="11" cm="1">
        <f t="array" aca="1" ref="D268" ca="1">INDEX(INDIRECT($M268),
       MATCH(TRIM($C268), TRIM(INDIRECT($N268)), 0),
       MATCH(TRIM(D$2), TRIM(INDIRECT($O268)), 0))</f>
        <v>131</v>
      </c>
      <c r="E268" s="9" cm="1">
        <f t="array" aca="1" ref="E268" ca="1">INDEX(INDIRECT($M268),
       MATCH(TRIM($C268), TRIM(INDIRECT($N268)), 0),
       MATCH(TRIM(E$2), TRIM(INDIRECT($O268)), 0))</f>
        <v>386378323</v>
      </c>
      <c r="F268" s="11" cm="1">
        <f t="array" aca="1" ref="F268" ca="1">INDEX(INDIRECT($M268),
       MATCH(TRIM($C268), TRIM(INDIRECT($N268)), 0),
       MATCH(TRIM(F$2), TRIM(INDIRECT($O268)), 0))</f>
        <v>386.37832300000002</v>
      </c>
      <c r="G268" s="11" cm="1">
        <f t="array" aca="1" ref="G268" ca="1">INDEX(INDIRECT($M268),
       MATCH(TRIM($C268), TRIM(INDIRECT($N268)), 0),
       MATCH(TRIM(G$2), TRIM(INDIRECT($O268)), 0))</f>
        <v>14</v>
      </c>
      <c r="H268" s="9" cm="1">
        <f t="array" aca="1" ref="H268" ca="1">INDEX(INDIRECT($M268),
       MATCH(TRIM($C268), TRIM(INDIRECT($N268)), 0),
       MATCH(TRIM(H$2), TRIM(INDIRECT($O268)), 0))</f>
        <v>3203393.5100097656</v>
      </c>
      <c r="I268" s="11" cm="1">
        <f t="array" aca="1" ref="I268" ca="1">INDEX(INDIRECT($M268),
       MATCH(TRIM($C268), TRIM(INDIRECT($N268)), 0),
       MATCH(TRIM(I$2), TRIM(INDIRECT($O268)), 0))</f>
        <v>3.2033935100097657</v>
      </c>
      <c r="J268" s="9" cm="1">
        <f t="array" aca="1" ref="J268" ca="1">INDEX(INDIRECT($M268),
       MATCH(TRIM($C268), TRIM(INDIRECT($N268)), 0),
       MATCH(TRIM(J$2), TRIM(INDIRECT($O268)), 0))</f>
        <v>263</v>
      </c>
      <c r="K268" s="11" cm="1">
        <f t="array" aca="1" ref="K268" ca="1">INDEX(INDIRECT($M268),
       MATCH(TRIM($C268), TRIM(INDIRECT($N268)), 0),
       MATCH(TRIM(K$2), TRIM(INDIRECT($O268)), 0))</f>
        <v>124.68823958395218</v>
      </c>
      <c r="L268" s="11" cm="1">
        <f t="array" aca="1" ref="L268" ca="1">INDEX(INDIRECT($M268),
       MATCH(TRIM($C268), TRIM(INDIRECT($N268)), 0),
       MATCH(TRIM(L$2), TRIM(INDIRECT($O268)), 0))</f>
        <v>514.26995609396204</v>
      </c>
      <c r="M268" s="5" t="str">
        <f t="shared" si="12"/>
        <v>'2019'!$N$3:$V$80</v>
      </c>
      <c r="N268" s="5" t="str">
        <f t="shared" si="13"/>
        <v>'2019'!$M$2:$M$80</v>
      </c>
      <c r="O268" s="5" t="str">
        <f t="shared" si="14"/>
        <v>'2019'!$N$2:$W$2</v>
      </c>
    </row>
    <row r="269" spans="1:15" x14ac:dyDescent="0.3">
      <c r="A269">
        <v>15</v>
      </c>
      <c r="B269" s="9">
        <v>2019</v>
      </c>
      <c r="C269" t="s">
        <v>14</v>
      </c>
      <c r="D269" s="11" cm="1">
        <f t="array" aca="1" ref="D269" ca="1">INDEX(INDIRECT($M269),
       MATCH(TRIM($C269), TRIM(INDIRECT($N269)), 0),
       MATCH(TRIM(D$2), TRIM(INDIRECT($O269)), 0))</f>
        <v>44</v>
      </c>
      <c r="E269" s="9" cm="1">
        <f t="array" aca="1" ref="E269" ca="1">INDEX(INDIRECT($M269),
       MATCH(TRIM($C269), TRIM(INDIRECT($N269)), 0),
       MATCH(TRIM(E$2), TRIM(INDIRECT($O269)), 0))</f>
        <v>468845440</v>
      </c>
      <c r="F269" s="11" cm="1">
        <f t="array" aca="1" ref="F269" ca="1">INDEX(INDIRECT($M269),
       MATCH(TRIM($C269), TRIM(INDIRECT($N269)), 0),
       MATCH(TRIM(F$2), TRIM(INDIRECT($O269)), 0))</f>
        <v>468.84544</v>
      </c>
      <c r="G269" s="11" cm="1">
        <f t="array" aca="1" ref="G269" ca="1">INDEX(INDIRECT($M269),
       MATCH(TRIM($C269), TRIM(INDIRECT($N269)), 0),
       MATCH(TRIM(G$2), TRIM(INDIRECT($O269)), 0))</f>
        <v>44</v>
      </c>
      <c r="H269" s="9" cm="1">
        <f t="array" aca="1" ref="H269" ca="1">INDEX(INDIRECT($M269),
       MATCH(TRIM($C269), TRIM(INDIRECT($N269)), 0),
       MATCH(TRIM(H$2), TRIM(INDIRECT($O269)), 0))</f>
        <v>-53320792</v>
      </c>
      <c r="I269" s="11" cm="1">
        <f t="array" aca="1" ref="I269" ca="1">INDEX(INDIRECT($M269),
       MATCH(TRIM($C269), TRIM(INDIRECT($N269)), 0),
       MATCH(TRIM(I$2), TRIM(INDIRECT($O269)), 0))</f>
        <v>-53.320791999999997</v>
      </c>
      <c r="J269" s="9" cm="1">
        <f t="array" aca="1" ref="J269" ca="1">INDEX(INDIRECT($M269),
       MATCH(TRIM($C269), TRIM(INDIRECT($N269)), 0),
       MATCH(TRIM(J$2), TRIM(INDIRECT($O269)), 0))</f>
        <v>69</v>
      </c>
      <c r="K269" s="11" cm="1">
        <f t="array" aca="1" ref="K269" ca="1">INDEX(INDIRECT($M269),
       MATCH(TRIM($C269), TRIM(INDIRECT($N269)), 0),
       MATCH(TRIM(K$2), TRIM(INDIRECT($O269)), 0))</f>
        <v>44.658765839456059</v>
      </c>
      <c r="L269" s="11" cm="1">
        <f t="array" aca="1" ref="L269" ca="1">INDEX(INDIRECT($M269),
       MATCH(TRIM($C269), TRIM(INDIRECT($N269)), 0),
       MATCH(TRIM(L$2), TRIM(INDIRECT($O269)), 0))</f>
        <v>460.18341383945608</v>
      </c>
      <c r="M269" s="5" t="str">
        <f t="shared" si="12"/>
        <v>'2019'!$N$3:$V$80</v>
      </c>
      <c r="N269" s="5" t="str">
        <f t="shared" si="13"/>
        <v>'2019'!$M$2:$M$80</v>
      </c>
      <c r="O269" s="5" t="str">
        <f t="shared" si="14"/>
        <v>'2019'!$N$2:$W$2</v>
      </c>
    </row>
    <row r="270" spans="1:15" x14ac:dyDescent="0.3">
      <c r="A270">
        <v>16</v>
      </c>
      <c r="B270" s="9">
        <v>2019</v>
      </c>
      <c r="C270" t="s">
        <v>15</v>
      </c>
      <c r="D270" s="11" cm="1">
        <f t="array" aca="1" ref="D270" ca="1">INDEX(INDIRECT($M270),
       MATCH(TRIM($C270), TRIM(INDIRECT($N270)), 0),
       MATCH(TRIM(D$2), TRIM(INDIRECT($O270)), 0))</f>
        <v>41</v>
      </c>
      <c r="E270" s="9" cm="1">
        <f t="array" aca="1" ref="E270" ca="1">INDEX(INDIRECT($M270),
       MATCH(TRIM($C270), TRIM(INDIRECT($N270)), 0),
       MATCH(TRIM(E$2), TRIM(INDIRECT($O270)), 0))</f>
        <v>296563966</v>
      </c>
      <c r="F270" s="11" cm="1">
        <f t="array" aca="1" ref="F270" ca="1">INDEX(INDIRECT($M270),
       MATCH(TRIM($C270), TRIM(INDIRECT($N270)), 0),
       MATCH(TRIM(F$2), TRIM(INDIRECT($O270)), 0))</f>
        <v>296.56396599999999</v>
      </c>
      <c r="G270" s="11" cm="1">
        <f t="array" aca="1" ref="G270" ca="1">INDEX(INDIRECT($M270),
       MATCH(TRIM($C270), TRIM(INDIRECT($N270)), 0),
       MATCH(TRIM(G$2), TRIM(INDIRECT($O270)), 0))</f>
        <v>25</v>
      </c>
      <c r="H270" s="9" cm="1">
        <f t="array" aca="1" ref="H270" ca="1">INDEX(INDIRECT($M270),
       MATCH(TRIM($C270), TRIM(INDIRECT($N270)), 0),
       MATCH(TRIM(H$2), TRIM(INDIRECT($O270)), 0))</f>
        <v>105296380</v>
      </c>
      <c r="I270" s="11" cm="1">
        <f t="array" aca="1" ref="I270" ca="1">INDEX(INDIRECT($M270),
       MATCH(TRIM($C270), TRIM(INDIRECT($N270)), 0),
       MATCH(TRIM(I$2), TRIM(INDIRECT($O270)), 0))</f>
        <v>105.29638</v>
      </c>
      <c r="J270" s="9" cm="1">
        <f t="array" aca="1" ref="J270" ca="1">INDEX(INDIRECT($M270),
       MATCH(TRIM($C270), TRIM(INDIRECT($N270)), 0),
       MATCH(TRIM(J$2), TRIM(INDIRECT($O270)), 0))</f>
        <v>41</v>
      </c>
      <c r="K270" s="11" cm="1">
        <f t="array" aca="1" ref="K270" ca="1">INDEX(INDIRECT($M270),
       MATCH(TRIM($C270), TRIM(INDIRECT($N270)), 0),
       MATCH(TRIM(K$2), TRIM(INDIRECT($O270)), 0))</f>
        <v>47.116762559375616</v>
      </c>
      <c r="L270" s="11" cm="1">
        <f t="array" aca="1" ref="L270" ca="1">INDEX(INDIRECT($M270),
       MATCH(TRIM($C270), TRIM(INDIRECT($N270)), 0),
       MATCH(TRIM(L$2), TRIM(INDIRECT($O270)), 0))</f>
        <v>448.97710855937561</v>
      </c>
      <c r="M270" s="5" t="str">
        <f t="shared" si="12"/>
        <v>'2019'!$N$3:$V$80</v>
      </c>
      <c r="N270" s="5" t="str">
        <f t="shared" si="13"/>
        <v>'2019'!$M$2:$M$80</v>
      </c>
      <c r="O270" s="5" t="str">
        <f t="shared" si="14"/>
        <v>'2019'!$N$2:$W$2</v>
      </c>
    </row>
    <row r="271" spans="1:15" x14ac:dyDescent="0.3">
      <c r="A271">
        <v>17</v>
      </c>
      <c r="B271" s="9">
        <v>2019</v>
      </c>
      <c r="C271" t="s">
        <v>16</v>
      </c>
      <c r="D271" s="11" cm="1">
        <f t="array" aca="1" ref="D271" ca="1">INDEX(INDIRECT($M271),
       MATCH(TRIM($C271), TRIM(INDIRECT($N271)), 0),
       MATCH(TRIM(D$2), TRIM(INDIRECT($O271)), 0))</f>
        <v>4</v>
      </c>
      <c r="E271" s="9" cm="1">
        <f t="array" aca="1" ref="E271" ca="1">INDEX(INDIRECT($M271),
       MATCH(TRIM($C271), TRIM(INDIRECT($N271)), 0),
       MATCH(TRIM(E$2), TRIM(INDIRECT($O271)), 0))</f>
        <v>349765554</v>
      </c>
      <c r="F271" s="11" cm="1">
        <f t="array" aca="1" ref="F271" ca="1">INDEX(INDIRECT($M271),
       MATCH(TRIM($C271), TRIM(INDIRECT($N271)), 0),
       MATCH(TRIM(F$2), TRIM(INDIRECT($O271)), 0))</f>
        <v>349.76555400000001</v>
      </c>
      <c r="G271" s="11" cm="1">
        <f t="array" aca="1" ref="G271" ca="1">INDEX(INDIRECT($M271),
       MATCH(TRIM($C271), TRIM(INDIRECT($N271)), 0),
       MATCH(TRIM(G$2), TRIM(INDIRECT($O271)), 0))</f>
        <v>8</v>
      </c>
      <c r="H271" s="9" cm="1">
        <f t="array" aca="1" ref="H271" ca="1">INDEX(INDIRECT($M271),
       MATCH(TRIM($C271), TRIM(INDIRECT($N271)), 0),
       MATCH(TRIM(H$2), TRIM(INDIRECT($O271)), 0))</f>
        <v>37500000</v>
      </c>
      <c r="I271" s="11" cm="1">
        <f t="array" aca="1" ref="I271" ca="1">INDEX(INDIRECT($M271),
       MATCH(TRIM($C271), TRIM(INDIRECT($N271)), 0),
       MATCH(TRIM(I$2), TRIM(INDIRECT($O271)), 0))</f>
        <v>37.5</v>
      </c>
      <c r="J271" s="9" cm="1">
        <f t="array" aca="1" ref="J271" ca="1">INDEX(INDIRECT($M271),
       MATCH(TRIM($C271), TRIM(INDIRECT($N271)), 0),
       MATCH(TRIM(J$2), TRIM(INDIRECT($O271)), 0))</f>
        <v>10</v>
      </c>
      <c r="K271" s="11" cm="1">
        <f t="array" aca="1" ref="K271" ca="1">INDEX(INDIRECT($M271),
       MATCH(TRIM($C271), TRIM(INDIRECT($N271)), 0),
       MATCH(TRIM(K$2), TRIM(INDIRECT($O271)), 0))</f>
        <v>8.0637536919184036</v>
      </c>
      <c r="L271" s="11" cm="1">
        <f t="array" aca="1" ref="L271" ca="1">INDEX(INDIRECT($M271),
       MATCH(TRIM($C271), TRIM(INDIRECT($N271)), 0),
       MATCH(TRIM(L$2), TRIM(INDIRECT($O271)), 0))</f>
        <v>395.32930769191842</v>
      </c>
      <c r="M271" s="5" t="str">
        <f t="shared" si="12"/>
        <v>'2019'!$N$3:$V$80</v>
      </c>
      <c r="N271" s="5" t="str">
        <f t="shared" si="13"/>
        <v>'2019'!$M$2:$M$80</v>
      </c>
      <c r="O271" s="5" t="str">
        <f t="shared" si="14"/>
        <v>'2019'!$N$2:$W$2</v>
      </c>
    </row>
    <row r="272" spans="1:15" x14ac:dyDescent="0.3">
      <c r="A272">
        <v>18</v>
      </c>
      <c r="B272" s="9">
        <v>2019</v>
      </c>
      <c r="C272" t="s">
        <v>17</v>
      </c>
      <c r="D272" s="11" cm="1">
        <f t="array" aca="1" ref="D272" ca="1">INDEX(INDIRECT($M272),
       MATCH(TRIM($C272), TRIM(INDIRECT($N272)), 0),
       MATCH(TRIM(D$2), TRIM(INDIRECT($O272)), 0))</f>
        <v>25</v>
      </c>
      <c r="E272" s="9" cm="1">
        <f t="array" aca="1" ref="E272" ca="1">INDEX(INDIRECT($M272),
       MATCH(TRIM($C272), TRIM(INDIRECT($N272)), 0),
       MATCH(TRIM(E$2), TRIM(INDIRECT($O272)), 0))</f>
        <v>311029668</v>
      </c>
      <c r="F272" s="11" cm="1">
        <f t="array" aca="1" ref="F272" ca="1">INDEX(INDIRECT($M272),
       MATCH(TRIM($C272), TRIM(INDIRECT($N272)), 0),
       MATCH(TRIM(F$2), TRIM(INDIRECT($O272)), 0))</f>
        <v>311.02966800000002</v>
      </c>
      <c r="G272" s="11" cm="1">
        <f t="array" aca="1" ref="G272" ca="1">INDEX(INDIRECT($M272),
       MATCH(TRIM($C272), TRIM(INDIRECT($N272)), 0),
       MATCH(TRIM(G$2), TRIM(INDIRECT($O272)), 0))</f>
        <v>4</v>
      </c>
      <c r="H272" s="9" cm="1">
        <f t="array" aca="1" ref="H272" ca="1">INDEX(INDIRECT($M272),
       MATCH(TRIM($C272), TRIM(INDIRECT($N272)), 0),
       MATCH(TRIM(H$2), TRIM(INDIRECT($O272)), 0))</f>
        <v>24068422</v>
      </c>
      <c r="I272" s="11" cm="1">
        <f t="array" aca="1" ref="I272" ca="1">INDEX(INDIRECT($M272),
       MATCH(TRIM($C272), TRIM(INDIRECT($N272)), 0),
       MATCH(TRIM(I$2), TRIM(INDIRECT($O272)), 0))</f>
        <v>24.068422000000002</v>
      </c>
      <c r="J272" s="9" cm="1">
        <f t="array" aca="1" ref="J272" ca="1">INDEX(INDIRECT($M272),
       MATCH(TRIM($C272), TRIM(INDIRECT($N272)), 0),
       MATCH(TRIM(J$2), TRIM(INDIRECT($O272)), 0))</f>
        <v>22</v>
      </c>
      <c r="K272" s="11" cm="1">
        <f t="array" aca="1" ref="K272" ca="1">INDEX(INDIRECT($M272),
       MATCH(TRIM($C272), TRIM(INDIRECT($N272)), 0),
       MATCH(TRIM(K$2), TRIM(INDIRECT($O272)), 0))</f>
        <v>14.903750663960547</v>
      </c>
      <c r="L272" s="11" cm="1">
        <f t="array" aca="1" ref="L272" ca="1">INDEX(INDIRECT($M272),
       MATCH(TRIM($C272), TRIM(INDIRECT($N272)), 0),
       MATCH(TRIM(L$2), TRIM(INDIRECT($O272)), 0))</f>
        <v>350.00184066396054</v>
      </c>
      <c r="M272" s="5" t="str">
        <f t="shared" si="12"/>
        <v>'2019'!$N$3:$V$80</v>
      </c>
      <c r="N272" s="5" t="str">
        <f t="shared" si="13"/>
        <v>'2019'!$M$2:$M$80</v>
      </c>
      <c r="O272" s="5" t="str">
        <f t="shared" si="14"/>
        <v>'2019'!$N$2:$W$2</v>
      </c>
    </row>
    <row r="273" spans="1:15" x14ac:dyDescent="0.3">
      <c r="A273">
        <v>19</v>
      </c>
      <c r="B273" s="9">
        <v>2019</v>
      </c>
      <c r="C273" t="s">
        <v>18</v>
      </c>
      <c r="D273" s="11" cm="1">
        <f t="array" aca="1" ref="D273" ca="1">INDEX(INDIRECT($M273),
       MATCH(TRIM($C273), TRIM(INDIRECT($N273)), 0),
       MATCH(TRIM(D$2), TRIM(INDIRECT($O273)), 0))</f>
        <v>33</v>
      </c>
      <c r="E273" s="9" cm="1">
        <f t="array" aca="1" ref="E273" ca="1">INDEX(INDIRECT($M273),
       MATCH(TRIM($C273), TRIM(INDIRECT($N273)), 0),
       MATCH(TRIM(E$2), TRIM(INDIRECT($O273)), 0))</f>
        <v>142134538</v>
      </c>
      <c r="F273" s="11" cm="1">
        <f t="array" aca="1" ref="F273" ca="1">INDEX(INDIRECT($M273),
       MATCH(TRIM($C273), TRIM(INDIRECT($N273)), 0),
       MATCH(TRIM(F$2), TRIM(INDIRECT($O273)), 0))</f>
        <v>142.13453799999999</v>
      </c>
      <c r="G273" s="11" cm="1">
        <f t="array" aca="1" ref="G273" ca="1">INDEX(INDIRECT($M273),
       MATCH(TRIM($C273), TRIM(INDIRECT($N273)), 0),
       MATCH(TRIM(G$2), TRIM(INDIRECT($O273)), 0))</f>
        <v>12</v>
      </c>
      <c r="H273" s="9" cm="1">
        <f t="array" aca="1" ref="H273" ca="1">INDEX(INDIRECT($M273),
       MATCH(TRIM($C273), TRIM(INDIRECT($N273)), 0),
       MATCH(TRIM(H$2), TRIM(INDIRECT($O273)), 0))</f>
        <v>190314300</v>
      </c>
      <c r="I273" s="11" cm="1">
        <f t="array" aca="1" ref="I273" ca="1">INDEX(INDIRECT($M273),
       MATCH(TRIM($C273), TRIM(INDIRECT($N273)), 0),
       MATCH(TRIM(I$2), TRIM(INDIRECT($O273)), 0))</f>
        <v>190.3143</v>
      </c>
      <c r="J273" s="9" cm="1">
        <f t="array" aca="1" ref="J273" ca="1">INDEX(INDIRECT($M273),
       MATCH(TRIM($C273), TRIM(INDIRECT($N273)), 0),
       MATCH(TRIM(J$2), TRIM(INDIRECT($O273)), 0))</f>
        <v>15</v>
      </c>
      <c r="K273" s="11" cm="1">
        <f t="array" aca="1" ref="K273" ca="1">INDEX(INDIRECT($M273),
       MATCH(TRIM($C273), TRIM(INDIRECT($N273)), 0),
       MATCH(TRIM(K$2), TRIM(INDIRECT($O273)), 0))</f>
        <v>16.000796650663577</v>
      </c>
      <c r="L273" s="11" cm="1">
        <f t="array" aca="1" ref="L273" ca="1">INDEX(INDIRECT($M273),
       MATCH(TRIM($C273), TRIM(INDIRECT($N273)), 0),
       MATCH(TRIM(L$2), TRIM(INDIRECT($O273)), 0))</f>
        <v>348.4496346506636</v>
      </c>
      <c r="M273" s="5" t="str">
        <f t="shared" si="12"/>
        <v>'2019'!$N$3:$V$80</v>
      </c>
      <c r="N273" s="5" t="str">
        <f t="shared" si="13"/>
        <v>'2019'!$M$2:$M$80</v>
      </c>
      <c r="O273" s="5" t="str">
        <f t="shared" si="14"/>
        <v>'2019'!$N$2:$W$2</v>
      </c>
    </row>
    <row r="274" spans="1:15" x14ac:dyDescent="0.3">
      <c r="A274">
        <v>20</v>
      </c>
      <c r="B274" s="9">
        <v>2019</v>
      </c>
      <c r="C274" t="s">
        <v>19</v>
      </c>
      <c r="D274" s="11" cm="1">
        <f t="array" aca="1" ref="D274" ca="1">INDEX(INDIRECT($M274),
       MATCH(TRIM($C274), TRIM(INDIRECT($N274)), 0),
       MATCH(TRIM(D$2), TRIM(INDIRECT($O274)), 0))</f>
        <v>12</v>
      </c>
      <c r="E274" s="9" cm="1">
        <f t="array" aca="1" ref="E274" ca="1">INDEX(INDIRECT($M274),
       MATCH(TRIM($C274), TRIM(INDIRECT($N274)), 0),
       MATCH(TRIM(E$2), TRIM(INDIRECT($O274)), 0))</f>
        <v>293413415</v>
      </c>
      <c r="F274" s="11" cm="1">
        <f t="array" aca="1" ref="F274" ca="1">INDEX(INDIRECT($M274),
       MATCH(TRIM($C274), TRIM(INDIRECT($N274)), 0),
       MATCH(TRIM(F$2), TRIM(INDIRECT($O274)), 0))</f>
        <v>293.41341499999999</v>
      </c>
      <c r="G274" s="11" cm="1">
        <f t="array" aca="1" ref="G274" ca="1">INDEX(INDIRECT($M274),
       MATCH(TRIM($C274), TRIM(INDIRECT($N274)), 0),
       MATCH(TRIM(G$2), TRIM(INDIRECT($O274)), 0))</f>
        <v>5</v>
      </c>
      <c r="H274" s="9" cm="1">
        <f t="array" aca="1" ref="H274" ca="1">INDEX(INDIRECT($M274),
       MATCH(TRIM($C274), TRIM(INDIRECT($N274)), 0),
       MATCH(TRIM(H$2), TRIM(INDIRECT($O274)), 0))</f>
        <v>27297347</v>
      </c>
      <c r="I274" s="11" cm="1">
        <f t="array" aca="1" ref="I274" ca="1">INDEX(INDIRECT($M274),
       MATCH(TRIM($C274), TRIM(INDIRECT($N274)), 0),
       MATCH(TRIM(I$2), TRIM(INDIRECT($O274)), 0))</f>
        <v>27.297346999999998</v>
      </c>
      <c r="J274" s="9" cm="1">
        <f t="array" aca="1" ref="J274" ca="1">INDEX(INDIRECT($M274),
       MATCH(TRIM($C274), TRIM(INDIRECT($N274)), 0),
       MATCH(TRIM(J$2), TRIM(INDIRECT($O274)), 0))</f>
        <v>19</v>
      </c>
      <c r="K274" s="11" cm="1">
        <f t="array" aca="1" ref="K274" ca="1">INDEX(INDIRECT($M274),
       MATCH(TRIM($C274), TRIM(INDIRECT($N274)), 0),
       MATCH(TRIM(K$2), TRIM(INDIRECT($O274)), 0))</f>
        <v>2.5634755158973381</v>
      </c>
      <c r="L274" s="11" cm="1">
        <f t="array" aca="1" ref="L274" ca="1">INDEX(INDIRECT($M274),
       MATCH(TRIM($C274), TRIM(INDIRECT($N274)), 0),
       MATCH(TRIM(L$2), TRIM(INDIRECT($O274)), 0))</f>
        <v>323.27423751589731</v>
      </c>
      <c r="M274" s="5" t="str">
        <f t="shared" si="12"/>
        <v>'2019'!$N$3:$V$80</v>
      </c>
      <c r="N274" s="5" t="str">
        <f t="shared" si="13"/>
        <v>'2019'!$M$2:$M$80</v>
      </c>
      <c r="O274" s="5" t="str">
        <f t="shared" si="14"/>
        <v>'2019'!$N$2:$W$2</v>
      </c>
    </row>
    <row r="275" spans="1:15" x14ac:dyDescent="0.3">
      <c r="A275">
        <v>21</v>
      </c>
      <c r="B275" s="9">
        <v>2019</v>
      </c>
      <c r="C275" t="s">
        <v>20</v>
      </c>
      <c r="D275" s="11" cm="1">
        <f t="array" aca="1" ref="D275" ca="1">INDEX(INDIRECT($M275),
       MATCH(TRIM($C275), TRIM(INDIRECT($N275)), 0),
       MATCH(TRIM(D$2), TRIM(INDIRECT($O275)), 0))</f>
        <v>11</v>
      </c>
      <c r="E275" s="9" cm="1">
        <f t="array" aca="1" ref="E275" ca="1">INDEX(INDIRECT($M275),
       MATCH(TRIM($C275), TRIM(INDIRECT($N275)), 0),
       MATCH(TRIM(E$2), TRIM(INDIRECT($O275)), 0))</f>
        <v>312579394</v>
      </c>
      <c r="F275" s="11" cm="1">
        <f t="array" aca="1" ref="F275" ca="1">INDEX(INDIRECT($M275),
       MATCH(TRIM($C275), TRIM(INDIRECT($N275)), 0),
       MATCH(TRIM(F$2), TRIM(INDIRECT($O275)), 0))</f>
        <v>312.57939399999998</v>
      </c>
      <c r="G275" s="11" cm="1">
        <f t="array" aca="1" ref="G275" ca="1">INDEX(INDIRECT($M275),
       MATCH(TRIM($C275), TRIM(INDIRECT($N275)), 0),
       MATCH(TRIM(G$2), TRIM(INDIRECT($O275)), 0))</f>
        <v>0</v>
      </c>
      <c r="H275" s="9" cm="1">
        <f t="array" aca="1" ref="H275" ca="1">INDEX(INDIRECT($M275),
       MATCH(TRIM($C275), TRIM(INDIRECT($N275)), 0),
       MATCH(TRIM(H$2), TRIM(INDIRECT($O275)), 0))</f>
        <v>0</v>
      </c>
      <c r="I275" s="11" cm="1">
        <f t="array" aca="1" ref="I275" ca="1">INDEX(INDIRECT($M275),
       MATCH(TRIM($C275), TRIM(INDIRECT($N275)), 0),
       MATCH(TRIM(I$2), TRIM(INDIRECT($O275)), 0))</f>
        <v>0</v>
      </c>
      <c r="J275" s="9" cm="1">
        <f t="array" aca="1" ref="J275" ca="1">INDEX(INDIRECT($M275),
       MATCH(TRIM($C275), TRIM(INDIRECT($N275)), 0),
       MATCH(TRIM(J$2), TRIM(INDIRECT($O275)), 0))</f>
        <v>10</v>
      </c>
      <c r="K275" s="11" cm="1">
        <f t="array" aca="1" ref="K275" ca="1">INDEX(INDIRECT($M275),
       MATCH(TRIM($C275), TRIM(INDIRECT($N275)), 0),
       MATCH(TRIM(K$2), TRIM(INDIRECT($O275)), 0))</f>
        <v>2.4710068104347784</v>
      </c>
      <c r="L275" s="11" cm="1">
        <f t="array" aca="1" ref="L275" ca="1">INDEX(INDIRECT($M275),
       MATCH(TRIM($C275), TRIM(INDIRECT($N275)), 0),
       MATCH(TRIM(L$2), TRIM(INDIRECT($O275)), 0))</f>
        <v>315.05040081043478</v>
      </c>
      <c r="M275" s="5" t="str">
        <f t="shared" si="12"/>
        <v>'2019'!$N$3:$V$80</v>
      </c>
      <c r="N275" s="5" t="str">
        <f t="shared" si="13"/>
        <v>'2019'!$M$2:$M$80</v>
      </c>
      <c r="O275" s="5" t="str">
        <f t="shared" si="14"/>
        <v>'2019'!$N$2:$W$2</v>
      </c>
    </row>
    <row r="276" spans="1:15" x14ac:dyDescent="0.3">
      <c r="A276">
        <v>22</v>
      </c>
      <c r="B276" s="9">
        <v>2019</v>
      </c>
      <c r="C276" t="s">
        <v>21</v>
      </c>
      <c r="D276" s="11" cm="1">
        <f t="array" aca="1" ref="D276" ca="1">INDEX(INDIRECT($M276),
       MATCH(TRIM($C276), TRIM(INDIRECT($N276)), 0),
       MATCH(TRIM(D$2), TRIM(INDIRECT($O276)), 0))</f>
        <v>16</v>
      </c>
      <c r="E276" s="9" cm="1">
        <f t="array" aca="1" ref="E276" ca="1">INDEX(INDIRECT($M276),
       MATCH(TRIM($C276), TRIM(INDIRECT($N276)), 0),
       MATCH(TRIM(E$2), TRIM(INDIRECT($O276)), 0))</f>
        <v>171003832</v>
      </c>
      <c r="F276" s="11" cm="1">
        <f t="array" aca="1" ref="F276" ca="1">INDEX(INDIRECT($M276),
       MATCH(TRIM($C276), TRIM(INDIRECT($N276)), 0),
       MATCH(TRIM(F$2), TRIM(INDIRECT($O276)), 0))</f>
        <v>171.00383199999999</v>
      </c>
      <c r="G276" s="11" cm="1">
        <f t="array" aca="1" ref="G276" ca="1">INDEX(INDIRECT($M276),
       MATCH(TRIM($C276), TRIM(INDIRECT($N276)), 0),
       MATCH(TRIM(G$2), TRIM(INDIRECT($O276)), 0))</f>
        <v>1</v>
      </c>
      <c r="H276" s="9" cm="1">
        <f t="array" aca="1" ref="H276" ca="1">INDEX(INDIRECT($M276),
       MATCH(TRIM($C276), TRIM(INDIRECT($N276)), 0),
       MATCH(TRIM(H$2), TRIM(INDIRECT($O276)), 0))</f>
        <v>13500000</v>
      </c>
      <c r="I276" s="11" cm="1">
        <f t="array" aca="1" ref="I276" ca="1">INDEX(INDIRECT($M276),
       MATCH(TRIM($C276), TRIM(INDIRECT($N276)), 0),
       MATCH(TRIM(I$2), TRIM(INDIRECT($O276)), 0))</f>
        <v>13.5</v>
      </c>
      <c r="J276" s="9" cm="1">
        <f t="array" aca="1" ref="J276" ca="1">INDEX(INDIRECT($M276),
       MATCH(TRIM($C276), TRIM(INDIRECT($N276)), 0),
       MATCH(TRIM(J$2), TRIM(INDIRECT($O276)), 0))</f>
        <v>27</v>
      </c>
      <c r="K276" s="11" cm="1">
        <f t="array" aca="1" ref="K276" ca="1">INDEX(INDIRECT($M276),
       MATCH(TRIM($C276), TRIM(INDIRECT($N276)), 0),
       MATCH(TRIM(K$2), TRIM(INDIRECT($O276)), 0))</f>
        <v>57.606900695652158</v>
      </c>
      <c r="L276" s="11" cm="1">
        <f t="array" aca="1" ref="L276" ca="1">INDEX(INDIRECT($M276),
       MATCH(TRIM($C276), TRIM(INDIRECT($N276)), 0),
       MATCH(TRIM(L$2), TRIM(INDIRECT($O276)), 0))</f>
        <v>242.11073269565213</v>
      </c>
      <c r="M276" s="5" t="str">
        <f t="shared" si="12"/>
        <v>'2019'!$N$3:$V$80</v>
      </c>
      <c r="N276" s="5" t="str">
        <f t="shared" si="13"/>
        <v>'2019'!$M$2:$M$80</v>
      </c>
      <c r="O276" s="5" t="str">
        <f t="shared" si="14"/>
        <v>'2019'!$N$2:$W$2</v>
      </c>
    </row>
    <row r="277" spans="1:15" x14ac:dyDescent="0.3">
      <c r="A277">
        <v>23</v>
      </c>
      <c r="B277" s="9">
        <v>2019</v>
      </c>
      <c r="C277" t="s">
        <v>22</v>
      </c>
      <c r="D277" s="11" cm="1">
        <f t="array" aca="1" ref="D277" ca="1">INDEX(INDIRECT($M277),
       MATCH(TRIM($C277), TRIM(INDIRECT($N277)), 0),
       MATCH(TRIM(D$2), TRIM(INDIRECT($O277)), 0))</f>
        <v>1</v>
      </c>
      <c r="E277" s="9" cm="1">
        <f t="array" aca="1" ref="E277" ca="1">INDEX(INDIRECT($M277),
       MATCH(TRIM($C277), TRIM(INDIRECT($N277)), 0),
       MATCH(TRIM(E$2), TRIM(INDIRECT($O277)), 0))</f>
        <v>216752174</v>
      </c>
      <c r="F277" s="11" cm="1">
        <f t="array" aca="1" ref="F277" ca="1">INDEX(INDIRECT($M277),
       MATCH(TRIM($C277), TRIM(INDIRECT($N277)), 0),
       MATCH(TRIM(F$2), TRIM(INDIRECT($O277)), 0))</f>
        <v>216.752174</v>
      </c>
      <c r="G277" s="11" cm="1">
        <f t="array" aca="1" ref="G277" ca="1">INDEX(INDIRECT($M277),
       MATCH(TRIM($C277), TRIM(INDIRECT($N277)), 0),
       MATCH(TRIM(G$2), TRIM(INDIRECT($O277)), 0))</f>
        <v>1</v>
      </c>
      <c r="H277" s="9" cm="1">
        <f t="array" aca="1" ref="H277" ca="1">INDEX(INDIRECT($M277),
       MATCH(TRIM($C277), TRIM(INDIRECT($N277)), 0),
       MATCH(TRIM(H$2), TRIM(INDIRECT($O277)), 0))</f>
        <v>-250000</v>
      </c>
      <c r="I277" s="11" cm="1">
        <f t="array" aca="1" ref="I277" ca="1">INDEX(INDIRECT($M277),
       MATCH(TRIM($C277), TRIM(INDIRECT($N277)), 0),
       MATCH(TRIM(I$2), TRIM(INDIRECT($O277)), 0))</f>
        <v>-0.25</v>
      </c>
      <c r="J277" s="9" cm="1">
        <f t="array" aca="1" ref="J277" ca="1">INDEX(INDIRECT($M277),
       MATCH(TRIM($C277), TRIM(INDIRECT($N277)), 0),
       MATCH(TRIM(J$2), TRIM(INDIRECT($O277)), 0))</f>
        <v>2</v>
      </c>
      <c r="K277" s="11" cm="1">
        <f t="array" aca="1" ref="K277" ca="1">INDEX(INDIRECT($M277),
       MATCH(TRIM($C277), TRIM(INDIRECT($N277)), 0),
       MATCH(TRIM(K$2), TRIM(INDIRECT($O277)), 0))</f>
        <v>6.4982180616740104E-2</v>
      </c>
      <c r="L277" s="11" cm="1">
        <f t="array" aca="1" ref="L277" ca="1">INDEX(INDIRECT($M277),
       MATCH(TRIM($C277), TRIM(INDIRECT($N277)), 0),
       MATCH(TRIM(L$2), TRIM(INDIRECT($O277)), 0))</f>
        <v>216.56715618061673</v>
      </c>
      <c r="M277" s="5" t="str">
        <f t="shared" si="12"/>
        <v>'2019'!$N$3:$V$80</v>
      </c>
      <c r="N277" s="5" t="str">
        <f t="shared" si="13"/>
        <v>'2019'!$M$2:$M$80</v>
      </c>
      <c r="O277" s="5" t="str">
        <f t="shared" si="14"/>
        <v>'2019'!$N$2:$W$2</v>
      </c>
    </row>
    <row r="278" spans="1:15" x14ac:dyDescent="0.3">
      <c r="A278">
        <v>24</v>
      </c>
      <c r="B278" s="9">
        <v>2019</v>
      </c>
      <c r="C278" t="s">
        <v>23</v>
      </c>
      <c r="D278" s="11" cm="1">
        <f t="array" aca="1" ref="D278" ca="1">INDEX(INDIRECT($M278),
       MATCH(TRIM($C278), TRIM(INDIRECT($N278)), 0),
       MATCH(TRIM(D$2), TRIM(INDIRECT($O278)), 0))</f>
        <v>8</v>
      </c>
      <c r="E278" s="9" cm="1">
        <f t="array" aca="1" ref="E278" ca="1">INDEX(INDIRECT($M278),
       MATCH(TRIM($C278), TRIM(INDIRECT($N278)), 0),
       MATCH(TRIM(E$2), TRIM(INDIRECT($O278)), 0))</f>
        <v>109714617</v>
      </c>
      <c r="F278" s="11" cm="1">
        <f t="array" aca="1" ref="F278" ca="1">INDEX(INDIRECT($M278),
       MATCH(TRIM($C278), TRIM(INDIRECT($N278)), 0),
       MATCH(TRIM(F$2), TRIM(INDIRECT($O278)), 0))</f>
        <v>109.714617</v>
      </c>
      <c r="G278" s="11" cm="1">
        <f t="array" aca="1" ref="G278" ca="1">INDEX(INDIRECT($M278),
       MATCH(TRIM($C278), TRIM(INDIRECT($N278)), 0),
       MATCH(TRIM(G$2), TRIM(INDIRECT($O278)), 0))</f>
        <v>1</v>
      </c>
      <c r="H278" s="9" cm="1">
        <f t="array" aca="1" ref="H278" ca="1">INDEX(INDIRECT($M278),
       MATCH(TRIM($C278), TRIM(INDIRECT($N278)), 0),
       MATCH(TRIM(H$2), TRIM(INDIRECT($O278)), 0))</f>
        <v>600000</v>
      </c>
      <c r="I278" s="11" cm="1">
        <f t="array" aca="1" ref="I278" ca="1">INDEX(INDIRECT($M278),
       MATCH(TRIM($C278), TRIM(INDIRECT($N278)), 0),
       MATCH(TRIM(I$2), TRIM(INDIRECT($O278)), 0))</f>
        <v>0.6</v>
      </c>
      <c r="J278" s="9" cm="1">
        <f t="array" aca="1" ref="J278" ca="1">INDEX(INDIRECT($M278),
       MATCH(TRIM($C278), TRIM(INDIRECT($N278)), 0),
       MATCH(TRIM(J$2), TRIM(INDIRECT($O278)), 0))</f>
        <v>128</v>
      </c>
      <c r="K278" s="11" cm="1">
        <f t="array" aca="1" ref="K278" ca="1">INDEX(INDIRECT($M278),
       MATCH(TRIM($C278), TRIM(INDIRECT($N278)), 0),
       MATCH(TRIM(K$2), TRIM(INDIRECT($O278)), 0))</f>
        <v>89.172538934524994</v>
      </c>
      <c r="L278" s="11" cm="1">
        <f t="array" aca="1" ref="L278" ca="1">INDEX(INDIRECT($M278),
       MATCH(TRIM($C278), TRIM(INDIRECT($N278)), 0),
       MATCH(TRIM(L$2), TRIM(INDIRECT($O278)), 0))</f>
        <v>199.48715593452499</v>
      </c>
      <c r="M278" s="5" t="str">
        <f t="shared" si="12"/>
        <v>'2019'!$N$3:$V$80</v>
      </c>
      <c r="N278" s="5" t="str">
        <f t="shared" si="13"/>
        <v>'2019'!$M$2:$M$80</v>
      </c>
      <c r="O278" s="5" t="str">
        <f t="shared" si="14"/>
        <v>'2019'!$N$2:$W$2</v>
      </c>
    </row>
    <row r="279" spans="1:15" x14ac:dyDescent="0.3">
      <c r="A279">
        <v>25</v>
      </c>
      <c r="B279" s="9">
        <v>2019</v>
      </c>
      <c r="C279" t="s">
        <v>24</v>
      </c>
      <c r="D279" s="11" cm="1">
        <f t="array" aca="1" ref="D279" ca="1">INDEX(INDIRECT($M279),
       MATCH(TRIM($C279), TRIM(INDIRECT($N279)), 0),
       MATCH(TRIM(D$2), TRIM(INDIRECT($O279)), 0))</f>
        <v>26</v>
      </c>
      <c r="E279" s="9" cm="1">
        <f t="array" aca="1" ref="E279" ca="1">INDEX(INDIRECT($M279),
       MATCH(TRIM($C279), TRIM(INDIRECT($N279)), 0),
       MATCH(TRIM(E$2), TRIM(INDIRECT($O279)), 0))</f>
        <v>158421761</v>
      </c>
      <c r="F279" s="11" cm="1">
        <f t="array" aca="1" ref="F279" ca="1">INDEX(INDIRECT($M279),
       MATCH(TRIM($C279), TRIM(INDIRECT($N279)), 0),
       MATCH(TRIM(F$2), TRIM(INDIRECT($O279)), 0))</f>
        <v>158.421761</v>
      </c>
      <c r="G279" s="11" cm="1">
        <f t="array" aca="1" ref="G279" ca="1">INDEX(INDIRECT($M279),
       MATCH(TRIM($C279), TRIM(INDIRECT($N279)), 0),
       MATCH(TRIM(G$2), TRIM(INDIRECT($O279)), 0))</f>
        <v>10</v>
      </c>
      <c r="H279" s="9" cm="1">
        <f t="array" aca="1" ref="H279" ca="1">INDEX(INDIRECT($M279),
       MATCH(TRIM($C279), TRIM(INDIRECT($N279)), 0),
       MATCH(TRIM(H$2), TRIM(INDIRECT($O279)), 0))</f>
        <v>-9251521</v>
      </c>
      <c r="I279" s="11" cm="1">
        <f t="array" aca="1" ref="I279" ca="1">INDEX(INDIRECT($M279),
       MATCH(TRIM($C279), TRIM(INDIRECT($N279)), 0),
       MATCH(TRIM(I$2), TRIM(INDIRECT($O279)), 0))</f>
        <v>-9.2515210000000003</v>
      </c>
      <c r="J279" s="9" cm="1">
        <f t="array" aca="1" ref="J279" ca="1">INDEX(INDIRECT($M279),
       MATCH(TRIM($C279), TRIM(INDIRECT($N279)), 0),
       MATCH(TRIM(J$2), TRIM(INDIRECT($O279)), 0))</f>
        <v>34</v>
      </c>
      <c r="K279" s="11" cm="1">
        <f t="array" aca="1" ref="K279" ca="1">INDEX(INDIRECT($M279),
       MATCH(TRIM($C279), TRIM(INDIRECT($N279)), 0),
       MATCH(TRIM(K$2), TRIM(INDIRECT($O279)), 0))</f>
        <v>31.524898473248438</v>
      </c>
      <c r="L279" s="11" cm="1">
        <f t="array" aca="1" ref="L279" ca="1">INDEX(INDIRECT($M279),
       MATCH(TRIM($C279), TRIM(INDIRECT($N279)), 0),
       MATCH(TRIM(L$2), TRIM(INDIRECT($O279)), 0))</f>
        <v>180.69513847324845</v>
      </c>
      <c r="M279" s="5" t="str">
        <f t="shared" si="12"/>
        <v>'2019'!$N$3:$V$80</v>
      </c>
      <c r="N279" s="5" t="str">
        <f t="shared" si="13"/>
        <v>'2019'!$M$2:$M$80</v>
      </c>
      <c r="O279" s="5" t="str">
        <f t="shared" si="14"/>
        <v>'2019'!$N$2:$W$2</v>
      </c>
    </row>
    <row r="280" spans="1:15" x14ac:dyDescent="0.3">
      <c r="A280">
        <v>26</v>
      </c>
      <c r="B280" s="9">
        <v>2019</v>
      </c>
      <c r="C280" t="s">
        <v>25</v>
      </c>
      <c r="D280" s="11" cm="1">
        <f t="array" aca="1" ref="D280" ca="1">INDEX(INDIRECT($M280),
       MATCH(TRIM($C280), TRIM(INDIRECT($N280)), 0),
       MATCH(TRIM(D$2), TRIM(INDIRECT($O280)), 0))</f>
        <v>8</v>
      </c>
      <c r="E280" s="9" cm="1">
        <f t="array" aca="1" ref="E280" ca="1">INDEX(INDIRECT($M280),
       MATCH(TRIM($C280), TRIM(INDIRECT($N280)), 0),
       MATCH(TRIM(E$2), TRIM(INDIRECT($O280)), 0))</f>
        <v>155853465</v>
      </c>
      <c r="F280" s="11" cm="1">
        <f t="array" aca="1" ref="F280" ca="1">INDEX(INDIRECT($M280),
       MATCH(TRIM($C280), TRIM(INDIRECT($N280)), 0),
       MATCH(TRIM(F$2), TRIM(INDIRECT($O280)), 0))</f>
        <v>155.853465</v>
      </c>
      <c r="G280" s="11" cm="1">
        <f t="array" aca="1" ref="G280" ca="1">INDEX(INDIRECT($M280),
       MATCH(TRIM($C280), TRIM(INDIRECT($N280)), 0),
       MATCH(TRIM(G$2), TRIM(INDIRECT($O280)), 0))</f>
        <v>2</v>
      </c>
      <c r="H280" s="9" cm="1">
        <f t="array" aca="1" ref="H280" ca="1">INDEX(INDIRECT($M280),
       MATCH(TRIM($C280), TRIM(INDIRECT($N280)), 0),
       MATCH(TRIM(H$2), TRIM(INDIRECT($O280)), 0))</f>
        <v>2095000</v>
      </c>
      <c r="I280" s="11" cm="1">
        <f t="array" aca="1" ref="I280" ca="1">INDEX(INDIRECT($M280),
       MATCH(TRIM($C280), TRIM(INDIRECT($N280)), 0),
       MATCH(TRIM(I$2), TRIM(INDIRECT($O280)), 0))</f>
        <v>2.0950000000000002</v>
      </c>
      <c r="J280" s="9" cm="1">
        <f t="array" aca="1" ref="J280" ca="1">INDEX(INDIRECT($M280),
       MATCH(TRIM($C280), TRIM(INDIRECT($N280)), 0),
       MATCH(TRIM(J$2), TRIM(INDIRECT($O280)), 0))</f>
        <v>28</v>
      </c>
      <c r="K280" s="11" cm="1">
        <f t="array" aca="1" ref="K280" ca="1">INDEX(INDIRECT($M280),
       MATCH(TRIM($C280), TRIM(INDIRECT($N280)), 0),
       MATCH(TRIM(K$2), TRIM(INDIRECT($O280)), 0))</f>
        <v>22.219010962076197</v>
      </c>
      <c r="L280" s="11" cm="1">
        <f t="array" aca="1" ref="L280" ca="1">INDEX(INDIRECT($M280),
       MATCH(TRIM($C280), TRIM(INDIRECT($N280)), 0),
       MATCH(TRIM(L$2), TRIM(INDIRECT($O280)), 0))</f>
        <v>180.1674759620762</v>
      </c>
      <c r="M280" s="5" t="str">
        <f t="shared" si="12"/>
        <v>'2019'!$N$3:$V$80</v>
      </c>
      <c r="N280" s="5" t="str">
        <f t="shared" si="13"/>
        <v>'2019'!$M$2:$M$80</v>
      </c>
      <c r="O280" s="5" t="str">
        <f t="shared" si="14"/>
        <v>'2019'!$N$2:$W$2</v>
      </c>
    </row>
    <row r="281" spans="1:15" x14ac:dyDescent="0.3">
      <c r="A281">
        <v>27</v>
      </c>
      <c r="B281" s="9">
        <v>2019</v>
      </c>
      <c r="C281" t="s">
        <v>26</v>
      </c>
      <c r="D281" s="11" cm="1">
        <f t="array" aca="1" ref="D281" ca="1">INDEX(INDIRECT($M281),
       MATCH(TRIM($C281), TRIM(INDIRECT($N281)), 0),
       MATCH(TRIM(D$2), TRIM(INDIRECT($O281)), 0))</f>
        <v>18</v>
      </c>
      <c r="E281" s="9" cm="1">
        <f t="array" aca="1" ref="E281" ca="1">INDEX(INDIRECT($M281),
       MATCH(TRIM($C281), TRIM(INDIRECT($N281)), 0),
       MATCH(TRIM(E$2), TRIM(INDIRECT($O281)), 0))</f>
        <v>131573101</v>
      </c>
      <c r="F281" s="11" cm="1">
        <f t="array" aca="1" ref="F281" ca="1">INDEX(INDIRECT($M281),
       MATCH(TRIM($C281), TRIM(INDIRECT($N281)), 0),
       MATCH(TRIM(F$2), TRIM(INDIRECT($O281)), 0))</f>
        <v>131.57310100000001</v>
      </c>
      <c r="G281" s="11" cm="1">
        <f t="array" aca="1" ref="G281" ca="1">INDEX(INDIRECT($M281),
       MATCH(TRIM($C281), TRIM(INDIRECT($N281)), 0),
       MATCH(TRIM(G$2), TRIM(INDIRECT($O281)), 0))</f>
        <v>3</v>
      </c>
      <c r="H281" s="9" cm="1">
        <f t="array" aca="1" ref="H281" ca="1">INDEX(INDIRECT($M281),
       MATCH(TRIM($C281), TRIM(INDIRECT($N281)), 0),
       MATCH(TRIM(H$2), TRIM(INDIRECT($O281)), 0))</f>
        <v>6700000</v>
      </c>
      <c r="I281" s="11" cm="1">
        <f t="array" aca="1" ref="I281" ca="1">INDEX(INDIRECT($M281),
       MATCH(TRIM($C281), TRIM(INDIRECT($N281)), 0),
       MATCH(TRIM(I$2), TRIM(INDIRECT($O281)), 0))</f>
        <v>6.7</v>
      </c>
      <c r="J281" s="9" cm="1">
        <f t="array" aca="1" ref="J281" ca="1">INDEX(INDIRECT($M281),
       MATCH(TRIM($C281), TRIM(INDIRECT($N281)), 0),
       MATCH(TRIM(J$2), TRIM(INDIRECT($O281)), 0))</f>
        <v>9</v>
      </c>
      <c r="K281" s="11" cm="1">
        <f t="array" aca="1" ref="K281" ca="1">INDEX(INDIRECT($M281),
       MATCH(TRIM($C281), TRIM(INDIRECT($N281)), 0),
       MATCH(TRIM(K$2), TRIM(INDIRECT($O281)), 0))</f>
        <v>12.222562539168749</v>
      </c>
      <c r="L281" s="11" cm="1">
        <f t="array" aca="1" ref="L281" ca="1">INDEX(INDIRECT($M281),
       MATCH(TRIM($C281), TRIM(INDIRECT($N281)), 0),
       MATCH(TRIM(L$2), TRIM(INDIRECT($O281)), 0))</f>
        <v>150.49566353916873</v>
      </c>
      <c r="M281" s="5" t="str">
        <f t="shared" si="12"/>
        <v>'2019'!$N$3:$V$80</v>
      </c>
      <c r="N281" s="5" t="str">
        <f t="shared" si="13"/>
        <v>'2019'!$M$2:$M$80</v>
      </c>
      <c r="O281" s="5" t="str">
        <f t="shared" si="14"/>
        <v>'2019'!$N$2:$W$2</v>
      </c>
    </row>
    <row r="282" spans="1:15" x14ac:dyDescent="0.3">
      <c r="A282">
        <v>28</v>
      </c>
      <c r="B282" s="9">
        <v>2019</v>
      </c>
      <c r="C282" t="s">
        <v>27</v>
      </c>
      <c r="D282" s="11" cm="1">
        <f t="array" aca="1" ref="D282" ca="1">INDEX(INDIRECT($M282),
       MATCH(TRIM($C282), TRIM(INDIRECT($N282)), 0),
       MATCH(TRIM(D$2), TRIM(INDIRECT($O282)), 0))</f>
        <v>7</v>
      </c>
      <c r="E282" s="9" cm="1">
        <f t="array" aca="1" ref="E282" ca="1">INDEX(INDIRECT($M282),
       MATCH(TRIM($C282), TRIM(INDIRECT($N282)), 0),
       MATCH(TRIM(E$2), TRIM(INDIRECT($O282)), 0))</f>
        <v>120007913</v>
      </c>
      <c r="F282" s="11" cm="1">
        <f t="array" aca="1" ref="F282" ca="1">INDEX(INDIRECT($M282),
       MATCH(TRIM($C282), TRIM(INDIRECT($N282)), 0),
       MATCH(TRIM(F$2), TRIM(INDIRECT($O282)), 0))</f>
        <v>120.007913</v>
      </c>
      <c r="G282" s="11" cm="1">
        <f t="array" aca="1" ref="G282" ca="1">INDEX(INDIRECT($M282),
       MATCH(TRIM($C282), TRIM(INDIRECT($N282)), 0),
       MATCH(TRIM(G$2), TRIM(INDIRECT($O282)), 0))</f>
        <v>3</v>
      </c>
      <c r="H282" s="9" cm="1">
        <f t="array" aca="1" ref="H282" ca="1">INDEX(INDIRECT($M282),
       MATCH(TRIM($C282), TRIM(INDIRECT($N282)), 0),
       MATCH(TRIM(H$2), TRIM(INDIRECT($O282)), 0))</f>
        <v>23036600</v>
      </c>
      <c r="I282" s="11" cm="1">
        <f t="array" aca="1" ref="I282" ca="1">INDEX(INDIRECT($M282),
       MATCH(TRIM($C282), TRIM(INDIRECT($N282)), 0),
       MATCH(TRIM(I$2), TRIM(INDIRECT($O282)), 0))</f>
        <v>23.0366</v>
      </c>
      <c r="J282" s="9" cm="1">
        <f t="array" aca="1" ref="J282" ca="1">INDEX(INDIRECT($M282),
       MATCH(TRIM($C282), TRIM(INDIRECT($N282)), 0),
       MATCH(TRIM(J$2), TRIM(INDIRECT($O282)), 0))</f>
        <v>10</v>
      </c>
      <c r="K282" s="11" cm="1">
        <f t="array" aca="1" ref="K282" ca="1">INDEX(INDIRECT($M282),
       MATCH(TRIM($C282), TRIM(INDIRECT($N282)), 0),
       MATCH(TRIM(K$2), TRIM(INDIRECT($O282)), 0))</f>
        <v>4.9173171731538021</v>
      </c>
      <c r="L282" s="11" cm="1">
        <f t="array" aca="1" ref="L282" ca="1">INDEX(INDIRECT($M282),
       MATCH(TRIM($C282), TRIM(INDIRECT($N282)), 0),
       MATCH(TRIM(L$2), TRIM(INDIRECT($O282)), 0))</f>
        <v>147.9618301731538</v>
      </c>
      <c r="M282" s="5" t="str">
        <f t="shared" si="12"/>
        <v>'2019'!$N$3:$V$80</v>
      </c>
      <c r="N282" s="5" t="str">
        <f t="shared" si="13"/>
        <v>'2019'!$M$2:$M$80</v>
      </c>
      <c r="O282" s="5" t="str">
        <f t="shared" si="14"/>
        <v>'2019'!$N$2:$W$2</v>
      </c>
    </row>
    <row r="283" spans="1:15" x14ac:dyDescent="0.3">
      <c r="A283">
        <v>29</v>
      </c>
      <c r="B283" s="9">
        <v>2019</v>
      </c>
      <c r="C283" t="s">
        <v>28</v>
      </c>
      <c r="D283" s="11" cm="1">
        <f t="array" aca="1" ref="D283" ca="1">INDEX(INDIRECT($M283),
       MATCH(TRIM($C283), TRIM(INDIRECT($N283)), 0),
       MATCH(TRIM(D$2), TRIM(INDIRECT($O283)), 0))</f>
        <v>4</v>
      </c>
      <c r="E283" s="9" cm="1">
        <f t="array" aca="1" ref="E283" ca="1">INDEX(INDIRECT($M283),
       MATCH(TRIM($C283), TRIM(INDIRECT($N283)), 0),
       MATCH(TRIM(E$2), TRIM(INDIRECT($O283)), 0))</f>
        <v>49500000</v>
      </c>
      <c r="F283" s="11" cm="1">
        <f t="array" aca="1" ref="F283" ca="1">INDEX(INDIRECT($M283),
       MATCH(TRIM($C283), TRIM(INDIRECT($N283)), 0),
       MATCH(TRIM(F$2), TRIM(INDIRECT($O283)), 0))</f>
        <v>49.5</v>
      </c>
      <c r="G283" s="11" cm="1">
        <f t="array" aca="1" ref="G283" ca="1">INDEX(INDIRECT($M283),
       MATCH(TRIM($C283), TRIM(INDIRECT($N283)), 0),
       MATCH(TRIM(G$2), TRIM(INDIRECT($O283)), 0))</f>
        <v>5</v>
      </c>
      <c r="H283" s="9" cm="1">
        <f t="array" aca="1" ref="H283" ca="1">INDEX(INDIRECT($M283),
       MATCH(TRIM($C283), TRIM(INDIRECT($N283)), 0),
       MATCH(TRIM(H$2), TRIM(INDIRECT($O283)), 0))</f>
        <v>63400000</v>
      </c>
      <c r="I283" s="11" cm="1">
        <f t="array" aca="1" ref="I283" ca="1">INDEX(INDIRECT($M283),
       MATCH(TRIM($C283), TRIM(INDIRECT($N283)), 0),
       MATCH(TRIM(I$2), TRIM(INDIRECT($O283)), 0))</f>
        <v>63.4</v>
      </c>
      <c r="J283" s="9" cm="1">
        <f t="array" aca="1" ref="J283" ca="1">INDEX(INDIRECT($M283),
       MATCH(TRIM($C283), TRIM(INDIRECT($N283)), 0),
       MATCH(TRIM(J$2), TRIM(INDIRECT($O283)), 0))</f>
        <v>2</v>
      </c>
      <c r="K283" s="11" cm="1">
        <f t="array" aca="1" ref="K283" ca="1">INDEX(INDIRECT($M283),
       MATCH(TRIM($C283), TRIM(INDIRECT($N283)), 0),
       MATCH(TRIM(K$2), TRIM(INDIRECT($O283)), 0))</f>
        <v>21.871514521739158</v>
      </c>
      <c r="L283" s="11" cm="1">
        <f t="array" aca="1" ref="L283" ca="1">INDEX(INDIRECT($M283),
       MATCH(TRIM($C283), TRIM(INDIRECT($N283)), 0),
       MATCH(TRIM(L$2), TRIM(INDIRECT($O283)), 0))</f>
        <v>134.77151452173916</v>
      </c>
      <c r="M283" s="5" t="str">
        <f t="shared" si="12"/>
        <v>'2019'!$N$3:$V$80</v>
      </c>
      <c r="N283" s="5" t="str">
        <f t="shared" si="13"/>
        <v>'2019'!$M$2:$M$80</v>
      </c>
      <c r="O283" s="5" t="str">
        <f t="shared" si="14"/>
        <v>'2019'!$N$2:$W$2</v>
      </c>
    </row>
    <row r="284" spans="1:15" x14ac:dyDescent="0.3">
      <c r="A284">
        <v>30</v>
      </c>
      <c r="B284" s="9">
        <v>2019</v>
      </c>
      <c r="C284" t="s">
        <v>29</v>
      </c>
      <c r="D284" s="11" cm="1">
        <f t="array" aca="1" ref="D284" ca="1">INDEX(INDIRECT($M284),
       MATCH(TRIM($C284), TRIM(INDIRECT($N284)), 0),
       MATCH(TRIM(D$2), TRIM(INDIRECT($O284)), 0))</f>
        <v>3</v>
      </c>
      <c r="E284" s="9" cm="1">
        <f t="array" aca="1" ref="E284" ca="1">INDEX(INDIRECT($M284),
       MATCH(TRIM($C284), TRIM(INDIRECT($N284)), 0),
       MATCH(TRIM(E$2), TRIM(INDIRECT($O284)), 0))</f>
        <v>114628839</v>
      </c>
      <c r="F284" s="11" cm="1">
        <f t="array" aca="1" ref="F284" ca="1">INDEX(INDIRECT($M284),
       MATCH(TRIM($C284), TRIM(INDIRECT($N284)), 0),
       MATCH(TRIM(F$2), TRIM(INDIRECT($O284)), 0))</f>
        <v>114.628839</v>
      </c>
      <c r="G284" s="11" cm="1">
        <f t="array" aca="1" ref="G284" ca="1">INDEX(INDIRECT($M284),
       MATCH(TRIM($C284), TRIM(INDIRECT($N284)), 0),
       MATCH(TRIM(G$2), TRIM(INDIRECT($O284)), 0))</f>
        <v>0</v>
      </c>
      <c r="H284" s="9" cm="1">
        <f t="array" aca="1" ref="H284" ca="1">INDEX(INDIRECT($M284),
       MATCH(TRIM($C284), TRIM(INDIRECT($N284)), 0),
       MATCH(TRIM(H$2), TRIM(INDIRECT($O284)), 0))</f>
        <v>0</v>
      </c>
      <c r="I284" s="11" cm="1">
        <f t="array" aca="1" ref="I284" ca="1">INDEX(INDIRECT($M284),
       MATCH(TRIM($C284), TRIM(INDIRECT($N284)), 0),
       MATCH(TRIM(I$2), TRIM(INDIRECT($O284)), 0))</f>
        <v>0</v>
      </c>
      <c r="J284" s="9" cm="1">
        <f t="array" aca="1" ref="J284" ca="1">INDEX(INDIRECT($M284),
       MATCH(TRIM($C284), TRIM(INDIRECT($N284)), 0),
       MATCH(TRIM(J$2), TRIM(INDIRECT($O284)), 0))</f>
        <v>10</v>
      </c>
      <c r="K284" s="11" cm="1">
        <f t="array" aca="1" ref="K284" ca="1">INDEX(INDIRECT($M284),
       MATCH(TRIM($C284), TRIM(INDIRECT($N284)), 0),
       MATCH(TRIM(K$2), TRIM(INDIRECT($O284)), 0))</f>
        <v>15.547659173913045</v>
      </c>
      <c r="L284" s="11" cm="1">
        <f t="array" aca="1" ref="L284" ca="1">INDEX(INDIRECT($M284),
       MATCH(TRIM($C284), TRIM(INDIRECT($N284)), 0),
       MATCH(TRIM(L$2), TRIM(INDIRECT($O284)), 0))</f>
        <v>130.17649817391305</v>
      </c>
      <c r="M284" s="5" t="str">
        <f t="shared" si="12"/>
        <v>'2019'!$N$3:$V$80</v>
      </c>
      <c r="N284" s="5" t="str">
        <f t="shared" si="13"/>
        <v>'2019'!$M$2:$M$80</v>
      </c>
      <c r="O284" s="5" t="str">
        <f t="shared" si="14"/>
        <v>'2019'!$N$2:$W$2</v>
      </c>
    </row>
    <row r="285" spans="1:15" x14ac:dyDescent="0.3">
      <c r="A285">
        <v>31</v>
      </c>
      <c r="B285" s="9">
        <v>2019</v>
      </c>
      <c r="C285" t="s">
        <v>30</v>
      </c>
      <c r="D285" s="11" cm="1">
        <f t="array" aca="1" ref="D285" ca="1">INDEX(INDIRECT($M285),
       MATCH(TRIM($C285), TRIM(INDIRECT($N285)), 0),
       MATCH(TRIM(D$2), TRIM(INDIRECT($O285)), 0))</f>
        <v>2</v>
      </c>
      <c r="E285" s="9" cm="1">
        <f t="array" aca="1" ref="E285" ca="1">INDEX(INDIRECT($M285),
       MATCH(TRIM($C285), TRIM(INDIRECT($N285)), 0),
       MATCH(TRIM(E$2), TRIM(INDIRECT($O285)), 0))</f>
        <v>113468460</v>
      </c>
      <c r="F285" s="11" cm="1">
        <f t="array" aca="1" ref="F285" ca="1">INDEX(INDIRECT($M285),
       MATCH(TRIM($C285), TRIM(INDIRECT($N285)), 0),
       MATCH(TRIM(F$2), TRIM(INDIRECT($O285)), 0))</f>
        <v>113.46845999999999</v>
      </c>
      <c r="G285" s="11" cm="1">
        <f t="array" aca="1" ref="G285" ca="1">INDEX(INDIRECT($M285),
       MATCH(TRIM($C285), TRIM(INDIRECT($N285)), 0),
       MATCH(TRIM(G$2), TRIM(INDIRECT($O285)), 0))</f>
        <v>0</v>
      </c>
      <c r="H285" s="9" cm="1">
        <f t="array" aca="1" ref="H285" ca="1">INDEX(INDIRECT($M285),
       MATCH(TRIM($C285), TRIM(INDIRECT($N285)), 0),
       MATCH(TRIM(H$2), TRIM(INDIRECT($O285)), 0))</f>
        <v>0</v>
      </c>
      <c r="I285" s="11" cm="1">
        <f t="array" aca="1" ref="I285" ca="1">INDEX(INDIRECT($M285),
       MATCH(TRIM($C285), TRIM(INDIRECT($N285)), 0),
       MATCH(TRIM(I$2), TRIM(INDIRECT($O285)), 0))</f>
        <v>0</v>
      </c>
      <c r="J285" s="9" cm="1">
        <f t="array" aca="1" ref="J285" ca="1">INDEX(INDIRECT($M285),
       MATCH(TRIM($C285), TRIM(INDIRECT($N285)), 0),
       MATCH(TRIM(J$2), TRIM(INDIRECT($O285)), 0))</f>
        <v>2</v>
      </c>
      <c r="K285" s="11" cm="1">
        <f t="array" aca="1" ref="K285" ca="1">INDEX(INDIRECT($M285),
       MATCH(TRIM($C285), TRIM(INDIRECT($N285)), 0),
       MATCH(TRIM(K$2), TRIM(INDIRECT($O285)), 0))</f>
        <v>0.67913043478260793</v>
      </c>
      <c r="L285" s="11" cm="1">
        <f t="array" aca="1" ref="L285" ca="1">INDEX(INDIRECT($M285),
       MATCH(TRIM($C285), TRIM(INDIRECT($N285)), 0),
       MATCH(TRIM(L$2), TRIM(INDIRECT($O285)), 0))</f>
        <v>114.1475904347826</v>
      </c>
      <c r="M285" s="5" t="str">
        <f t="shared" si="12"/>
        <v>'2019'!$N$3:$V$80</v>
      </c>
      <c r="N285" s="5" t="str">
        <f t="shared" si="13"/>
        <v>'2019'!$M$2:$M$80</v>
      </c>
      <c r="O285" s="5" t="str">
        <f t="shared" si="14"/>
        <v>'2019'!$N$2:$W$2</v>
      </c>
    </row>
    <row r="286" spans="1:15" x14ac:dyDescent="0.3">
      <c r="A286">
        <v>32</v>
      </c>
      <c r="B286" s="9">
        <v>2019</v>
      </c>
      <c r="C286" t="s">
        <v>31</v>
      </c>
      <c r="D286" s="11" cm="1">
        <f t="array" aca="1" ref="D286" ca="1">INDEX(INDIRECT($M286),
       MATCH(TRIM($C286), TRIM(INDIRECT($N286)), 0),
       MATCH(TRIM(D$2), TRIM(INDIRECT($O286)), 0))</f>
        <v>5</v>
      </c>
      <c r="E286" s="9" cm="1">
        <f t="array" aca="1" ref="E286" ca="1">INDEX(INDIRECT($M286),
       MATCH(TRIM($C286), TRIM(INDIRECT($N286)), 0),
       MATCH(TRIM(E$2), TRIM(INDIRECT($O286)), 0))</f>
        <v>112053943</v>
      </c>
      <c r="F286" s="11" cm="1">
        <f t="array" aca="1" ref="F286" ca="1">INDEX(INDIRECT($M286),
       MATCH(TRIM($C286), TRIM(INDIRECT($N286)), 0),
       MATCH(TRIM(F$2), TRIM(INDIRECT($O286)), 0))</f>
        <v>112.053943</v>
      </c>
      <c r="G286" s="11" cm="1">
        <f t="array" aca="1" ref="G286" ca="1">INDEX(INDIRECT($M286),
       MATCH(TRIM($C286), TRIM(INDIRECT($N286)), 0),
       MATCH(TRIM(G$2), TRIM(INDIRECT($O286)), 0))</f>
        <v>0</v>
      </c>
      <c r="H286" s="9" cm="1">
        <f t="array" aca="1" ref="H286" ca="1">INDEX(INDIRECT($M286),
       MATCH(TRIM($C286), TRIM(INDIRECT($N286)), 0),
       MATCH(TRIM(H$2), TRIM(INDIRECT($O286)), 0))</f>
        <v>0</v>
      </c>
      <c r="I286" s="11" cm="1">
        <f t="array" aca="1" ref="I286" ca="1">INDEX(INDIRECT($M286),
       MATCH(TRIM($C286), TRIM(INDIRECT($N286)), 0),
       MATCH(TRIM(I$2), TRIM(INDIRECT($O286)), 0))</f>
        <v>0</v>
      </c>
      <c r="J286" s="9" cm="1">
        <f t="array" aca="1" ref="J286" ca="1">INDEX(INDIRECT($M286),
       MATCH(TRIM($C286), TRIM(INDIRECT($N286)), 0),
       MATCH(TRIM(J$2), TRIM(INDIRECT($O286)), 0))</f>
        <v>2</v>
      </c>
      <c r="K286" s="11" cm="1">
        <f t="array" aca="1" ref="K286" ca="1">INDEX(INDIRECT($M286),
       MATCH(TRIM($C286), TRIM(INDIRECT($N286)), 0),
       MATCH(TRIM(K$2), TRIM(INDIRECT($O286)), 0))</f>
        <v>0.2815217391304351</v>
      </c>
      <c r="L286" s="11" cm="1">
        <f t="array" aca="1" ref="L286" ca="1">INDEX(INDIRECT($M286),
       MATCH(TRIM($C286), TRIM(INDIRECT($N286)), 0),
       MATCH(TRIM(L$2), TRIM(INDIRECT($O286)), 0))</f>
        <v>112.33546473913044</v>
      </c>
      <c r="M286" s="5" t="str">
        <f t="shared" si="12"/>
        <v>'2019'!$N$3:$V$80</v>
      </c>
      <c r="N286" s="5" t="str">
        <f t="shared" si="13"/>
        <v>'2019'!$M$2:$M$80</v>
      </c>
      <c r="O286" s="5" t="str">
        <f t="shared" si="14"/>
        <v>'2019'!$N$2:$W$2</v>
      </c>
    </row>
    <row r="287" spans="1:15" x14ac:dyDescent="0.3">
      <c r="A287">
        <v>33</v>
      </c>
      <c r="B287" s="9">
        <v>2019</v>
      </c>
      <c r="C287" t="s">
        <v>32</v>
      </c>
      <c r="D287" s="11" cm="1">
        <f t="array" aca="1" ref="D287" ca="1">INDEX(INDIRECT($M287),
       MATCH(TRIM($C287), TRIM(INDIRECT($N287)), 0),
       MATCH(TRIM(D$2), TRIM(INDIRECT($O287)), 0))</f>
        <v>4</v>
      </c>
      <c r="E287" s="9" cm="1">
        <f t="array" aca="1" ref="E287" ca="1">INDEX(INDIRECT($M287),
       MATCH(TRIM($C287), TRIM(INDIRECT($N287)), 0),
       MATCH(TRIM(E$2), TRIM(INDIRECT($O287)), 0))</f>
        <v>99470000</v>
      </c>
      <c r="F287" s="11" cm="1">
        <f t="array" aca="1" ref="F287" ca="1">INDEX(INDIRECT($M287),
       MATCH(TRIM($C287), TRIM(INDIRECT($N287)), 0),
       MATCH(TRIM(F$2), TRIM(INDIRECT($O287)), 0))</f>
        <v>99.47</v>
      </c>
      <c r="G287" s="11" cm="1">
        <f t="array" aca="1" ref="G287" ca="1">INDEX(INDIRECT($M287),
       MATCH(TRIM($C287), TRIM(INDIRECT($N287)), 0),
       MATCH(TRIM(G$2), TRIM(INDIRECT($O287)), 0))</f>
        <v>0</v>
      </c>
      <c r="H287" s="9" cm="1">
        <f t="array" aca="1" ref="H287" ca="1">INDEX(INDIRECT($M287),
       MATCH(TRIM($C287), TRIM(INDIRECT($N287)), 0),
       MATCH(TRIM(H$2), TRIM(INDIRECT($O287)), 0))</f>
        <v>0</v>
      </c>
      <c r="I287" s="11" cm="1">
        <f t="array" aca="1" ref="I287" ca="1">INDEX(INDIRECT($M287),
       MATCH(TRIM($C287), TRIM(INDIRECT($N287)), 0),
       MATCH(TRIM(I$2), TRIM(INDIRECT($O287)), 0))</f>
        <v>0</v>
      </c>
      <c r="J287" s="9" cm="1">
        <f t="array" aca="1" ref="J287" ca="1">INDEX(INDIRECT($M287),
       MATCH(TRIM($C287), TRIM(INDIRECT($N287)), 0),
       MATCH(TRIM(J$2), TRIM(INDIRECT($O287)), 0))</f>
        <v>7</v>
      </c>
      <c r="K287" s="11" cm="1">
        <f t="array" aca="1" ref="K287" ca="1">INDEX(INDIRECT($M287),
       MATCH(TRIM($C287), TRIM(INDIRECT($N287)), 0),
       MATCH(TRIM(K$2), TRIM(INDIRECT($O287)), 0))</f>
        <v>11.016250637869568</v>
      </c>
      <c r="L287" s="11" cm="1">
        <f t="array" aca="1" ref="L287" ca="1">INDEX(INDIRECT($M287),
       MATCH(TRIM($C287), TRIM(INDIRECT($N287)), 0),
       MATCH(TRIM(L$2), TRIM(INDIRECT($O287)), 0))</f>
        <v>110.48625063786957</v>
      </c>
      <c r="M287" s="5" t="str">
        <f t="shared" si="12"/>
        <v>'2019'!$N$3:$V$80</v>
      </c>
      <c r="N287" s="5" t="str">
        <f t="shared" si="13"/>
        <v>'2019'!$M$2:$M$80</v>
      </c>
      <c r="O287" s="5" t="str">
        <f t="shared" si="14"/>
        <v>'2019'!$N$2:$W$2</v>
      </c>
    </row>
    <row r="288" spans="1:15" x14ac:dyDescent="0.3">
      <c r="A288">
        <v>34</v>
      </c>
      <c r="B288" s="9">
        <v>2019</v>
      </c>
      <c r="C288" t="s">
        <v>33</v>
      </c>
      <c r="D288" s="11" cm="1">
        <f t="array" aca="1" ref="D288" ca="1">INDEX(INDIRECT($M288),
       MATCH(TRIM($C288), TRIM(INDIRECT($N288)), 0),
       MATCH(TRIM(D$2), TRIM(INDIRECT($O288)), 0))</f>
        <v>6</v>
      </c>
      <c r="E288" s="9" cm="1">
        <f t="array" aca="1" ref="E288" ca="1">INDEX(INDIRECT($M288),
       MATCH(TRIM($C288), TRIM(INDIRECT($N288)), 0),
       MATCH(TRIM(E$2), TRIM(INDIRECT($O288)), 0))</f>
        <v>80562794</v>
      </c>
      <c r="F288" s="11" cm="1">
        <f t="array" aca="1" ref="F288" ca="1">INDEX(INDIRECT($M288),
       MATCH(TRIM($C288), TRIM(INDIRECT($N288)), 0),
       MATCH(TRIM(F$2), TRIM(INDIRECT($O288)), 0))</f>
        <v>80.562793999999997</v>
      </c>
      <c r="G288" s="11" cm="1">
        <f t="array" aca="1" ref="G288" ca="1">INDEX(INDIRECT($M288),
       MATCH(TRIM($C288), TRIM(INDIRECT($N288)), 0),
       MATCH(TRIM(G$2), TRIM(INDIRECT($O288)), 0))</f>
        <v>3</v>
      </c>
      <c r="H288" s="9" cm="1">
        <f t="array" aca="1" ref="H288" ca="1">INDEX(INDIRECT($M288),
       MATCH(TRIM($C288), TRIM(INDIRECT($N288)), 0),
       MATCH(TRIM(H$2), TRIM(INDIRECT($O288)), 0))</f>
        <v>-14486847</v>
      </c>
      <c r="I288" s="11" cm="1">
        <f t="array" aca="1" ref="I288" ca="1">INDEX(INDIRECT($M288),
       MATCH(TRIM($C288), TRIM(INDIRECT($N288)), 0),
       MATCH(TRIM(I$2), TRIM(INDIRECT($O288)), 0))</f>
        <v>-14.486846999999999</v>
      </c>
      <c r="J288" s="9" cm="1">
        <f t="array" aca="1" ref="J288" ca="1">INDEX(INDIRECT($M288),
       MATCH(TRIM($C288), TRIM(INDIRECT($N288)), 0),
       MATCH(TRIM(J$2), TRIM(INDIRECT($O288)), 0))</f>
        <v>14</v>
      </c>
      <c r="K288" s="11" cm="1">
        <f t="array" aca="1" ref="K288" ca="1">INDEX(INDIRECT($M288),
       MATCH(TRIM($C288), TRIM(INDIRECT($N288)), 0),
       MATCH(TRIM(K$2), TRIM(INDIRECT($O288)), 0))</f>
        <v>24.579379380019152</v>
      </c>
      <c r="L288" s="11" cm="1">
        <f t="array" aca="1" ref="L288" ca="1">INDEX(INDIRECT($M288),
       MATCH(TRIM($C288), TRIM(INDIRECT($N288)), 0),
       MATCH(TRIM(L$2), TRIM(INDIRECT($O288)), 0))</f>
        <v>90.655326380019147</v>
      </c>
      <c r="M288" s="5" t="str">
        <f t="shared" si="12"/>
        <v>'2019'!$N$3:$V$80</v>
      </c>
      <c r="N288" s="5" t="str">
        <f t="shared" si="13"/>
        <v>'2019'!$M$2:$M$80</v>
      </c>
      <c r="O288" s="5" t="str">
        <f t="shared" si="14"/>
        <v>'2019'!$N$2:$W$2</v>
      </c>
    </row>
    <row r="289" spans="1:15" x14ac:dyDescent="0.3">
      <c r="A289">
        <v>35</v>
      </c>
      <c r="B289" s="9">
        <v>2019</v>
      </c>
      <c r="C289" t="s">
        <v>34</v>
      </c>
      <c r="D289" s="11" cm="1">
        <f t="array" aca="1" ref="D289" ca="1">INDEX(INDIRECT($M289),
       MATCH(TRIM($C289), TRIM(INDIRECT($N289)), 0),
       MATCH(TRIM(D$2), TRIM(INDIRECT($O289)), 0))</f>
        <v>2</v>
      </c>
      <c r="E289" s="9" cm="1">
        <f t="array" aca="1" ref="E289" ca="1">INDEX(INDIRECT($M289),
       MATCH(TRIM($C289), TRIM(INDIRECT($N289)), 0),
       MATCH(TRIM(E$2), TRIM(INDIRECT($O289)), 0))</f>
        <v>79500000</v>
      </c>
      <c r="F289" s="11" cm="1">
        <f t="array" aca="1" ref="F289" ca="1">INDEX(INDIRECT($M289),
       MATCH(TRIM($C289), TRIM(INDIRECT($N289)), 0),
       MATCH(TRIM(F$2), TRIM(INDIRECT($O289)), 0))</f>
        <v>79.5</v>
      </c>
      <c r="G289" s="11" cm="1">
        <f t="array" aca="1" ref="G289" ca="1">INDEX(INDIRECT($M289),
       MATCH(TRIM($C289), TRIM(INDIRECT($N289)), 0),
       MATCH(TRIM(G$2), TRIM(INDIRECT($O289)), 0))</f>
        <v>0</v>
      </c>
      <c r="H289" s="9" cm="1">
        <f t="array" aca="1" ref="H289" ca="1">INDEX(INDIRECT($M289),
       MATCH(TRIM($C289), TRIM(INDIRECT($N289)), 0),
       MATCH(TRIM(H$2), TRIM(INDIRECT($O289)), 0))</f>
        <v>0</v>
      </c>
      <c r="I289" s="11" cm="1">
        <f t="array" aca="1" ref="I289" ca="1">INDEX(INDIRECT($M289),
       MATCH(TRIM($C289), TRIM(INDIRECT($N289)), 0),
       MATCH(TRIM(I$2), TRIM(INDIRECT($O289)), 0))</f>
        <v>0</v>
      </c>
      <c r="J289" s="9" cm="1">
        <f t="array" aca="1" ref="J289" ca="1">INDEX(INDIRECT($M289),
       MATCH(TRIM($C289), TRIM(INDIRECT($N289)), 0),
       MATCH(TRIM(J$2), TRIM(INDIRECT($O289)), 0))</f>
        <v>2</v>
      </c>
      <c r="K289" s="11" cm="1">
        <f t="array" aca="1" ref="K289" ca="1">INDEX(INDIRECT($M289),
       MATCH(TRIM($C289), TRIM(INDIRECT($N289)), 0),
       MATCH(TRIM(K$2), TRIM(INDIRECT($O289)), 0))</f>
        <v>0.71324478260869606</v>
      </c>
      <c r="L289" s="11" cm="1">
        <f t="array" aca="1" ref="L289" ca="1">INDEX(INDIRECT($M289),
       MATCH(TRIM($C289), TRIM(INDIRECT($N289)), 0),
       MATCH(TRIM(L$2), TRIM(INDIRECT($O289)), 0))</f>
        <v>80.213244782608697</v>
      </c>
      <c r="M289" s="5" t="str">
        <f t="shared" si="12"/>
        <v>'2019'!$N$3:$V$80</v>
      </c>
      <c r="N289" s="5" t="str">
        <f t="shared" si="13"/>
        <v>'2019'!$M$2:$M$80</v>
      </c>
      <c r="O289" s="5" t="str">
        <f t="shared" si="14"/>
        <v>'2019'!$N$2:$W$2</v>
      </c>
    </row>
    <row r="290" spans="1:15" x14ac:dyDescent="0.3">
      <c r="A290">
        <v>36</v>
      </c>
      <c r="B290" s="9">
        <v>2019</v>
      </c>
      <c r="C290" t="s">
        <v>35</v>
      </c>
      <c r="D290" s="11" cm="1">
        <f t="array" aca="1" ref="D290" ca="1">INDEX(INDIRECT($M290),
       MATCH(TRIM($C290), TRIM(INDIRECT($N290)), 0),
       MATCH(TRIM(D$2), TRIM(INDIRECT($O290)), 0))</f>
        <v>2</v>
      </c>
      <c r="E290" s="9" cm="1">
        <f t="array" aca="1" ref="E290" ca="1">INDEX(INDIRECT($M290),
       MATCH(TRIM($C290), TRIM(INDIRECT($N290)), 0),
       MATCH(TRIM(E$2), TRIM(INDIRECT($O290)), 0))</f>
        <v>69700000</v>
      </c>
      <c r="F290" s="11" cm="1">
        <f t="array" aca="1" ref="F290" ca="1">INDEX(INDIRECT($M290),
       MATCH(TRIM($C290), TRIM(INDIRECT($N290)), 0),
       MATCH(TRIM(F$2), TRIM(INDIRECT($O290)), 0))</f>
        <v>69.7</v>
      </c>
      <c r="G290" s="11" cm="1">
        <f t="array" aca="1" ref="G290" ca="1">INDEX(INDIRECT($M290),
       MATCH(TRIM($C290), TRIM(INDIRECT($N290)), 0),
       MATCH(TRIM(G$2), TRIM(INDIRECT($O290)), 0))</f>
        <v>0</v>
      </c>
      <c r="H290" s="9" cm="1">
        <f t="array" aca="1" ref="H290" ca="1">INDEX(INDIRECT($M290),
       MATCH(TRIM($C290), TRIM(INDIRECT($N290)), 0),
       MATCH(TRIM(H$2), TRIM(INDIRECT($O290)), 0))</f>
        <v>0</v>
      </c>
      <c r="I290" s="11" cm="1">
        <f t="array" aca="1" ref="I290" ca="1">INDEX(INDIRECT($M290),
       MATCH(TRIM($C290), TRIM(INDIRECT($N290)), 0),
       MATCH(TRIM(I$2), TRIM(INDIRECT($O290)), 0))</f>
        <v>0</v>
      </c>
      <c r="J290" s="9" cm="1">
        <f t="array" aca="1" ref="J290" ca="1">INDEX(INDIRECT($M290),
       MATCH(TRIM($C290), TRIM(INDIRECT($N290)), 0),
       MATCH(TRIM(J$2), TRIM(INDIRECT($O290)), 0))</f>
        <v>3</v>
      </c>
      <c r="K290" s="11" cm="1">
        <f t="array" aca="1" ref="K290" ca="1">INDEX(INDIRECT($M290),
       MATCH(TRIM($C290), TRIM(INDIRECT($N290)), 0),
       MATCH(TRIM(K$2), TRIM(INDIRECT($O290)), 0))</f>
        <v>1.3391304347826121</v>
      </c>
      <c r="L290" s="11" cm="1">
        <f t="array" aca="1" ref="L290" ca="1">INDEX(INDIRECT($M290),
       MATCH(TRIM($C290), TRIM(INDIRECT($N290)), 0),
       MATCH(TRIM(L$2), TRIM(INDIRECT($O290)), 0))</f>
        <v>71.039130434782621</v>
      </c>
      <c r="M290" s="5" t="str">
        <f t="shared" si="12"/>
        <v>'2019'!$N$3:$V$80</v>
      </c>
      <c r="N290" s="5" t="str">
        <f t="shared" si="13"/>
        <v>'2019'!$M$2:$M$80</v>
      </c>
      <c r="O290" s="5" t="str">
        <f t="shared" si="14"/>
        <v>'2019'!$N$2:$W$2</v>
      </c>
    </row>
    <row r="291" spans="1:15" x14ac:dyDescent="0.3">
      <c r="A291">
        <v>37</v>
      </c>
      <c r="B291" s="9">
        <v>2019</v>
      </c>
      <c r="C291" t="s">
        <v>36</v>
      </c>
      <c r="D291" s="11" cm="1">
        <f t="array" aca="1" ref="D291" ca="1">INDEX(INDIRECT($M291),
       MATCH(TRIM($C291), TRIM(INDIRECT($N291)), 0),
       MATCH(TRIM(D$2), TRIM(INDIRECT($O291)), 0))</f>
        <v>7</v>
      </c>
      <c r="E291" s="9" cm="1">
        <f t="array" aca="1" ref="E291" ca="1">INDEX(INDIRECT($M291),
       MATCH(TRIM($C291), TRIM(INDIRECT($N291)), 0),
       MATCH(TRIM(E$2), TRIM(INDIRECT($O291)), 0))</f>
        <v>42732556</v>
      </c>
      <c r="F291" s="11" cm="1">
        <f t="array" aca="1" ref="F291" ca="1">INDEX(INDIRECT($M291),
       MATCH(TRIM($C291), TRIM(INDIRECT($N291)), 0),
       MATCH(TRIM(F$2), TRIM(INDIRECT($O291)), 0))</f>
        <v>42.732556000000002</v>
      </c>
      <c r="G291" s="11" cm="1">
        <f t="array" aca="1" ref="G291" ca="1">INDEX(INDIRECT($M291),
       MATCH(TRIM($C291), TRIM(INDIRECT($N291)), 0),
       MATCH(TRIM(G$2), TRIM(INDIRECT($O291)), 0))</f>
        <v>3</v>
      </c>
      <c r="H291" s="9" cm="1">
        <f t="array" aca="1" ref="H291" ca="1">INDEX(INDIRECT($M291),
       MATCH(TRIM($C291), TRIM(INDIRECT($N291)), 0),
       MATCH(TRIM(H$2), TRIM(INDIRECT($O291)), 0))</f>
        <v>238763</v>
      </c>
      <c r="I291" s="11" cm="1">
        <f t="array" aca="1" ref="I291" ca="1">INDEX(INDIRECT($M291),
       MATCH(TRIM($C291), TRIM(INDIRECT($N291)), 0),
       MATCH(TRIM(I$2), TRIM(INDIRECT($O291)), 0))</f>
        <v>0.238763</v>
      </c>
      <c r="J291" s="9" cm="1">
        <f t="array" aca="1" ref="J291" ca="1">INDEX(INDIRECT($M291),
       MATCH(TRIM($C291), TRIM(INDIRECT($N291)), 0),
       MATCH(TRIM(J$2), TRIM(INDIRECT($O291)), 0))</f>
        <v>18</v>
      </c>
      <c r="K291" s="11" cm="1">
        <f t="array" aca="1" ref="K291" ca="1">INDEX(INDIRECT($M291),
       MATCH(TRIM($C291), TRIM(INDIRECT($N291)), 0),
       MATCH(TRIM(K$2), TRIM(INDIRECT($O291)), 0))</f>
        <v>25.820979947826089</v>
      </c>
      <c r="L291" s="11" cm="1">
        <f t="array" aca="1" ref="L291" ca="1">INDEX(INDIRECT($M291),
       MATCH(TRIM($C291), TRIM(INDIRECT($N291)), 0),
       MATCH(TRIM(L$2), TRIM(INDIRECT($O291)), 0))</f>
        <v>68.792298947826083</v>
      </c>
      <c r="M291" s="5" t="str">
        <f t="shared" si="12"/>
        <v>'2019'!$N$3:$V$80</v>
      </c>
      <c r="N291" s="5" t="str">
        <f t="shared" si="13"/>
        <v>'2019'!$M$2:$M$80</v>
      </c>
      <c r="O291" s="5" t="str">
        <f t="shared" si="14"/>
        <v>'2019'!$N$2:$W$2</v>
      </c>
    </row>
    <row r="292" spans="1:15" x14ac:dyDescent="0.3">
      <c r="A292">
        <v>38</v>
      </c>
      <c r="B292" s="9">
        <v>2019</v>
      </c>
      <c r="C292" t="s">
        <v>37</v>
      </c>
      <c r="D292" s="11" cm="1">
        <f t="array" aca="1" ref="D292" ca="1">INDEX(INDIRECT($M292),
       MATCH(TRIM($C292), TRIM(INDIRECT($N292)), 0),
       MATCH(TRIM(D$2), TRIM(INDIRECT($O292)), 0))</f>
        <v>7</v>
      </c>
      <c r="E292" s="9" cm="1">
        <f t="array" aca="1" ref="E292" ca="1">INDEX(INDIRECT($M292),
       MATCH(TRIM($C292), TRIM(INDIRECT($N292)), 0),
       MATCH(TRIM(E$2), TRIM(INDIRECT($O292)), 0))</f>
        <v>28541409</v>
      </c>
      <c r="F292" s="11" cm="1">
        <f t="array" aca="1" ref="F292" ca="1">INDEX(INDIRECT($M292),
       MATCH(TRIM($C292), TRIM(INDIRECT($N292)), 0),
       MATCH(TRIM(F$2), TRIM(INDIRECT($O292)), 0))</f>
        <v>28.541409000000002</v>
      </c>
      <c r="G292" s="11" cm="1">
        <f t="array" aca="1" ref="G292" ca="1">INDEX(INDIRECT($M292),
       MATCH(TRIM($C292), TRIM(INDIRECT($N292)), 0),
       MATCH(TRIM(G$2), TRIM(INDIRECT($O292)), 0))</f>
        <v>5</v>
      </c>
      <c r="H292" s="9" cm="1">
        <f t="array" aca="1" ref="H292" ca="1">INDEX(INDIRECT($M292),
       MATCH(TRIM($C292), TRIM(INDIRECT($N292)), 0),
       MATCH(TRIM(H$2), TRIM(INDIRECT($O292)), 0))</f>
        <v>28274271</v>
      </c>
      <c r="I292" s="11" cm="1">
        <f t="array" aca="1" ref="I292" ca="1">INDEX(INDIRECT($M292),
       MATCH(TRIM($C292), TRIM(INDIRECT($N292)), 0),
       MATCH(TRIM(I$2), TRIM(INDIRECT($O292)), 0))</f>
        <v>28.274270999999999</v>
      </c>
      <c r="J292" s="9" cm="1">
        <f t="array" aca="1" ref="J292" ca="1">INDEX(INDIRECT($M292),
       MATCH(TRIM($C292), TRIM(INDIRECT($N292)), 0),
       MATCH(TRIM(J$2), TRIM(INDIRECT($O292)), 0))</f>
        <v>13</v>
      </c>
      <c r="K292" s="11" cm="1">
        <f t="array" aca="1" ref="K292" ca="1">INDEX(INDIRECT($M292),
       MATCH(TRIM($C292), TRIM(INDIRECT($N292)), 0),
       MATCH(TRIM(K$2), TRIM(INDIRECT($O292)), 0))</f>
        <v>9.5167811263474444</v>
      </c>
      <c r="L292" s="11" cm="1">
        <f t="array" aca="1" ref="L292" ca="1">INDEX(INDIRECT($M292),
       MATCH(TRIM($C292), TRIM(INDIRECT($N292)), 0),
       MATCH(TRIM(L$2), TRIM(INDIRECT($O292)), 0))</f>
        <v>66.33246112634744</v>
      </c>
      <c r="M292" s="5" t="str">
        <f t="shared" si="12"/>
        <v>'2019'!$N$3:$V$80</v>
      </c>
      <c r="N292" s="5" t="str">
        <f t="shared" si="13"/>
        <v>'2019'!$M$2:$M$80</v>
      </c>
      <c r="O292" s="5" t="str">
        <f t="shared" si="14"/>
        <v>'2019'!$N$2:$W$2</v>
      </c>
    </row>
    <row r="293" spans="1:15" x14ac:dyDescent="0.3">
      <c r="A293">
        <v>39</v>
      </c>
      <c r="B293" s="9">
        <v>2019</v>
      </c>
      <c r="C293" t="s">
        <v>38</v>
      </c>
      <c r="D293" s="11" cm="1">
        <f t="array" aca="1" ref="D293" ca="1">INDEX(INDIRECT($M293),
       MATCH(TRIM($C293), TRIM(INDIRECT($N293)), 0),
       MATCH(TRIM(D$2), TRIM(INDIRECT($O293)), 0))</f>
        <v>2</v>
      </c>
      <c r="E293" s="9" cm="1">
        <f t="array" aca="1" ref="E293" ca="1">INDEX(INDIRECT($M293),
       MATCH(TRIM($C293), TRIM(INDIRECT($N293)), 0),
       MATCH(TRIM(E$2), TRIM(INDIRECT($O293)), 0))</f>
        <v>57924629</v>
      </c>
      <c r="F293" s="11" cm="1">
        <f t="array" aca="1" ref="F293" ca="1">INDEX(INDIRECT($M293),
       MATCH(TRIM($C293), TRIM(INDIRECT($N293)), 0),
       MATCH(TRIM(F$2), TRIM(INDIRECT($O293)), 0))</f>
        <v>57.924629000000003</v>
      </c>
      <c r="G293" s="11" cm="1">
        <f t="array" aca="1" ref="G293" ca="1">INDEX(INDIRECT($M293),
       MATCH(TRIM($C293), TRIM(INDIRECT($N293)), 0),
       MATCH(TRIM(G$2), TRIM(INDIRECT($O293)), 0))</f>
        <v>1</v>
      </c>
      <c r="H293" s="9" cm="1">
        <f t="array" aca="1" ref="H293" ca="1">INDEX(INDIRECT($M293),
       MATCH(TRIM($C293), TRIM(INDIRECT($N293)), 0),
       MATCH(TRIM(H$2), TRIM(INDIRECT($O293)), 0))</f>
        <v>1600000</v>
      </c>
      <c r="I293" s="11" cm="1">
        <f t="array" aca="1" ref="I293" ca="1">INDEX(INDIRECT($M293),
       MATCH(TRIM($C293), TRIM(INDIRECT($N293)), 0),
       MATCH(TRIM(I$2), TRIM(INDIRECT($O293)), 0))</f>
        <v>1.6</v>
      </c>
      <c r="J293" s="9" cm="1">
        <f t="array" aca="1" ref="J293" ca="1">INDEX(INDIRECT($M293),
       MATCH(TRIM($C293), TRIM(INDIRECT($N293)), 0),
       MATCH(TRIM(J$2), TRIM(INDIRECT($O293)), 0))</f>
        <v>9</v>
      </c>
      <c r="K293" s="11" cm="1">
        <f t="array" aca="1" ref="K293" ca="1">INDEX(INDIRECT($M293),
       MATCH(TRIM($C293), TRIM(INDIRECT($N293)), 0),
       MATCH(TRIM(K$2), TRIM(INDIRECT($O293)), 0))</f>
        <v>5.8552871898103866</v>
      </c>
      <c r="L293" s="11" cm="1">
        <f t="array" aca="1" ref="L293" ca="1">INDEX(INDIRECT($M293),
       MATCH(TRIM($C293), TRIM(INDIRECT($N293)), 0),
       MATCH(TRIM(L$2), TRIM(INDIRECT($O293)), 0))</f>
        <v>65.379916189810388</v>
      </c>
      <c r="M293" s="5" t="str">
        <f t="shared" si="12"/>
        <v>'2019'!$N$3:$V$80</v>
      </c>
      <c r="N293" s="5" t="str">
        <f t="shared" si="13"/>
        <v>'2019'!$M$2:$M$80</v>
      </c>
      <c r="O293" s="5" t="str">
        <f t="shared" si="14"/>
        <v>'2019'!$N$2:$W$2</v>
      </c>
    </row>
    <row r="294" spans="1:15" x14ac:dyDescent="0.3">
      <c r="A294">
        <v>40</v>
      </c>
      <c r="B294" s="9">
        <v>2019</v>
      </c>
      <c r="C294" t="s">
        <v>39</v>
      </c>
      <c r="D294" s="11" cm="1">
        <f t="array" aca="1" ref="D294" ca="1">INDEX(INDIRECT($M294),
       MATCH(TRIM($C294), TRIM(INDIRECT($N294)), 0),
       MATCH(TRIM(D$2), TRIM(INDIRECT($O294)), 0))</f>
        <v>9</v>
      </c>
      <c r="E294" s="9" cm="1">
        <f t="array" aca="1" ref="E294" ca="1">INDEX(INDIRECT($M294),
       MATCH(TRIM($C294), TRIM(INDIRECT($N294)), 0),
       MATCH(TRIM(E$2), TRIM(INDIRECT($O294)), 0))</f>
        <v>21766200</v>
      </c>
      <c r="F294" s="11" cm="1">
        <f t="array" aca="1" ref="F294" ca="1">INDEX(INDIRECT($M294),
       MATCH(TRIM($C294), TRIM(INDIRECT($N294)), 0),
       MATCH(TRIM(F$2), TRIM(INDIRECT($O294)), 0))</f>
        <v>21.766200000000001</v>
      </c>
      <c r="G294" s="11" cm="1">
        <f t="array" aca="1" ref="G294" ca="1">INDEX(INDIRECT($M294),
       MATCH(TRIM($C294), TRIM(INDIRECT($N294)), 0),
       MATCH(TRIM(G$2), TRIM(INDIRECT($O294)), 0))</f>
        <v>5</v>
      </c>
      <c r="H294" s="9" cm="1">
        <f t="array" aca="1" ref="H294" ca="1">INDEX(INDIRECT($M294),
       MATCH(TRIM($C294), TRIM(INDIRECT($N294)), 0),
       MATCH(TRIM(H$2), TRIM(INDIRECT($O294)), 0))</f>
        <v>5540330</v>
      </c>
      <c r="I294" s="11" cm="1">
        <f t="array" aca="1" ref="I294" ca="1">INDEX(INDIRECT($M294),
       MATCH(TRIM($C294), TRIM(INDIRECT($N294)), 0),
       MATCH(TRIM(I$2), TRIM(INDIRECT($O294)), 0))</f>
        <v>5.54033</v>
      </c>
      <c r="J294" s="9" cm="1">
        <f t="array" aca="1" ref="J294" ca="1">INDEX(INDIRECT($M294),
       MATCH(TRIM($C294), TRIM(INDIRECT($N294)), 0),
       MATCH(TRIM(J$2), TRIM(INDIRECT($O294)), 0))</f>
        <v>19</v>
      </c>
      <c r="K294" s="11" cm="1">
        <f t="array" aca="1" ref="K294" ca="1">INDEX(INDIRECT($M294),
       MATCH(TRIM($C294), TRIM(INDIRECT($N294)), 0),
       MATCH(TRIM(K$2), TRIM(INDIRECT($O294)), 0))</f>
        <v>37.416044029565235</v>
      </c>
      <c r="L294" s="11" cm="1">
        <f t="array" aca="1" ref="L294" ca="1">INDEX(INDIRECT($M294),
       MATCH(TRIM($C294), TRIM(INDIRECT($N294)), 0),
       MATCH(TRIM(L$2), TRIM(INDIRECT($O294)), 0))</f>
        <v>64.722574029565237</v>
      </c>
      <c r="M294" s="5" t="str">
        <f t="shared" si="12"/>
        <v>'2019'!$N$3:$V$80</v>
      </c>
      <c r="N294" s="5" t="str">
        <f t="shared" si="13"/>
        <v>'2019'!$M$2:$M$80</v>
      </c>
      <c r="O294" s="5" t="str">
        <f t="shared" si="14"/>
        <v>'2019'!$N$2:$W$2</v>
      </c>
    </row>
    <row r="295" spans="1:15" x14ac:dyDescent="0.3">
      <c r="A295">
        <v>41</v>
      </c>
      <c r="B295" s="9">
        <v>2019</v>
      </c>
      <c r="C295" t="s">
        <v>40</v>
      </c>
      <c r="D295" s="11" cm="1">
        <f t="array" aca="1" ref="D295" ca="1">INDEX(INDIRECT($M295),
       MATCH(TRIM($C295), TRIM(INDIRECT($N295)), 0),
       MATCH(TRIM(D$2), TRIM(INDIRECT($O295)), 0))</f>
        <v>3</v>
      </c>
      <c r="E295" s="9" cm="1">
        <f t="array" aca="1" ref="E295" ca="1">INDEX(INDIRECT($M295),
       MATCH(TRIM($C295), TRIM(INDIRECT($N295)), 0),
       MATCH(TRIM(E$2), TRIM(INDIRECT($O295)), 0))</f>
        <v>16500000</v>
      </c>
      <c r="F295" s="11" cm="1">
        <f t="array" aca="1" ref="F295" ca="1">INDEX(INDIRECT($M295),
       MATCH(TRIM($C295), TRIM(INDIRECT($N295)), 0),
       MATCH(TRIM(F$2), TRIM(INDIRECT($O295)), 0))</f>
        <v>16.5</v>
      </c>
      <c r="G295" s="11" cm="1">
        <f t="array" aca="1" ref="G295" ca="1">INDEX(INDIRECT($M295),
       MATCH(TRIM($C295), TRIM(INDIRECT($N295)), 0),
       MATCH(TRIM(G$2), TRIM(INDIRECT($O295)), 0))</f>
        <v>2</v>
      </c>
      <c r="H295" s="9" cm="1">
        <f t="array" aca="1" ref="H295" ca="1">INDEX(INDIRECT($M295),
       MATCH(TRIM($C295), TRIM(INDIRECT($N295)), 0),
       MATCH(TRIM(H$2), TRIM(INDIRECT($O295)), 0))</f>
        <v>4000000</v>
      </c>
      <c r="I295" s="11" cm="1">
        <f t="array" aca="1" ref="I295" ca="1">INDEX(INDIRECT($M295),
       MATCH(TRIM($C295), TRIM(INDIRECT($N295)), 0),
       MATCH(TRIM(I$2), TRIM(INDIRECT($O295)), 0))</f>
        <v>4</v>
      </c>
      <c r="J295" s="9" cm="1">
        <f t="array" aca="1" ref="J295" ca="1">INDEX(INDIRECT($M295),
       MATCH(TRIM($C295), TRIM(INDIRECT($N295)), 0),
       MATCH(TRIM(J$2), TRIM(INDIRECT($O295)), 0))</f>
        <v>10</v>
      </c>
      <c r="K295" s="11" cm="1">
        <f t="array" aca="1" ref="K295" ca="1">INDEX(INDIRECT($M295),
       MATCH(TRIM($C295), TRIM(INDIRECT($N295)), 0),
       MATCH(TRIM(K$2), TRIM(INDIRECT($O295)), 0))</f>
        <v>39.236911388452405</v>
      </c>
      <c r="L295" s="11" cm="1">
        <f t="array" aca="1" ref="L295" ca="1">INDEX(INDIRECT($M295),
       MATCH(TRIM($C295), TRIM(INDIRECT($N295)), 0),
       MATCH(TRIM(L$2), TRIM(INDIRECT($O295)), 0))</f>
        <v>59.736911388452405</v>
      </c>
      <c r="M295" s="5" t="str">
        <f t="shared" si="12"/>
        <v>'2019'!$N$3:$V$80</v>
      </c>
      <c r="N295" s="5" t="str">
        <f t="shared" si="13"/>
        <v>'2019'!$M$2:$M$80</v>
      </c>
      <c r="O295" s="5" t="str">
        <f t="shared" si="14"/>
        <v>'2019'!$N$2:$W$2</v>
      </c>
    </row>
    <row r="296" spans="1:15" x14ac:dyDescent="0.3">
      <c r="A296">
        <v>42</v>
      </c>
      <c r="B296" s="9">
        <v>2019</v>
      </c>
      <c r="C296" t="s">
        <v>41</v>
      </c>
      <c r="D296" s="11" cm="1">
        <f t="array" aca="1" ref="D296" ca="1">INDEX(INDIRECT($M296),
       MATCH(TRIM($C296), TRIM(INDIRECT($N296)), 0),
       MATCH(TRIM(D$2), TRIM(INDIRECT($O296)), 0))</f>
        <v>7</v>
      </c>
      <c r="E296" s="9" cm="1">
        <f t="array" aca="1" ref="E296" ca="1">INDEX(INDIRECT($M296),
       MATCH(TRIM($C296), TRIM(INDIRECT($N296)), 0),
       MATCH(TRIM(E$2), TRIM(INDIRECT($O296)), 0))</f>
        <v>14313801</v>
      </c>
      <c r="F296" s="11" cm="1">
        <f t="array" aca="1" ref="F296" ca="1">INDEX(INDIRECT($M296),
       MATCH(TRIM($C296), TRIM(INDIRECT($N296)), 0),
       MATCH(TRIM(F$2), TRIM(INDIRECT($O296)), 0))</f>
        <v>14.313801</v>
      </c>
      <c r="G296" s="11" cm="1">
        <f t="array" aca="1" ref="G296" ca="1">INDEX(INDIRECT($M296),
       MATCH(TRIM($C296), TRIM(INDIRECT($N296)), 0),
       MATCH(TRIM(G$2), TRIM(INDIRECT($O296)), 0))</f>
        <v>0</v>
      </c>
      <c r="H296" s="9" cm="1">
        <f t="array" aca="1" ref="H296" ca="1">INDEX(INDIRECT($M296),
       MATCH(TRIM($C296), TRIM(INDIRECT($N296)), 0),
       MATCH(TRIM(H$2), TRIM(INDIRECT($O296)), 0))</f>
        <v>0</v>
      </c>
      <c r="I296" s="11" cm="1">
        <f t="array" aca="1" ref="I296" ca="1">INDEX(INDIRECT($M296),
       MATCH(TRIM($C296), TRIM(INDIRECT($N296)), 0),
       MATCH(TRIM(I$2), TRIM(INDIRECT($O296)), 0))</f>
        <v>0</v>
      </c>
      <c r="J296" s="9" cm="1">
        <f t="array" aca="1" ref="J296" ca="1">INDEX(INDIRECT($M296),
       MATCH(TRIM($C296), TRIM(INDIRECT($N296)), 0),
       MATCH(TRIM(J$2), TRIM(INDIRECT($O296)), 0))</f>
        <v>22</v>
      </c>
      <c r="K296" s="11" cm="1">
        <f t="array" aca="1" ref="K296" ca="1">INDEX(INDIRECT($M296),
       MATCH(TRIM($C296), TRIM(INDIRECT($N296)), 0),
       MATCH(TRIM(K$2), TRIM(INDIRECT($O296)), 0))</f>
        <v>18.327568525292296</v>
      </c>
      <c r="L296" s="11" cm="1">
        <f t="array" aca="1" ref="L296" ca="1">INDEX(INDIRECT($M296),
       MATCH(TRIM($C296), TRIM(INDIRECT($N296)), 0),
       MATCH(TRIM(L$2), TRIM(INDIRECT($O296)), 0))</f>
        <v>32.641369525292298</v>
      </c>
      <c r="M296" s="5" t="str">
        <f t="shared" si="12"/>
        <v>'2019'!$N$3:$V$80</v>
      </c>
      <c r="N296" s="5" t="str">
        <f t="shared" si="13"/>
        <v>'2019'!$M$2:$M$80</v>
      </c>
      <c r="O296" s="5" t="str">
        <f t="shared" si="14"/>
        <v>'2019'!$N$2:$W$2</v>
      </c>
    </row>
    <row r="297" spans="1:15" x14ac:dyDescent="0.3">
      <c r="A297">
        <v>43</v>
      </c>
      <c r="B297" s="9">
        <v>2019</v>
      </c>
      <c r="C297" t="s">
        <v>42</v>
      </c>
      <c r="D297" s="11" cm="1">
        <f t="array" aca="1" ref="D297" ca="1">INDEX(INDIRECT($M297),
       MATCH(TRIM($C297), TRIM(INDIRECT($N297)), 0),
       MATCH(TRIM(D$2), TRIM(INDIRECT($O297)), 0))</f>
        <v>3</v>
      </c>
      <c r="E297" s="9" cm="1">
        <f t="array" aca="1" ref="E297" ca="1">INDEX(INDIRECT($M297),
       MATCH(TRIM($C297), TRIM(INDIRECT($N297)), 0),
       MATCH(TRIM(E$2), TRIM(INDIRECT($O297)), 0))</f>
        <v>9058843</v>
      </c>
      <c r="F297" s="11" cm="1">
        <f t="array" aca="1" ref="F297" ca="1">INDEX(INDIRECT($M297),
       MATCH(TRIM($C297), TRIM(INDIRECT($N297)), 0),
       MATCH(TRIM(F$2), TRIM(INDIRECT($O297)), 0))</f>
        <v>9.0588429999999995</v>
      </c>
      <c r="G297" s="11" cm="1">
        <f t="array" aca="1" ref="G297" ca="1">INDEX(INDIRECT($M297),
       MATCH(TRIM($C297), TRIM(INDIRECT($N297)), 0),
       MATCH(TRIM(G$2), TRIM(INDIRECT($O297)), 0))</f>
        <v>3</v>
      </c>
      <c r="H297" s="9" cm="1">
        <f t="array" aca="1" ref="H297" ca="1">INDEX(INDIRECT($M297),
       MATCH(TRIM($C297), TRIM(INDIRECT($N297)), 0),
       MATCH(TRIM(H$2), TRIM(INDIRECT($O297)), 0))</f>
        <v>1365097</v>
      </c>
      <c r="I297" s="11" cm="1">
        <f t="array" aca="1" ref="I297" ca="1">INDEX(INDIRECT($M297),
       MATCH(TRIM($C297), TRIM(INDIRECT($N297)), 0),
       MATCH(TRIM(I$2), TRIM(INDIRECT($O297)), 0))</f>
        <v>1.365097</v>
      </c>
      <c r="J297" s="9" cm="1">
        <f t="array" aca="1" ref="J297" ca="1">INDEX(INDIRECT($M297),
       MATCH(TRIM($C297), TRIM(INDIRECT($N297)), 0),
       MATCH(TRIM(J$2), TRIM(INDIRECT($O297)), 0))</f>
        <v>69</v>
      </c>
      <c r="K297" s="11" cm="1">
        <f t="array" aca="1" ref="K297" ca="1">INDEX(INDIRECT($M297),
       MATCH(TRIM($C297), TRIM(INDIRECT($N297)), 0),
       MATCH(TRIM(K$2), TRIM(INDIRECT($O297)), 0))</f>
        <v>14.060151173489185</v>
      </c>
      <c r="L297" s="11" cm="1">
        <f t="array" aca="1" ref="L297" ca="1">INDEX(INDIRECT($M297),
       MATCH(TRIM($C297), TRIM(INDIRECT($N297)), 0),
       MATCH(TRIM(L$2), TRIM(INDIRECT($O297)), 0))</f>
        <v>24.484091173489183</v>
      </c>
      <c r="M297" s="5" t="str">
        <f t="shared" si="12"/>
        <v>'2019'!$N$3:$V$80</v>
      </c>
      <c r="N297" s="5" t="str">
        <f t="shared" si="13"/>
        <v>'2019'!$M$2:$M$80</v>
      </c>
      <c r="O297" s="5" t="str">
        <f t="shared" si="14"/>
        <v>'2019'!$N$2:$W$2</v>
      </c>
    </row>
    <row r="298" spans="1:15" x14ac:dyDescent="0.3">
      <c r="A298">
        <v>44</v>
      </c>
      <c r="B298" s="9">
        <v>2019</v>
      </c>
      <c r="C298" t="s">
        <v>43</v>
      </c>
      <c r="D298" s="11" cm="1">
        <f t="array" aca="1" ref="D298" ca="1">INDEX(INDIRECT($M298),
       MATCH(TRIM($C298), TRIM(INDIRECT($N298)), 0),
       MATCH(TRIM(D$2), TRIM(INDIRECT($O298)), 0))</f>
        <v>5</v>
      </c>
      <c r="E298" s="9" cm="1">
        <f t="array" aca="1" ref="E298" ca="1">INDEX(INDIRECT($M298),
       MATCH(TRIM($C298), TRIM(INDIRECT($N298)), 0),
       MATCH(TRIM(E$2), TRIM(INDIRECT($O298)), 0))</f>
        <v>8936123</v>
      </c>
      <c r="F298" s="11" cm="1">
        <f t="array" aca="1" ref="F298" ca="1">INDEX(INDIRECT($M298),
       MATCH(TRIM($C298), TRIM(INDIRECT($N298)), 0),
       MATCH(TRIM(F$2), TRIM(INDIRECT($O298)), 0))</f>
        <v>8.9361230000000003</v>
      </c>
      <c r="G298" s="11" cm="1">
        <f t="array" aca="1" ref="G298" ca="1">INDEX(INDIRECT($M298),
       MATCH(TRIM($C298), TRIM(INDIRECT($N298)), 0),
       MATCH(TRIM(G$2), TRIM(INDIRECT($O298)), 0))</f>
        <v>1</v>
      </c>
      <c r="H298" s="9" cm="1">
        <f t="array" aca="1" ref="H298" ca="1">INDEX(INDIRECT($M298),
       MATCH(TRIM($C298), TRIM(INDIRECT($N298)), 0),
       MATCH(TRIM(H$2), TRIM(INDIRECT($O298)), 0))</f>
        <v>8669000</v>
      </c>
      <c r="I298" s="11" cm="1">
        <f t="array" aca="1" ref="I298" ca="1">INDEX(INDIRECT($M298),
       MATCH(TRIM($C298), TRIM(INDIRECT($N298)), 0),
       MATCH(TRIM(I$2), TRIM(INDIRECT($O298)), 0))</f>
        <v>8.6690000000000005</v>
      </c>
      <c r="J298" s="9" cm="1">
        <f t="array" aca="1" ref="J298" ca="1">INDEX(INDIRECT($M298),
       MATCH(TRIM($C298), TRIM(INDIRECT($N298)), 0),
       MATCH(TRIM(J$2), TRIM(INDIRECT($O298)), 0))</f>
        <v>20</v>
      </c>
      <c r="K298" s="11" cm="1">
        <f t="array" aca="1" ref="K298" ca="1">INDEX(INDIRECT($M298),
       MATCH(TRIM($C298), TRIM(INDIRECT($N298)), 0),
       MATCH(TRIM(K$2), TRIM(INDIRECT($O298)), 0))</f>
        <v>3.0630293616165467</v>
      </c>
      <c r="L298" s="11" cm="1">
        <f t="array" aca="1" ref="L298" ca="1">INDEX(INDIRECT($M298),
       MATCH(TRIM($C298), TRIM(INDIRECT($N298)), 0),
       MATCH(TRIM(L$2), TRIM(INDIRECT($O298)), 0))</f>
        <v>20.668152361616546</v>
      </c>
      <c r="M298" s="5" t="str">
        <f t="shared" si="12"/>
        <v>'2019'!$N$3:$V$80</v>
      </c>
      <c r="N298" s="5" t="str">
        <f t="shared" si="13"/>
        <v>'2019'!$M$2:$M$80</v>
      </c>
      <c r="O298" s="5" t="str">
        <f t="shared" si="14"/>
        <v>'2019'!$N$2:$W$2</v>
      </c>
    </row>
    <row r="299" spans="1:15" x14ac:dyDescent="0.3">
      <c r="A299">
        <v>45</v>
      </c>
      <c r="B299" s="9">
        <v>2019</v>
      </c>
      <c r="C299" t="s">
        <v>44</v>
      </c>
      <c r="D299" s="11" cm="1">
        <f t="array" aca="1" ref="D299" ca="1">INDEX(INDIRECT($M299),
       MATCH(TRIM($C299), TRIM(INDIRECT($N299)), 0),
       MATCH(TRIM(D$2), TRIM(INDIRECT($O299)), 0))</f>
        <v>1</v>
      </c>
      <c r="E299" s="9" cm="1">
        <f t="array" aca="1" ref="E299" ca="1">INDEX(INDIRECT($M299),
       MATCH(TRIM($C299), TRIM(INDIRECT($N299)), 0),
       MATCH(TRIM(E$2), TRIM(INDIRECT($O299)), 0))</f>
        <v>20000000</v>
      </c>
      <c r="F299" s="11" cm="1">
        <f t="array" aca="1" ref="F299" ca="1">INDEX(INDIRECT($M299),
       MATCH(TRIM($C299), TRIM(INDIRECT($N299)), 0),
       MATCH(TRIM(F$2), TRIM(INDIRECT($O299)), 0))</f>
        <v>20</v>
      </c>
      <c r="G299" s="11" cm="1">
        <f t="array" aca="1" ref="G299" ca="1">INDEX(INDIRECT($M299),
       MATCH(TRIM($C299), TRIM(INDIRECT($N299)), 0),
       MATCH(TRIM(G$2), TRIM(INDIRECT($O299)), 0))</f>
        <v>0</v>
      </c>
      <c r="H299" s="9" cm="1">
        <f t="array" aca="1" ref="H299" ca="1">INDEX(INDIRECT($M299),
       MATCH(TRIM($C299), TRIM(INDIRECT($N299)), 0),
       MATCH(TRIM(H$2), TRIM(INDIRECT($O299)), 0))</f>
        <v>0</v>
      </c>
      <c r="I299" s="11" cm="1">
        <f t="array" aca="1" ref="I299" ca="1">INDEX(INDIRECT($M299),
       MATCH(TRIM($C299), TRIM(INDIRECT($N299)), 0),
       MATCH(TRIM(I$2), TRIM(INDIRECT($O299)), 0))</f>
        <v>0</v>
      </c>
      <c r="J299" s="9" cm="1">
        <f t="array" aca="1" ref="J299" ca="1">INDEX(INDIRECT($M299),
       MATCH(TRIM($C299), TRIM(INDIRECT($N299)), 0),
       MATCH(TRIM(J$2), TRIM(INDIRECT($O299)), 0))</f>
        <v>0</v>
      </c>
      <c r="K299" s="11" cm="1">
        <f t="array" aca="1" ref="K299" ca="1">INDEX(INDIRECT($M299),
       MATCH(TRIM($C299), TRIM(INDIRECT($N299)), 0),
       MATCH(TRIM(K$2), TRIM(INDIRECT($O299)), 0))</f>
        <v>0</v>
      </c>
      <c r="L299" s="11" cm="1">
        <f t="array" aca="1" ref="L299" ca="1">INDEX(INDIRECT($M299),
       MATCH(TRIM($C299), TRIM(INDIRECT($N299)), 0),
       MATCH(TRIM(L$2), TRIM(INDIRECT($O299)), 0))</f>
        <v>20</v>
      </c>
      <c r="M299" s="5" t="str">
        <f t="shared" si="12"/>
        <v>'2019'!$N$3:$V$80</v>
      </c>
      <c r="N299" s="5" t="str">
        <f t="shared" si="13"/>
        <v>'2019'!$M$2:$M$80</v>
      </c>
      <c r="O299" s="5" t="str">
        <f t="shared" si="14"/>
        <v>'2019'!$N$2:$W$2</v>
      </c>
    </row>
    <row r="300" spans="1:15" x14ac:dyDescent="0.3">
      <c r="A300">
        <v>46</v>
      </c>
      <c r="B300" s="9">
        <v>2019</v>
      </c>
      <c r="C300" t="s">
        <v>45</v>
      </c>
      <c r="D300" s="11" cm="1">
        <f t="array" aca="1" ref="D300" ca="1">INDEX(INDIRECT($M300),
       MATCH(TRIM($C300), TRIM(INDIRECT($N300)), 0),
       MATCH(TRIM(D$2), TRIM(INDIRECT($O300)), 0))</f>
        <v>6</v>
      </c>
      <c r="E300" s="9" cm="1">
        <f t="array" aca="1" ref="E300" ca="1">INDEX(INDIRECT($M300),
       MATCH(TRIM($C300), TRIM(INDIRECT($N300)), 0),
       MATCH(TRIM(E$2), TRIM(INDIRECT($O300)), 0))</f>
        <v>13899000</v>
      </c>
      <c r="F300" s="11" cm="1">
        <f t="array" aca="1" ref="F300" ca="1">INDEX(INDIRECT($M300),
       MATCH(TRIM($C300), TRIM(INDIRECT($N300)), 0),
       MATCH(TRIM(F$2), TRIM(INDIRECT($O300)), 0))</f>
        <v>13.898999999999999</v>
      </c>
      <c r="G300" s="11" cm="1">
        <f t="array" aca="1" ref="G300" ca="1">INDEX(INDIRECT($M300),
       MATCH(TRIM($C300), TRIM(INDIRECT($N300)), 0),
       MATCH(TRIM(G$2), TRIM(INDIRECT($O300)), 0))</f>
        <v>0</v>
      </c>
      <c r="H300" s="9" cm="1">
        <f t="array" aca="1" ref="H300" ca="1">INDEX(INDIRECT($M300),
       MATCH(TRIM($C300), TRIM(INDIRECT($N300)), 0),
       MATCH(TRIM(H$2), TRIM(INDIRECT($O300)), 0))</f>
        <v>0</v>
      </c>
      <c r="I300" s="11" cm="1">
        <f t="array" aca="1" ref="I300" ca="1">INDEX(INDIRECT($M300),
       MATCH(TRIM($C300), TRIM(INDIRECT($N300)), 0),
       MATCH(TRIM(I$2), TRIM(INDIRECT($O300)), 0))</f>
        <v>0</v>
      </c>
      <c r="J300" s="9" cm="1">
        <f t="array" aca="1" ref="J300" ca="1">INDEX(INDIRECT($M300),
       MATCH(TRIM($C300), TRIM(INDIRECT($N300)), 0),
       MATCH(TRIM(J$2), TRIM(INDIRECT($O300)), 0))</f>
        <v>4</v>
      </c>
      <c r="K300" s="11" cm="1">
        <f t="array" aca="1" ref="K300" ca="1">INDEX(INDIRECT($M300),
       MATCH(TRIM($C300), TRIM(INDIRECT($N300)), 0),
       MATCH(TRIM(K$2), TRIM(INDIRECT($O300)), 0))</f>
        <v>2.6994150000000001</v>
      </c>
      <c r="L300" s="11" cm="1">
        <f t="array" aca="1" ref="L300" ca="1">INDEX(INDIRECT($M300),
       MATCH(TRIM($C300), TRIM(INDIRECT($N300)), 0),
       MATCH(TRIM(L$2), TRIM(INDIRECT($O300)), 0))</f>
        <v>16.598414999999999</v>
      </c>
      <c r="M300" s="5" t="str">
        <f t="shared" si="12"/>
        <v>'2019'!$N$3:$V$80</v>
      </c>
      <c r="N300" s="5" t="str">
        <f t="shared" si="13"/>
        <v>'2019'!$M$2:$M$80</v>
      </c>
      <c r="O300" s="5" t="str">
        <f t="shared" si="14"/>
        <v>'2019'!$N$2:$W$2</v>
      </c>
    </row>
    <row r="301" spans="1:15" x14ac:dyDescent="0.3">
      <c r="A301">
        <v>47</v>
      </c>
      <c r="B301" s="9">
        <v>2019</v>
      </c>
      <c r="C301" t="s">
        <v>46</v>
      </c>
      <c r="D301" s="11" cm="1">
        <f t="array" aca="1" ref="D301" ca="1">INDEX(INDIRECT($M301),
       MATCH(TRIM($C301), TRIM(INDIRECT($N301)), 0),
       MATCH(TRIM(D$2), TRIM(INDIRECT($O301)), 0))</f>
        <v>2</v>
      </c>
      <c r="E301" s="9" cm="1">
        <f t="array" aca="1" ref="E301" ca="1">INDEX(INDIRECT($M301),
       MATCH(TRIM($C301), TRIM(INDIRECT($N301)), 0),
       MATCH(TRIM(E$2), TRIM(INDIRECT($O301)), 0))</f>
        <v>11505000</v>
      </c>
      <c r="F301" s="11" cm="1">
        <f t="array" aca="1" ref="F301" ca="1">INDEX(INDIRECT($M301),
       MATCH(TRIM($C301), TRIM(INDIRECT($N301)), 0),
       MATCH(TRIM(F$2), TRIM(INDIRECT($O301)), 0))</f>
        <v>11.505000000000001</v>
      </c>
      <c r="G301" s="11" cm="1">
        <f t="array" aca="1" ref="G301" ca="1">INDEX(INDIRECT($M301),
       MATCH(TRIM($C301), TRIM(INDIRECT($N301)), 0),
       MATCH(TRIM(G$2), TRIM(INDIRECT($O301)), 0))</f>
        <v>0</v>
      </c>
      <c r="H301" s="9" cm="1">
        <f t="array" aca="1" ref="H301" ca="1">INDEX(INDIRECT($M301),
       MATCH(TRIM($C301), TRIM(INDIRECT($N301)), 0),
       MATCH(TRIM(H$2), TRIM(INDIRECT($O301)), 0))</f>
        <v>0</v>
      </c>
      <c r="I301" s="11" cm="1">
        <f t="array" aca="1" ref="I301" ca="1">INDEX(INDIRECT($M301),
       MATCH(TRIM($C301), TRIM(INDIRECT($N301)), 0),
       MATCH(TRIM(I$2), TRIM(INDIRECT($O301)), 0))</f>
        <v>0</v>
      </c>
      <c r="J301" s="9" cm="1">
        <f t="array" aca="1" ref="J301" ca="1">INDEX(INDIRECT($M301),
       MATCH(TRIM($C301), TRIM(INDIRECT($N301)), 0),
       MATCH(TRIM(J$2), TRIM(INDIRECT($O301)), 0))</f>
        <v>4</v>
      </c>
      <c r="K301" s="11" cm="1">
        <f t="array" aca="1" ref="K301" ca="1">INDEX(INDIRECT($M301),
       MATCH(TRIM($C301), TRIM(INDIRECT($N301)), 0),
       MATCH(TRIM(K$2), TRIM(INDIRECT($O301)), 0))</f>
        <v>1.5199153478260869</v>
      </c>
      <c r="L301" s="11" cm="1">
        <f t="array" aca="1" ref="L301" ca="1">INDEX(INDIRECT($M301),
       MATCH(TRIM($C301), TRIM(INDIRECT($N301)), 0),
       MATCH(TRIM(L$2), TRIM(INDIRECT($O301)), 0))</f>
        <v>13.024915347826088</v>
      </c>
      <c r="M301" s="5" t="str">
        <f t="shared" si="12"/>
        <v>'2019'!$N$3:$V$80</v>
      </c>
      <c r="N301" s="5" t="str">
        <f t="shared" si="13"/>
        <v>'2019'!$M$2:$M$80</v>
      </c>
      <c r="O301" s="5" t="str">
        <f t="shared" si="14"/>
        <v>'2019'!$N$2:$W$2</v>
      </c>
    </row>
    <row r="302" spans="1:15" x14ac:dyDescent="0.3">
      <c r="A302">
        <v>48</v>
      </c>
      <c r="B302" s="9">
        <v>2019</v>
      </c>
      <c r="C302" t="s">
        <v>47</v>
      </c>
      <c r="D302" s="11" cm="1">
        <f t="array" aca="1" ref="D302" ca="1">INDEX(INDIRECT($M302),
       MATCH(TRIM($C302), TRIM(INDIRECT($N302)), 0),
       MATCH(TRIM(D$2), TRIM(INDIRECT($O302)), 0))</f>
        <v>3</v>
      </c>
      <c r="E302" s="9" cm="1">
        <f t="array" aca="1" ref="E302" ca="1">INDEX(INDIRECT($M302),
       MATCH(TRIM($C302), TRIM(INDIRECT($N302)), 0),
       MATCH(TRIM(E$2), TRIM(INDIRECT($O302)), 0))</f>
        <v>4426773</v>
      </c>
      <c r="F302" s="11" cm="1">
        <f t="array" aca="1" ref="F302" ca="1">INDEX(INDIRECT($M302),
       MATCH(TRIM($C302), TRIM(INDIRECT($N302)), 0),
       MATCH(TRIM(F$2), TRIM(INDIRECT($O302)), 0))</f>
        <v>4.4267729999999998</v>
      </c>
      <c r="G302" s="11" cm="1">
        <f t="array" aca="1" ref="G302" ca="1">INDEX(INDIRECT($M302),
       MATCH(TRIM($C302), TRIM(INDIRECT($N302)), 0),
       MATCH(TRIM(G$2), TRIM(INDIRECT($O302)), 0))</f>
        <v>1</v>
      </c>
      <c r="H302" s="9" cm="1">
        <f t="array" aca="1" ref="H302" ca="1">INDEX(INDIRECT($M302),
       MATCH(TRIM($C302), TRIM(INDIRECT($N302)), 0),
       MATCH(TRIM(H$2), TRIM(INDIRECT($O302)), 0))</f>
        <v>1112002</v>
      </c>
      <c r="I302" s="11" cm="1">
        <f t="array" aca="1" ref="I302" ca="1">INDEX(INDIRECT($M302),
       MATCH(TRIM($C302), TRIM(INDIRECT($N302)), 0),
       MATCH(TRIM(I$2), TRIM(INDIRECT($O302)), 0))</f>
        <v>1.1120019999999999</v>
      </c>
      <c r="J302" s="9" cm="1">
        <f t="array" aca="1" ref="J302" ca="1">INDEX(INDIRECT($M302),
       MATCH(TRIM($C302), TRIM(INDIRECT($N302)), 0),
       MATCH(TRIM(J$2), TRIM(INDIRECT($O302)), 0))</f>
        <v>7</v>
      </c>
      <c r="K302" s="11" cm="1">
        <f t="array" aca="1" ref="K302" ca="1">INDEX(INDIRECT($M302),
       MATCH(TRIM($C302), TRIM(INDIRECT($N302)), 0),
       MATCH(TRIM(K$2), TRIM(INDIRECT($O302)), 0))</f>
        <v>1.75739472</v>
      </c>
      <c r="L302" s="11" cm="1">
        <f t="array" aca="1" ref="L302" ca="1">INDEX(INDIRECT($M302),
       MATCH(TRIM($C302), TRIM(INDIRECT($N302)), 0),
       MATCH(TRIM(L$2), TRIM(INDIRECT($O302)), 0))</f>
        <v>7.2961697199999991</v>
      </c>
      <c r="M302" s="5" t="str">
        <f t="shared" si="12"/>
        <v>'2019'!$N$3:$V$80</v>
      </c>
      <c r="N302" s="5" t="str">
        <f t="shared" si="13"/>
        <v>'2019'!$M$2:$M$80</v>
      </c>
      <c r="O302" s="5" t="str">
        <f t="shared" si="14"/>
        <v>'2019'!$N$2:$W$2</v>
      </c>
    </row>
    <row r="303" spans="1:15" x14ac:dyDescent="0.3">
      <c r="A303">
        <v>49</v>
      </c>
      <c r="B303" s="9">
        <v>2019</v>
      </c>
      <c r="C303" t="s">
        <v>48</v>
      </c>
      <c r="D303" s="11" cm="1">
        <f t="array" aca="1" ref="D303" ca="1">INDEX(INDIRECT($M303),
       MATCH(TRIM($C303), TRIM(INDIRECT($N303)), 0),
       MATCH(TRIM(D$2), TRIM(INDIRECT($O303)), 0))</f>
        <v>1</v>
      </c>
      <c r="E303" s="9" cm="1">
        <f t="array" aca="1" ref="E303" ca="1">INDEX(INDIRECT($M303),
       MATCH(TRIM($C303), TRIM(INDIRECT($N303)), 0),
       MATCH(TRIM(E$2), TRIM(INDIRECT($O303)), 0))</f>
        <v>775000</v>
      </c>
      <c r="F303" s="11" cm="1">
        <f t="array" aca="1" ref="F303" ca="1">INDEX(INDIRECT($M303),
       MATCH(TRIM($C303), TRIM(INDIRECT($N303)), 0),
       MATCH(TRIM(F$2), TRIM(INDIRECT($O303)), 0))</f>
        <v>0.77500000000000002</v>
      </c>
      <c r="G303" s="11" cm="1">
        <f t="array" aca="1" ref="G303" ca="1">INDEX(INDIRECT($M303),
       MATCH(TRIM($C303), TRIM(INDIRECT($N303)), 0),
       MATCH(TRIM(G$2), TRIM(INDIRECT($O303)), 0))</f>
        <v>0</v>
      </c>
      <c r="H303" s="9" cm="1">
        <f t="array" aca="1" ref="H303" ca="1">INDEX(INDIRECT($M303),
       MATCH(TRIM($C303), TRIM(INDIRECT($N303)), 0),
       MATCH(TRIM(H$2), TRIM(INDIRECT($O303)), 0))</f>
        <v>0</v>
      </c>
      <c r="I303" s="11" cm="1">
        <f t="array" aca="1" ref="I303" ca="1">INDEX(INDIRECT($M303),
       MATCH(TRIM($C303), TRIM(INDIRECT($N303)), 0),
       MATCH(TRIM(I$2), TRIM(INDIRECT($O303)), 0))</f>
        <v>0</v>
      </c>
      <c r="J303" s="9" cm="1">
        <f t="array" aca="1" ref="J303" ca="1">INDEX(INDIRECT($M303),
       MATCH(TRIM($C303), TRIM(INDIRECT($N303)), 0),
       MATCH(TRIM(J$2), TRIM(INDIRECT($O303)), 0))</f>
        <v>2</v>
      </c>
      <c r="K303" s="11" cm="1">
        <f t="array" aca="1" ref="K303" ca="1">INDEX(INDIRECT($M303),
       MATCH(TRIM($C303), TRIM(INDIRECT($N303)), 0),
       MATCH(TRIM(K$2), TRIM(INDIRECT($O303)), 0))</f>
        <v>4.8526331908695663</v>
      </c>
      <c r="L303" s="11" cm="1">
        <f t="array" aca="1" ref="L303" ca="1">INDEX(INDIRECT($M303),
       MATCH(TRIM($C303), TRIM(INDIRECT($N303)), 0),
       MATCH(TRIM(L$2), TRIM(INDIRECT($O303)), 0))</f>
        <v>5.6276331908695667</v>
      </c>
      <c r="M303" s="5" t="str">
        <f t="shared" si="12"/>
        <v>'2019'!$N$3:$V$80</v>
      </c>
      <c r="N303" s="5" t="str">
        <f t="shared" si="13"/>
        <v>'2019'!$M$2:$M$80</v>
      </c>
      <c r="O303" s="5" t="str">
        <f t="shared" si="14"/>
        <v>'2019'!$N$2:$W$2</v>
      </c>
    </row>
    <row r="304" spans="1:15" x14ac:dyDescent="0.3">
      <c r="A304">
        <v>50</v>
      </c>
      <c r="B304" s="9">
        <v>2019</v>
      </c>
      <c r="C304" t="s">
        <v>49</v>
      </c>
      <c r="D304" s="11" cm="1">
        <f t="array" aca="1" ref="D304" ca="1">INDEX(INDIRECT($M304),
       MATCH(TRIM($C304), TRIM(INDIRECT($N304)), 0),
       MATCH(TRIM(D$2), TRIM(INDIRECT($O304)), 0))</f>
        <v>1</v>
      </c>
      <c r="E304" s="9" cm="1">
        <f t="array" aca="1" ref="E304" ca="1">INDEX(INDIRECT($M304),
       MATCH(TRIM($C304), TRIM(INDIRECT($N304)), 0),
       MATCH(TRIM(E$2), TRIM(INDIRECT($O304)), 0))</f>
        <v>4321532.8099999996</v>
      </c>
      <c r="F304" s="11" cm="1">
        <f t="array" aca="1" ref="F304" ca="1">INDEX(INDIRECT($M304),
       MATCH(TRIM($C304), TRIM(INDIRECT($N304)), 0),
       MATCH(TRIM(F$2), TRIM(INDIRECT($O304)), 0))</f>
        <v>4.3215328099999999</v>
      </c>
      <c r="G304" s="11" cm="1">
        <f t="array" aca="1" ref="G304" ca="1">INDEX(INDIRECT($M304),
       MATCH(TRIM($C304), TRIM(INDIRECT($N304)), 0),
       MATCH(TRIM(G$2), TRIM(INDIRECT($O304)), 0))</f>
        <v>0</v>
      </c>
      <c r="H304" s="9" cm="1">
        <f t="array" aca="1" ref="H304" ca="1">INDEX(INDIRECT($M304),
       MATCH(TRIM($C304), TRIM(INDIRECT($N304)), 0),
       MATCH(TRIM(H$2), TRIM(INDIRECT($O304)), 0))</f>
        <v>0</v>
      </c>
      <c r="I304" s="11" cm="1">
        <f t="array" aca="1" ref="I304" ca="1">INDEX(INDIRECT($M304),
       MATCH(TRIM($C304), TRIM(INDIRECT($N304)), 0),
       MATCH(TRIM(I$2), TRIM(INDIRECT($O304)), 0))</f>
        <v>0</v>
      </c>
      <c r="J304" s="9" cm="1">
        <f t="array" aca="1" ref="J304" ca="1">INDEX(INDIRECT($M304),
       MATCH(TRIM($C304), TRIM(INDIRECT($N304)), 0),
       MATCH(TRIM(J$2), TRIM(INDIRECT($O304)), 0))</f>
        <v>1</v>
      </c>
      <c r="K304" s="11" cm="1">
        <f t="array" aca="1" ref="K304" ca="1">INDEX(INDIRECT($M304),
       MATCH(TRIM($C304), TRIM(INDIRECT($N304)), 0),
       MATCH(TRIM(K$2), TRIM(INDIRECT($O304)), 0))</f>
        <v>5.8695652173912899E-2</v>
      </c>
      <c r="L304" s="11" cm="1">
        <f t="array" aca="1" ref="L304" ca="1">INDEX(INDIRECT($M304),
       MATCH(TRIM($C304), TRIM(INDIRECT($N304)), 0),
       MATCH(TRIM(L$2), TRIM(INDIRECT($O304)), 0))</f>
        <v>4.3802284621739132</v>
      </c>
      <c r="M304" s="5" t="str">
        <f t="shared" si="12"/>
        <v>'2019'!$N$3:$V$80</v>
      </c>
      <c r="N304" s="5" t="str">
        <f t="shared" si="13"/>
        <v>'2019'!$M$2:$M$80</v>
      </c>
      <c r="O304" s="5" t="str">
        <f t="shared" si="14"/>
        <v>'2019'!$N$2:$W$2</v>
      </c>
    </row>
    <row r="305" spans="1:15" x14ac:dyDescent="0.3">
      <c r="A305">
        <v>51</v>
      </c>
      <c r="B305" s="9">
        <v>2019</v>
      </c>
      <c r="C305" t="s">
        <v>50</v>
      </c>
      <c r="D305" s="11" cm="1">
        <f t="array" aca="1" ref="D305" ca="1">INDEX(INDIRECT($M305),
       MATCH(TRIM($C305), TRIM(INDIRECT($N305)), 0),
       MATCH(TRIM(D$2), TRIM(INDIRECT($O305)), 0))</f>
        <v>0</v>
      </c>
      <c r="E305" s="9" cm="1">
        <f t="array" aca="1" ref="E305" ca="1">INDEX(INDIRECT($M305),
       MATCH(TRIM($C305), TRIM(INDIRECT($N305)), 0),
       MATCH(TRIM(E$2), TRIM(INDIRECT($O305)), 0))</f>
        <v>0</v>
      </c>
      <c r="F305" s="11" cm="1">
        <f t="array" aca="1" ref="F305" ca="1">INDEX(INDIRECT($M305),
       MATCH(TRIM($C305), TRIM(INDIRECT($N305)), 0),
       MATCH(TRIM(F$2), TRIM(INDIRECT($O305)), 0))</f>
        <v>0</v>
      </c>
      <c r="G305" s="11" cm="1">
        <f t="array" aca="1" ref="G305" ca="1">INDEX(INDIRECT($M305),
       MATCH(TRIM($C305), TRIM(INDIRECT($N305)), 0),
       MATCH(TRIM(G$2), TRIM(INDIRECT($O305)), 0))</f>
        <v>0</v>
      </c>
      <c r="H305" s="9" cm="1">
        <f t="array" aca="1" ref="H305" ca="1">INDEX(INDIRECT($M305),
       MATCH(TRIM($C305), TRIM(INDIRECT($N305)), 0),
       MATCH(TRIM(H$2), TRIM(INDIRECT($O305)), 0))</f>
        <v>0</v>
      </c>
      <c r="I305" s="11" cm="1">
        <f t="array" aca="1" ref="I305" ca="1">INDEX(INDIRECT($M305),
       MATCH(TRIM($C305), TRIM(INDIRECT($N305)), 0),
       MATCH(TRIM(I$2), TRIM(INDIRECT($O305)), 0))</f>
        <v>0</v>
      </c>
      <c r="J305" s="9" cm="1">
        <f t="array" aca="1" ref="J305" ca="1">INDEX(INDIRECT($M305),
       MATCH(TRIM($C305), TRIM(INDIRECT($N305)), 0),
       MATCH(TRIM(J$2), TRIM(INDIRECT($O305)), 0))</f>
        <v>2</v>
      </c>
      <c r="K305" s="11" cm="1">
        <f t="array" aca="1" ref="K305" ca="1">INDEX(INDIRECT($M305),
       MATCH(TRIM($C305), TRIM(INDIRECT($N305)), 0),
       MATCH(TRIM(K$2), TRIM(INDIRECT($O305)), 0))</f>
        <v>2.5630434782608646</v>
      </c>
      <c r="L305" s="11" cm="1">
        <f t="array" aca="1" ref="L305" ca="1">INDEX(INDIRECT($M305),
       MATCH(TRIM($C305), TRIM(INDIRECT($N305)), 0),
       MATCH(TRIM(L$2), TRIM(INDIRECT($O305)), 0))</f>
        <v>2.5630434782608646</v>
      </c>
      <c r="M305" s="5" t="str">
        <f t="shared" si="12"/>
        <v>'2019'!$N$3:$V$80</v>
      </c>
      <c r="N305" s="5" t="str">
        <f t="shared" si="13"/>
        <v>'2019'!$M$2:$M$80</v>
      </c>
      <c r="O305" s="5" t="str">
        <f t="shared" si="14"/>
        <v>'2019'!$N$2:$W$2</v>
      </c>
    </row>
    <row r="306" spans="1:15" x14ac:dyDescent="0.3">
      <c r="A306">
        <v>52</v>
      </c>
      <c r="B306" s="9">
        <v>2019</v>
      </c>
      <c r="C306" t="s">
        <v>51</v>
      </c>
      <c r="D306" s="11" cm="1">
        <f t="array" aca="1" ref="D306" ca="1">INDEX(INDIRECT($M306),
       MATCH(TRIM($C306), TRIM(INDIRECT($N306)), 0),
       MATCH(TRIM(D$2), TRIM(INDIRECT($O306)), 0))</f>
        <v>0</v>
      </c>
      <c r="E306" s="9" cm="1">
        <f t="array" aca="1" ref="E306" ca="1">INDEX(INDIRECT($M306),
       MATCH(TRIM($C306), TRIM(INDIRECT($N306)), 0),
       MATCH(TRIM(E$2), TRIM(INDIRECT($O306)), 0))</f>
        <v>0</v>
      </c>
      <c r="F306" s="11" cm="1">
        <f t="array" aca="1" ref="F306" ca="1">INDEX(INDIRECT($M306),
       MATCH(TRIM($C306), TRIM(INDIRECT($N306)), 0),
       MATCH(TRIM(F$2), TRIM(INDIRECT($O306)), 0))</f>
        <v>0</v>
      </c>
      <c r="G306" s="11" cm="1">
        <f t="array" aca="1" ref="G306" ca="1">INDEX(INDIRECT($M306),
       MATCH(TRIM($C306), TRIM(INDIRECT($N306)), 0),
       MATCH(TRIM(G$2), TRIM(INDIRECT($O306)), 0))</f>
        <v>0</v>
      </c>
      <c r="H306" s="9" cm="1">
        <f t="array" aca="1" ref="H306" ca="1">INDEX(INDIRECT($M306),
       MATCH(TRIM($C306), TRIM(INDIRECT($N306)), 0),
       MATCH(TRIM(H$2), TRIM(INDIRECT($O306)), 0))</f>
        <v>0</v>
      </c>
      <c r="I306" s="11" cm="1">
        <f t="array" aca="1" ref="I306" ca="1">INDEX(INDIRECT($M306),
       MATCH(TRIM($C306), TRIM(INDIRECT($N306)), 0),
       MATCH(TRIM(I$2), TRIM(INDIRECT($O306)), 0))</f>
        <v>0</v>
      </c>
      <c r="J306" s="9" cm="1">
        <f t="array" aca="1" ref="J306" ca="1">INDEX(INDIRECT($M306),
       MATCH(TRIM($C306), TRIM(INDIRECT($N306)), 0),
       MATCH(TRIM(J$2), TRIM(INDIRECT($O306)), 0))</f>
        <v>4</v>
      </c>
      <c r="K306" s="11" cm="1">
        <f t="array" aca="1" ref="K306" ca="1">INDEX(INDIRECT($M306),
       MATCH(TRIM($C306), TRIM(INDIRECT($N306)), 0),
       MATCH(TRIM(K$2), TRIM(INDIRECT($O306)), 0))</f>
        <v>1.3871664049032764</v>
      </c>
      <c r="L306" s="11" cm="1">
        <f t="array" aca="1" ref="L306" ca="1">INDEX(INDIRECT($M306),
       MATCH(TRIM($C306), TRIM(INDIRECT($N306)), 0),
       MATCH(TRIM(L$2), TRIM(INDIRECT($O306)), 0))</f>
        <v>1.3871664049032764</v>
      </c>
      <c r="M306" s="5" t="str">
        <f t="shared" si="12"/>
        <v>'2019'!$N$3:$V$80</v>
      </c>
      <c r="N306" s="5" t="str">
        <f t="shared" si="13"/>
        <v>'2019'!$M$2:$M$80</v>
      </c>
      <c r="O306" s="5" t="str">
        <f t="shared" si="14"/>
        <v>'2019'!$N$2:$W$2</v>
      </c>
    </row>
    <row r="307" spans="1:15" x14ac:dyDescent="0.3">
      <c r="A307">
        <v>53</v>
      </c>
      <c r="B307" s="9">
        <v>2019</v>
      </c>
      <c r="C307" t="s">
        <v>52</v>
      </c>
      <c r="D307" s="11" cm="1">
        <f t="array" aca="1" ref="D307" ca="1">INDEX(INDIRECT($M307),
       MATCH(TRIM($C307), TRIM(INDIRECT($N307)), 0),
       MATCH(TRIM(D$2), TRIM(INDIRECT($O307)), 0))</f>
        <v>0</v>
      </c>
      <c r="E307" s="9" cm="1">
        <f t="array" aca="1" ref="E307" ca="1">INDEX(INDIRECT($M307),
       MATCH(TRIM($C307), TRIM(INDIRECT($N307)), 0),
       MATCH(TRIM(E$2), TRIM(INDIRECT($O307)), 0))</f>
        <v>0</v>
      </c>
      <c r="F307" s="11" cm="1">
        <f t="array" aca="1" ref="F307" ca="1">INDEX(INDIRECT($M307),
       MATCH(TRIM($C307), TRIM(INDIRECT($N307)), 0),
       MATCH(TRIM(F$2), TRIM(INDIRECT($O307)), 0))</f>
        <v>0</v>
      </c>
      <c r="G307" s="11" cm="1">
        <f t="array" aca="1" ref="G307" ca="1">INDEX(INDIRECT($M307),
       MATCH(TRIM($C307), TRIM(INDIRECT($N307)), 0),
       MATCH(TRIM(G$2), TRIM(INDIRECT($O307)), 0))</f>
        <v>0</v>
      </c>
      <c r="H307" s="9" cm="1">
        <f t="array" aca="1" ref="H307" ca="1">INDEX(INDIRECT($M307),
       MATCH(TRIM($C307), TRIM(INDIRECT($N307)), 0),
       MATCH(TRIM(H$2), TRIM(INDIRECT($O307)), 0))</f>
        <v>0</v>
      </c>
      <c r="I307" s="11" cm="1">
        <f t="array" aca="1" ref="I307" ca="1">INDEX(INDIRECT($M307),
       MATCH(TRIM($C307), TRIM(INDIRECT($N307)), 0),
       MATCH(TRIM(I$2), TRIM(INDIRECT($O307)), 0))</f>
        <v>0</v>
      </c>
      <c r="J307" s="9" cm="1">
        <f t="array" aca="1" ref="J307" ca="1">INDEX(INDIRECT($M307),
       MATCH(TRIM($C307), TRIM(INDIRECT($N307)), 0),
       MATCH(TRIM(J$2), TRIM(INDIRECT($O307)), 0))</f>
        <v>1</v>
      </c>
      <c r="K307" s="11" cm="1">
        <f t="array" aca="1" ref="K307" ca="1">INDEX(INDIRECT($M307),
       MATCH(TRIM($C307), TRIM(INDIRECT($N307)), 0),
       MATCH(TRIM(K$2), TRIM(INDIRECT($O307)), 0))</f>
        <v>1.2173913043478299</v>
      </c>
      <c r="L307" s="11" cm="1">
        <f t="array" aca="1" ref="L307" ca="1">INDEX(INDIRECT($M307),
       MATCH(TRIM($C307), TRIM(INDIRECT($N307)), 0),
       MATCH(TRIM(L$2), TRIM(INDIRECT($O307)), 0))</f>
        <v>1.2173913043478299</v>
      </c>
      <c r="M307" s="5" t="str">
        <f t="shared" si="12"/>
        <v>'2019'!$N$3:$V$80</v>
      </c>
      <c r="N307" s="5" t="str">
        <f t="shared" si="13"/>
        <v>'2019'!$M$2:$M$80</v>
      </c>
      <c r="O307" s="5" t="str">
        <f t="shared" si="14"/>
        <v>'2019'!$N$2:$W$2</v>
      </c>
    </row>
    <row r="308" spans="1:15" x14ac:dyDescent="0.3">
      <c r="A308">
        <v>54</v>
      </c>
      <c r="B308" s="9">
        <v>2019</v>
      </c>
      <c r="C308" t="s">
        <v>53</v>
      </c>
      <c r="D308" s="11" cm="1">
        <f t="array" aca="1" ref="D308" ca="1">INDEX(INDIRECT($M308),
       MATCH(TRIM($C308), TRIM(INDIRECT($N308)), 0),
       MATCH(TRIM(D$2), TRIM(INDIRECT($O308)), 0))</f>
        <v>1</v>
      </c>
      <c r="E308" s="9" cm="1">
        <f t="array" aca="1" ref="E308" ca="1">INDEX(INDIRECT($M308),
       MATCH(TRIM($C308), TRIM(INDIRECT($N308)), 0),
       MATCH(TRIM(E$2), TRIM(INDIRECT($O308)), 0))</f>
        <v>865000</v>
      </c>
      <c r="F308" s="11" cm="1">
        <f t="array" aca="1" ref="F308" ca="1">INDEX(INDIRECT($M308),
       MATCH(TRIM($C308), TRIM(INDIRECT($N308)), 0),
       MATCH(TRIM(F$2), TRIM(INDIRECT($O308)), 0))</f>
        <v>0.86499999999999999</v>
      </c>
      <c r="G308" s="11" cm="1">
        <f t="array" aca="1" ref="G308" ca="1">INDEX(INDIRECT($M308),
       MATCH(TRIM($C308), TRIM(INDIRECT($N308)), 0),
       MATCH(TRIM(G$2), TRIM(INDIRECT($O308)), 0))</f>
        <v>0</v>
      </c>
      <c r="H308" s="9" cm="1">
        <f t="array" aca="1" ref="H308" ca="1">INDEX(INDIRECT($M308),
       MATCH(TRIM($C308), TRIM(INDIRECT($N308)), 0),
       MATCH(TRIM(H$2), TRIM(INDIRECT($O308)), 0))</f>
        <v>0</v>
      </c>
      <c r="I308" s="11" cm="1">
        <f t="array" aca="1" ref="I308" ca="1">INDEX(INDIRECT($M308),
       MATCH(TRIM($C308), TRIM(INDIRECT($N308)), 0),
       MATCH(TRIM(I$2), TRIM(INDIRECT($O308)), 0))</f>
        <v>0</v>
      </c>
      <c r="J308" s="9" cm="1">
        <f t="array" aca="1" ref="J308" ca="1">INDEX(INDIRECT($M308),
       MATCH(TRIM($C308), TRIM(INDIRECT($N308)), 0),
       MATCH(TRIM(J$2), TRIM(INDIRECT($O308)), 0))</f>
        <v>2</v>
      </c>
      <c r="K308" s="11" cm="1">
        <f t="array" aca="1" ref="K308" ca="1">INDEX(INDIRECT($M308),
       MATCH(TRIM($C308), TRIM(INDIRECT($N308)), 0),
       MATCH(TRIM(K$2), TRIM(INDIRECT($O308)), 0))</f>
        <v>7.9216625167592397E-2</v>
      </c>
      <c r="L308" s="11" cm="1">
        <f t="array" aca="1" ref="L308" ca="1">INDEX(INDIRECT($M308),
       MATCH(TRIM($C308), TRIM(INDIRECT($N308)), 0),
       MATCH(TRIM(L$2), TRIM(INDIRECT($O308)), 0))</f>
        <v>0.94421662516759242</v>
      </c>
      <c r="M308" s="5" t="str">
        <f t="shared" si="12"/>
        <v>'2019'!$N$3:$V$80</v>
      </c>
      <c r="N308" s="5" t="str">
        <f t="shared" si="13"/>
        <v>'2019'!$M$2:$M$80</v>
      </c>
      <c r="O308" s="5" t="str">
        <f t="shared" si="14"/>
        <v>'2019'!$N$2:$W$2</v>
      </c>
    </row>
    <row r="309" spans="1:15" x14ac:dyDescent="0.3">
      <c r="A309">
        <v>55</v>
      </c>
      <c r="B309" s="9">
        <v>2019</v>
      </c>
      <c r="C309" t="s">
        <v>54</v>
      </c>
      <c r="D309" s="11" cm="1">
        <f t="array" aca="1" ref="D309" ca="1">INDEX(INDIRECT($M309),
       MATCH(TRIM($C309), TRIM(INDIRECT($N309)), 0),
       MATCH(TRIM(D$2), TRIM(INDIRECT($O309)), 0))</f>
        <v>0</v>
      </c>
      <c r="E309" s="9" cm="1">
        <f t="array" aca="1" ref="E309" ca="1">INDEX(INDIRECT($M309),
       MATCH(TRIM($C309), TRIM(INDIRECT($N309)), 0),
       MATCH(TRIM(E$2), TRIM(INDIRECT($O309)), 0))</f>
        <v>0</v>
      </c>
      <c r="F309" s="11" cm="1">
        <f t="array" aca="1" ref="F309" ca="1">INDEX(INDIRECT($M309),
       MATCH(TRIM($C309), TRIM(INDIRECT($N309)), 0),
       MATCH(TRIM(F$2), TRIM(INDIRECT($O309)), 0))</f>
        <v>0</v>
      </c>
      <c r="G309" s="11" cm="1">
        <f t="array" aca="1" ref="G309" ca="1">INDEX(INDIRECT($M309),
       MATCH(TRIM($C309), TRIM(INDIRECT($N309)), 0),
       MATCH(TRIM(G$2), TRIM(INDIRECT($O309)), 0))</f>
        <v>0</v>
      </c>
      <c r="H309" s="9" cm="1">
        <f t="array" aca="1" ref="H309" ca="1">INDEX(INDIRECT($M309),
       MATCH(TRIM($C309), TRIM(INDIRECT($N309)), 0),
       MATCH(TRIM(H$2), TRIM(INDIRECT($O309)), 0))</f>
        <v>0</v>
      </c>
      <c r="I309" s="11" cm="1">
        <f t="array" aca="1" ref="I309" ca="1">INDEX(INDIRECT($M309),
       MATCH(TRIM($C309), TRIM(INDIRECT($N309)), 0),
       MATCH(TRIM(I$2), TRIM(INDIRECT($O309)), 0))</f>
        <v>0</v>
      </c>
      <c r="J309" s="9" cm="1">
        <f t="array" aca="1" ref="J309" ca="1">INDEX(INDIRECT($M309),
       MATCH(TRIM($C309), TRIM(INDIRECT($N309)), 0),
       MATCH(TRIM(J$2), TRIM(INDIRECT($O309)), 0))</f>
        <v>5</v>
      </c>
      <c r="K309" s="11" cm="1">
        <f t="array" aca="1" ref="K309" ca="1">INDEX(INDIRECT($M309),
       MATCH(TRIM($C309), TRIM(INDIRECT($N309)), 0),
       MATCH(TRIM(K$2), TRIM(INDIRECT($O309)), 0))</f>
        <v>0.77661673913043472</v>
      </c>
      <c r="L309" s="11" cm="1">
        <f t="array" aca="1" ref="L309" ca="1">INDEX(INDIRECT($M309),
       MATCH(TRIM($C309), TRIM(INDIRECT($N309)), 0),
       MATCH(TRIM(L$2), TRIM(INDIRECT($O309)), 0))</f>
        <v>0.77661673913043472</v>
      </c>
      <c r="M309" s="5" t="str">
        <f t="shared" si="12"/>
        <v>'2019'!$N$3:$V$80</v>
      </c>
      <c r="N309" s="5" t="str">
        <f t="shared" si="13"/>
        <v>'2019'!$M$2:$M$80</v>
      </c>
      <c r="O309" s="5" t="str">
        <f t="shared" si="14"/>
        <v>'2019'!$N$2:$W$2</v>
      </c>
    </row>
    <row r="310" spans="1:15" x14ac:dyDescent="0.3">
      <c r="A310">
        <v>56</v>
      </c>
      <c r="B310" s="9">
        <v>2019</v>
      </c>
      <c r="C310" t="s">
        <v>55</v>
      </c>
      <c r="D310" s="11" cm="1">
        <f t="array" aca="1" ref="D310" ca="1">INDEX(INDIRECT($M310),
       MATCH(TRIM($C310), TRIM(INDIRECT($N310)), 0),
       MATCH(TRIM(D$2), TRIM(INDIRECT($O310)), 0))</f>
        <v>0</v>
      </c>
      <c r="E310" s="9" cm="1">
        <f t="array" aca="1" ref="E310" ca="1">INDEX(INDIRECT($M310),
       MATCH(TRIM($C310), TRIM(INDIRECT($N310)), 0),
       MATCH(TRIM(E$2), TRIM(INDIRECT($O310)), 0))</f>
        <v>0</v>
      </c>
      <c r="F310" s="11" cm="1">
        <f t="array" aca="1" ref="F310" ca="1">INDEX(INDIRECT($M310),
       MATCH(TRIM($C310), TRIM(INDIRECT($N310)), 0),
       MATCH(TRIM(F$2), TRIM(INDIRECT($O310)), 0))</f>
        <v>0</v>
      </c>
      <c r="G310" s="11" cm="1">
        <f t="array" aca="1" ref="G310" ca="1">INDEX(INDIRECT($M310),
       MATCH(TRIM($C310), TRIM(INDIRECT($N310)), 0),
       MATCH(TRIM(G$2), TRIM(INDIRECT($O310)), 0))</f>
        <v>0</v>
      </c>
      <c r="H310" s="9" cm="1">
        <f t="array" aca="1" ref="H310" ca="1">INDEX(INDIRECT($M310),
       MATCH(TRIM($C310), TRIM(INDIRECT($N310)), 0),
       MATCH(TRIM(H$2), TRIM(INDIRECT($O310)), 0))</f>
        <v>0</v>
      </c>
      <c r="I310" s="11" cm="1">
        <f t="array" aca="1" ref="I310" ca="1">INDEX(INDIRECT($M310),
       MATCH(TRIM($C310), TRIM(INDIRECT($N310)), 0),
       MATCH(TRIM(I$2), TRIM(INDIRECT($O310)), 0))</f>
        <v>0</v>
      </c>
      <c r="J310" s="9" cm="1">
        <f t="array" aca="1" ref="J310" ca="1">INDEX(INDIRECT($M310),
       MATCH(TRIM($C310), TRIM(INDIRECT($N310)), 0),
       MATCH(TRIM(J$2), TRIM(INDIRECT($O310)), 0))</f>
        <v>1</v>
      </c>
      <c r="K310" s="11" cm="1">
        <f t="array" aca="1" ref="K310" ca="1">INDEX(INDIRECT($M310),
       MATCH(TRIM($C310), TRIM(INDIRECT($N310)), 0),
       MATCH(TRIM(K$2), TRIM(INDIRECT($O310)), 0))</f>
        <v>0.50232299999999996</v>
      </c>
      <c r="L310" s="11" cm="1">
        <f t="array" aca="1" ref="L310" ca="1">INDEX(INDIRECT($M310),
       MATCH(TRIM($C310), TRIM(INDIRECT($N310)), 0),
       MATCH(TRIM(L$2), TRIM(INDIRECT($O310)), 0))</f>
        <v>0.50232299999999996</v>
      </c>
      <c r="M310" s="5" t="str">
        <f t="shared" si="12"/>
        <v>'2019'!$N$3:$V$80</v>
      </c>
      <c r="N310" s="5" t="str">
        <f t="shared" si="13"/>
        <v>'2019'!$M$2:$M$80</v>
      </c>
      <c r="O310" s="5" t="str">
        <f t="shared" si="14"/>
        <v>'2019'!$N$2:$W$2</v>
      </c>
    </row>
    <row r="311" spans="1:15" x14ac:dyDescent="0.3">
      <c r="A311">
        <v>57</v>
      </c>
      <c r="B311" s="9">
        <v>2019</v>
      </c>
      <c r="C311" t="s">
        <v>56</v>
      </c>
      <c r="D311" s="11" cm="1">
        <f t="array" aca="1" ref="D311" ca="1">INDEX(INDIRECT($M311),
       MATCH(TRIM($C311), TRIM(INDIRECT($N311)), 0),
       MATCH(TRIM(D$2), TRIM(INDIRECT($O311)), 0))</f>
        <v>0</v>
      </c>
      <c r="E311" s="9" cm="1">
        <f t="array" aca="1" ref="E311" ca="1">INDEX(INDIRECT($M311),
       MATCH(TRIM($C311), TRIM(INDIRECT($N311)), 0),
       MATCH(TRIM(E$2), TRIM(INDIRECT($O311)), 0))</f>
        <v>0</v>
      </c>
      <c r="F311" s="11" cm="1">
        <f t="array" aca="1" ref="F311" ca="1">INDEX(INDIRECT($M311),
       MATCH(TRIM($C311), TRIM(INDIRECT($N311)), 0),
       MATCH(TRIM(F$2), TRIM(INDIRECT($O311)), 0))</f>
        <v>0</v>
      </c>
      <c r="G311" s="11" cm="1">
        <f t="array" aca="1" ref="G311" ca="1">INDEX(INDIRECT($M311),
       MATCH(TRIM($C311), TRIM(INDIRECT($N311)), 0),
       MATCH(TRIM(G$2), TRIM(INDIRECT($O311)), 0))</f>
        <v>0</v>
      </c>
      <c r="H311" s="9" cm="1">
        <f t="array" aca="1" ref="H311" ca="1">INDEX(INDIRECT($M311),
       MATCH(TRIM($C311), TRIM(INDIRECT($N311)), 0),
       MATCH(TRIM(H$2), TRIM(INDIRECT($O311)), 0))</f>
        <v>0</v>
      </c>
      <c r="I311" s="11" cm="1">
        <f t="array" aca="1" ref="I311" ca="1">INDEX(INDIRECT($M311),
       MATCH(TRIM($C311), TRIM(INDIRECT($N311)), 0),
       MATCH(TRIM(I$2), TRIM(INDIRECT($O311)), 0))</f>
        <v>0</v>
      </c>
      <c r="J311" s="9" cm="1">
        <f t="array" aca="1" ref="J311" ca="1">INDEX(INDIRECT($M311),
       MATCH(TRIM($C311), TRIM(INDIRECT($N311)), 0),
       MATCH(TRIM(J$2), TRIM(INDIRECT($O311)), 0))</f>
        <v>2</v>
      </c>
      <c r="K311" s="11" cm="1">
        <f t="array" aca="1" ref="K311" ca="1">INDEX(INDIRECT($M311),
       MATCH(TRIM($C311), TRIM(INDIRECT($N311)), 0),
       MATCH(TRIM(K$2), TRIM(INDIRECT($O311)), 0))</f>
        <v>0.37914130434782639</v>
      </c>
      <c r="L311" s="11" cm="1">
        <f t="array" aca="1" ref="L311" ca="1">INDEX(INDIRECT($M311),
       MATCH(TRIM($C311), TRIM(INDIRECT($N311)), 0),
       MATCH(TRIM(L$2), TRIM(INDIRECT($O311)), 0))</f>
        <v>0.37914130434782639</v>
      </c>
      <c r="M311" s="5" t="str">
        <f t="shared" si="12"/>
        <v>'2019'!$N$3:$V$80</v>
      </c>
      <c r="N311" s="5" t="str">
        <f t="shared" si="13"/>
        <v>'2019'!$M$2:$M$80</v>
      </c>
      <c r="O311" s="5" t="str">
        <f t="shared" si="14"/>
        <v>'2019'!$N$2:$W$2</v>
      </c>
    </row>
    <row r="312" spans="1:15" x14ac:dyDescent="0.3">
      <c r="A312">
        <v>58</v>
      </c>
      <c r="B312" s="9">
        <v>2019</v>
      </c>
      <c r="C312" t="s">
        <v>57</v>
      </c>
      <c r="D312" s="11" cm="1">
        <f t="array" aca="1" ref="D312" ca="1">INDEX(INDIRECT($M312),
       MATCH(TRIM($C312), TRIM(INDIRECT($N312)), 0),
       MATCH(TRIM(D$2), TRIM(INDIRECT($O312)), 0))</f>
        <v>0</v>
      </c>
      <c r="E312" s="9" cm="1">
        <f t="array" aca="1" ref="E312" ca="1">INDEX(INDIRECT($M312),
       MATCH(TRIM($C312), TRIM(INDIRECT($N312)), 0),
       MATCH(TRIM(E$2), TRIM(INDIRECT($O312)), 0))</f>
        <v>0</v>
      </c>
      <c r="F312" s="11" cm="1">
        <f t="array" aca="1" ref="F312" ca="1">INDEX(INDIRECT($M312),
       MATCH(TRIM($C312), TRIM(INDIRECT($N312)), 0),
       MATCH(TRIM(F$2), TRIM(INDIRECT($O312)), 0))</f>
        <v>0</v>
      </c>
      <c r="G312" s="11" cm="1">
        <f t="array" aca="1" ref="G312" ca="1">INDEX(INDIRECT($M312),
       MATCH(TRIM($C312), TRIM(INDIRECT($N312)), 0),
       MATCH(TRIM(G$2), TRIM(INDIRECT($O312)), 0))</f>
        <v>0</v>
      </c>
      <c r="H312" s="9" cm="1">
        <f t="array" aca="1" ref="H312" ca="1">INDEX(INDIRECT($M312),
       MATCH(TRIM($C312), TRIM(INDIRECT($N312)), 0),
       MATCH(TRIM(H$2), TRIM(INDIRECT($O312)), 0))</f>
        <v>0</v>
      </c>
      <c r="I312" s="11" cm="1">
        <f t="array" aca="1" ref="I312" ca="1">INDEX(INDIRECT($M312),
       MATCH(TRIM($C312), TRIM(INDIRECT($N312)), 0),
       MATCH(TRIM(I$2), TRIM(INDIRECT($O312)), 0))</f>
        <v>0</v>
      </c>
      <c r="J312" s="9" cm="1">
        <f t="array" aca="1" ref="J312" ca="1">INDEX(INDIRECT($M312),
       MATCH(TRIM($C312), TRIM(INDIRECT($N312)), 0),
       MATCH(TRIM(J$2), TRIM(INDIRECT($O312)), 0))</f>
        <v>1</v>
      </c>
      <c r="K312" s="11" cm="1">
        <f t="array" aca="1" ref="K312" ca="1">INDEX(INDIRECT($M312),
       MATCH(TRIM($C312), TRIM(INDIRECT($N312)), 0),
       MATCH(TRIM(K$2), TRIM(INDIRECT($O312)), 0))</f>
        <v>0.13722870895652201</v>
      </c>
      <c r="L312" s="11" cm="1">
        <f t="array" aca="1" ref="L312" ca="1">INDEX(INDIRECT($M312),
       MATCH(TRIM($C312), TRIM(INDIRECT($N312)), 0),
       MATCH(TRIM(L$2), TRIM(INDIRECT($O312)), 0))</f>
        <v>0.13722870895652201</v>
      </c>
      <c r="M312" s="5" t="str">
        <f t="shared" si="12"/>
        <v>'2019'!$N$3:$V$80</v>
      </c>
      <c r="N312" s="5" t="str">
        <f t="shared" si="13"/>
        <v>'2019'!$M$2:$M$80</v>
      </c>
      <c r="O312" s="5" t="str">
        <f t="shared" si="14"/>
        <v>'2019'!$N$2:$W$2</v>
      </c>
    </row>
    <row r="313" spans="1:15" x14ac:dyDescent="0.3">
      <c r="A313">
        <v>59</v>
      </c>
      <c r="B313" s="9">
        <v>2019</v>
      </c>
      <c r="C313" t="s">
        <v>58</v>
      </c>
      <c r="D313" s="11" cm="1">
        <f t="array" aca="1" ref="D313" ca="1">INDEX(INDIRECT($M313),
       MATCH(TRIM($C313), TRIM(INDIRECT($N313)), 0),
       MATCH(TRIM(D$2), TRIM(INDIRECT($O313)), 0))</f>
        <v>0</v>
      </c>
      <c r="E313" s="9" cm="1">
        <f t="array" aca="1" ref="E313" ca="1">INDEX(INDIRECT($M313),
       MATCH(TRIM($C313), TRIM(INDIRECT($N313)), 0),
       MATCH(TRIM(E$2), TRIM(INDIRECT($O313)), 0))</f>
        <v>0</v>
      </c>
      <c r="F313" s="11" cm="1">
        <f t="array" aca="1" ref="F313" ca="1">INDEX(INDIRECT($M313),
       MATCH(TRIM($C313), TRIM(INDIRECT($N313)), 0),
       MATCH(TRIM(F$2), TRIM(INDIRECT($O313)), 0))</f>
        <v>0</v>
      </c>
      <c r="G313" s="11" cm="1">
        <f t="array" aca="1" ref="G313" ca="1">INDEX(INDIRECT($M313),
       MATCH(TRIM($C313), TRIM(INDIRECT($N313)), 0),
       MATCH(TRIM(G$2), TRIM(INDIRECT($O313)), 0))</f>
        <v>0</v>
      </c>
      <c r="H313" s="9" cm="1">
        <f t="array" aca="1" ref="H313" ca="1">INDEX(INDIRECT($M313),
       MATCH(TRIM($C313), TRIM(INDIRECT($N313)), 0),
       MATCH(TRIM(H$2), TRIM(INDIRECT($O313)), 0))</f>
        <v>0</v>
      </c>
      <c r="I313" s="11" cm="1">
        <f t="array" aca="1" ref="I313" ca="1">INDEX(INDIRECT($M313),
       MATCH(TRIM($C313), TRIM(INDIRECT($N313)), 0),
       MATCH(TRIM(I$2), TRIM(INDIRECT($O313)), 0))</f>
        <v>0</v>
      </c>
      <c r="J313" s="9" cm="1">
        <f t="array" aca="1" ref="J313" ca="1">INDEX(INDIRECT($M313),
       MATCH(TRIM($C313), TRIM(INDIRECT($N313)), 0),
       MATCH(TRIM(J$2), TRIM(INDIRECT($O313)), 0))</f>
        <v>2</v>
      </c>
      <c r="K313" s="11" cm="1">
        <f t="array" aca="1" ref="K313" ca="1">INDEX(INDIRECT($M313),
       MATCH(TRIM($C313), TRIM(INDIRECT($N313)), 0),
       MATCH(TRIM(K$2), TRIM(INDIRECT($O313)), 0))</f>
        <v>7.0730434782608695E-2</v>
      </c>
      <c r="L313" s="11" cm="1">
        <f t="array" aca="1" ref="L313" ca="1">INDEX(INDIRECT($M313),
       MATCH(TRIM($C313), TRIM(INDIRECT($N313)), 0),
       MATCH(TRIM(L$2), TRIM(INDIRECT($O313)), 0))</f>
        <v>7.0730434782608695E-2</v>
      </c>
      <c r="M313" s="5" t="str">
        <f t="shared" si="12"/>
        <v>'2019'!$N$3:$V$80</v>
      </c>
      <c r="N313" s="5" t="str">
        <f t="shared" si="13"/>
        <v>'2019'!$M$2:$M$80</v>
      </c>
      <c r="O313" s="5" t="str">
        <f t="shared" si="14"/>
        <v>'2019'!$N$2:$W$2</v>
      </c>
    </row>
    <row r="314" spans="1:15" x14ac:dyDescent="0.3">
      <c r="A314">
        <v>60</v>
      </c>
      <c r="B314" s="9">
        <v>2019</v>
      </c>
      <c r="C314" t="s">
        <v>59</v>
      </c>
      <c r="D314" s="11" cm="1">
        <f t="array" aca="1" ref="D314" ca="1">INDEX(INDIRECT($M314),
       MATCH(TRIM($C314), TRIM(INDIRECT($N314)), 0),
       MATCH(TRIM(D$2), TRIM(INDIRECT($O314)), 0))</f>
        <v>0</v>
      </c>
      <c r="E314" s="9" cm="1">
        <f t="array" aca="1" ref="E314" ca="1">INDEX(INDIRECT($M314),
       MATCH(TRIM($C314), TRIM(INDIRECT($N314)), 0),
       MATCH(TRIM(E$2), TRIM(INDIRECT($O314)), 0))</f>
        <v>0</v>
      </c>
      <c r="F314" s="11" cm="1">
        <f t="array" aca="1" ref="F314" ca="1">INDEX(INDIRECT($M314),
       MATCH(TRIM($C314), TRIM(INDIRECT($N314)), 0),
       MATCH(TRIM(F$2), TRIM(INDIRECT($O314)), 0))</f>
        <v>0</v>
      </c>
      <c r="G314" s="11" cm="1">
        <f t="array" aca="1" ref="G314" ca="1">INDEX(INDIRECT($M314),
       MATCH(TRIM($C314), TRIM(INDIRECT($N314)), 0),
       MATCH(TRIM(G$2), TRIM(INDIRECT($O314)), 0))</f>
        <v>0</v>
      </c>
      <c r="H314" s="9" cm="1">
        <f t="array" aca="1" ref="H314" ca="1">INDEX(INDIRECT($M314),
       MATCH(TRIM($C314), TRIM(INDIRECT($N314)), 0),
       MATCH(TRIM(H$2), TRIM(INDIRECT($O314)), 0))</f>
        <v>0</v>
      </c>
      <c r="I314" s="11" cm="1">
        <f t="array" aca="1" ref="I314" ca="1">INDEX(INDIRECT($M314),
       MATCH(TRIM($C314), TRIM(INDIRECT($N314)), 0),
       MATCH(TRIM(I$2), TRIM(INDIRECT($O314)), 0))</f>
        <v>0</v>
      </c>
      <c r="J314" s="9" cm="1">
        <f t="array" aca="1" ref="J314" ca="1">INDEX(INDIRECT($M314),
       MATCH(TRIM($C314), TRIM(INDIRECT($N314)), 0),
       MATCH(TRIM(J$2), TRIM(INDIRECT($O314)), 0))</f>
        <v>1</v>
      </c>
      <c r="K314" s="11" cm="1">
        <f t="array" aca="1" ref="K314" ca="1">INDEX(INDIRECT($M314),
       MATCH(TRIM($C314), TRIM(INDIRECT($N314)), 0),
       MATCH(TRIM(K$2), TRIM(INDIRECT($O314)), 0))</f>
        <v>5.21739130434783E-2</v>
      </c>
      <c r="L314" s="11" cm="1">
        <f t="array" aca="1" ref="L314" ca="1">INDEX(INDIRECT($M314),
       MATCH(TRIM($C314), TRIM(INDIRECT($N314)), 0),
       MATCH(TRIM(L$2), TRIM(INDIRECT($O314)), 0))</f>
        <v>5.21739130434783E-2</v>
      </c>
      <c r="M314" s="5" t="str">
        <f t="shared" si="12"/>
        <v>'2019'!$N$3:$V$80</v>
      </c>
      <c r="N314" s="5" t="str">
        <f t="shared" si="13"/>
        <v>'2019'!$M$2:$M$80</v>
      </c>
      <c r="O314" s="5" t="str">
        <f t="shared" si="14"/>
        <v>'2019'!$N$2:$W$2</v>
      </c>
    </row>
    <row r="315" spans="1:15" x14ac:dyDescent="0.3">
      <c r="A315">
        <v>61</v>
      </c>
      <c r="B315" s="9">
        <v>2019</v>
      </c>
      <c r="C315" t="s">
        <v>60</v>
      </c>
      <c r="D315" s="11" cm="1">
        <f t="array" aca="1" ref="D315" ca="1">INDEX(INDIRECT($M315),
       MATCH(TRIM($C315), TRIM(INDIRECT($N315)), 0),
       MATCH(TRIM(D$2), TRIM(INDIRECT($O315)), 0))</f>
        <v>3</v>
      </c>
      <c r="E315" s="9" cm="1">
        <f t="array" aca="1" ref="E315" ca="1">INDEX(INDIRECT($M315),
       MATCH(TRIM($C315), TRIM(INDIRECT($N315)), 0),
       MATCH(TRIM(E$2), TRIM(INDIRECT($O315)), 0))</f>
        <v>17659000</v>
      </c>
      <c r="F315" s="11" cm="1">
        <f t="array" aca="1" ref="F315" ca="1">INDEX(INDIRECT($M315),
       MATCH(TRIM($C315), TRIM(INDIRECT($N315)), 0),
       MATCH(TRIM(F$2), TRIM(INDIRECT($O315)), 0))</f>
        <v>17.658999999999999</v>
      </c>
      <c r="G315" s="11" cm="1">
        <f t="array" aca="1" ref="G315" ca="1">INDEX(INDIRECT($M315),
       MATCH(TRIM($C315), TRIM(INDIRECT($N315)), 0),
       MATCH(TRIM(G$2), TRIM(INDIRECT($O315)), 0))</f>
        <v>6</v>
      </c>
      <c r="H315" s="9" cm="1">
        <f t="array" aca="1" ref="H315" ca="1">INDEX(INDIRECT($M315),
       MATCH(TRIM($C315), TRIM(INDIRECT($N315)), 0),
       MATCH(TRIM(H$2), TRIM(INDIRECT($O315)), 0))</f>
        <v>-20500000</v>
      </c>
      <c r="I315" s="11" cm="1">
        <f t="array" aca="1" ref="I315" ca="1">INDEX(INDIRECT($M315),
       MATCH(TRIM($C315), TRIM(INDIRECT($N315)), 0),
       MATCH(TRIM(I$2), TRIM(INDIRECT($O315)), 0))</f>
        <v>-20.5</v>
      </c>
      <c r="J315" s="9" cm="1">
        <f t="array" aca="1" ref="J315" ca="1">INDEX(INDIRECT($M315),
       MATCH(TRIM($C315), TRIM(INDIRECT($N315)), 0),
       MATCH(TRIM(J$2), TRIM(INDIRECT($O315)), 0))</f>
        <v>7</v>
      </c>
      <c r="K315" s="11" cm="1">
        <f t="array" aca="1" ref="K315" ca="1">INDEX(INDIRECT($M315),
       MATCH(TRIM($C315), TRIM(INDIRECT($N315)), 0),
       MATCH(TRIM(K$2), TRIM(INDIRECT($O315)), 0))</f>
        <v>1.8030866956521743</v>
      </c>
      <c r="L315" s="11" cm="1">
        <f t="array" aca="1" ref="L315" ca="1">INDEX(INDIRECT($M315),
       MATCH(TRIM($C315), TRIM(INDIRECT($N315)), 0),
       MATCH(TRIM(L$2), TRIM(INDIRECT($O315)), 0))</f>
        <v>-1.0379133043478268</v>
      </c>
      <c r="M315" s="5" t="str">
        <f t="shared" si="12"/>
        <v>'2019'!$N$3:$V$80</v>
      </c>
      <c r="N315" s="5" t="str">
        <f t="shared" si="13"/>
        <v>'2019'!$M$2:$M$80</v>
      </c>
      <c r="O315" s="5" t="str">
        <f t="shared" si="14"/>
        <v>'2019'!$N$2:$W$2</v>
      </c>
    </row>
    <row r="316" spans="1:15" x14ac:dyDescent="0.3">
      <c r="A316">
        <v>62</v>
      </c>
      <c r="B316" s="9">
        <v>2019</v>
      </c>
      <c r="C316" t="s">
        <v>61</v>
      </c>
      <c r="D316" s="11" cm="1">
        <f t="array" aca="1" ref="D316" ca="1">INDEX(INDIRECT($M316),
       MATCH(TRIM($C316), TRIM(INDIRECT($N316)), 0),
       MATCH(TRIM(D$2), TRIM(INDIRECT($O316)), 0))</f>
        <v>3883</v>
      </c>
      <c r="E316" s="9" cm="1">
        <f t="array" aca="1" ref="E316" ca="1">INDEX(INDIRECT($M316),
       MATCH(TRIM($C316), TRIM(INDIRECT($N316)), 0),
       MATCH(TRIM(E$2), TRIM(INDIRECT($O316)), 0))</f>
        <v>16745602401.809999</v>
      </c>
      <c r="F316" s="11" cm="1">
        <f t="array" aca="1" ref="F316" ca="1">INDEX(INDIRECT($M316),
       MATCH(TRIM($C316), TRIM(INDIRECT($N316)), 0),
       MATCH(TRIM(F$2), TRIM(INDIRECT($O316)), 0))</f>
        <v>16745.60240181</v>
      </c>
      <c r="G316" s="11" cm="1">
        <f t="array" aca="1" ref="G316" ca="1">INDEX(INDIRECT($M316),
       MATCH(TRIM($C316), TRIM(INDIRECT($N316)), 0),
       MATCH(TRIM(G$2), TRIM(INDIRECT($O316)), 0))</f>
        <v>1381</v>
      </c>
      <c r="H316" s="9" cm="1">
        <f t="array" aca="1" ref="H316" ca="1">INDEX(INDIRECT($M316),
       MATCH(TRIM($C316), TRIM(INDIRECT($N316)), 0),
       MATCH(TRIM(H$2), TRIM(INDIRECT($O316)), 0))</f>
        <v>5802027938.8750095</v>
      </c>
      <c r="I316" s="11" cm="1">
        <f t="array" aca="1" ref="I316" ca="1">INDEX(INDIRECT($M316),
       MATCH(TRIM($C316), TRIM(INDIRECT($N316)), 0),
       MATCH(TRIM(I$2), TRIM(INDIRECT($O316)), 0))</f>
        <v>5802.0279388750096</v>
      </c>
      <c r="J316" s="9" cm="1">
        <f t="array" aca="1" ref="J316" ca="1">INDEX(INDIRECT($M316),
       MATCH(TRIM($C316), TRIM(INDIRECT($N316)), 0),
       MATCH(TRIM(J$2), TRIM(INDIRECT($O316)), 0))</f>
        <v>9842</v>
      </c>
      <c r="K316" s="11" cm="1">
        <f t="array" aca="1" ref="K316" ca="1">INDEX(INDIRECT($M316),
       MATCH(TRIM($C316), TRIM(INDIRECT($N316)), 0),
       MATCH(TRIM(K$2), TRIM(INDIRECT($O316)), 0))</f>
        <v>15471.48191848945</v>
      </c>
      <c r="L316" s="11" cm="1">
        <f t="array" aca="1" ref="L316" ca="1">INDEX(INDIRECT($M316),
       MATCH(TRIM($C316), TRIM(INDIRECT($N316)), 0),
       MATCH(TRIM(L$2), TRIM(INDIRECT($O316)), 0))</f>
        <v>38019.112259174435</v>
      </c>
      <c r="M316" s="5" t="str">
        <f t="shared" si="12"/>
        <v>'2019'!$N$3:$V$80</v>
      </c>
      <c r="N316" s="5" t="str">
        <f t="shared" si="13"/>
        <v>'2019'!$M$2:$M$80</v>
      </c>
      <c r="O316" s="5" t="str">
        <f t="shared" si="14"/>
        <v>'2019'!$N$2:$W$2</v>
      </c>
    </row>
    <row r="317" spans="1:15" x14ac:dyDescent="0.3">
      <c r="A317">
        <v>63</v>
      </c>
      <c r="B317" s="9">
        <v>2019</v>
      </c>
      <c r="C317" t="s">
        <v>62</v>
      </c>
      <c r="D317" s="11" t="e" cm="1">
        <f t="array" aca="1" ref="D317" ca="1">INDEX(INDIRECT($M317),
       MATCH(TRIM($C317), TRIM(INDIRECT($N317)), 0),
       MATCH(TRIM(D$2), TRIM(INDIRECT($O317)), 0))</f>
        <v>#N/A</v>
      </c>
      <c r="E317" s="9" t="e" cm="1">
        <f t="array" aca="1" ref="E317" ca="1">INDEX(INDIRECT($M317),
       MATCH(TRIM($C317), TRIM(INDIRECT($N317)), 0),
       MATCH(TRIM(E$2), TRIM(INDIRECT($O317)), 0))</f>
        <v>#N/A</v>
      </c>
      <c r="F317" s="11" t="e" cm="1">
        <f t="array" aca="1" ref="F317" ca="1">INDEX(INDIRECT($M317),
       MATCH(TRIM($C317), TRIM(INDIRECT($N317)), 0),
       MATCH(TRIM(F$2), TRIM(INDIRECT($O317)), 0))</f>
        <v>#N/A</v>
      </c>
      <c r="G317" s="11" t="e" cm="1">
        <f t="array" aca="1" ref="G317" ca="1">INDEX(INDIRECT($M317),
       MATCH(TRIM($C317), TRIM(INDIRECT($N317)), 0),
       MATCH(TRIM(G$2), TRIM(INDIRECT($O317)), 0))</f>
        <v>#N/A</v>
      </c>
      <c r="H317" s="9" t="e" cm="1">
        <f t="array" aca="1" ref="H317" ca="1">INDEX(INDIRECT($M317),
       MATCH(TRIM($C317), TRIM(INDIRECT($N317)), 0),
       MATCH(TRIM(H$2), TRIM(INDIRECT($O317)), 0))</f>
        <v>#N/A</v>
      </c>
      <c r="I317" s="11" t="e" cm="1">
        <f t="array" aca="1" ref="I317" ca="1">INDEX(INDIRECT($M317),
       MATCH(TRIM($C317), TRIM(INDIRECT($N317)), 0),
       MATCH(TRIM(I$2), TRIM(INDIRECT($O317)), 0))</f>
        <v>#N/A</v>
      </c>
      <c r="J317" s="9" t="e" cm="1">
        <f t="array" aca="1" ref="J317" ca="1">INDEX(INDIRECT($M317),
       MATCH(TRIM($C317), TRIM(INDIRECT($N317)), 0),
       MATCH(TRIM(J$2), TRIM(INDIRECT($O317)), 0))</f>
        <v>#N/A</v>
      </c>
      <c r="K317" s="11" t="e" cm="1">
        <f t="array" aca="1" ref="K317" ca="1">INDEX(INDIRECT($M317),
       MATCH(TRIM($C317), TRIM(INDIRECT($N317)), 0),
       MATCH(TRIM(K$2), TRIM(INDIRECT($O317)), 0))</f>
        <v>#N/A</v>
      </c>
      <c r="L317" s="11" t="e" cm="1">
        <f t="array" aca="1" ref="L317" ca="1">INDEX(INDIRECT($M317),
       MATCH(TRIM($C317), TRIM(INDIRECT($N317)), 0),
       MATCH(TRIM(L$2), TRIM(INDIRECT($O317)), 0))</f>
        <v>#N/A</v>
      </c>
      <c r="M317" s="5" t="str">
        <f t="shared" si="12"/>
        <v>'2019'!$N$3:$V$80</v>
      </c>
      <c r="N317" s="5" t="str">
        <f t="shared" si="13"/>
        <v>'2019'!$M$2:$M$80</v>
      </c>
      <c r="O317" s="5" t="str">
        <f t="shared" si="14"/>
        <v>'2019'!$N$2:$W$2</v>
      </c>
    </row>
    <row r="318" spans="1:15" x14ac:dyDescent="0.3">
      <c r="A318">
        <v>1</v>
      </c>
      <c r="B318" s="9">
        <v>2020</v>
      </c>
      <c r="C318" t="s">
        <v>0</v>
      </c>
      <c r="D318" s="11" cm="1">
        <f t="array" aca="1" ref="D318" ca="1">INDEX(INDIRECT($M318),
       MATCH(TRIM($C318), TRIM(INDIRECT($N318)), 0),
       MATCH(TRIM(D$2), TRIM(INDIRECT($O318)), 0))</f>
        <v>950</v>
      </c>
      <c r="E318" s="9" t="e" cm="1">
        <f t="array" aca="1" ref="E318" ca="1">INDEX(INDIRECT($M318),
       MATCH(TRIM($C318), TRIM(INDIRECT($N318)), 0),
       MATCH(TRIM(E$2), TRIM(INDIRECT($O318)), 0))</f>
        <v>#N/A</v>
      </c>
      <c r="F318" s="11" cm="1">
        <f t="array" aca="1" ref="F318" ca="1">INDEX(INDIRECT($M318),
       MATCH(TRIM($C318), TRIM(INDIRECT($N318)), 0),
       MATCH(TRIM(F$2), TRIM(INDIRECT($O318)), 0))</f>
        <v>637.68200999999999</v>
      </c>
      <c r="G318" s="11" cm="1">
        <f t="array" aca="1" ref="G318" ca="1">INDEX(INDIRECT($M318),
       MATCH(TRIM($C318), TRIM(INDIRECT($N318)), 0),
       MATCH(TRIM(G$2), TRIM(INDIRECT($O318)), 0))</f>
        <v>250</v>
      </c>
      <c r="H318" s="9" t="e" cm="1">
        <f t="array" aca="1" ref="H318" ca="1">INDEX(INDIRECT($M318),
       MATCH(TRIM($C318), TRIM(INDIRECT($N318)), 0),
       MATCH(TRIM(H$2), TRIM(INDIRECT($O318)), 0))</f>
        <v>#N/A</v>
      </c>
      <c r="I318" s="11" cm="1">
        <f t="array" aca="1" ref="I318" ca="1">INDEX(INDIRECT($M318),
       MATCH(TRIM($C318), TRIM(INDIRECT($N318)), 0),
       MATCH(TRIM(I$2), TRIM(INDIRECT($O318)), 0))</f>
        <v>540.86544097843739</v>
      </c>
      <c r="J318" s="9" cm="1">
        <f t="array" aca="1" ref="J318" ca="1">INDEX(INDIRECT($M318),
       MATCH(TRIM($C318), TRIM(INDIRECT($N318)), 0),
       MATCH(TRIM(J$2), TRIM(INDIRECT($O318)), 0))</f>
        <v>3640</v>
      </c>
      <c r="K318" s="11" cm="1">
        <f t="array" aca="1" ref="K318" ca="1">INDEX(INDIRECT($M318),
       MATCH(TRIM($C318), TRIM(INDIRECT($N318)), 0),
       MATCH(TRIM(K$2), TRIM(INDIRECT($O318)), 0))</f>
        <v>3177.3834984953105</v>
      </c>
      <c r="L318" s="11" cm="1">
        <f t="array" aca="1" ref="L318" ca="1">INDEX(INDIRECT($M318),
       MATCH(TRIM($C318), TRIM(INDIRECT($N318)), 0),
       MATCH(TRIM(L$2), TRIM(INDIRECT($O318)), 0))</f>
        <v>4355.9309494737481</v>
      </c>
      <c r="M318" s="5" t="str">
        <f t="shared" si="12"/>
        <v>'2020'!$N$3:$V$80</v>
      </c>
      <c r="N318" s="5" t="str">
        <f t="shared" si="13"/>
        <v>'2020'!$M$2:$M$80</v>
      </c>
      <c r="O318" s="5" t="str">
        <f t="shared" si="14"/>
        <v>'2020'!$N$2:$W$2</v>
      </c>
    </row>
    <row r="319" spans="1:15" x14ac:dyDescent="0.3">
      <c r="A319">
        <v>2</v>
      </c>
      <c r="B319" s="9">
        <v>2020</v>
      </c>
      <c r="C319" t="s">
        <v>1</v>
      </c>
      <c r="D319" s="11" cm="1">
        <f t="array" aca="1" ref="D319" ca="1">INDEX(INDIRECT($M319),
       MATCH(TRIM($C319), TRIM(INDIRECT($N319)), 0),
       MATCH(TRIM(D$2), TRIM(INDIRECT($O319)), 0))</f>
        <v>133</v>
      </c>
      <c r="E319" s="9" t="e" cm="1">
        <f t="array" aca="1" ref="E319" ca="1">INDEX(INDIRECT($M319),
       MATCH(TRIM($C319), TRIM(INDIRECT($N319)), 0),
       MATCH(TRIM(E$2), TRIM(INDIRECT($O319)), 0))</f>
        <v>#N/A</v>
      </c>
      <c r="F319" s="11" cm="1">
        <f t="array" aca="1" ref="F319" ca="1">INDEX(INDIRECT($M319),
       MATCH(TRIM($C319), TRIM(INDIRECT($N319)), 0),
       MATCH(TRIM(F$2), TRIM(INDIRECT($O319)), 0))</f>
        <v>783.902917</v>
      </c>
      <c r="G319" s="11" cm="1">
        <f t="array" aca="1" ref="G319" ca="1">INDEX(INDIRECT($M319),
       MATCH(TRIM($C319), TRIM(INDIRECT($N319)), 0),
       MATCH(TRIM(G$2), TRIM(INDIRECT($O319)), 0))</f>
        <v>92</v>
      </c>
      <c r="H319" s="9" t="e" cm="1">
        <f t="array" aca="1" ref="H319" ca="1">INDEX(INDIRECT($M319),
       MATCH(TRIM($C319), TRIM(INDIRECT($N319)), 0),
       MATCH(TRIM(H$2), TRIM(INDIRECT($O319)), 0))</f>
        <v>#N/A</v>
      </c>
      <c r="I319" s="11" cm="1">
        <f t="array" aca="1" ref="I319" ca="1">INDEX(INDIRECT($M319),
       MATCH(TRIM($C319), TRIM(INDIRECT($N319)), 0),
       MATCH(TRIM(I$2), TRIM(INDIRECT($O319)), 0))</f>
        <v>317.639096</v>
      </c>
      <c r="J319" s="9" cm="1">
        <f t="array" aca="1" ref="J319" ca="1">INDEX(INDIRECT($M319),
       MATCH(TRIM($C319), TRIM(INDIRECT($N319)), 0),
       MATCH(TRIM(J$2), TRIM(INDIRECT($O319)), 0))</f>
        <v>395</v>
      </c>
      <c r="K319" s="11" cm="1">
        <f t="array" aca="1" ref="K319" ca="1">INDEX(INDIRECT($M319),
       MATCH(TRIM($C319), TRIM(INDIRECT($N319)), 0),
       MATCH(TRIM(K$2), TRIM(INDIRECT($O319)), 0))</f>
        <v>782.12474032583987</v>
      </c>
      <c r="L319" s="11" cm="1">
        <f t="array" aca="1" ref="L319" ca="1">INDEX(INDIRECT($M319),
       MATCH(TRIM($C319), TRIM(INDIRECT($N319)), 0),
       MATCH(TRIM(L$2), TRIM(INDIRECT($O319)), 0))</f>
        <v>1883.6667533258399</v>
      </c>
      <c r="M319" s="5" t="str">
        <f t="shared" si="12"/>
        <v>'2020'!$N$3:$V$80</v>
      </c>
      <c r="N319" s="5" t="str">
        <f t="shared" si="13"/>
        <v>'2020'!$M$2:$M$80</v>
      </c>
      <c r="O319" s="5" t="str">
        <f t="shared" si="14"/>
        <v>'2020'!$N$2:$W$2</v>
      </c>
    </row>
    <row r="320" spans="1:15" x14ac:dyDescent="0.3">
      <c r="A320">
        <v>3</v>
      </c>
      <c r="B320" s="9">
        <v>2020</v>
      </c>
      <c r="C320" t="s">
        <v>2</v>
      </c>
      <c r="D320" s="11" cm="1">
        <f t="array" aca="1" ref="D320" ca="1">INDEX(INDIRECT($M320),
       MATCH(TRIM($C320), TRIM(INDIRECT($N320)), 0),
       MATCH(TRIM(D$2), TRIM(INDIRECT($O320)), 0))</f>
        <v>69</v>
      </c>
      <c r="E320" s="9" t="e" cm="1">
        <f t="array" aca="1" ref="E320" ca="1">INDEX(INDIRECT($M320),
       MATCH(TRIM($C320), TRIM(INDIRECT($N320)), 0),
       MATCH(TRIM(E$2), TRIM(INDIRECT($O320)), 0))</f>
        <v>#N/A</v>
      </c>
      <c r="F320" s="11" cm="1">
        <f t="array" aca="1" ref="F320" ca="1">INDEX(INDIRECT($M320),
       MATCH(TRIM($C320), TRIM(INDIRECT($N320)), 0),
       MATCH(TRIM(F$2), TRIM(INDIRECT($O320)), 0))</f>
        <v>405.03560499999998</v>
      </c>
      <c r="G320" s="11" cm="1">
        <f t="array" aca="1" ref="G320" ca="1">INDEX(INDIRECT($M320),
       MATCH(TRIM($C320), TRIM(INDIRECT($N320)), 0),
       MATCH(TRIM(G$2), TRIM(INDIRECT($O320)), 0))</f>
        <v>38</v>
      </c>
      <c r="H320" s="9" t="e" cm="1">
        <f t="array" aca="1" ref="H320" ca="1">INDEX(INDIRECT($M320),
       MATCH(TRIM($C320), TRIM(INDIRECT($N320)), 0),
       MATCH(TRIM(H$2), TRIM(INDIRECT($O320)), 0))</f>
        <v>#N/A</v>
      </c>
      <c r="I320" s="11" cm="1">
        <f t="array" aca="1" ref="I320" ca="1">INDEX(INDIRECT($M320),
       MATCH(TRIM($C320), TRIM(INDIRECT($N320)), 0),
       MATCH(TRIM(I$2), TRIM(INDIRECT($O320)), 0))</f>
        <v>160.48677518</v>
      </c>
      <c r="J320" s="9" cm="1">
        <f t="array" aca="1" ref="J320" ca="1">INDEX(INDIRECT($M320),
       MATCH(TRIM($C320), TRIM(INDIRECT($N320)), 0),
       MATCH(TRIM(J$2), TRIM(INDIRECT($O320)), 0))</f>
        <v>142</v>
      </c>
      <c r="K320" s="11" cm="1">
        <f t="array" aca="1" ref="K320" ca="1">INDEX(INDIRECT($M320),
       MATCH(TRIM($C320), TRIM(INDIRECT($N320)), 0),
       MATCH(TRIM(K$2), TRIM(INDIRECT($O320)), 0))</f>
        <v>362.82623019624987</v>
      </c>
      <c r="L320" s="11" cm="1">
        <f t="array" aca="1" ref="L320" ca="1">INDEX(INDIRECT($M320),
       MATCH(TRIM($C320), TRIM(INDIRECT($N320)), 0),
       MATCH(TRIM(L$2), TRIM(INDIRECT($O320)), 0))</f>
        <v>928.34861037624989</v>
      </c>
      <c r="M320" s="5" t="str">
        <f t="shared" si="12"/>
        <v>'2020'!$N$3:$V$80</v>
      </c>
      <c r="N320" s="5" t="str">
        <f t="shared" si="13"/>
        <v>'2020'!$M$2:$M$80</v>
      </c>
      <c r="O320" s="5" t="str">
        <f t="shared" si="14"/>
        <v>'2020'!$N$2:$W$2</v>
      </c>
    </row>
    <row r="321" spans="1:15" x14ac:dyDescent="0.3">
      <c r="A321">
        <v>4</v>
      </c>
      <c r="B321" s="9">
        <v>2020</v>
      </c>
      <c r="C321" t="s">
        <v>3</v>
      </c>
      <c r="D321" s="11" cm="1">
        <f t="array" aca="1" ref="D321" ca="1">INDEX(INDIRECT($M321),
       MATCH(TRIM($C321), TRIM(INDIRECT($N321)), 0),
       MATCH(TRIM(D$2), TRIM(INDIRECT($O321)), 0))</f>
        <v>153</v>
      </c>
      <c r="E321" s="9" t="e" cm="1">
        <f t="array" aca="1" ref="E321" ca="1">INDEX(INDIRECT($M321),
       MATCH(TRIM($C321), TRIM(INDIRECT($N321)), 0),
       MATCH(TRIM(E$2), TRIM(INDIRECT($O321)), 0))</f>
        <v>#N/A</v>
      </c>
      <c r="F321" s="11" cm="1">
        <f t="array" aca="1" ref="F321" ca="1">INDEX(INDIRECT($M321),
       MATCH(TRIM($C321), TRIM(INDIRECT($N321)), 0),
       MATCH(TRIM(F$2), TRIM(INDIRECT($O321)), 0))</f>
        <v>429.96638000000002</v>
      </c>
      <c r="G321" s="11" cm="1">
        <f t="array" aca="1" ref="G321" ca="1">INDEX(INDIRECT($M321),
       MATCH(TRIM($C321), TRIM(INDIRECT($N321)), 0),
       MATCH(TRIM(G$2), TRIM(INDIRECT($O321)), 0))</f>
        <v>99</v>
      </c>
      <c r="H321" s="9" t="e" cm="1">
        <f t="array" aca="1" ref="H321" ca="1">INDEX(INDIRECT($M321),
       MATCH(TRIM($C321), TRIM(INDIRECT($N321)), 0),
       MATCH(TRIM(H$2), TRIM(INDIRECT($O321)), 0))</f>
        <v>#N/A</v>
      </c>
      <c r="I321" s="11" cm="1">
        <f t="array" aca="1" ref="I321" ca="1">INDEX(INDIRECT($M321),
       MATCH(TRIM($C321), TRIM(INDIRECT($N321)), 0),
       MATCH(TRIM(I$2), TRIM(INDIRECT($O321)), 0))</f>
        <v>381.87388728906251</v>
      </c>
      <c r="J321" s="9" cm="1">
        <f t="array" aca="1" ref="J321" ca="1">INDEX(INDIRECT($M321),
       MATCH(TRIM($C321), TRIM(INDIRECT($N321)), 0),
       MATCH(TRIM(J$2), TRIM(INDIRECT($O321)), 0))</f>
        <v>162</v>
      </c>
      <c r="K321" s="11" cm="1">
        <f t="array" aca="1" ref="K321" ca="1">INDEX(INDIRECT($M321),
       MATCH(TRIM($C321), TRIM(INDIRECT($N321)), 0),
       MATCH(TRIM(K$2), TRIM(INDIRECT($O321)), 0))</f>
        <v>89.352225716314891</v>
      </c>
      <c r="L321" s="11" cm="1">
        <f t="array" aca="1" ref="L321" ca="1">INDEX(INDIRECT($M321),
       MATCH(TRIM($C321), TRIM(INDIRECT($N321)), 0),
       MATCH(TRIM(L$2), TRIM(INDIRECT($O321)), 0))</f>
        <v>901.1924930053774</v>
      </c>
      <c r="M321" s="5" t="str">
        <f t="shared" si="12"/>
        <v>'2020'!$N$3:$V$80</v>
      </c>
      <c r="N321" s="5" t="str">
        <f t="shared" si="13"/>
        <v>'2020'!$M$2:$M$80</v>
      </c>
      <c r="O321" s="5" t="str">
        <f t="shared" si="14"/>
        <v>'2020'!$N$2:$W$2</v>
      </c>
    </row>
    <row r="322" spans="1:15" x14ac:dyDescent="0.3">
      <c r="A322">
        <v>5</v>
      </c>
      <c r="B322" s="9">
        <v>2020</v>
      </c>
      <c r="C322" t="s">
        <v>4</v>
      </c>
      <c r="D322" s="11" cm="1">
        <f t="array" aca="1" ref="D322" ca="1">INDEX(INDIRECT($M322),
       MATCH(TRIM($C322), TRIM(INDIRECT($N322)), 0),
       MATCH(TRIM(D$2), TRIM(INDIRECT($O322)), 0))</f>
        <v>79</v>
      </c>
      <c r="E322" s="9" t="e" cm="1">
        <f t="array" aca="1" ref="E322" ca="1">INDEX(INDIRECT($M322),
       MATCH(TRIM($C322), TRIM(INDIRECT($N322)), 0),
       MATCH(TRIM(E$2), TRIM(INDIRECT($O322)), 0))</f>
        <v>#N/A</v>
      </c>
      <c r="F322" s="11" cm="1">
        <f t="array" aca="1" ref="F322" ca="1">INDEX(INDIRECT($M322),
       MATCH(TRIM($C322), TRIM(INDIRECT($N322)), 0),
       MATCH(TRIM(F$2), TRIM(INDIRECT($O322)), 0))</f>
        <v>1064.1280420000001</v>
      </c>
      <c r="G322" s="11" cm="1">
        <f t="array" aca="1" ref="G322" ca="1">INDEX(INDIRECT($M322),
       MATCH(TRIM($C322), TRIM(INDIRECT($N322)), 0),
       MATCH(TRIM(G$2), TRIM(INDIRECT($O322)), 0))</f>
        <v>28</v>
      </c>
      <c r="H322" s="9" t="e" cm="1">
        <f t="array" aca="1" ref="H322" ca="1">INDEX(INDIRECT($M322),
       MATCH(TRIM($C322), TRIM(INDIRECT($N322)), 0),
       MATCH(TRIM(H$2), TRIM(INDIRECT($O322)), 0))</f>
        <v>#N/A</v>
      </c>
      <c r="I322" s="11" cm="1">
        <f t="array" aca="1" ref="I322" ca="1">INDEX(INDIRECT($M322),
       MATCH(TRIM($C322), TRIM(INDIRECT($N322)), 0),
       MATCH(TRIM(I$2), TRIM(INDIRECT($O322)), 0))</f>
        <v>376.66604100000001</v>
      </c>
      <c r="J322" s="9" cm="1">
        <f t="array" aca="1" ref="J322" ca="1">INDEX(INDIRECT($M322),
       MATCH(TRIM($C322), TRIM(INDIRECT($N322)), 0),
       MATCH(TRIM(J$2), TRIM(INDIRECT($O322)), 0))</f>
        <v>72</v>
      </c>
      <c r="K322" s="11" cm="1">
        <f t="array" aca="1" ref="K322" ca="1">INDEX(INDIRECT($M322),
       MATCH(TRIM($C322), TRIM(INDIRECT($N322)), 0),
       MATCH(TRIM(K$2), TRIM(INDIRECT($O322)), 0))</f>
        <v>69.757297109768956</v>
      </c>
      <c r="L322" s="11" cm="1">
        <f t="array" aca="1" ref="L322" ca="1">INDEX(INDIRECT($M322),
       MATCH(TRIM($C322), TRIM(INDIRECT($N322)), 0),
       MATCH(TRIM(L$2), TRIM(INDIRECT($O322)), 0))</f>
        <v>1510.5513801097691</v>
      </c>
      <c r="M322" s="5" t="str">
        <f t="shared" si="12"/>
        <v>'2020'!$N$3:$V$80</v>
      </c>
      <c r="N322" s="5" t="str">
        <f t="shared" si="13"/>
        <v>'2020'!$M$2:$M$80</v>
      </c>
      <c r="O322" s="5" t="str">
        <f t="shared" si="14"/>
        <v>'2020'!$N$2:$W$2</v>
      </c>
    </row>
    <row r="323" spans="1:15" x14ac:dyDescent="0.3">
      <c r="A323">
        <v>6</v>
      </c>
      <c r="B323" s="9">
        <v>2020</v>
      </c>
      <c r="C323" t="s">
        <v>5</v>
      </c>
      <c r="D323" s="11" cm="1">
        <f t="array" aca="1" ref="D323" ca="1">INDEX(INDIRECT($M323),
       MATCH(TRIM($C323), TRIM(INDIRECT($N323)), 0),
       MATCH(TRIM(D$2), TRIM(INDIRECT($O323)), 0))</f>
        <v>15</v>
      </c>
      <c r="E323" s="9" t="e" cm="1">
        <f t="array" aca="1" ref="E323" ca="1">INDEX(INDIRECT($M323),
       MATCH(TRIM($C323), TRIM(INDIRECT($N323)), 0),
       MATCH(TRIM(E$2), TRIM(INDIRECT($O323)), 0))</f>
        <v>#N/A</v>
      </c>
      <c r="F323" s="11" cm="1">
        <f t="array" aca="1" ref="F323" ca="1">INDEX(INDIRECT($M323),
       MATCH(TRIM($C323), TRIM(INDIRECT($N323)), 0),
       MATCH(TRIM(F$2), TRIM(INDIRECT($O323)), 0))</f>
        <v>388.15810199999999</v>
      </c>
      <c r="G323" s="11" cm="1">
        <f t="array" aca="1" ref="G323" ca="1">INDEX(INDIRECT($M323),
       MATCH(TRIM($C323), TRIM(INDIRECT($N323)), 0),
       MATCH(TRIM(G$2), TRIM(INDIRECT($O323)), 0))</f>
        <v>29</v>
      </c>
      <c r="H323" s="9" t="e" cm="1">
        <f t="array" aca="1" ref="H323" ca="1">INDEX(INDIRECT($M323),
       MATCH(TRIM($C323), TRIM(INDIRECT($N323)), 0),
       MATCH(TRIM(H$2), TRIM(INDIRECT($O323)), 0))</f>
        <v>#N/A</v>
      </c>
      <c r="I323" s="11" cm="1">
        <f t="array" aca="1" ref="I323" ca="1">INDEX(INDIRECT($M323),
       MATCH(TRIM($C323), TRIM(INDIRECT($N323)), 0),
       MATCH(TRIM(I$2), TRIM(INDIRECT($O323)), 0))</f>
        <v>121.910752</v>
      </c>
      <c r="J323" s="9" cm="1">
        <f t="array" aca="1" ref="J323" ca="1">INDEX(INDIRECT($M323),
       MATCH(TRIM($C323), TRIM(INDIRECT($N323)), 0),
       MATCH(TRIM(J$2), TRIM(INDIRECT($O323)), 0))</f>
        <v>34</v>
      </c>
      <c r="K323" s="11" cm="1">
        <f t="array" aca="1" ref="K323" ca="1">INDEX(INDIRECT($M323),
       MATCH(TRIM($C323), TRIM(INDIRECT($N323)), 0),
       MATCH(TRIM(K$2), TRIM(INDIRECT($O323)), 0))</f>
        <v>37.996946061191366</v>
      </c>
      <c r="L323" s="11" cm="1">
        <f t="array" aca="1" ref="L323" ca="1">INDEX(INDIRECT($M323),
       MATCH(TRIM($C323), TRIM(INDIRECT($N323)), 0),
       MATCH(TRIM(L$2), TRIM(INDIRECT($O323)), 0))</f>
        <v>548.06580006119134</v>
      </c>
      <c r="M323" s="5" t="str">
        <f t="shared" si="12"/>
        <v>'2020'!$N$3:$V$80</v>
      </c>
      <c r="N323" s="5" t="str">
        <f t="shared" si="13"/>
        <v>'2020'!$M$2:$M$80</v>
      </c>
      <c r="O323" s="5" t="str">
        <f t="shared" si="14"/>
        <v>'2020'!$N$2:$W$2</v>
      </c>
    </row>
    <row r="324" spans="1:15" x14ac:dyDescent="0.3">
      <c r="A324">
        <v>7</v>
      </c>
      <c r="B324" s="9">
        <v>2020</v>
      </c>
      <c r="C324" t="s">
        <v>6</v>
      </c>
      <c r="D324" s="11" cm="1">
        <f t="array" aca="1" ref="D324" ca="1">INDEX(INDIRECT($M324),
       MATCH(TRIM($C324), TRIM(INDIRECT($N324)), 0),
       MATCH(TRIM(D$2), TRIM(INDIRECT($O324)), 0))</f>
        <v>35</v>
      </c>
      <c r="E324" s="9" t="e" cm="1">
        <f t="array" aca="1" ref="E324" ca="1">INDEX(INDIRECT($M324),
       MATCH(TRIM($C324), TRIM(INDIRECT($N324)), 0),
       MATCH(TRIM(E$2), TRIM(INDIRECT($O324)), 0))</f>
        <v>#N/A</v>
      </c>
      <c r="F324" s="11" cm="1">
        <f t="array" aca="1" ref="F324" ca="1">INDEX(INDIRECT($M324),
       MATCH(TRIM($C324), TRIM(INDIRECT($N324)), 0),
       MATCH(TRIM(F$2), TRIM(INDIRECT($O324)), 0))</f>
        <v>395.29562800000002</v>
      </c>
      <c r="G324" s="11" cm="1">
        <f t="array" aca="1" ref="G324" ca="1">INDEX(INDIRECT($M324),
       MATCH(TRIM($C324), TRIM(INDIRECT($N324)), 0),
       MATCH(TRIM(G$2), TRIM(INDIRECT($O324)), 0))</f>
        <v>55</v>
      </c>
      <c r="H324" s="9" t="e" cm="1">
        <f t="array" aca="1" ref="H324" ca="1">INDEX(INDIRECT($M324),
       MATCH(TRIM($C324), TRIM(INDIRECT($N324)), 0),
       MATCH(TRIM(H$2), TRIM(INDIRECT($O324)), 0))</f>
        <v>#N/A</v>
      </c>
      <c r="I324" s="11" cm="1">
        <f t="array" aca="1" ref="I324" ca="1">INDEX(INDIRECT($M324),
       MATCH(TRIM($C324), TRIM(INDIRECT($N324)), 0),
       MATCH(TRIM(I$2), TRIM(INDIRECT($O324)), 0))</f>
        <v>432.49199399999998</v>
      </c>
      <c r="J324" s="9" cm="1">
        <f t="array" aca="1" ref="J324" ca="1">INDEX(INDIRECT($M324),
       MATCH(TRIM($C324), TRIM(INDIRECT($N324)), 0),
       MATCH(TRIM(J$2), TRIM(INDIRECT($O324)), 0))</f>
        <v>39</v>
      </c>
      <c r="K324" s="11" cm="1">
        <f t="array" aca="1" ref="K324" ca="1">INDEX(INDIRECT($M324),
       MATCH(TRIM($C324), TRIM(INDIRECT($N324)), 0),
       MATCH(TRIM(K$2), TRIM(INDIRECT($O324)), 0))</f>
        <v>66.901709251387615</v>
      </c>
      <c r="L324" s="11" cm="1">
        <f t="array" aca="1" ref="L324" ca="1">INDEX(INDIRECT($M324),
       MATCH(TRIM($C324), TRIM(INDIRECT($N324)), 0),
       MATCH(TRIM(L$2), TRIM(INDIRECT($O324)), 0))</f>
        <v>894.68933125138767</v>
      </c>
      <c r="M324" s="5" t="str">
        <f t="shared" ref="M324:M387" si="15">_xlfn.CONCAT("'",$B324,"'","!","$N$3:$V$80")</f>
        <v>'2020'!$N$3:$V$80</v>
      </c>
      <c r="N324" s="5" t="str">
        <f t="shared" ref="N324:N387" si="16">_xlfn.CONCAT("'",$B324,"'","!","$M$2:$M$80")</f>
        <v>'2020'!$M$2:$M$80</v>
      </c>
      <c r="O324" s="5" t="str">
        <f t="shared" ref="O324:O387" si="17">_xlfn.CONCAT("'",$B324,"'","!","$N$2:$W$2")</f>
        <v>'2020'!$N$2:$W$2</v>
      </c>
    </row>
    <row r="325" spans="1:15" x14ac:dyDescent="0.3">
      <c r="A325">
        <v>8</v>
      </c>
      <c r="B325" s="9">
        <v>2020</v>
      </c>
      <c r="C325" t="s">
        <v>7</v>
      </c>
      <c r="D325" s="11" cm="1">
        <f t="array" aca="1" ref="D325" ca="1">INDEX(INDIRECT($M325),
       MATCH(TRIM($C325), TRIM(INDIRECT($N325)), 0),
       MATCH(TRIM(D$2), TRIM(INDIRECT($O325)), 0))</f>
        <v>31</v>
      </c>
      <c r="E325" s="9" t="e" cm="1">
        <f t="array" aca="1" ref="E325" ca="1">INDEX(INDIRECT($M325),
       MATCH(TRIM($C325), TRIM(INDIRECT($N325)), 0),
       MATCH(TRIM(E$2), TRIM(INDIRECT($O325)), 0))</f>
        <v>#N/A</v>
      </c>
      <c r="F325" s="11" cm="1">
        <f t="array" aca="1" ref="F325" ca="1">INDEX(INDIRECT($M325),
       MATCH(TRIM($C325), TRIM(INDIRECT($N325)), 0),
       MATCH(TRIM(F$2), TRIM(INDIRECT($O325)), 0))</f>
        <v>302.36409400000002</v>
      </c>
      <c r="G325" s="11" cm="1">
        <f t="array" aca="1" ref="G325" ca="1">INDEX(INDIRECT($M325),
       MATCH(TRIM($C325), TRIM(INDIRECT($N325)), 0),
       MATCH(TRIM(G$2), TRIM(INDIRECT($O325)), 0))</f>
        <v>8</v>
      </c>
      <c r="H325" s="9" t="e" cm="1">
        <f t="array" aca="1" ref="H325" ca="1">INDEX(INDIRECT($M325),
       MATCH(TRIM($C325), TRIM(INDIRECT($N325)), 0),
       MATCH(TRIM(H$2), TRIM(INDIRECT($O325)), 0))</f>
        <v>#N/A</v>
      </c>
      <c r="I325" s="11" cm="1">
        <f t="array" aca="1" ref="I325" ca="1">INDEX(INDIRECT($M325),
       MATCH(TRIM($C325), TRIM(INDIRECT($N325)), 0),
       MATCH(TRIM(I$2), TRIM(INDIRECT($O325)), 0))</f>
        <v>1489.6558239999999</v>
      </c>
      <c r="J325" s="9" cm="1">
        <f t="array" aca="1" ref="J325" ca="1">INDEX(INDIRECT($M325),
       MATCH(TRIM($C325), TRIM(INDIRECT($N325)), 0),
       MATCH(TRIM(J$2), TRIM(INDIRECT($O325)), 0))</f>
        <v>37</v>
      </c>
      <c r="K325" s="11" cm="1">
        <f t="array" aca="1" ref="K325" ca="1">INDEX(INDIRECT($M325),
       MATCH(TRIM($C325), TRIM(INDIRECT($N325)), 0),
       MATCH(TRIM(K$2), TRIM(INDIRECT($O325)), 0))</f>
        <v>381.77688043394505</v>
      </c>
      <c r="L325" s="11" cm="1">
        <f t="array" aca="1" ref="L325" ca="1">INDEX(INDIRECT($M325),
       MATCH(TRIM($C325), TRIM(INDIRECT($N325)), 0),
       MATCH(TRIM(L$2), TRIM(INDIRECT($O325)), 0))</f>
        <v>2173.7967984339448</v>
      </c>
      <c r="M325" s="5" t="str">
        <f t="shared" si="15"/>
        <v>'2020'!$N$3:$V$80</v>
      </c>
      <c r="N325" s="5" t="str">
        <f t="shared" si="16"/>
        <v>'2020'!$M$2:$M$80</v>
      </c>
      <c r="O325" s="5" t="str">
        <f t="shared" si="17"/>
        <v>'2020'!$N$2:$W$2</v>
      </c>
    </row>
    <row r="326" spans="1:15" x14ac:dyDescent="0.3">
      <c r="A326">
        <v>9</v>
      </c>
      <c r="B326" s="9">
        <v>2020</v>
      </c>
      <c r="C326" t="s">
        <v>8</v>
      </c>
      <c r="D326" s="11" cm="1">
        <f t="array" aca="1" ref="D326" ca="1">INDEX(INDIRECT($M326),
       MATCH(TRIM($C326), TRIM(INDIRECT($N326)), 0),
       MATCH(TRIM(D$2), TRIM(INDIRECT($O326)), 0))</f>
        <v>33</v>
      </c>
      <c r="E326" s="9" t="e" cm="1">
        <f t="array" aca="1" ref="E326" ca="1">INDEX(INDIRECT($M326),
       MATCH(TRIM($C326), TRIM(INDIRECT($N326)), 0),
       MATCH(TRIM(E$2), TRIM(INDIRECT($O326)), 0))</f>
        <v>#N/A</v>
      </c>
      <c r="F326" s="11" cm="1">
        <f t="array" aca="1" ref="F326" ca="1">INDEX(INDIRECT($M326),
       MATCH(TRIM($C326), TRIM(INDIRECT($N326)), 0),
       MATCH(TRIM(F$2), TRIM(INDIRECT($O326)), 0))</f>
        <v>574.255043</v>
      </c>
      <c r="G326" s="11" cm="1">
        <f t="array" aca="1" ref="G326" ca="1">INDEX(INDIRECT($M326),
       MATCH(TRIM($C326), TRIM(INDIRECT($N326)), 0),
       MATCH(TRIM(G$2), TRIM(INDIRECT($O326)), 0))</f>
        <v>33</v>
      </c>
      <c r="H326" s="9" t="e" cm="1">
        <f t="array" aca="1" ref="H326" ca="1">INDEX(INDIRECT($M326),
       MATCH(TRIM($C326), TRIM(INDIRECT($N326)), 0),
       MATCH(TRIM(H$2), TRIM(INDIRECT($O326)), 0))</f>
        <v>#N/A</v>
      </c>
      <c r="I326" s="11" cm="1">
        <f t="array" aca="1" ref="I326" ca="1">INDEX(INDIRECT($M326),
       MATCH(TRIM($C326), TRIM(INDIRECT($N326)), 0),
       MATCH(TRIM(I$2), TRIM(INDIRECT($O326)), 0))</f>
        <v>145.256294</v>
      </c>
      <c r="J326" s="9" cm="1">
        <f t="array" aca="1" ref="J326" ca="1">INDEX(INDIRECT($M326),
       MATCH(TRIM($C326), TRIM(INDIRECT($N326)), 0),
       MATCH(TRIM(J$2), TRIM(INDIRECT($O326)), 0))</f>
        <v>28</v>
      </c>
      <c r="K326" s="11" cm="1">
        <f t="array" aca="1" ref="K326" ca="1">INDEX(INDIRECT($M326),
       MATCH(TRIM($C326), TRIM(INDIRECT($N326)), 0),
       MATCH(TRIM(K$2), TRIM(INDIRECT($O326)), 0))</f>
        <v>10.243370661874843</v>
      </c>
      <c r="L326" s="11" cm="1">
        <f t="array" aca="1" ref="L326" ca="1">INDEX(INDIRECT($M326),
       MATCH(TRIM($C326), TRIM(INDIRECT($N326)), 0),
       MATCH(TRIM(L$2), TRIM(INDIRECT($O326)), 0))</f>
        <v>729.75470766187482</v>
      </c>
      <c r="M326" s="5" t="str">
        <f t="shared" si="15"/>
        <v>'2020'!$N$3:$V$80</v>
      </c>
      <c r="N326" s="5" t="str">
        <f t="shared" si="16"/>
        <v>'2020'!$M$2:$M$80</v>
      </c>
      <c r="O326" s="5" t="str">
        <f t="shared" si="17"/>
        <v>'2020'!$N$2:$W$2</v>
      </c>
    </row>
    <row r="327" spans="1:15" x14ac:dyDescent="0.3">
      <c r="A327">
        <v>10</v>
      </c>
      <c r="B327" s="9">
        <v>2020</v>
      </c>
      <c r="C327" t="s">
        <v>9</v>
      </c>
      <c r="D327" s="11" cm="1">
        <f t="array" aca="1" ref="D327" ca="1">INDEX(INDIRECT($M327),
       MATCH(TRIM($C327), TRIM(INDIRECT($N327)), 0),
       MATCH(TRIM(D$2), TRIM(INDIRECT($O327)), 0))</f>
        <v>113</v>
      </c>
      <c r="E327" s="9" t="e" cm="1">
        <f t="array" aca="1" ref="E327" ca="1">INDEX(INDIRECT($M327),
       MATCH(TRIM($C327), TRIM(INDIRECT($N327)), 0),
       MATCH(TRIM(E$2), TRIM(INDIRECT($O327)), 0))</f>
        <v>#N/A</v>
      </c>
      <c r="F327" s="11" cm="1">
        <f t="array" aca="1" ref="F327" ca="1">INDEX(INDIRECT($M327),
       MATCH(TRIM($C327), TRIM(INDIRECT($N327)), 0),
       MATCH(TRIM(F$2), TRIM(INDIRECT($O327)), 0))</f>
        <v>326.24147099999999</v>
      </c>
      <c r="G327" s="11" cm="1">
        <f t="array" aca="1" ref="G327" ca="1">INDEX(INDIRECT($M327),
       MATCH(TRIM($C327), TRIM(INDIRECT($N327)), 0),
       MATCH(TRIM(G$2), TRIM(INDIRECT($O327)), 0))</f>
        <v>102</v>
      </c>
      <c r="H327" s="9" t="e" cm="1">
        <f t="array" aca="1" ref="H327" ca="1">INDEX(INDIRECT($M327),
       MATCH(TRIM($C327), TRIM(INDIRECT($N327)), 0),
       MATCH(TRIM(H$2), TRIM(INDIRECT($O327)), 0))</f>
        <v>#N/A</v>
      </c>
      <c r="I327" s="11" cm="1">
        <f t="array" aca="1" ref="I327" ca="1">INDEX(INDIRECT($M327),
       MATCH(TRIM($C327), TRIM(INDIRECT($N327)), 0),
       MATCH(TRIM(I$2), TRIM(INDIRECT($O327)), 0))</f>
        <v>305.11305700000003</v>
      </c>
      <c r="J327" s="9" cm="1">
        <f t="array" aca="1" ref="J327" ca="1">INDEX(INDIRECT($M327),
       MATCH(TRIM($C327), TRIM(INDIRECT($N327)), 0),
       MATCH(TRIM(J$2), TRIM(INDIRECT($O327)), 0))</f>
        <v>132</v>
      </c>
      <c r="K327" s="11" cm="1">
        <f t="array" aca="1" ref="K327" ca="1">INDEX(INDIRECT($M327),
       MATCH(TRIM($C327), TRIM(INDIRECT($N327)), 0),
       MATCH(TRIM(K$2), TRIM(INDIRECT($O327)), 0))</f>
        <v>178.94206572026147</v>
      </c>
      <c r="L327" s="11" cm="1">
        <f t="array" aca="1" ref="L327" ca="1">INDEX(INDIRECT($M327),
       MATCH(TRIM($C327), TRIM(INDIRECT($N327)), 0),
       MATCH(TRIM(L$2), TRIM(INDIRECT($O327)), 0))</f>
        <v>810.29659372026151</v>
      </c>
      <c r="M327" s="5" t="str">
        <f t="shared" si="15"/>
        <v>'2020'!$N$3:$V$80</v>
      </c>
      <c r="N327" s="5" t="str">
        <f t="shared" si="16"/>
        <v>'2020'!$M$2:$M$80</v>
      </c>
      <c r="O327" s="5" t="str">
        <f t="shared" si="17"/>
        <v>'2020'!$N$2:$W$2</v>
      </c>
    </row>
    <row r="328" spans="1:15" x14ac:dyDescent="0.3">
      <c r="A328">
        <v>11</v>
      </c>
      <c r="B328" s="9">
        <v>2020</v>
      </c>
      <c r="C328" t="s">
        <v>10</v>
      </c>
      <c r="D328" s="11" cm="1">
        <f t="array" aca="1" ref="D328" ca="1">INDEX(INDIRECT($M328),
       MATCH(TRIM($C328), TRIM(INDIRECT($N328)), 0),
       MATCH(TRIM(D$2), TRIM(INDIRECT($O328)), 0))</f>
        <v>32</v>
      </c>
      <c r="E328" s="9" t="e" cm="1">
        <f t="array" aca="1" ref="E328" ca="1">INDEX(INDIRECT($M328),
       MATCH(TRIM($C328), TRIM(INDIRECT($N328)), 0),
       MATCH(TRIM(E$2), TRIM(INDIRECT($O328)), 0))</f>
        <v>#N/A</v>
      </c>
      <c r="F328" s="11" cm="1">
        <f t="array" aca="1" ref="F328" ca="1">INDEX(INDIRECT($M328),
       MATCH(TRIM($C328), TRIM(INDIRECT($N328)), 0),
       MATCH(TRIM(F$2), TRIM(INDIRECT($O328)), 0))</f>
        <v>164.42</v>
      </c>
      <c r="G328" s="11" cm="1">
        <f t="array" aca="1" ref="G328" ca="1">INDEX(INDIRECT($M328),
       MATCH(TRIM($C328), TRIM(INDIRECT($N328)), 0),
       MATCH(TRIM(G$2), TRIM(INDIRECT($O328)), 0))</f>
        <v>46</v>
      </c>
      <c r="H328" s="9" t="e" cm="1">
        <f t="array" aca="1" ref="H328" ca="1">INDEX(INDIRECT($M328),
       MATCH(TRIM($C328), TRIM(INDIRECT($N328)), 0),
       MATCH(TRIM(H$2), TRIM(INDIRECT($O328)), 0))</f>
        <v>#N/A</v>
      </c>
      <c r="I328" s="11" cm="1">
        <f t="array" aca="1" ref="I328" ca="1">INDEX(INDIRECT($M328),
       MATCH(TRIM($C328), TRIM(INDIRECT($N328)), 0),
       MATCH(TRIM(I$2), TRIM(INDIRECT($O328)), 0))</f>
        <v>322.79723201249999</v>
      </c>
      <c r="J328" s="9" cm="1">
        <f t="array" aca="1" ref="J328" ca="1">INDEX(INDIRECT($M328),
       MATCH(TRIM($C328), TRIM(INDIRECT($N328)), 0),
       MATCH(TRIM(J$2), TRIM(INDIRECT($O328)), 0))</f>
        <v>42</v>
      </c>
      <c r="K328" s="11" cm="1">
        <f t="array" aca="1" ref="K328" ca="1">INDEX(INDIRECT($M328),
       MATCH(TRIM($C328), TRIM(INDIRECT($N328)), 0),
       MATCH(TRIM(K$2), TRIM(INDIRECT($O328)), 0))</f>
        <v>33.058740354265296</v>
      </c>
      <c r="L328" s="11" cm="1">
        <f t="array" aca="1" ref="L328" ca="1">INDEX(INDIRECT($M328),
       MATCH(TRIM($C328), TRIM(INDIRECT($N328)), 0),
       MATCH(TRIM(L$2), TRIM(INDIRECT($O328)), 0))</f>
        <v>520.27597236676525</v>
      </c>
      <c r="M328" s="5" t="str">
        <f t="shared" si="15"/>
        <v>'2020'!$N$3:$V$80</v>
      </c>
      <c r="N328" s="5" t="str">
        <f t="shared" si="16"/>
        <v>'2020'!$M$2:$M$80</v>
      </c>
      <c r="O328" s="5" t="str">
        <f t="shared" si="17"/>
        <v>'2020'!$N$2:$W$2</v>
      </c>
    </row>
    <row r="329" spans="1:15" x14ac:dyDescent="0.3">
      <c r="A329">
        <v>12</v>
      </c>
      <c r="B329" s="9">
        <v>2020</v>
      </c>
      <c r="C329" t="s">
        <v>11</v>
      </c>
      <c r="D329" s="11" cm="1">
        <f t="array" aca="1" ref="D329" ca="1">INDEX(INDIRECT($M329),
       MATCH(TRIM($C329), TRIM(INDIRECT($N329)), 0),
       MATCH(TRIM(D$2), TRIM(INDIRECT($O329)), 0))</f>
        <v>20</v>
      </c>
      <c r="E329" s="9" t="e" cm="1">
        <f t="array" aca="1" ref="E329" ca="1">INDEX(INDIRECT($M329),
       MATCH(TRIM($C329), TRIM(INDIRECT($N329)), 0),
       MATCH(TRIM(E$2), TRIM(INDIRECT($O329)), 0))</f>
        <v>#N/A</v>
      </c>
      <c r="F329" s="11" cm="1">
        <f t="array" aca="1" ref="F329" ca="1">INDEX(INDIRECT($M329),
       MATCH(TRIM($C329), TRIM(INDIRECT($N329)), 0),
       MATCH(TRIM(F$2), TRIM(INDIRECT($O329)), 0))</f>
        <v>373.92266599999999</v>
      </c>
      <c r="G329" s="11" cm="1">
        <f t="array" aca="1" ref="G329" ca="1">INDEX(INDIRECT($M329),
       MATCH(TRIM($C329), TRIM(INDIRECT($N329)), 0),
       MATCH(TRIM(G$2), TRIM(INDIRECT($O329)), 0))</f>
        <v>12</v>
      </c>
      <c r="H329" s="9" t="e" cm="1">
        <f t="array" aca="1" ref="H329" ca="1">INDEX(INDIRECT($M329),
       MATCH(TRIM($C329), TRIM(INDIRECT($N329)), 0),
       MATCH(TRIM(H$2), TRIM(INDIRECT($O329)), 0))</f>
        <v>#N/A</v>
      </c>
      <c r="I329" s="11" cm="1">
        <f t="array" aca="1" ref="I329" ca="1">INDEX(INDIRECT($M329),
       MATCH(TRIM($C329), TRIM(INDIRECT($N329)), 0),
       MATCH(TRIM(I$2), TRIM(INDIRECT($O329)), 0))</f>
        <v>24.302060999999998</v>
      </c>
      <c r="J329" s="9" cm="1">
        <f t="array" aca="1" ref="J329" ca="1">INDEX(INDIRECT($M329),
       MATCH(TRIM($C329), TRIM(INDIRECT($N329)), 0),
       MATCH(TRIM(J$2), TRIM(INDIRECT($O329)), 0))</f>
        <v>16</v>
      </c>
      <c r="K329" s="11" cm="1">
        <f t="array" aca="1" ref="K329" ca="1">INDEX(INDIRECT($M329),
       MATCH(TRIM($C329), TRIM(INDIRECT($N329)), 0),
       MATCH(TRIM(K$2), TRIM(INDIRECT($O329)), 0))</f>
        <v>2.5449290671679439</v>
      </c>
      <c r="L329" s="11" cm="1">
        <f t="array" aca="1" ref="L329" ca="1">INDEX(INDIRECT($M329),
       MATCH(TRIM($C329), TRIM(INDIRECT($N329)), 0),
       MATCH(TRIM(L$2), TRIM(INDIRECT($O329)), 0))</f>
        <v>400.76965606716794</v>
      </c>
      <c r="M329" s="5" t="str">
        <f t="shared" si="15"/>
        <v>'2020'!$N$3:$V$80</v>
      </c>
      <c r="N329" s="5" t="str">
        <f t="shared" si="16"/>
        <v>'2020'!$M$2:$M$80</v>
      </c>
      <c r="O329" s="5" t="str">
        <f t="shared" si="17"/>
        <v>'2020'!$N$2:$W$2</v>
      </c>
    </row>
    <row r="330" spans="1:15" x14ac:dyDescent="0.3">
      <c r="A330">
        <v>13</v>
      </c>
      <c r="B330" s="9">
        <v>2020</v>
      </c>
      <c r="C330" t="s">
        <v>12</v>
      </c>
      <c r="D330" s="11" cm="1">
        <f t="array" aca="1" ref="D330" ca="1">INDEX(INDIRECT($M330),
       MATCH(TRIM($C330), TRIM(INDIRECT($N330)), 0),
       MATCH(TRIM(D$2), TRIM(INDIRECT($O330)), 0))</f>
        <v>28</v>
      </c>
      <c r="E330" s="9" t="e" cm="1">
        <f t="array" aca="1" ref="E330" ca="1">INDEX(INDIRECT($M330),
       MATCH(TRIM($C330), TRIM(INDIRECT($N330)), 0),
       MATCH(TRIM(E$2), TRIM(INDIRECT($O330)), 0))</f>
        <v>#N/A</v>
      </c>
      <c r="F330" s="11" cm="1">
        <f t="array" aca="1" ref="F330" ca="1">INDEX(INDIRECT($M330),
       MATCH(TRIM($C330), TRIM(INDIRECT($N330)), 0),
       MATCH(TRIM(F$2), TRIM(INDIRECT($O330)), 0))</f>
        <v>497.49656199999998</v>
      </c>
      <c r="G330" s="11" cm="1">
        <f t="array" aca="1" ref="G330" ca="1">INDEX(INDIRECT($M330),
       MATCH(TRIM($C330), TRIM(INDIRECT($N330)), 0),
       MATCH(TRIM(G$2), TRIM(INDIRECT($O330)), 0))</f>
        <v>13</v>
      </c>
      <c r="H330" s="9" t="e" cm="1">
        <f t="array" aca="1" ref="H330" ca="1">INDEX(INDIRECT($M330),
       MATCH(TRIM($C330), TRIM(INDIRECT($N330)), 0),
       MATCH(TRIM(H$2), TRIM(INDIRECT($O330)), 0))</f>
        <v>#N/A</v>
      </c>
      <c r="I330" s="11" cm="1">
        <f t="array" aca="1" ref="I330" ca="1">INDEX(INDIRECT($M330),
       MATCH(TRIM($C330), TRIM(INDIRECT($N330)), 0),
       MATCH(TRIM(I$2), TRIM(INDIRECT($O330)), 0))</f>
        <v>20.489530999999999</v>
      </c>
      <c r="J330" s="9" cm="1">
        <f t="array" aca="1" ref="J330" ca="1">INDEX(INDIRECT($M330),
       MATCH(TRIM($C330), TRIM(INDIRECT($N330)), 0),
       MATCH(TRIM(J$2), TRIM(INDIRECT($O330)), 0))</f>
        <v>32</v>
      </c>
      <c r="K330" s="11" cm="1">
        <f t="array" aca="1" ref="K330" ca="1">INDEX(INDIRECT($M330),
       MATCH(TRIM($C330), TRIM(INDIRECT($N330)), 0),
       MATCH(TRIM(K$2), TRIM(INDIRECT($O330)), 0))</f>
        <v>22.724484725687095</v>
      </c>
      <c r="L330" s="11" cm="1">
        <f t="array" aca="1" ref="L330" ca="1">INDEX(INDIRECT($M330),
       MATCH(TRIM($C330), TRIM(INDIRECT($N330)), 0),
       MATCH(TRIM(L$2), TRIM(INDIRECT($O330)), 0))</f>
        <v>540.71057772568713</v>
      </c>
      <c r="M330" s="5" t="str">
        <f t="shared" si="15"/>
        <v>'2020'!$N$3:$V$80</v>
      </c>
      <c r="N330" s="5" t="str">
        <f t="shared" si="16"/>
        <v>'2020'!$M$2:$M$80</v>
      </c>
      <c r="O330" s="5" t="str">
        <f t="shared" si="17"/>
        <v>'2020'!$N$2:$W$2</v>
      </c>
    </row>
    <row r="331" spans="1:15" x14ac:dyDescent="0.3">
      <c r="A331">
        <v>14</v>
      </c>
      <c r="B331" s="9">
        <v>2020</v>
      </c>
      <c r="C331" t="s">
        <v>13</v>
      </c>
      <c r="D331" s="11" cm="1">
        <f t="array" aca="1" ref="D331" ca="1">INDEX(INDIRECT($M331),
       MATCH(TRIM($C331), TRIM(INDIRECT($N331)), 0),
       MATCH(TRIM(D$2), TRIM(INDIRECT($O331)), 0))</f>
        <v>83</v>
      </c>
      <c r="E331" s="9" t="e" cm="1">
        <f t="array" aca="1" ref="E331" ca="1">INDEX(INDIRECT($M331),
       MATCH(TRIM($C331), TRIM(INDIRECT($N331)), 0),
       MATCH(TRIM(E$2), TRIM(INDIRECT($O331)), 0))</f>
        <v>#N/A</v>
      </c>
      <c r="F331" s="11" cm="1">
        <f t="array" aca="1" ref="F331" ca="1">INDEX(INDIRECT($M331),
       MATCH(TRIM($C331), TRIM(INDIRECT($N331)), 0),
       MATCH(TRIM(F$2), TRIM(INDIRECT($O331)), 0))</f>
        <v>128.855626</v>
      </c>
      <c r="G331" s="11" cm="1">
        <f t="array" aca="1" ref="G331" ca="1">INDEX(INDIRECT($M331),
       MATCH(TRIM($C331), TRIM(INDIRECT($N331)), 0),
       MATCH(TRIM(G$2), TRIM(INDIRECT($O331)), 0))</f>
        <v>20</v>
      </c>
      <c r="H331" s="9" t="e" cm="1">
        <f t="array" aca="1" ref="H331" ca="1">INDEX(INDIRECT($M331),
       MATCH(TRIM($C331), TRIM(INDIRECT($N331)), 0),
       MATCH(TRIM(H$2), TRIM(INDIRECT($O331)), 0))</f>
        <v>#N/A</v>
      </c>
      <c r="I331" s="11" cm="1">
        <f t="array" aca="1" ref="I331" ca="1">INDEX(INDIRECT($M331),
       MATCH(TRIM($C331), TRIM(INDIRECT($N331)), 0),
       MATCH(TRIM(I$2), TRIM(INDIRECT($O331)), 0))</f>
        <v>80.057353000000006</v>
      </c>
      <c r="J331" s="9" cm="1">
        <f t="array" aca="1" ref="J331" ca="1">INDEX(INDIRECT($M331),
       MATCH(TRIM($C331), TRIM(INDIRECT($N331)), 0),
       MATCH(TRIM(J$2), TRIM(INDIRECT($O331)), 0))</f>
        <v>105</v>
      </c>
      <c r="K331" s="11" cm="1">
        <f t="array" aca="1" ref="K331" ca="1">INDEX(INDIRECT($M331),
       MATCH(TRIM($C331), TRIM(INDIRECT($N331)), 0),
       MATCH(TRIM(K$2), TRIM(INDIRECT($O331)), 0))</f>
        <v>8.6303587728068507</v>
      </c>
      <c r="L331" s="11" cm="1">
        <f t="array" aca="1" ref="L331" ca="1">INDEX(INDIRECT($M331),
       MATCH(TRIM($C331), TRIM(INDIRECT($N331)), 0),
       MATCH(TRIM(L$2), TRIM(INDIRECT($O331)), 0))</f>
        <v>217.54333777280686</v>
      </c>
      <c r="M331" s="5" t="str">
        <f t="shared" si="15"/>
        <v>'2020'!$N$3:$V$80</v>
      </c>
      <c r="N331" s="5" t="str">
        <f t="shared" si="16"/>
        <v>'2020'!$M$2:$M$80</v>
      </c>
      <c r="O331" s="5" t="str">
        <f t="shared" si="17"/>
        <v>'2020'!$N$2:$W$2</v>
      </c>
    </row>
    <row r="332" spans="1:15" x14ac:dyDescent="0.3">
      <c r="A332">
        <v>15</v>
      </c>
      <c r="B332" s="9">
        <v>2020</v>
      </c>
      <c r="C332" t="s">
        <v>14</v>
      </c>
      <c r="D332" s="11" cm="1">
        <f t="array" aca="1" ref="D332" ca="1">INDEX(INDIRECT($M332),
       MATCH(TRIM($C332), TRIM(INDIRECT($N332)), 0),
       MATCH(TRIM(D$2), TRIM(INDIRECT($O332)), 0))</f>
        <v>22</v>
      </c>
      <c r="E332" s="9" t="e" cm="1">
        <f t="array" aca="1" ref="E332" ca="1">INDEX(INDIRECT($M332),
       MATCH(TRIM($C332), TRIM(INDIRECT($N332)), 0),
       MATCH(TRIM(E$2), TRIM(INDIRECT($O332)), 0))</f>
        <v>#N/A</v>
      </c>
      <c r="F332" s="11" cm="1">
        <f t="array" aca="1" ref="F332" ca="1">INDEX(INDIRECT($M332),
       MATCH(TRIM($C332), TRIM(INDIRECT($N332)), 0),
       MATCH(TRIM(F$2), TRIM(INDIRECT($O332)), 0))</f>
        <v>241.73641499999999</v>
      </c>
      <c r="G332" s="11" cm="1">
        <f t="array" aca="1" ref="G332" ca="1">INDEX(INDIRECT($M332),
       MATCH(TRIM($C332), TRIM(INDIRECT($N332)), 0),
       MATCH(TRIM(G$2), TRIM(INDIRECT($O332)), 0))</f>
        <v>34</v>
      </c>
      <c r="H332" s="9" t="e" cm="1">
        <f t="array" aca="1" ref="H332" ca="1">INDEX(INDIRECT($M332),
       MATCH(TRIM($C332), TRIM(INDIRECT($N332)), 0),
       MATCH(TRIM(H$2), TRIM(INDIRECT($O332)), 0))</f>
        <v>#N/A</v>
      </c>
      <c r="I332" s="11" cm="1">
        <f t="array" aca="1" ref="I332" ca="1">INDEX(INDIRECT($M332),
       MATCH(TRIM($C332), TRIM(INDIRECT($N332)), 0),
       MATCH(TRIM(I$2), TRIM(INDIRECT($O332)), 0))</f>
        <v>203.026622</v>
      </c>
      <c r="J332" s="9" cm="1">
        <f t="array" aca="1" ref="J332" ca="1">INDEX(INDIRECT($M332),
       MATCH(TRIM($C332), TRIM(INDIRECT($N332)), 0),
       MATCH(TRIM(J$2), TRIM(INDIRECT($O332)), 0))</f>
        <v>40</v>
      </c>
      <c r="K332" s="11" cm="1">
        <f t="array" aca="1" ref="K332" ca="1">INDEX(INDIRECT($M332),
       MATCH(TRIM($C332), TRIM(INDIRECT($N332)), 0),
       MATCH(TRIM(K$2), TRIM(INDIRECT($O332)), 0))</f>
        <v>43.01184392290655</v>
      </c>
      <c r="L332" s="11" cm="1">
        <f t="array" aca="1" ref="L332" ca="1">INDEX(INDIRECT($M332),
       MATCH(TRIM($C332), TRIM(INDIRECT($N332)), 0),
       MATCH(TRIM(L$2), TRIM(INDIRECT($O332)), 0))</f>
        <v>487.77488092290656</v>
      </c>
      <c r="M332" s="5" t="str">
        <f t="shared" si="15"/>
        <v>'2020'!$N$3:$V$80</v>
      </c>
      <c r="N332" s="5" t="str">
        <f t="shared" si="16"/>
        <v>'2020'!$M$2:$M$80</v>
      </c>
      <c r="O332" s="5" t="str">
        <f t="shared" si="17"/>
        <v>'2020'!$N$2:$W$2</v>
      </c>
    </row>
    <row r="333" spans="1:15" x14ac:dyDescent="0.3">
      <c r="A333">
        <v>16</v>
      </c>
      <c r="B333" s="9">
        <v>2020</v>
      </c>
      <c r="C333" t="s">
        <v>15</v>
      </c>
      <c r="D333" s="11" cm="1">
        <f t="array" aca="1" ref="D333" ca="1">INDEX(INDIRECT($M333),
       MATCH(TRIM($C333), TRIM(INDIRECT($N333)), 0),
       MATCH(TRIM(D$2), TRIM(INDIRECT($O333)), 0))</f>
        <v>48</v>
      </c>
      <c r="E333" s="9" t="e" cm="1">
        <f t="array" aca="1" ref="E333" ca="1">INDEX(INDIRECT($M333),
       MATCH(TRIM($C333), TRIM(INDIRECT($N333)), 0),
       MATCH(TRIM(E$2), TRIM(INDIRECT($O333)), 0))</f>
        <v>#N/A</v>
      </c>
      <c r="F333" s="11" cm="1">
        <f t="array" aca="1" ref="F333" ca="1">INDEX(INDIRECT($M333),
       MATCH(TRIM($C333), TRIM(INDIRECT($N333)), 0),
       MATCH(TRIM(F$2), TRIM(INDIRECT($O333)), 0))</f>
        <v>322.381325</v>
      </c>
      <c r="G333" s="11" cm="1">
        <f t="array" aca="1" ref="G333" ca="1">INDEX(INDIRECT($M333),
       MATCH(TRIM($C333), TRIM(INDIRECT($N333)), 0),
       MATCH(TRIM(G$2), TRIM(INDIRECT($O333)), 0))</f>
        <v>18</v>
      </c>
      <c r="H333" s="9" t="e" cm="1">
        <f t="array" aca="1" ref="H333" ca="1">INDEX(INDIRECT($M333),
       MATCH(TRIM($C333), TRIM(INDIRECT($N333)), 0),
       MATCH(TRIM(H$2), TRIM(INDIRECT($O333)), 0))</f>
        <v>#N/A</v>
      </c>
      <c r="I333" s="11" cm="1">
        <f t="array" aca="1" ref="I333" ca="1">INDEX(INDIRECT($M333),
       MATCH(TRIM($C333), TRIM(INDIRECT($N333)), 0),
       MATCH(TRIM(I$2), TRIM(INDIRECT($O333)), 0))</f>
        <v>26.151533000000001</v>
      </c>
      <c r="J333" s="9" cm="1">
        <f t="array" aca="1" ref="J333" ca="1">INDEX(INDIRECT($M333),
       MATCH(TRIM($C333), TRIM(INDIRECT($N333)), 0),
       MATCH(TRIM(J$2), TRIM(INDIRECT($O333)), 0))</f>
        <v>18</v>
      </c>
      <c r="K333" s="11" cm="1">
        <f t="array" aca="1" ref="K333" ca="1">INDEX(INDIRECT($M333),
       MATCH(TRIM($C333), TRIM(INDIRECT($N333)), 0),
       MATCH(TRIM(K$2), TRIM(INDIRECT($O333)), 0))</f>
        <v>20.566953783308932</v>
      </c>
      <c r="L333" s="11" cm="1">
        <f t="array" aca="1" ref="L333" ca="1">INDEX(INDIRECT($M333),
       MATCH(TRIM($C333), TRIM(INDIRECT($N333)), 0),
       MATCH(TRIM(L$2), TRIM(INDIRECT($O333)), 0))</f>
        <v>369.09981178330895</v>
      </c>
      <c r="M333" s="5" t="str">
        <f t="shared" si="15"/>
        <v>'2020'!$N$3:$V$80</v>
      </c>
      <c r="N333" s="5" t="str">
        <f t="shared" si="16"/>
        <v>'2020'!$M$2:$M$80</v>
      </c>
      <c r="O333" s="5" t="str">
        <f t="shared" si="17"/>
        <v>'2020'!$N$2:$W$2</v>
      </c>
    </row>
    <row r="334" spans="1:15" x14ac:dyDescent="0.3">
      <c r="A334">
        <v>17</v>
      </c>
      <c r="B334" s="9">
        <v>2020</v>
      </c>
      <c r="C334" t="s">
        <v>16</v>
      </c>
      <c r="D334" s="11" cm="1">
        <f t="array" aca="1" ref="D334" ca="1">INDEX(INDIRECT($M334),
       MATCH(TRIM($C334), TRIM(INDIRECT($N334)), 0),
       MATCH(TRIM(D$2), TRIM(INDIRECT($O334)), 0))</f>
        <v>9</v>
      </c>
      <c r="E334" s="9" t="e" cm="1">
        <f t="array" aca="1" ref="E334" ca="1">INDEX(INDIRECT($M334),
       MATCH(TRIM($C334), TRIM(INDIRECT($N334)), 0),
       MATCH(TRIM(E$2), TRIM(INDIRECT($O334)), 0))</f>
        <v>#N/A</v>
      </c>
      <c r="F334" s="11" cm="1">
        <f t="array" aca="1" ref="F334" ca="1">INDEX(INDIRECT($M334),
       MATCH(TRIM($C334), TRIM(INDIRECT($N334)), 0),
       MATCH(TRIM(F$2), TRIM(INDIRECT($O334)), 0))</f>
        <v>108.187264</v>
      </c>
      <c r="G334" s="11" cm="1">
        <f t="array" aca="1" ref="G334" ca="1">INDEX(INDIRECT($M334),
       MATCH(TRIM($C334), TRIM(INDIRECT($N334)), 0),
       MATCH(TRIM(G$2), TRIM(INDIRECT($O334)), 0))</f>
        <v>11</v>
      </c>
      <c r="H334" s="9" t="e" cm="1">
        <f t="array" aca="1" ref="H334" ca="1">INDEX(INDIRECT($M334),
       MATCH(TRIM($C334), TRIM(INDIRECT($N334)), 0),
       MATCH(TRIM(H$2), TRIM(INDIRECT($O334)), 0))</f>
        <v>#N/A</v>
      </c>
      <c r="I334" s="11" cm="1">
        <f t="array" aca="1" ref="I334" ca="1">INDEX(INDIRECT($M334),
       MATCH(TRIM($C334), TRIM(INDIRECT($N334)), 0),
       MATCH(TRIM(I$2), TRIM(INDIRECT($O334)), 0))</f>
        <v>55.281609000000003</v>
      </c>
      <c r="J334" s="9" cm="1">
        <f t="array" aca="1" ref="J334" ca="1">INDEX(INDIRECT($M334),
       MATCH(TRIM($C334), TRIM(INDIRECT($N334)), 0),
       MATCH(TRIM(J$2), TRIM(INDIRECT($O334)), 0))</f>
        <v>6</v>
      </c>
      <c r="K334" s="11" cm="1">
        <f t="array" aca="1" ref="K334" ca="1">INDEX(INDIRECT($M334),
       MATCH(TRIM($C334), TRIM(INDIRECT($N334)), 0),
       MATCH(TRIM(K$2), TRIM(INDIRECT($O334)), 0))</f>
        <v>3.6852256236541243</v>
      </c>
      <c r="L334" s="11" cm="1">
        <f t="array" aca="1" ref="L334" ca="1">INDEX(INDIRECT($M334),
       MATCH(TRIM($C334), TRIM(INDIRECT($N334)), 0),
       MATCH(TRIM(L$2), TRIM(INDIRECT($O334)), 0))</f>
        <v>167.15409862365414</v>
      </c>
      <c r="M334" s="5" t="str">
        <f t="shared" si="15"/>
        <v>'2020'!$N$3:$V$80</v>
      </c>
      <c r="N334" s="5" t="str">
        <f t="shared" si="16"/>
        <v>'2020'!$M$2:$M$80</v>
      </c>
      <c r="O334" s="5" t="str">
        <f t="shared" si="17"/>
        <v>'2020'!$N$2:$W$2</v>
      </c>
    </row>
    <row r="335" spans="1:15" x14ac:dyDescent="0.3">
      <c r="A335">
        <v>18</v>
      </c>
      <c r="B335" s="9">
        <v>2020</v>
      </c>
      <c r="C335" t="s">
        <v>17</v>
      </c>
      <c r="D335" s="11" cm="1">
        <f t="array" aca="1" ref="D335" ca="1">INDEX(INDIRECT($M335),
       MATCH(TRIM($C335), TRIM(INDIRECT($N335)), 0),
       MATCH(TRIM(D$2), TRIM(INDIRECT($O335)), 0))</f>
        <v>14</v>
      </c>
      <c r="E335" s="9" t="e" cm="1">
        <f t="array" aca="1" ref="E335" ca="1">INDEX(INDIRECT($M335),
       MATCH(TRIM($C335), TRIM(INDIRECT($N335)), 0),
       MATCH(TRIM(E$2), TRIM(INDIRECT($O335)), 0))</f>
        <v>#N/A</v>
      </c>
      <c r="F335" s="11" cm="1">
        <f t="array" aca="1" ref="F335" ca="1">INDEX(INDIRECT($M335),
       MATCH(TRIM($C335), TRIM(INDIRECT($N335)), 0),
       MATCH(TRIM(F$2), TRIM(INDIRECT($O335)), 0))</f>
        <v>240.297</v>
      </c>
      <c r="G335" s="11" cm="1">
        <f t="array" aca="1" ref="G335" ca="1">INDEX(INDIRECT($M335),
       MATCH(TRIM($C335), TRIM(INDIRECT($N335)), 0),
       MATCH(TRIM(G$2), TRIM(INDIRECT($O335)), 0))</f>
        <v>7</v>
      </c>
      <c r="H335" s="9" t="e" cm="1">
        <f t="array" aca="1" ref="H335" ca="1">INDEX(INDIRECT($M335),
       MATCH(TRIM($C335), TRIM(INDIRECT($N335)), 0),
       MATCH(TRIM(H$2), TRIM(INDIRECT($O335)), 0))</f>
        <v>#N/A</v>
      </c>
      <c r="I335" s="11" cm="1">
        <f t="array" aca="1" ref="I335" ca="1">INDEX(INDIRECT($M335),
       MATCH(TRIM($C335), TRIM(INDIRECT($N335)), 0),
       MATCH(TRIM(I$2), TRIM(INDIRECT($O335)), 0))</f>
        <v>100.95305500000001</v>
      </c>
      <c r="J335" s="9" cm="1">
        <f t="array" aca="1" ref="J335" ca="1">INDEX(INDIRECT($M335),
       MATCH(TRIM($C335), TRIM(INDIRECT($N335)), 0),
       MATCH(TRIM(J$2), TRIM(INDIRECT($O335)), 0))</f>
        <v>22</v>
      </c>
      <c r="K335" s="11" cm="1">
        <f t="array" aca="1" ref="K335" ca="1">INDEX(INDIRECT($M335),
       MATCH(TRIM($C335), TRIM(INDIRECT($N335)), 0),
       MATCH(TRIM(K$2), TRIM(INDIRECT($O335)), 0))</f>
        <v>8.2932917485925817</v>
      </c>
      <c r="L335" s="11" cm="1">
        <f t="array" aca="1" ref="L335" ca="1">INDEX(INDIRECT($M335),
       MATCH(TRIM($C335), TRIM(INDIRECT($N335)), 0),
       MATCH(TRIM(L$2), TRIM(INDIRECT($O335)), 0))</f>
        <v>349.54334674859257</v>
      </c>
      <c r="M335" s="5" t="str">
        <f t="shared" si="15"/>
        <v>'2020'!$N$3:$V$80</v>
      </c>
      <c r="N335" s="5" t="str">
        <f t="shared" si="16"/>
        <v>'2020'!$M$2:$M$80</v>
      </c>
      <c r="O335" s="5" t="str">
        <f t="shared" si="17"/>
        <v>'2020'!$N$2:$W$2</v>
      </c>
    </row>
    <row r="336" spans="1:15" x14ac:dyDescent="0.3">
      <c r="A336">
        <v>19</v>
      </c>
      <c r="B336" s="9">
        <v>2020</v>
      </c>
      <c r="C336" t="s">
        <v>18</v>
      </c>
      <c r="D336" s="11" cm="1">
        <f t="array" aca="1" ref="D336" ca="1">INDEX(INDIRECT($M336),
       MATCH(TRIM($C336), TRIM(INDIRECT($N336)), 0),
       MATCH(TRIM(D$2), TRIM(INDIRECT($O336)), 0))</f>
        <v>19</v>
      </c>
      <c r="E336" s="9" t="e" cm="1">
        <f t="array" aca="1" ref="E336" ca="1">INDEX(INDIRECT($M336),
       MATCH(TRIM($C336), TRIM(INDIRECT($N336)), 0),
       MATCH(TRIM(E$2), TRIM(INDIRECT($O336)), 0))</f>
        <v>#N/A</v>
      </c>
      <c r="F336" s="11" cm="1">
        <f t="array" aca="1" ref="F336" ca="1">INDEX(INDIRECT($M336),
       MATCH(TRIM($C336), TRIM(INDIRECT($N336)), 0),
       MATCH(TRIM(F$2), TRIM(INDIRECT($O336)), 0))</f>
        <v>221.547336</v>
      </c>
      <c r="G336" s="11" cm="1">
        <f t="array" aca="1" ref="G336" ca="1">INDEX(INDIRECT($M336),
       MATCH(TRIM($C336), TRIM(INDIRECT($N336)), 0),
       MATCH(TRIM(G$2), TRIM(INDIRECT($O336)), 0))</f>
        <v>17</v>
      </c>
      <c r="H336" s="9" t="e" cm="1">
        <f t="array" aca="1" ref="H336" ca="1">INDEX(INDIRECT($M336),
       MATCH(TRIM($C336), TRIM(INDIRECT($N336)), 0),
       MATCH(TRIM(H$2), TRIM(INDIRECT($O336)), 0))</f>
        <v>#N/A</v>
      </c>
      <c r="I336" s="11" cm="1">
        <f t="array" aca="1" ref="I336" ca="1">INDEX(INDIRECT($M336),
       MATCH(TRIM($C336), TRIM(INDIRECT($N336)), 0),
       MATCH(TRIM(I$2), TRIM(INDIRECT($O336)), 0))</f>
        <v>59.636676999999999</v>
      </c>
      <c r="J336" s="9" cm="1">
        <f t="array" aca="1" ref="J336" ca="1">INDEX(INDIRECT($M336),
       MATCH(TRIM($C336), TRIM(INDIRECT($N336)), 0),
       MATCH(TRIM(J$2), TRIM(INDIRECT($O336)), 0))</f>
        <v>10</v>
      </c>
      <c r="K336" s="11" cm="1">
        <f t="array" aca="1" ref="K336" ca="1">INDEX(INDIRECT($M336),
       MATCH(TRIM($C336), TRIM(INDIRECT($N336)), 0),
       MATCH(TRIM(K$2), TRIM(INDIRECT($O336)), 0))</f>
        <v>9.5556365750030352</v>
      </c>
      <c r="L336" s="11" cm="1">
        <f t="array" aca="1" ref="L336" ca="1">INDEX(INDIRECT($M336),
       MATCH(TRIM($C336), TRIM(INDIRECT($N336)), 0),
       MATCH(TRIM(L$2), TRIM(INDIRECT($O336)), 0))</f>
        <v>290.739649575003</v>
      </c>
      <c r="M336" s="5" t="str">
        <f t="shared" si="15"/>
        <v>'2020'!$N$3:$V$80</v>
      </c>
      <c r="N336" s="5" t="str">
        <f t="shared" si="16"/>
        <v>'2020'!$M$2:$M$80</v>
      </c>
      <c r="O336" s="5" t="str">
        <f t="shared" si="17"/>
        <v>'2020'!$N$2:$W$2</v>
      </c>
    </row>
    <row r="337" spans="1:15" x14ac:dyDescent="0.3">
      <c r="A337">
        <v>20</v>
      </c>
      <c r="B337" s="9">
        <v>2020</v>
      </c>
      <c r="C337" t="s">
        <v>19</v>
      </c>
      <c r="D337" s="11" cm="1">
        <f t="array" aca="1" ref="D337" ca="1">INDEX(INDIRECT($M337),
       MATCH(TRIM($C337), TRIM(INDIRECT($N337)), 0),
       MATCH(TRIM(D$2), TRIM(INDIRECT($O337)), 0))</f>
        <v>6</v>
      </c>
      <c r="E337" s="9" t="e" cm="1">
        <f t="array" aca="1" ref="E337" ca="1">INDEX(INDIRECT($M337),
       MATCH(TRIM($C337), TRIM(INDIRECT($N337)), 0),
       MATCH(TRIM(E$2), TRIM(INDIRECT($O337)), 0))</f>
        <v>#N/A</v>
      </c>
      <c r="F337" s="11" cm="1">
        <f t="array" aca="1" ref="F337" ca="1">INDEX(INDIRECT($M337),
       MATCH(TRIM($C337), TRIM(INDIRECT($N337)), 0),
       MATCH(TRIM(F$2), TRIM(INDIRECT($O337)), 0))</f>
        <v>18.423287999999999</v>
      </c>
      <c r="G337" s="11" cm="1">
        <f t="array" aca="1" ref="G337" ca="1">INDEX(INDIRECT($M337),
       MATCH(TRIM($C337), TRIM(INDIRECT($N337)), 0),
       MATCH(TRIM(G$2), TRIM(INDIRECT($O337)), 0))</f>
        <v>0</v>
      </c>
      <c r="H337" s="9" t="e" cm="1">
        <f t="array" aca="1" ref="H337" ca="1">INDEX(INDIRECT($M337),
       MATCH(TRIM($C337), TRIM(INDIRECT($N337)), 0),
       MATCH(TRIM(H$2), TRIM(INDIRECT($O337)), 0))</f>
        <v>#N/A</v>
      </c>
      <c r="I337" s="11" cm="1">
        <f t="array" aca="1" ref="I337" ca="1">INDEX(INDIRECT($M337),
       MATCH(TRIM($C337), TRIM(INDIRECT($N337)), 0),
       MATCH(TRIM(I$2), TRIM(INDIRECT($O337)), 0))</f>
        <v>0</v>
      </c>
      <c r="J337" s="9" cm="1">
        <f t="array" aca="1" ref="J337" ca="1">INDEX(INDIRECT($M337),
       MATCH(TRIM($C337), TRIM(INDIRECT($N337)), 0),
       MATCH(TRIM(J$2), TRIM(INDIRECT($O337)), 0))</f>
        <v>23</v>
      </c>
      <c r="K337" s="11" cm="1">
        <f t="array" aca="1" ref="K337" ca="1">INDEX(INDIRECT($M337),
       MATCH(TRIM($C337), TRIM(INDIRECT($N337)), 0),
       MATCH(TRIM(K$2), TRIM(INDIRECT($O337)), 0))</f>
        <v>23.772166715305158</v>
      </c>
      <c r="L337" s="11" cm="1">
        <f t="array" aca="1" ref="L337" ca="1">INDEX(INDIRECT($M337),
       MATCH(TRIM($C337), TRIM(INDIRECT($N337)), 0),
       MATCH(TRIM(L$2), TRIM(INDIRECT($O337)), 0))</f>
        <v>42.195454715305161</v>
      </c>
      <c r="M337" s="5" t="str">
        <f t="shared" si="15"/>
        <v>'2020'!$N$3:$V$80</v>
      </c>
      <c r="N337" s="5" t="str">
        <f t="shared" si="16"/>
        <v>'2020'!$M$2:$M$80</v>
      </c>
      <c r="O337" s="5" t="str">
        <f t="shared" si="17"/>
        <v>'2020'!$N$2:$W$2</v>
      </c>
    </row>
    <row r="338" spans="1:15" x14ac:dyDescent="0.3">
      <c r="A338">
        <v>21</v>
      </c>
      <c r="B338" s="9">
        <v>2020</v>
      </c>
      <c r="C338" t="s">
        <v>20</v>
      </c>
      <c r="D338" s="11" cm="1">
        <f t="array" aca="1" ref="D338" ca="1">INDEX(INDIRECT($M338),
       MATCH(TRIM($C338), TRIM(INDIRECT($N338)), 0),
       MATCH(TRIM(D$2), TRIM(INDIRECT($O338)), 0))</f>
        <v>10</v>
      </c>
      <c r="E338" s="9" t="e" cm="1">
        <f t="array" aca="1" ref="E338" ca="1">INDEX(INDIRECT($M338),
       MATCH(TRIM($C338), TRIM(INDIRECT($N338)), 0),
       MATCH(TRIM(E$2), TRIM(INDIRECT($O338)), 0))</f>
        <v>#N/A</v>
      </c>
      <c r="F338" s="11" cm="1">
        <f t="array" aca="1" ref="F338" ca="1">INDEX(INDIRECT($M338),
       MATCH(TRIM($C338), TRIM(INDIRECT($N338)), 0),
       MATCH(TRIM(F$2), TRIM(INDIRECT($O338)), 0))</f>
        <v>164.69580099999999</v>
      </c>
      <c r="G338" s="11" cm="1">
        <f t="array" aca="1" ref="G338" ca="1">INDEX(INDIRECT($M338),
       MATCH(TRIM($C338), TRIM(INDIRECT($N338)), 0),
       MATCH(TRIM(G$2), TRIM(INDIRECT($O338)), 0))</f>
        <v>0</v>
      </c>
      <c r="H338" s="9" t="e" cm="1">
        <f t="array" aca="1" ref="H338" ca="1">INDEX(INDIRECT($M338),
       MATCH(TRIM($C338), TRIM(INDIRECT($N338)), 0),
       MATCH(TRIM(H$2), TRIM(INDIRECT($O338)), 0))</f>
        <v>#N/A</v>
      </c>
      <c r="I338" s="11" cm="1">
        <f t="array" aca="1" ref="I338" ca="1">INDEX(INDIRECT($M338),
       MATCH(TRIM($C338), TRIM(INDIRECT($N338)), 0),
       MATCH(TRIM(I$2), TRIM(INDIRECT($O338)), 0))</f>
        <v>0</v>
      </c>
      <c r="J338" s="9" cm="1">
        <f t="array" aca="1" ref="J338" ca="1">INDEX(INDIRECT($M338),
       MATCH(TRIM($C338), TRIM(INDIRECT($N338)), 0),
       MATCH(TRIM(J$2), TRIM(INDIRECT($O338)), 0))</f>
        <v>6</v>
      </c>
      <c r="K338" s="11" cm="1">
        <f t="array" aca="1" ref="K338" ca="1">INDEX(INDIRECT($M338),
       MATCH(TRIM($C338), TRIM(INDIRECT($N338)), 0),
       MATCH(TRIM(K$2), TRIM(INDIRECT($O338)), 0))</f>
        <v>4.7502824154256515</v>
      </c>
      <c r="L338" s="11" cm="1">
        <f t="array" aca="1" ref="L338" ca="1">INDEX(INDIRECT($M338),
       MATCH(TRIM($C338), TRIM(INDIRECT($N338)), 0),
       MATCH(TRIM(L$2), TRIM(INDIRECT($O338)), 0))</f>
        <v>169.44608341542565</v>
      </c>
      <c r="M338" s="5" t="str">
        <f t="shared" si="15"/>
        <v>'2020'!$N$3:$V$80</v>
      </c>
      <c r="N338" s="5" t="str">
        <f t="shared" si="16"/>
        <v>'2020'!$M$2:$M$80</v>
      </c>
      <c r="O338" s="5" t="str">
        <f t="shared" si="17"/>
        <v>'2020'!$N$2:$W$2</v>
      </c>
    </row>
    <row r="339" spans="1:15" x14ac:dyDescent="0.3">
      <c r="A339">
        <v>22</v>
      </c>
      <c r="B339" s="9">
        <v>2020</v>
      </c>
      <c r="C339" t="s">
        <v>21</v>
      </c>
      <c r="D339" s="11" cm="1">
        <f t="array" aca="1" ref="D339" ca="1">INDEX(INDIRECT($M339),
       MATCH(TRIM($C339), TRIM(INDIRECT($N339)), 0),
       MATCH(TRIM(D$2), TRIM(INDIRECT($O339)), 0))</f>
        <v>16</v>
      </c>
      <c r="E339" s="9" t="e" cm="1">
        <f t="array" aca="1" ref="E339" ca="1">INDEX(INDIRECT($M339),
       MATCH(TRIM($C339), TRIM(INDIRECT($N339)), 0),
       MATCH(TRIM(E$2), TRIM(INDIRECT($O339)), 0))</f>
        <v>#N/A</v>
      </c>
      <c r="F339" s="11" cm="1">
        <f t="array" aca="1" ref="F339" ca="1">INDEX(INDIRECT($M339),
       MATCH(TRIM($C339), TRIM(INDIRECT($N339)), 0),
       MATCH(TRIM(F$2), TRIM(INDIRECT($O339)), 0))</f>
        <v>465.98547200000002</v>
      </c>
      <c r="G339" s="11" cm="1">
        <f t="array" aca="1" ref="G339" ca="1">INDEX(INDIRECT($M339),
       MATCH(TRIM($C339), TRIM(INDIRECT($N339)), 0),
       MATCH(TRIM(G$2), TRIM(INDIRECT($O339)), 0))</f>
        <v>2</v>
      </c>
      <c r="H339" s="9" t="e" cm="1">
        <f t="array" aca="1" ref="H339" ca="1">INDEX(INDIRECT($M339),
       MATCH(TRIM($C339), TRIM(INDIRECT($N339)), 0),
       MATCH(TRIM(H$2), TRIM(INDIRECT($O339)), 0))</f>
        <v>#N/A</v>
      </c>
      <c r="I339" s="11" cm="1">
        <f t="array" aca="1" ref="I339" ca="1">INDEX(INDIRECT($M339),
       MATCH(TRIM($C339), TRIM(INDIRECT($N339)), 0),
       MATCH(TRIM(I$2), TRIM(INDIRECT($O339)), 0))</f>
        <v>14.88</v>
      </c>
      <c r="J339" s="9" cm="1">
        <f t="array" aca="1" ref="J339" ca="1">INDEX(INDIRECT($M339),
       MATCH(TRIM($C339), TRIM(INDIRECT($N339)), 0),
       MATCH(TRIM(J$2), TRIM(INDIRECT($O339)), 0))</f>
        <v>16</v>
      </c>
      <c r="K339" s="11" cm="1">
        <f t="array" aca="1" ref="K339" ca="1">INDEX(INDIRECT($M339),
       MATCH(TRIM($C339), TRIM(INDIRECT($N339)), 0),
       MATCH(TRIM(K$2), TRIM(INDIRECT($O339)), 0))</f>
        <v>24.793811429801156</v>
      </c>
      <c r="L339" s="11" cm="1">
        <f t="array" aca="1" ref="L339" ca="1">INDEX(INDIRECT($M339),
       MATCH(TRIM($C339), TRIM(INDIRECT($N339)), 0),
       MATCH(TRIM(L$2), TRIM(INDIRECT($O339)), 0))</f>
        <v>505.65928342980118</v>
      </c>
      <c r="M339" s="5" t="str">
        <f t="shared" si="15"/>
        <v>'2020'!$N$3:$V$80</v>
      </c>
      <c r="N339" s="5" t="str">
        <f t="shared" si="16"/>
        <v>'2020'!$M$2:$M$80</v>
      </c>
      <c r="O339" s="5" t="str">
        <f t="shared" si="17"/>
        <v>'2020'!$N$2:$W$2</v>
      </c>
    </row>
    <row r="340" spans="1:15" x14ac:dyDescent="0.3">
      <c r="A340">
        <v>23</v>
      </c>
      <c r="B340" s="9">
        <v>2020</v>
      </c>
      <c r="C340" t="s">
        <v>22</v>
      </c>
      <c r="D340" s="11" cm="1">
        <f t="array" aca="1" ref="D340" ca="1">INDEX(INDIRECT($M340),
       MATCH(TRIM($C340), TRIM(INDIRECT($N340)), 0),
       MATCH(TRIM(D$2), TRIM(INDIRECT($O340)), 0))</f>
        <v>1</v>
      </c>
      <c r="E340" s="9" t="e" cm="1">
        <f t="array" aca="1" ref="E340" ca="1">INDEX(INDIRECT($M340),
       MATCH(TRIM($C340), TRIM(INDIRECT($N340)), 0),
       MATCH(TRIM(E$2), TRIM(INDIRECT($O340)), 0))</f>
        <v>#N/A</v>
      </c>
      <c r="F340" s="11" cm="1">
        <f t="array" aca="1" ref="F340" ca="1">INDEX(INDIRECT($M340),
       MATCH(TRIM($C340), TRIM(INDIRECT($N340)), 0),
       MATCH(TRIM(F$2), TRIM(INDIRECT($O340)), 0))</f>
        <v>0.215</v>
      </c>
      <c r="G340" s="11" cm="1">
        <f t="array" aca="1" ref="G340" ca="1">INDEX(INDIRECT($M340),
       MATCH(TRIM($C340), TRIM(INDIRECT($N340)), 0),
       MATCH(TRIM(G$2), TRIM(INDIRECT($O340)), 0))</f>
        <v>0</v>
      </c>
      <c r="H340" s="9" t="e" cm="1">
        <f t="array" aca="1" ref="H340" ca="1">INDEX(INDIRECT($M340),
       MATCH(TRIM($C340), TRIM(INDIRECT($N340)), 0),
       MATCH(TRIM(H$2), TRIM(INDIRECT($O340)), 0))</f>
        <v>#N/A</v>
      </c>
      <c r="I340" s="11" cm="1">
        <f t="array" aca="1" ref="I340" ca="1">INDEX(INDIRECT($M340),
       MATCH(TRIM($C340), TRIM(INDIRECT($N340)), 0),
       MATCH(TRIM(I$2), TRIM(INDIRECT($O340)), 0))</f>
        <v>0</v>
      </c>
      <c r="J340" s="9" cm="1">
        <f t="array" aca="1" ref="J340" ca="1">INDEX(INDIRECT($M340),
       MATCH(TRIM($C340), TRIM(INDIRECT($N340)), 0),
       MATCH(TRIM(J$2), TRIM(INDIRECT($O340)), 0))</f>
        <v>3</v>
      </c>
      <c r="K340" s="11" cm="1">
        <f t="array" aca="1" ref="K340" ca="1">INDEX(INDIRECT($M340),
       MATCH(TRIM($C340), TRIM(INDIRECT($N340)), 0),
       MATCH(TRIM(K$2), TRIM(INDIRECT($O340)), 0))</f>
        <v>0.20280623224584671</v>
      </c>
      <c r="L340" s="11" cm="1">
        <f t="array" aca="1" ref="L340" ca="1">INDEX(INDIRECT($M340),
       MATCH(TRIM($C340), TRIM(INDIRECT($N340)), 0),
       MATCH(TRIM(L$2), TRIM(INDIRECT($O340)), 0))</f>
        <v>0.41780623224584668</v>
      </c>
      <c r="M340" s="5" t="str">
        <f t="shared" si="15"/>
        <v>'2020'!$N$3:$V$80</v>
      </c>
      <c r="N340" s="5" t="str">
        <f t="shared" si="16"/>
        <v>'2020'!$M$2:$M$80</v>
      </c>
      <c r="O340" s="5" t="str">
        <f t="shared" si="17"/>
        <v>'2020'!$N$2:$W$2</v>
      </c>
    </row>
    <row r="341" spans="1:15" x14ac:dyDescent="0.3">
      <c r="A341">
        <v>24</v>
      </c>
      <c r="B341" s="9">
        <v>2020</v>
      </c>
      <c r="C341" t="s">
        <v>23</v>
      </c>
      <c r="D341" s="11" cm="1">
        <f t="array" aca="1" ref="D341" ca="1">INDEX(INDIRECT($M341),
       MATCH(TRIM($C341), TRIM(INDIRECT($N341)), 0),
       MATCH(TRIM(D$2), TRIM(INDIRECT($O341)), 0))</f>
        <v>5</v>
      </c>
      <c r="E341" s="9" t="e" cm="1">
        <f t="array" aca="1" ref="E341" ca="1">INDEX(INDIRECT($M341),
       MATCH(TRIM($C341), TRIM(INDIRECT($N341)), 0),
       MATCH(TRIM(E$2), TRIM(INDIRECT($O341)), 0))</f>
        <v>#N/A</v>
      </c>
      <c r="F341" s="11" cm="1">
        <f t="array" aca="1" ref="F341" ca="1">INDEX(INDIRECT($M341),
       MATCH(TRIM($C341), TRIM(INDIRECT($N341)), 0),
       MATCH(TRIM(F$2), TRIM(INDIRECT($O341)), 0))</f>
        <v>30.255673999999999</v>
      </c>
      <c r="G341" s="11" cm="1">
        <f t="array" aca="1" ref="G341" ca="1">INDEX(INDIRECT($M341),
       MATCH(TRIM($C341), TRIM(INDIRECT($N341)), 0),
       MATCH(TRIM(G$2), TRIM(INDIRECT($O341)), 0))</f>
        <v>2</v>
      </c>
      <c r="H341" s="9" t="e" cm="1">
        <f t="array" aca="1" ref="H341" ca="1">INDEX(INDIRECT($M341),
       MATCH(TRIM($C341), TRIM(INDIRECT($N341)), 0),
       MATCH(TRIM(H$2), TRIM(INDIRECT($O341)), 0))</f>
        <v>#N/A</v>
      </c>
      <c r="I341" s="11" cm="1">
        <f t="array" aca="1" ref="I341" ca="1">INDEX(INDIRECT($M341),
       MATCH(TRIM($C341), TRIM(INDIRECT($N341)), 0),
       MATCH(TRIM(I$2), TRIM(INDIRECT($O341)), 0))</f>
        <v>13.446827000000001</v>
      </c>
      <c r="J341" s="9" cm="1">
        <f t="array" aca="1" ref="J341" ca="1">INDEX(INDIRECT($M341),
       MATCH(TRIM($C341), TRIM(INDIRECT($N341)), 0),
       MATCH(TRIM(J$2), TRIM(INDIRECT($O341)), 0))</f>
        <v>116</v>
      </c>
      <c r="K341" s="11" cm="1">
        <f t="array" aca="1" ref="K341" ca="1">INDEX(INDIRECT($M341),
       MATCH(TRIM($C341), TRIM(INDIRECT($N341)), 0),
       MATCH(TRIM(K$2), TRIM(INDIRECT($O341)), 0))</f>
        <v>32.863120722138248</v>
      </c>
      <c r="L341" s="11" cm="1">
        <f t="array" aca="1" ref="L341" ca="1">INDEX(INDIRECT($M341),
       MATCH(TRIM($C341), TRIM(INDIRECT($N341)), 0),
       MATCH(TRIM(L$2), TRIM(INDIRECT($O341)), 0))</f>
        <v>76.565621722138246</v>
      </c>
      <c r="M341" s="5" t="str">
        <f t="shared" si="15"/>
        <v>'2020'!$N$3:$V$80</v>
      </c>
      <c r="N341" s="5" t="str">
        <f t="shared" si="16"/>
        <v>'2020'!$M$2:$M$80</v>
      </c>
      <c r="O341" s="5" t="str">
        <f t="shared" si="17"/>
        <v>'2020'!$N$2:$W$2</v>
      </c>
    </row>
    <row r="342" spans="1:15" x14ac:dyDescent="0.3">
      <c r="A342">
        <v>25</v>
      </c>
      <c r="B342" s="9">
        <v>2020</v>
      </c>
      <c r="C342" t="s">
        <v>24</v>
      </c>
      <c r="D342" s="11" cm="1">
        <f t="array" aca="1" ref="D342" ca="1">INDEX(INDIRECT($M342),
       MATCH(TRIM($C342), TRIM(INDIRECT($N342)), 0),
       MATCH(TRIM(D$2), TRIM(INDIRECT($O342)), 0))</f>
        <v>8</v>
      </c>
      <c r="E342" s="9" t="e" cm="1">
        <f t="array" aca="1" ref="E342" ca="1">INDEX(INDIRECT($M342),
       MATCH(TRIM($C342), TRIM(INDIRECT($N342)), 0),
       MATCH(TRIM(E$2), TRIM(INDIRECT($O342)), 0))</f>
        <v>#N/A</v>
      </c>
      <c r="F342" s="11" cm="1">
        <f t="array" aca="1" ref="F342" ca="1">INDEX(INDIRECT($M342),
       MATCH(TRIM($C342), TRIM(INDIRECT($N342)), 0),
       MATCH(TRIM(F$2), TRIM(INDIRECT($O342)), 0))</f>
        <v>34.102477999999998</v>
      </c>
      <c r="G342" s="11" cm="1">
        <f t="array" aca="1" ref="G342" ca="1">INDEX(INDIRECT($M342),
       MATCH(TRIM($C342), TRIM(INDIRECT($N342)), 0),
       MATCH(TRIM(G$2), TRIM(INDIRECT($O342)), 0))</f>
        <v>10</v>
      </c>
      <c r="H342" s="9" t="e" cm="1">
        <f t="array" aca="1" ref="H342" ca="1">INDEX(INDIRECT($M342),
       MATCH(TRIM($C342), TRIM(INDIRECT($N342)), 0),
       MATCH(TRIM(H$2), TRIM(INDIRECT($O342)), 0))</f>
        <v>#N/A</v>
      </c>
      <c r="I342" s="11" cm="1">
        <f t="array" aca="1" ref="I342" ca="1">INDEX(INDIRECT($M342),
       MATCH(TRIM($C342), TRIM(INDIRECT($N342)), 0),
       MATCH(TRIM(I$2), TRIM(INDIRECT($O342)), 0))</f>
        <v>-97.555726000000007</v>
      </c>
      <c r="J342" s="9" cm="1">
        <f t="array" aca="1" ref="J342" ca="1">INDEX(INDIRECT($M342),
       MATCH(TRIM($C342), TRIM(INDIRECT($N342)), 0),
       MATCH(TRIM(J$2), TRIM(INDIRECT($O342)), 0))</f>
        <v>15</v>
      </c>
      <c r="K342" s="11" cm="1">
        <f t="array" aca="1" ref="K342" ca="1">INDEX(INDIRECT($M342),
       MATCH(TRIM($C342), TRIM(INDIRECT($N342)), 0),
       MATCH(TRIM(K$2), TRIM(INDIRECT($O342)), 0))</f>
        <v>27.355556615305158</v>
      </c>
      <c r="L342" s="11" cm="1">
        <f t="array" aca="1" ref="L342" ca="1">INDEX(INDIRECT($M342),
       MATCH(TRIM($C342), TRIM(INDIRECT($N342)), 0),
       MATCH(TRIM(L$2), TRIM(INDIRECT($O342)), 0))</f>
        <v>-36.097691384694855</v>
      </c>
      <c r="M342" s="5" t="str">
        <f t="shared" si="15"/>
        <v>'2020'!$N$3:$V$80</v>
      </c>
      <c r="N342" s="5" t="str">
        <f t="shared" si="16"/>
        <v>'2020'!$M$2:$M$80</v>
      </c>
      <c r="O342" s="5" t="str">
        <f t="shared" si="17"/>
        <v>'2020'!$N$2:$W$2</v>
      </c>
    </row>
    <row r="343" spans="1:15" x14ac:dyDescent="0.3">
      <c r="A343">
        <v>26</v>
      </c>
      <c r="B343" s="9">
        <v>2020</v>
      </c>
      <c r="C343" t="s">
        <v>25</v>
      </c>
      <c r="D343" s="11" cm="1">
        <f t="array" aca="1" ref="D343" ca="1">INDEX(INDIRECT($M343),
       MATCH(TRIM($C343), TRIM(INDIRECT($N343)), 0),
       MATCH(TRIM(D$2), TRIM(INDIRECT($O343)), 0))</f>
        <v>6</v>
      </c>
      <c r="E343" s="9" t="e" cm="1">
        <f t="array" aca="1" ref="E343" ca="1">INDEX(INDIRECT($M343),
       MATCH(TRIM($C343), TRIM(INDIRECT($N343)), 0),
       MATCH(TRIM(E$2), TRIM(INDIRECT($O343)), 0))</f>
        <v>#N/A</v>
      </c>
      <c r="F343" s="11" cm="1">
        <f t="array" aca="1" ref="F343" ca="1">INDEX(INDIRECT($M343),
       MATCH(TRIM($C343), TRIM(INDIRECT($N343)), 0),
       MATCH(TRIM(F$2), TRIM(INDIRECT($O343)), 0))</f>
        <v>77.767493999999999</v>
      </c>
      <c r="G343" s="11" cm="1">
        <f t="array" aca="1" ref="G343" ca="1">INDEX(INDIRECT($M343),
       MATCH(TRIM($C343), TRIM(INDIRECT($N343)), 0),
       MATCH(TRIM(G$2), TRIM(INDIRECT($O343)), 0))</f>
        <v>3</v>
      </c>
      <c r="H343" s="9" t="e" cm="1">
        <f t="array" aca="1" ref="H343" ca="1">INDEX(INDIRECT($M343),
       MATCH(TRIM($C343), TRIM(INDIRECT($N343)), 0),
       MATCH(TRIM(H$2), TRIM(INDIRECT($O343)), 0))</f>
        <v>#N/A</v>
      </c>
      <c r="I343" s="11" cm="1">
        <f t="array" aca="1" ref="I343" ca="1">INDEX(INDIRECT($M343),
       MATCH(TRIM($C343), TRIM(INDIRECT($N343)), 0),
       MATCH(TRIM(I$2), TRIM(INDIRECT($O343)), 0))</f>
        <v>1.1872149999999999</v>
      </c>
      <c r="J343" s="9" cm="1">
        <f t="array" aca="1" ref="J343" ca="1">INDEX(INDIRECT($M343),
       MATCH(TRIM($C343), TRIM(INDIRECT($N343)), 0),
       MATCH(TRIM(J$2), TRIM(INDIRECT($O343)), 0))</f>
        <v>27</v>
      </c>
      <c r="K343" s="11" cm="1">
        <f t="array" aca="1" ref="K343" ca="1">INDEX(INDIRECT($M343),
       MATCH(TRIM($C343), TRIM(INDIRECT($N343)), 0),
       MATCH(TRIM(K$2), TRIM(INDIRECT($O343)), 0))</f>
        <v>21.493678009041403</v>
      </c>
      <c r="L343" s="11" cm="1">
        <f t="array" aca="1" ref="L343" ca="1">INDEX(INDIRECT($M343),
       MATCH(TRIM($C343), TRIM(INDIRECT($N343)), 0),
       MATCH(TRIM(L$2), TRIM(INDIRECT($O343)), 0))</f>
        <v>100.4483870090414</v>
      </c>
      <c r="M343" s="5" t="str">
        <f t="shared" si="15"/>
        <v>'2020'!$N$3:$V$80</v>
      </c>
      <c r="N343" s="5" t="str">
        <f t="shared" si="16"/>
        <v>'2020'!$M$2:$M$80</v>
      </c>
      <c r="O343" s="5" t="str">
        <f t="shared" si="17"/>
        <v>'2020'!$N$2:$W$2</v>
      </c>
    </row>
    <row r="344" spans="1:15" x14ac:dyDescent="0.3">
      <c r="A344">
        <v>27</v>
      </c>
      <c r="B344" s="9">
        <v>2020</v>
      </c>
      <c r="C344" t="s">
        <v>26</v>
      </c>
      <c r="D344" s="11" cm="1">
        <f t="array" aca="1" ref="D344" ca="1">INDEX(INDIRECT($M344),
       MATCH(TRIM($C344), TRIM(INDIRECT($N344)), 0),
       MATCH(TRIM(D$2), TRIM(INDIRECT($O344)), 0))</f>
        <v>6</v>
      </c>
      <c r="E344" s="9" t="e" cm="1">
        <f t="array" aca="1" ref="E344" ca="1">INDEX(INDIRECT($M344),
       MATCH(TRIM($C344), TRIM(INDIRECT($N344)), 0),
       MATCH(TRIM(E$2), TRIM(INDIRECT($O344)), 0))</f>
        <v>#N/A</v>
      </c>
      <c r="F344" s="11" cm="1">
        <f t="array" aca="1" ref="F344" ca="1">INDEX(INDIRECT($M344),
       MATCH(TRIM($C344), TRIM(INDIRECT($N344)), 0),
       MATCH(TRIM(F$2), TRIM(INDIRECT($O344)), 0))</f>
        <v>104.42</v>
      </c>
      <c r="G344" s="11" cm="1">
        <f t="array" aca="1" ref="G344" ca="1">INDEX(INDIRECT($M344),
       MATCH(TRIM($C344), TRIM(INDIRECT($N344)), 0),
       MATCH(TRIM(G$2), TRIM(INDIRECT($O344)), 0))</f>
        <v>9</v>
      </c>
      <c r="H344" s="9" t="e" cm="1">
        <f t="array" aca="1" ref="H344" ca="1">INDEX(INDIRECT($M344),
       MATCH(TRIM($C344), TRIM(INDIRECT($N344)), 0),
       MATCH(TRIM(H$2), TRIM(INDIRECT($O344)), 0))</f>
        <v>#N/A</v>
      </c>
      <c r="I344" s="11" cm="1">
        <f t="array" aca="1" ref="I344" ca="1">INDEX(INDIRECT($M344),
       MATCH(TRIM($C344), TRIM(INDIRECT($N344)), 0),
       MATCH(TRIM(I$2), TRIM(INDIRECT($O344)), 0))</f>
        <v>52.521399000000002</v>
      </c>
      <c r="J344" s="9" cm="1">
        <f t="array" aca="1" ref="J344" ca="1">INDEX(INDIRECT($M344),
       MATCH(TRIM($C344), TRIM(INDIRECT($N344)), 0),
       MATCH(TRIM(J$2), TRIM(INDIRECT($O344)), 0))</f>
        <v>1</v>
      </c>
      <c r="K344" s="11" cm="1">
        <f t="array" aca="1" ref="K344" ca="1">INDEX(INDIRECT($M344),
       MATCH(TRIM($C344), TRIM(INDIRECT($N344)), 0),
       MATCH(TRIM(K$2), TRIM(INDIRECT($O344)), 0))</f>
        <v>82.835341</v>
      </c>
      <c r="L344" s="11" cm="1">
        <f t="array" aca="1" ref="L344" ca="1">INDEX(INDIRECT($M344),
       MATCH(TRIM($C344), TRIM(INDIRECT($N344)), 0),
       MATCH(TRIM(L$2), TRIM(INDIRECT($O344)), 0))</f>
        <v>239.77673999999999</v>
      </c>
      <c r="M344" s="5" t="str">
        <f t="shared" si="15"/>
        <v>'2020'!$N$3:$V$80</v>
      </c>
      <c r="N344" s="5" t="str">
        <f t="shared" si="16"/>
        <v>'2020'!$M$2:$M$80</v>
      </c>
      <c r="O344" s="5" t="str">
        <f t="shared" si="17"/>
        <v>'2020'!$N$2:$W$2</v>
      </c>
    </row>
    <row r="345" spans="1:15" x14ac:dyDescent="0.3">
      <c r="A345">
        <v>28</v>
      </c>
      <c r="B345" s="9">
        <v>2020</v>
      </c>
      <c r="C345" t="s">
        <v>27</v>
      </c>
      <c r="D345" s="11" cm="1">
        <f t="array" aca="1" ref="D345" ca="1">INDEX(INDIRECT($M345),
       MATCH(TRIM($C345), TRIM(INDIRECT($N345)), 0),
       MATCH(TRIM(D$2), TRIM(INDIRECT($O345)), 0))</f>
        <v>7</v>
      </c>
      <c r="E345" s="9" t="e" cm="1">
        <f t="array" aca="1" ref="E345" ca="1">INDEX(INDIRECT($M345),
       MATCH(TRIM($C345), TRIM(INDIRECT($N345)), 0),
       MATCH(TRIM(E$2), TRIM(INDIRECT($O345)), 0))</f>
        <v>#N/A</v>
      </c>
      <c r="F345" s="11" cm="1">
        <f t="array" aca="1" ref="F345" ca="1">INDEX(INDIRECT($M345),
       MATCH(TRIM($C345), TRIM(INDIRECT($N345)), 0),
       MATCH(TRIM(F$2), TRIM(INDIRECT($O345)), 0))</f>
        <v>29.605566</v>
      </c>
      <c r="G345" s="11" cm="1">
        <f t="array" aca="1" ref="G345" ca="1">INDEX(INDIRECT($M345),
       MATCH(TRIM($C345), TRIM(INDIRECT($N345)), 0),
       MATCH(TRIM(G$2), TRIM(INDIRECT($O345)), 0))</f>
        <v>2</v>
      </c>
      <c r="H345" s="9" t="e" cm="1">
        <f t="array" aca="1" ref="H345" ca="1">INDEX(INDIRECT($M345),
       MATCH(TRIM($C345), TRIM(INDIRECT($N345)), 0),
       MATCH(TRIM(H$2), TRIM(INDIRECT($O345)), 0))</f>
        <v>#N/A</v>
      </c>
      <c r="I345" s="11" cm="1">
        <f t="array" aca="1" ref="I345" ca="1">INDEX(INDIRECT($M345),
       MATCH(TRIM($C345), TRIM(INDIRECT($N345)), 0),
       MATCH(TRIM(I$2), TRIM(INDIRECT($O345)), 0))</f>
        <v>42</v>
      </c>
      <c r="J345" s="9" cm="1">
        <f t="array" aca="1" ref="J345" ca="1">INDEX(INDIRECT($M345),
       MATCH(TRIM($C345), TRIM(INDIRECT($N345)), 0),
       MATCH(TRIM(J$2), TRIM(INDIRECT($O345)), 0))</f>
        <v>5</v>
      </c>
      <c r="K345" s="11" cm="1">
        <f t="array" aca="1" ref="K345" ca="1">INDEX(INDIRECT($M345),
       MATCH(TRIM($C345), TRIM(INDIRECT($N345)), 0),
       MATCH(TRIM(K$2), TRIM(INDIRECT($O345)), 0))</f>
        <v>44.126392938021866</v>
      </c>
      <c r="L345" s="11" cm="1">
        <f t="array" aca="1" ref="L345" ca="1">INDEX(INDIRECT($M345),
       MATCH(TRIM($C345), TRIM(INDIRECT($N345)), 0),
       MATCH(TRIM(L$2), TRIM(INDIRECT($O345)), 0))</f>
        <v>115.73195893802186</v>
      </c>
      <c r="M345" s="5" t="str">
        <f t="shared" si="15"/>
        <v>'2020'!$N$3:$V$80</v>
      </c>
      <c r="N345" s="5" t="str">
        <f t="shared" si="16"/>
        <v>'2020'!$M$2:$M$80</v>
      </c>
      <c r="O345" s="5" t="str">
        <f t="shared" si="17"/>
        <v>'2020'!$N$2:$W$2</v>
      </c>
    </row>
    <row r="346" spans="1:15" x14ac:dyDescent="0.3">
      <c r="A346">
        <v>29</v>
      </c>
      <c r="B346" s="9">
        <v>2020</v>
      </c>
      <c r="C346" t="s">
        <v>28</v>
      </c>
      <c r="D346" s="11" cm="1">
        <f t="array" aca="1" ref="D346" ca="1">INDEX(INDIRECT($M346),
       MATCH(TRIM($C346), TRIM(INDIRECT($N346)), 0),
       MATCH(TRIM(D$2), TRIM(INDIRECT($O346)), 0))</f>
        <v>3</v>
      </c>
      <c r="E346" s="9" t="e" cm="1">
        <f t="array" aca="1" ref="E346" ca="1">INDEX(INDIRECT($M346),
       MATCH(TRIM($C346), TRIM(INDIRECT($N346)), 0),
       MATCH(TRIM(E$2), TRIM(INDIRECT($O346)), 0))</f>
        <v>#N/A</v>
      </c>
      <c r="F346" s="11" cm="1">
        <f t="array" aca="1" ref="F346" ca="1">INDEX(INDIRECT($M346),
       MATCH(TRIM($C346), TRIM(INDIRECT($N346)), 0),
       MATCH(TRIM(F$2), TRIM(INDIRECT($O346)), 0))</f>
        <v>64.025000000000006</v>
      </c>
      <c r="G346" s="11" cm="1">
        <f t="array" aca="1" ref="G346" ca="1">INDEX(INDIRECT($M346),
       MATCH(TRIM($C346), TRIM(INDIRECT($N346)), 0),
       MATCH(TRIM(G$2), TRIM(INDIRECT($O346)), 0))</f>
        <v>7</v>
      </c>
      <c r="H346" s="9" t="e" cm="1">
        <f t="array" aca="1" ref="H346" ca="1">INDEX(INDIRECT($M346),
       MATCH(TRIM($C346), TRIM(INDIRECT($N346)), 0),
       MATCH(TRIM(H$2), TRIM(INDIRECT($O346)), 0))</f>
        <v>#N/A</v>
      </c>
      <c r="I346" s="11" cm="1">
        <f t="array" aca="1" ref="I346" ca="1">INDEX(INDIRECT($M346),
       MATCH(TRIM($C346), TRIM(INDIRECT($N346)), 0),
       MATCH(TRIM(I$2), TRIM(INDIRECT($O346)), 0))</f>
        <v>63.3</v>
      </c>
      <c r="J346" s="9" cm="1">
        <f t="array" aca="1" ref="J346" ca="1">INDEX(INDIRECT($M346),
       MATCH(TRIM($C346), TRIM(INDIRECT($N346)), 0),
       MATCH(TRIM(J$2), TRIM(INDIRECT($O346)), 0))</f>
        <v>3</v>
      </c>
      <c r="K346" s="11" cm="1">
        <f t="array" aca="1" ref="K346" ca="1">INDEX(INDIRECT($M346),
       MATCH(TRIM($C346), TRIM(INDIRECT($N346)), 0),
       MATCH(TRIM(K$2), TRIM(INDIRECT($O346)), 0))</f>
        <v>4.247556598089008</v>
      </c>
      <c r="L346" s="11" cm="1">
        <f t="array" aca="1" ref="L346" ca="1">INDEX(INDIRECT($M346),
       MATCH(TRIM($C346), TRIM(INDIRECT($N346)), 0),
       MATCH(TRIM(L$2), TRIM(INDIRECT($O346)), 0))</f>
        <v>131.57255659808902</v>
      </c>
      <c r="M346" s="5" t="str">
        <f t="shared" si="15"/>
        <v>'2020'!$N$3:$V$80</v>
      </c>
      <c r="N346" s="5" t="str">
        <f t="shared" si="16"/>
        <v>'2020'!$M$2:$M$80</v>
      </c>
      <c r="O346" s="5" t="str">
        <f t="shared" si="17"/>
        <v>'2020'!$N$2:$W$2</v>
      </c>
    </row>
    <row r="347" spans="1:15" x14ac:dyDescent="0.3">
      <c r="A347">
        <v>30</v>
      </c>
      <c r="B347" s="9">
        <v>2020</v>
      </c>
      <c r="C347" t="s">
        <v>29</v>
      </c>
      <c r="D347" s="11" cm="1">
        <f t="array" aca="1" ref="D347" ca="1">INDEX(INDIRECT($M347),
       MATCH(TRIM($C347), TRIM(INDIRECT($N347)), 0),
       MATCH(TRIM(D$2), TRIM(INDIRECT($O347)), 0))</f>
        <v>0</v>
      </c>
      <c r="E347" s="9" t="e" cm="1">
        <f t="array" aca="1" ref="E347" ca="1">INDEX(INDIRECT($M347),
       MATCH(TRIM($C347), TRIM(INDIRECT($N347)), 0),
       MATCH(TRIM(E$2), TRIM(INDIRECT($O347)), 0))</f>
        <v>#N/A</v>
      </c>
      <c r="F347" s="11" cm="1">
        <f t="array" aca="1" ref="F347" ca="1">INDEX(INDIRECT($M347),
       MATCH(TRIM($C347), TRIM(INDIRECT($N347)), 0),
       MATCH(TRIM(F$2), TRIM(INDIRECT($O347)), 0))</f>
        <v>0</v>
      </c>
      <c r="G347" s="11" cm="1">
        <f t="array" aca="1" ref="G347" ca="1">INDEX(INDIRECT($M347),
       MATCH(TRIM($C347), TRIM(INDIRECT($N347)), 0),
       MATCH(TRIM(G$2), TRIM(INDIRECT($O347)), 0))</f>
        <v>2</v>
      </c>
      <c r="H347" s="9" t="e" cm="1">
        <f t="array" aca="1" ref="H347" ca="1">INDEX(INDIRECT($M347),
       MATCH(TRIM($C347), TRIM(INDIRECT($N347)), 0),
       MATCH(TRIM(H$2), TRIM(INDIRECT($O347)), 0))</f>
        <v>#N/A</v>
      </c>
      <c r="I347" s="11" cm="1">
        <f t="array" aca="1" ref="I347" ca="1">INDEX(INDIRECT($M347),
       MATCH(TRIM($C347), TRIM(INDIRECT($N347)), 0),
       MATCH(TRIM(I$2), TRIM(INDIRECT($O347)), 0))</f>
        <v>-158.50708299999999</v>
      </c>
      <c r="J347" s="9" cm="1">
        <f t="array" aca="1" ref="J347" ca="1">INDEX(INDIRECT($M347),
       MATCH(TRIM($C347), TRIM(INDIRECT($N347)), 0),
       MATCH(TRIM(J$2), TRIM(INDIRECT($O347)), 0))</f>
        <v>9</v>
      </c>
      <c r="K347" s="11" cm="1">
        <f t="array" aca="1" ref="K347" ca="1">INDEX(INDIRECT($M347),
       MATCH(TRIM($C347), TRIM(INDIRECT($N347)), 0),
       MATCH(TRIM(K$2), TRIM(INDIRECT($O347)), 0))</f>
        <v>23.220940999980197</v>
      </c>
      <c r="L347" s="11" cm="1">
        <f t="array" aca="1" ref="L347" ca="1">INDEX(INDIRECT($M347),
       MATCH(TRIM($C347), TRIM(INDIRECT($N347)), 0),
       MATCH(TRIM(L$2), TRIM(INDIRECT($O347)), 0))</f>
        <v>-135.28614200001979</v>
      </c>
      <c r="M347" s="5" t="str">
        <f t="shared" si="15"/>
        <v>'2020'!$N$3:$V$80</v>
      </c>
      <c r="N347" s="5" t="str">
        <f t="shared" si="16"/>
        <v>'2020'!$M$2:$M$80</v>
      </c>
      <c r="O347" s="5" t="str">
        <f t="shared" si="17"/>
        <v>'2020'!$N$2:$W$2</v>
      </c>
    </row>
    <row r="348" spans="1:15" x14ac:dyDescent="0.3">
      <c r="A348">
        <v>31</v>
      </c>
      <c r="B348" s="9">
        <v>2020</v>
      </c>
      <c r="C348" t="s">
        <v>30</v>
      </c>
      <c r="D348" s="11" cm="1">
        <f t="array" aca="1" ref="D348" ca="1">INDEX(INDIRECT($M348),
       MATCH(TRIM($C348), TRIM(INDIRECT($N348)), 0),
       MATCH(TRIM(D$2), TRIM(INDIRECT($O348)), 0))</f>
        <v>1</v>
      </c>
      <c r="E348" s="9" t="e" cm="1">
        <f t="array" aca="1" ref="E348" ca="1">INDEX(INDIRECT($M348),
       MATCH(TRIM($C348), TRIM(INDIRECT($N348)), 0),
       MATCH(TRIM(E$2), TRIM(INDIRECT($O348)), 0))</f>
        <v>#N/A</v>
      </c>
      <c r="F348" s="11" cm="1">
        <f t="array" aca="1" ref="F348" ca="1">INDEX(INDIRECT($M348),
       MATCH(TRIM($C348), TRIM(INDIRECT($N348)), 0),
       MATCH(TRIM(F$2), TRIM(INDIRECT($O348)), 0))</f>
        <v>4000</v>
      </c>
      <c r="G348" s="11" cm="1">
        <f t="array" aca="1" ref="G348" ca="1">INDEX(INDIRECT($M348),
       MATCH(TRIM($C348), TRIM(INDIRECT($N348)), 0),
       MATCH(TRIM(G$2), TRIM(INDIRECT($O348)), 0))</f>
        <v>0</v>
      </c>
      <c r="H348" s="9" t="e" cm="1">
        <f t="array" aca="1" ref="H348" ca="1">INDEX(INDIRECT($M348),
       MATCH(TRIM($C348), TRIM(INDIRECT($N348)), 0),
       MATCH(TRIM(H$2), TRIM(INDIRECT($O348)), 0))</f>
        <v>#N/A</v>
      </c>
      <c r="I348" s="11" cm="1">
        <f t="array" aca="1" ref="I348" ca="1">INDEX(INDIRECT($M348),
       MATCH(TRIM($C348), TRIM(INDIRECT($N348)), 0),
       MATCH(TRIM(I$2), TRIM(INDIRECT($O348)), 0))</f>
        <v>0</v>
      </c>
      <c r="J348" s="9" cm="1">
        <f t="array" aca="1" ref="J348" ca="1">INDEX(INDIRECT($M348),
       MATCH(TRIM($C348), TRIM(INDIRECT($N348)), 0),
       MATCH(TRIM(J$2), TRIM(INDIRECT($O348)), 0))</f>
        <v>0</v>
      </c>
      <c r="K348" s="11" cm="1">
        <f t="array" aca="1" ref="K348" ca="1">INDEX(INDIRECT($M348),
       MATCH(TRIM($C348), TRIM(INDIRECT($N348)), 0),
       MATCH(TRIM(K$2), TRIM(INDIRECT($O348)), 0))</f>
        <v>0</v>
      </c>
      <c r="L348" s="11" cm="1">
        <f t="array" aca="1" ref="L348" ca="1">INDEX(INDIRECT($M348),
       MATCH(TRIM($C348), TRIM(INDIRECT($N348)), 0),
       MATCH(TRIM(L$2), TRIM(INDIRECT($O348)), 0))</f>
        <v>4000</v>
      </c>
      <c r="M348" s="5" t="str">
        <f t="shared" si="15"/>
        <v>'2020'!$N$3:$V$80</v>
      </c>
      <c r="N348" s="5" t="str">
        <f t="shared" si="16"/>
        <v>'2020'!$M$2:$M$80</v>
      </c>
      <c r="O348" s="5" t="str">
        <f t="shared" si="17"/>
        <v>'2020'!$N$2:$W$2</v>
      </c>
    </row>
    <row r="349" spans="1:15" x14ac:dyDescent="0.3">
      <c r="A349">
        <v>32</v>
      </c>
      <c r="B349" s="9">
        <v>2020</v>
      </c>
      <c r="C349" t="s">
        <v>31</v>
      </c>
      <c r="D349" s="11" cm="1">
        <f t="array" aca="1" ref="D349" ca="1">INDEX(INDIRECT($M349),
       MATCH(TRIM($C349), TRIM(INDIRECT($N349)), 0),
       MATCH(TRIM(D$2), TRIM(INDIRECT($O349)), 0))</f>
        <v>2</v>
      </c>
      <c r="E349" s="9" t="e" cm="1">
        <f t="array" aca="1" ref="E349" ca="1">INDEX(INDIRECT($M349),
       MATCH(TRIM($C349), TRIM(INDIRECT($N349)), 0),
       MATCH(TRIM(E$2), TRIM(INDIRECT($O349)), 0))</f>
        <v>#N/A</v>
      </c>
      <c r="F349" s="11" cm="1">
        <f t="array" aca="1" ref="F349" ca="1">INDEX(INDIRECT($M349),
       MATCH(TRIM($C349), TRIM(INDIRECT($N349)), 0),
       MATCH(TRIM(F$2), TRIM(INDIRECT($O349)), 0))</f>
        <v>70.387843000000004</v>
      </c>
      <c r="G349" s="11" cm="1">
        <f t="array" aca="1" ref="G349" ca="1">INDEX(INDIRECT($M349),
       MATCH(TRIM($C349), TRIM(INDIRECT($N349)), 0),
       MATCH(TRIM(G$2), TRIM(INDIRECT($O349)), 0))</f>
        <v>5</v>
      </c>
      <c r="H349" s="9" t="e" cm="1">
        <f t="array" aca="1" ref="H349" ca="1">INDEX(INDIRECT($M349),
       MATCH(TRIM($C349), TRIM(INDIRECT($N349)), 0),
       MATCH(TRIM(H$2), TRIM(INDIRECT($O349)), 0))</f>
        <v>#N/A</v>
      </c>
      <c r="I349" s="11" cm="1">
        <f t="array" aca="1" ref="I349" ca="1">INDEX(INDIRECT($M349),
       MATCH(TRIM($C349), TRIM(INDIRECT($N349)), 0),
       MATCH(TRIM(I$2), TRIM(INDIRECT($O349)), 0))</f>
        <v>-18.762944000000001</v>
      </c>
      <c r="J349" s="9" cm="1">
        <f t="array" aca="1" ref="J349" ca="1">INDEX(INDIRECT($M349),
       MATCH(TRIM($C349), TRIM(INDIRECT($N349)), 0),
       MATCH(TRIM(J$2), TRIM(INDIRECT($O349)), 0))</f>
        <v>1</v>
      </c>
      <c r="K349" s="11" cm="1">
        <f t="array" aca="1" ref="K349" ca="1">INDEX(INDIRECT($M349),
       MATCH(TRIM($C349), TRIM(INDIRECT($N349)), 0),
       MATCH(TRIM(K$2), TRIM(INDIRECT($O349)), 0))</f>
        <v>0.52485000000000004</v>
      </c>
      <c r="L349" s="11" cm="1">
        <f t="array" aca="1" ref="L349" ca="1">INDEX(INDIRECT($M349),
       MATCH(TRIM($C349), TRIM(INDIRECT($N349)), 0),
       MATCH(TRIM(L$2), TRIM(INDIRECT($O349)), 0))</f>
        <v>52.149749</v>
      </c>
      <c r="M349" s="5" t="str">
        <f t="shared" si="15"/>
        <v>'2020'!$N$3:$V$80</v>
      </c>
      <c r="N349" s="5" t="str">
        <f t="shared" si="16"/>
        <v>'2020'!$M$2:$M$80</v>
      </c>
      <c r="O349" s="5" t="str">
        <f t="shared" si="17"/>
        <v>'2020'!$N$2:$W$2</v>
      </c>
    </row>
    <row r="350" spans="1:15" x14ac:dyDescent="0.3">
      <c r="A350">
        <v>33</v>
      </c>
      <c r="B350" s="9">
        <v>2020</v>
      </c>
      <c r="C350" t="s">
        <v>32</v>
      </c>
      <c r="D350" s="11" cm="1">
        <f t="array" aca="1" ref="D350" ca="1">INDEX(INDIRECT($M350),
       MATCH(TRIM($C350), TRIM(INDIRECT($N350)), 0),
       MATCH(TRIM(D$2), TRIM(INDIRECT($O350)), 0))</f>
        <v>3</v>
      </c>
      <c r="E350" s="9" t="e" cm="1">
        <f t="array" aca="1" ref="E350" ca="1">INDEX(INDIRECT($M350),
       MATCH(TRIM($C350), TRIM(INDIRECT($N350)), 0),
       MATCH(TRIM(E$2), TRIM(INDIRECT($O350)), 0))</f>
        <v>#N/A</v>
      </c>
      <c r="F350" s="11" cm="1">
        <f t="array" aca="1" ref="F350" ca="1">INDEX(INDIRECT($M350),
       MATCH(TRIM($C350), TRIM(INDIRECT($N350)), 0),
       MATCH(TRIM(F$2), TRIM(INDIRECT($O350)), 0))</f>
        <v>2.78851</v>
      </c>
      <c r="G350" s="11" cm="1">
        <f t="array" aca="1" ref="G350" ca="1">INDEX(INDIRECT($M350),
       MATCH(TRIM($C350), TRIM(INDIRECT($N350)), 0),
       MATCH(TRIM(G$2), TRIM(INDIRECT($O350)), 0))</f>
        <v>4</v>
      </c>
      <c r="H350" s="9" t="e" cm="1">
        <f t="array" aca="1" ref="H350" ca="1">INDEX(INDIRECT($M350),
       MATCH(TRIM($C350), TRIM(INDIRECT($N350)), 0),
       MATCH(TRIM(H$2), TRIM(INDIRECT($O350)), 0))</f>
        <v>#N/A</v>
      </c>
      <c r="I350" s="11" cm="1">
        <f t="array" aca="1" ref="I350" ca="1">INDEX(INDIRECT($M350),
       MATCH(TRIM($C350), TRIM(INDIRECT($N350)), 0),
       MATCH(TRIM(I$2), TRIM(INDIRECT($O350)), 0))</f>
        <v>31.628034</v>
      </c>
      <c r="J350" s="9" cm="1">
        <f t="array" aca="1" ref="J350" ca="1">INDEX(INDIRECT($M350),
       MATCH(TRIM($C350), TRIM(INDIRECT($N350)), 0),
       MATCH(TRIM(J$2), TRIM(INDIRECT($O350)), 0))</f>
        <v>15</v>
      </c>
      <c r="K350" s="11" cm="1">
        <f t="array" aca="1" ref="K350" ca="1">INDEX(INDIRECT($M350),
       MATCH(TRIM($C350), TRIM(INDIRECT($N350)), 0),
       MATCH(TRIM(K$2), TRIM(INDIRECT($O350)), 0))</f>
        <v>83.074327346819331</v>
      </c>
      <c r="L350" s="11" cm="1">
        <f t="array" aca="1" ref="L350" ca="1">INDEX(INDIRECT($M350),
       MATCH(TRIM($C350), TRIM(INDIRECT($N350)), 0),
       MATCH(TRIM(L$2), TRIM(INDIRECT($O350)), 0))</f>
        <v>117.49087134681933</v>
      </c>
      <c r="M350" s="5" t="str">
        <f t="shared" si="15"/>
        <v>'2020'!$N$3:$V$80</v>
      </c>
      <c r="N350" s="5" t="str">
        <f t="shared" si="16"/>
        <v>'2020'!$M$2:$M$80</v>
      </c>
      <c r="O350" s="5" t="str">
        <f t="shared" si="17"/>
        <v>'2020'!$N$2:$W$2</v>
      </c>
    </row>
    <row r="351" spans="1:15" x14ac:dyDescent="0.3">
      <c r="A351">
        <v>34</v>
      </c>
      <c r="B351" s="9">
        <v>2020</v>
      </c>
      <c r="C351" t="s">
        <v>33</v>
      </c>
      <c r="D351" s="11" cm="1">
        <f t="array" aca="1" ref="D351" ca="1">INDEX(INDIRECT($M351),
       MATCH(TRIM($C351), TRIM(INDIRECT($N351)), 0),
       MATCH(TRIM(D$2), TRIM(INDIRECT($O351)), 0))</f>
        <v>4</v>
      </c>
      <c r="E351" s="9" t="e" cm="1">
        <f t="array" aca="1" ref="E351" ca="1">INDEX(INDIRECT($M351),
       MATCH(TRIM($C351), TRIM(INDIRECT($N351)), 0),
       MATCH(TRIM(E$2), TRIM(INDIRECT($O351)), 0))</f>
        <v>#N/A</v>
      </c>
      <c r="F351" s="11" cm="1">
        <f t="array" aca="1" ref="F351" ca="1">INDEX(INDIRECT($M351),
       MATCH(TRIM($C351), TRIM(INDIRECT($N351)), 0),
       MATCH(TRIM(F$2), TRIM(INDIRECT($O351)), 0))</f>
        <v>10.934782</v>
      </c>
      <c r="G351" s="11" cm="1">
        <f t="array" aca="1" ref="G351" ca="1">INDEX(INDIRECT($M351),
       MATCH(TRIM($C351), TRIM(INDIRECT($N351)), 0),
       MATCH(TRIM(G$2), TRIM(INDIRECT($O351)), 0))</f>
        <v>3</v>
      </c>
      <c r="H351" s="9" t="e" cm="1">
        <f t="array" aca="1" ref="H351" ca="1">INDEX(INDIRECT($M351),
       MATCH(TRIM($C351), TRIM(INDIRECT($N351)), 0),
       MATCH(TRIM(H$2), TRIM(INDIRECT($O351)), 0))</f>
        <v>#N/A</v>
      </c>
      <c r="I351" s="11" cm="1">
        <f t="array" aca="1" ref="I351" ca="1">INDEX(INDIRECT($M351),
       MATCH(TRIM($C351), TRIM(INDIRECT($N351)), 0),
       MATCH(TRIM(I$2), TRIM(INDIRECT($O351)), 0))</f>
        <v>4.8525840000000002</v>
      </c>
      <c r="J351" s="9" cm="1">
        <f t="array" aca="1" ref="J351" ca="1">INDEX(INDIRECT($M351),
       MATCH(TRIM($C351), TRIM(INDIRECT($N351)), 0),
       MATCH(TRIM(J$2), TRIM(INDIRECT($O351)), 0))</f>
        <v>15</v>
      </c>
      <c r="K351" s="11" cm="1">
        <f t="array" aca="1" ref="K351" ca="1">INDEX(INDIRECT($M351),
       MATCH(TRIM($C351), TRIM(INDIRECT($N351)), 0),
       MATCH(TRIM(K$2), TRIM(INDIRECT($O351)), 0))</f>
        <v>29.211515704772321</v>
      </c>
      <c r="L351" s="11" cm="1">
        <f t="array" aca="1" ref="L351" ca="1">INDEX(INDIRECT($M351),
       MATCH(TRIM($C351), TRIM(INDIRECT($N351)), 0),
       MATCH(TRIM(L$2), TRIM(INDIRECT($O351)), 0))</f>
        <v>44.998881704772323</v>
      </c>
      <c r="M351" s="5" t="str">
        <f t="shared" si="15"/>
        <v>'2020'!$N$3:$V$80</v>
      </c>
      <c r="N351" s="5" t="str">
        <f t="shared" si="16"/>
        <v>'2020'!$M$2:$M$80</v>
      </c>
      <c r="O351" s="5" t="str">
        <f t="shared" si="17"/>
        <v>'2020'!$N$2:$W$2</v>
      </c>
    </row>
    <row r="352" spans="1:15" x14ac:dyDescent="0.3">
      <c r="A352">
        <v>35</v>
      </c>
      <c r="B352" s="9">
        <v>2020</v>
      </c>
      <c r="C352" t="s">
        <v>34</v>
      </c>
      <c r="D352" s="11" cm="1">
        <f t="array" aca="1" ref="D352" ca="1">INDEX(INDIRECT($M352),
       MATCH(TRIM($C352), TRIM(INDIRECT($N352)), 0),
       MATCH(TRIM(D$2), TRIM(INDIRECT($O352)), 0))</f>
        <v>1</v>
      </c>
      <c r="E352" s="9" t="e" cm="1">
        <f t="array" aca="1" ref="E352" ca="1">INDEX(INDIRECT($M352),
       MATCH(TRIM($C352), TRIM(INDIRECT($N352)), 0),
       MATCH(TRIM(E$2), TRIM(INDIRECT($O352)), 0))</f>
        <v>#N/A</v>
      </c>
      <c r="F352" s="11" cm="1">
        <f t="array" aca="1" ref="F352" ca="1">INDEX(INDIRECT($M352),
       MATCH(TRIM($C352), TRIM(INDIRECT($N352)), 0),
       MATCH(TRIM(F$2), TRIM(INDIRECT($O352)), 0))</f>
        <v>40.772531999999998</v>
      </c>
      <c r="G352" s="11" cm="1">
        <f t="array" aca="1" ref="G352" ca="1">INDEX(INDIRECT($M352),
       MATCH(TRIM($C352), TRIM(INDIRECT($N352)), 0),
       MATCH(TRIM(G$2), TRIM(INDIRECT($O352)), 0))</f>
        <v>0</v>
      </c>
      <c r="H352" s="9" t="e" cm="1">
        <f t="array" aca="1" ref="H352" ca="1">INDEX(INDIRECT($M352),
       MATCH(TRIM($C352), TRIM(INDIRECT($N352)), 0),
       MATCH(TRIM(H$2), TRIM(INDIRECT($O352)), 0))</f>
        <v>#N/A</v>
      </c>
      <c r="I352" s="11" cm="1">
        <f t="array" aca="1" ref="I352" ca="1">INDEX(INDIRECT($M352),
       MATCH(TRIM($C352), TRIM(INDIRECT($N352)), 0),
       MATCH(TRIM(I$2), TRIM(INDIRECT($O352)), 0))</f>
        <v>0</v>
      </c>
      <c r="J352" s="9" cm="1">
        <f t="array" aca="1" ref="J352" ca="1">INDEX(INDIRECT($M352),
       MATCH(TRIM($C352), TRIM(INDIRECT($N352)), 0),
       MATCH(TRIM(J$2), TRIM(INDIRECT($O352)), 0))</f>
        <v>1</v>
      </c>
      <c r="K352" s="11" cm="1">
        <f t="array" aca="1" ref="K352" ca="1">INDEX(INDIRECT($M352),
       MATCH(TRIM($C352), TRIM(INDIRECT($N352)), 0),
       MATCH(TRIM(K$2), TRIM(INDIRECT($O352)), 0))</f>
        <v>4.3040371868812904E-2</v>
      </c>
      <c r="L352" s="11" cm="1">
        <f t="array" aca="1" ref="L352" ca="1">INDEX(INDIRECT($M352),
       MATCH(TRIM($C352), TRIM(INDIRECT($N352)), 0),
       MATCH(TRIM(L$2), TRIM(INDIRECT($O352)), 0))</f>
        <v>40.815572371868811</v>
      </c>
      <c r="M352" s="5" t="str">
        <f t="shared" si="15"/>
        <v>'2020'!$N$3:$V$80</v>
      </c>
      <c r="N352" s="5" t="str">
        <f t="shared" si="16"/>
        <v>'2020'!$M$2:$M$80</v>
      </c>
      <c r="O352" s="5" t="str">
        <f t="shared" si="17"/>
        <v>'2020'!$N$2:$W$2</v>
      </c>
    </row>
    <row r="353" spans="1:15" x14ac:dyDescent="0.3">
      <c r="A353">
        <v>36</v>
      </c>
      <c r="B353" s="9">
        <v>2020</v>
      </c>
      <c r="C353" t="s">
        <v>35</v>
      </c>
      <c r="D353" s="11" cm="1">
        <f t="array" aca="1" ref="D353" ca="1">INDEX(INDIRECT($M353),
       MATCH(TRIM($C353), TRIM(INDIRECT($N353)), 0),
       MATCH(TRIM(D$2), TRIM(INDIRECT($O353)), 0))</f>
        <v>1</v>
      </c>
      <c r="E353" s="9" t="e" cm="1">
        <f t="array" aca="1" ref="E353" ca="1">INDEX(INDIRECT($M353),
       MATCH(TRIM($C353), TRIM(INDIRECT($N353)), 0),
       MATCH(TRIM(E$2), TRIM(INDIRECT($O353)), 0))</f>
        <v>#N/A</v>
      </c>
      <c r="F353" s="11" cm="1">
        <f t="array" aca="1" ref="F353" ca="1">INDEX(INDIRECT($M353),
       MATCH(TRIM($C353), TRIM(INDIRECT($N353)), 0),
       MATCH(TRIM(F$2), TRIM(INDIRECT($O353)), 0))</f>
        <v>5</v>
      </c>
      <c r="G353" s="11" cm="1">
        <f t="array" aca="1" ref="G353" ca="1">INDEX(INDIRECT($M353),
       MATCH(TRIM($C353), TRIM(INDIRECT($N353)), 0),
       MATCH(TRIM(G$2), TRIM(INDIRECT($O353)), 0))</f>
        <v>0</v>
      </c>
      <c r="H353" s="9" t="e" cm="1">
        <f t="array" aca="1" ref="H353" ca="1">INDEX(INDIRECT($M353),
       MATCH(TRIM($C353), TRIM(INDIRECT($N353)), 0),
       MATCH(TRIM(H$2), TRIM(INDIRECT($O353)), 0))</f>
        <v>#N/A</v>
      </c>
      <c r="I353" s="11" cm="1">
        <f t="array" aca="1" ref="I353" ca="1">INDEX(INDIRECT($M353),
       MATCH(TRIM($C353), TRIM(INDIRECT($N353)), 0),
       MATCH(TRIM(I$2), TRIM(INDIRECT($O353)), 0))</f>
        <v>0</v>
      </c>
      <c r="J353" s="9" cm="1">
        <f t="array" aca="1" ref="J353" ca="1">INDEX(INDIRECT($M353),
       MATCH(TRIM($C353), TRIM(INDIRECT($N353)), 0),
       MATCH(TRIM(J$2), TRIM(INDIRECT($O353)), 0))</f>
        <v>1</v>
      </c>
      <c r="K353" s="11" cm="1">
        <f t="array" aca="1" ref="K353" ca="1">INDEX(INDIRECT($M353),
       MATCH(TRIM($C353), TRIM(INDIRECT($N353)), 0),
       MATCH(TRIM(K$2), TRIM(INDIRECT($O353)), 0))</f>
        <v>8.1776706550744593E-2</v>
      </c>
      <c r="L353" s="11" cm="1">
        <f t="array" aca="1" ref="L353" ca="1">INDEX(INDIRECT($M353),
       MATCH(TRIM($C353), TRIM(INDIRECT($N353)), 0),
       MATCH(TRIM(L$2), TRIM(INDIRECT($O353)), 0))</f>
        <v>5.0817767065507446</v>
      </c>
      <c r="M353" s="5" t="str">
        <f t="shared" si="15"/>
        <v>'2020'!$N$3:$V$80</v>
      </c>
      <c r="N353" s="5" t="str">
        <f t="shared" si="16"/>
        <v>'2020'!$M$2:$M$80</v>
      </c>
      <c r="O353" s="5" t="str">
        <f t="shared" si="17"/>
        <v>'2020'!$N$2:$W$2</v>
      </c>
    </row>
    <row r="354" spans="1:15" x14ac:dyDescent="0.3">
      <c r="A354">
        <v>37</v>
      </c>
      <c r="B354" s="9">
        <v>2020</v>
      </c>
      <c r="C354" t="s">
        <v>36</v>
      </c>
      <c r="D354" s="11" cm="1">
        <f t="array" aca="1" ref="D354" ca="1">INDEX(INDIRECT($M354),
       MATCH(TRIM($C354), TRIM(INDIRECT($N354)), 0),
       MATCH(TRIM(D$2), TRIM(INDIRECT($O354)), 0))</f>
        <v>5</v>
      </c>
      <c r="E354" s="9" t="e" cm="1">
        <f t="array" aca="1" ref="E354" ca="1">INDEX(INDIRECT($M354),
       MATCH(TRIM($C354), TRIM(INDIRECT($N354)), 0),
       MATCH(TRIM(E$2), TRIM(INDIRECT($O354)), 0))</f>
        <v>#N/A</v>
      </c>
      <c r="F354" s="11" cm="1">
        <f t="array" aca="1" ref="F354" ca="1">INDEX(INDIRECT($M354),
       MATCH(TRIM($C354), TRIM(INDIRECT($N354)), 0),
       MATCH(TRIM(F$2), TRIM(INDIRECT($O354)), 0))</f>
        <v>31.717624000000001</v>
      </c>
      <c r="G354" s="11" cm="1">
        <f t="array" aca="1" ref="G354" ca="1">INDEX(INDIRECT($M354),
       MATCH(TRIM($C354), TRIM(INDIRECT($N354)), 0),
       MATCH(TRIM(G$2), TRIM(INDIRECT($O354)), 0))</f>
        <v>1</v>
      </c>
      <c r="H354" s="9" t="e" cm="1">
        <f t="array" aca="1" ref="H354" ca="1">INDEX(INDIRECT($M354),
       MATCH(TRIM($C354), TRIM(INDIRECT($N354)), 0),
       MATCH(TRIM(H$2), TRIM(INDIRECT($O354)), 0))</f>
        <v>#N/A</v>
      </c>
      <c r="I354" s="11" cm="1">
        <f t="array" aca="1" ref="I354" ca="1">INDEX(INDIRECT($M354),
       MATCH(TRIM($C354), TRIM(INDIRECT($N354)), 0),
       MATCH(TRIM(I$2), TRIM(INDIRECT($O354)), 0))</f>
        <v>0.46842099999999998</v>
      </c>
      <c r="J354" s="9" cm="1">
        <f t="array" aca="1" ref="J354" ca="1">INDEX(INDIRECT($M354),
       MATCH(TRIM($C354), TRIM(INDIRECT($N354)), 0),
       MATCH(TRIM(J$2), TRIM(INDIRECT($O354)), 0))</f>
        <v>11</v>
      </c>
      <c r="K354" s="11" cm="1">
        <f t="array" aca="1" ref="K354" ca="1">INDEX(INDIRECT($M354),
       MATCH(TRIM($C354), TRIM(INDIRECT($N354)), 0),
       MATCH(TRIM(K$2), TRIM(INDIRECT($O354)), 0))</f>
        <v>11.43468552247224</v>
      </c>
      <c r="L354" s="11" cm="1">
        <f t="array" aca="1" ref="L354" ca="1">INDEX(INDIRECT($M354),
       MATCH(TRIM($C354), TRIM(INDIRECT($N354)), 0),
       MATCH(TRIM(L$2), TRIM(INDIRECT($O354)), 0))</f>
        <v>43.620730522472243</v>
      </c>
      <c r="M354" s="5" t="str">
        <f t="shared" si="15"/>
        <v>'2020'!$N$3:$V$80</v>
      </c>
      <c r="N354" s="5" t="str">
        <f t="shared" si="16"/>
        <v>'2020'!$M$2:$M$80</v>
      </c>
      <c r="O354" s="5" t="str">
        <f t="shared" si="17"/>
        <v>'2020'!$N$2:$W$2</v>
      </c>
    </row>
    <row r="355" spans="1:15" x14ac:dyDescent="0.3">
      <c r="A355">
        <v>38</v>
      </c>
      <c r="B355" s="9">
        <v>2020</v>
      </c>
      <c r="C355" t="s">
        <v>37</v>
      </c>
      <c r="D355" s="11" cm="1">
        <f t="array" aca="1" ref="D355" ca="1">INDEX(INDIRECT($M355),
       MATCH(TRIM($C355), TRIM(INDIRECT($N355)), 0),
       MATCH(TRIM(D$2), TRIM(INDIRECT($O355)), 0))</f>
        <v>11</v>
      </c>
      <c r="E355" s="9" t="e" cm="1">
        <f t="array" aca="1" ref="E355" ca="1">INDEX(INDIRECT($M355),
       MATCH(TRIM($C355), TRIM(INDIRECT($N355)), 0),
       MATCH(TRIM(E$2), TRIM(INDIRECT($O355)), 0))</f>
        <v>#N/A</v>
      </c>
      <c r="F355" s="11" cm="1">
        <f t="array" aca="1" ref="F355" ca="1">INDEX(INDIRECT($M355),
       MATCH(TRIM($C355), TRIM(INDIRECT($N355)), 0),
       MATCH(TRIM(F$2), TRIM(INDIRECT($O355)), 0))</f>
        <v>82.808165000000002</v>
      </c>
      <c r="G355" s="11" cm="1">
        <f t="array" aca="1" ref="G355" ca="1">INDEX(INDIRECT($M355),
       MATCH(TRIM($C355), TRIM(INDIRECT($N355)), 0),
       MATCH(TRIM(G$2), TRIM(INDIRECT($O355)), 0))</f>
        <v>1</v>
      </c>
      <c r="H355" s="9" t="e" cm="1">
        <f t="array" aca="1" ref="H355" ca="1">INDEX(INDIRECT($M355),
       MATCH(TRIM($C355), TRIM(INDIRECT($N355)), 0),
       MATCH(TRIM(H$2), TRIM(INDIRECT($O355)), 0))</f>
        <v>#N/A</v>
      </c>
      <c r="I355" s="11" cm="1">
        <f t="array" aca="1" ref="I355" ca="1">INDEX(INDIRECT($M355),
       MATCH(TRIM($C355), TRIM(INDIRECT($N355)), 0),
       MATCH(TRIM(I$2), TRIM(INDIRECT($O355)), 0))</f>
        <v>0.29589399999999999</v>
      </c>
      <c r="J355" s="9" cm="1">
        <f t="array" aca="1" ref="J355" ca="1">INDEX(INDIRECT($M355),
       MATCH(TRIM($C355), TRIM(INDIRECT($N355)), 0),
       MATCH(TRIM(J$2), TRIM(INDIRECT($O355)), 0))</f>
        <v>9</v>
      </c>
      <c r="K355" s="11" cm="1">
        <f t="array" aca="1" ref="K355" ca="1">INDEX(INDIRECT($M355),
       MATCH(TRIM($C355), TRIM(INDIRECT($N355)), 0),
       MATCH(TRIM(K$2), TRIM(INDIRECT($O355)), 0))</f>
        <v>7.7834002883704878</v>
      </c>
      <c r="L355" s="11" cm="1">
        <f t="array" aca="1" ref="L355" ca="1">INDEX(INDIRECT($M355),
       MATCH(TRIM($C355), TRIM(INDIRECT($N355)), 0),
       MATCH(TRIM(L$2), TRIM(INDIRECT($O355)), 0))</f>
        <v>90.887459288370493</v>
      </c>
      <c r="M355" s="5" t="str">
        <f t="shared" si="15"/>
        <v>'2020'!$N$3:$V$80</v>
      </c>
      <c r="N355" s="5" t="str">
        <f t="shared" si="16"/>
        <v>'2020'!$M$2:$M$80</v>
      </c>
      <c r="O355" s="5" t="str">
        <f t="shared" si="17"/>
        <v>'2020'!$N$2:$W$2</v>
      </c>
    </row>
    <row r="356" spans="1:15" x14ac:dyDescent="0.3">
      <c r="A356">
        <v>39</v>
      </c>
      <c r="B356" s="9">
        <v>2020</v>
      </c>
      <c r="C356" t="s">
        <v>38</v>
      </c>
      <c r="D356" s="11" cm="1">
        <f t="array" aca="1" ref="D356" ca="1">INDEX(INDIRECT($M356),
       MATCH(TRIM($C356), TRIM(INDIRECT($N356)), 0),
       MATCH(TRIM(D$2), TRIM(INDIRECT($O356)), 0))</f>
        <v>1</v>
      </c>
      <c r="E356" s="9" t="e" cm="1">
        <f t="array" aca="1" ref="E356" ca="1">INDEX(INDIRECT($M356),
       MATCH(TRIM($C356), TRIM(INDIRECT($N356)), 0),
       MATCH(TRIM(E$2), TRIM(INDIRECT($O356)), 0))</f>
        <v>#N/A</v>
      </c>
      <c r="F356" s="11" cm="1">
        <f t="array" aca="1" ref="F356" ca="1">INDEX(INDIRECT($M356),
       MATCH(TRIM($C356), TRIM(INDIRECT($N356)), 0),
       MATCH(TRIM(F$2), TRIM(INDIRECT($O356)), 0))</f>
        <v>1.833132</v>
      </c>
      <c r="G356" s="11" cm="1">
        <f t="array" aca="1" ref="G356" ca="1">INDEX(INDIRECT($M356),
       MATCH(TRIM($C356), TRIM(INDIRECT($N356)), 0),
       MATCH(TRIM(G$2), TRIM(INDIRECT($O356)), 0))</f>
        <v>1</v>
      </c>
      <c r="H356" s="9" t="e" cm="1">
        <f t="array" aca="1" ref="H356" ca="1">INDEX(INDIRECT($M356),
       MATCH(TRIM($C356), TRIM(INDIRECT($N356)), 0),
       MATCH(TRIM(H$2), TRIM(INDIRECT($O356)), 0))</f>
        <v>#N/A</v>
      </c>
      <c r="I356" s="11" cm="1">
        <f t="array" aca="1" ref="I356" ca="1">INDEX(INDIRECT($M356),
       MATCH(TRIM($C356), TRIM(INDIRECT($N356)), 0),
       MATCH(TRIM(I$2), TRIM(INDIRECT($O356)), 0))</f>
        <v>1.5</v>
      </c>
      <c r="J356" s="9" cm="1">
        <f t="array" aca="1" ref="J356" ca="1">INDEX(INDIRECT($M356),
       MATCH(TRIM($C356), TRIM(INDIRECT($N356)), 0),
       MATCH(TRIM(J$2), TRIM(INDIRECT($O356)), 0))</f>
        <v>1</v>
      </c>
      <c r="K356" s="11" cm="1">
        <f t="array" aca="1" ref="K356" ca="1">INDEX(INDIRECT($M356),
       MATCH(TRIM($C356), TRIM(INDIRECT($N356)), 0),
       MATCH(TRIM(K$2), TRIM(INDIRECT($O356)), 0))</f>
        <v>2.3645967117155902</v>
      </c>
      <c r="L356" s="11" cm="1">
        <f t="array" aca="1" ref="L356" ca="1">INDEX(INDIRECT($M356),
       MATCH(TRIM($C356), TRIM(INDIRECT($N356)), 0),
       MATCH(TRIM(L$2), TRIM(INDIRECT($O356)), 0))</f>
        <v>5.6977287117155901</v>
      </c>
      <c r="M356" s="5" t="str">
        <f t="shared" si="15"/>
        <v>'2020'!$N$3:$V$80</v>
      </c>
      <c r="N356" s="5" t="str">
        <f t="shared" si="16"/>
        <v>'2020'!$M$2:$M$80</v>
      </c>
      <c r="O356" s="5" t="str">
        <f t="shared" si="17"/>
        <v>'2020'!$N$2:$W$2</v>
      </c>
    </row>
    <row r="357" spans="1:15" x14ac:dyDescent="0.3">
      <c r="A357">
        <v>40</v>
      </c>
      <c r="B357" s="9">
        <v>2020</v>
      </c>
      <c r="C357" t="s">
        <v>39</v>
      </c>
      <c r="D357" s="11" cm="1">
        <f t="array" aca="1" ref="D357" ca="1">INDEX(INDIRECT($M357),
       MATCH(TRIM($C357), TRIM(INDIRECT($N357)), 0),
       MATCH(TRIM(D$2), TRIM(INDIRECT($O357)), 0))</f>
        <v>16</v>
      </c>
      <c r="E357" s="9" t="e" cm="1">
        <f t="array" aca="1" ref="E357" ca="1">INDEX(INDIRECT($M357),
       MATCH(TRIM($C357), TRIM(INDIRECT($N357)), 0),
       MATCH(TRIM(E$2), TRIM(INDIRECT($O357)), 0))</f>
        <v>#N/A</v>
      </c>
      <c r="F357" s="11" cm="1">
        <f t="array" aca="1" ref="F357" ca="1">INDEX(INDIRECT($M357),
       MATCH(TRIM($C357), TRIM(INDIRECT($N357)), 0),
       MATCH(TRIM(F$2), TRIM(INDIRECT($O357)), 0))</f>
        <v>50.940392000000003</v>
      </c>
      <c r="G357" s="11" cm="1">
        <f t="array" aca="1" ref="G357" ca="1">INDEX(INDIRECT($M357),
       MATCH(TRIM($C357), TRIM(INDIRECT($N357)), 0),
       MATCH(TRIM(G$2), TRIM(INDIRECT($O357)), 0))</f>
        <v>8</v>
      </c>
      <c r="H357" s="9" t="e" cm="1">
        <f t="array" aca="1" ref="H357" ca="1">INDEX(INDIRECT($M357),
       MATCH(TRIM($C357), TRIM(INDIRECT($N357)), 0),
       MATCH(TRIM(H$2), TRIM(INDIRECT($O357)), 0))</f>
        <v>#N/A</v>
      </c>
      <c r="I357" s="11" cm="1">
        <f t="array" aca="1" ref="I357" ca="1">INDEX(INDIRECT($M357),
       MATCH(TRIM($C357), TRIM(INDIRECT($N357)), 0),
       MATCH(TRIM(I$2), TRIM(INDIRECT($O357)), 0))</f>
        <v>20.21715</v>
      </c>
      <c r="J357" s="9" cm="1">
        <f t="array" aca="1" ref="J357" ca="1">INDEX(INDIRECT($M357),
       MATCH(TRIM($C357), TRIM(INDIRECT($N357)), 0),
       MATCH(TRIM(J$2), TRIM(INDIRECT($O357)), 0))</f>
        <v>19</v>
      </c>
      <c r="K357" s="11" cm="1">
        <f t="array" aca="1" ref="K357" ca="1">INDEX(INDIRECT($M357),
       MATCH(TRIM($C357), TRIM(INDIRECT($N357)), 0),
       MATCH(TRIM(K$2), TRIM(INDIRECT($O357)), 0))</f>
        <v>26.750800956658111</v>
      </c>
      <c r="L357" s="11" cm="1">
        <f t="array" aca="1" ref="L357" ca="1">INDEX(INDIRECT($M357),
       MATCH(TRIM($C357), TRIM(INDIRECT($N357)), 0),
       MATCH(TRIM(L$2), TRIM(INDIRECT($O357)), 0))</f>
        <v>97.908342956658117</v>
      </c>
      <c r="M357" s="5" t="str">
        <f t="shared" si="15"/>
        <v>'2020'!$N$3:$V$80</v>
      </c>
      <c r="N357" s="5" t="str">
        <f t="shared" si="16"/>
        <v>'2020'!$M$2:$M$80</v>
      </c>
      <c r="O357" s="5" t="str">
        <f t="shared" si="17"/>
        <v>'2020'!$N$2:$W$2</v>
      </c>
    </row>
    <row r="358" spans="1:15" x14ac:dyDescent="0.3">
      <c r="A358">
        <v>41</v>
      </c>
      <c r="B358" s="9">
        <v>2020</v>
      </c>
      <c r="C358" t="s">
        <v>40</v>
      </c>
      <c r="D358" s="11" cm="1">
        <f t="array" aca="1" ref="D358" ca="1">INDEX(INDIRECT($M358),
       MATCH(TRIM($C358), TRIM(INDIRECT($N358)), 0),
       MATCH(TRIM(D$2), TRIM(INDIRECT($O358)), 0))</f>
        <v>8</v>
      </c>
      <c r="E358" s="9" t="e" cm="1">
        <f t="array" aca="1" ref="E358" ca="1">INDEX(INDIRECT($M358),
       MATCH(TRIM($C358), TRIM(INDIRECT($N358)), 0),
       MATCH(TRIM(E$2), TRIM(INDIRECT($O358)), 0))</f>
        <v>#N/A</v>
      </c>
      <c r="F358" s="11" cm="1">
        <f t="array" aca="1" ref="F358" ca="1">INDEX(INDIRECT($M358),
       MATCH(TRIM($C358), TRIM(INDIRECT($N358)), 0),
       MATCH(TRIM(F$2), TRIM(INDIRECT($O358)), 0))</f>
        <v>541.12480800000003</v>
      </c>
      <c r="G358" s="11" cm="1">
        <f t="array" aca="1" ref="G358" ca="1">INDEX(INDIRECT($M358),
       MATCH(TRIM($C358), TRIM(INDIRECT($N358)), 0),
       MATCH(TRIM(G$2), TRIM(INDIRECT($O358)), 0))</f>
        <v>2</v>
      </c>
      <c r="H358" s="9" t="e" cm="1">
        <f t="array" aca="1" ref="H358" ca="1">INDEX(INDIRECT($M358),
       MATCH(TRIM($C358), TRIM(INDIRECT($N358)), 0),
       MATCH(TRIM(H$2), TRIM(INDIRECT($O358)), 0))</f>
        <v>#N/A</v>
      </c>
      <c r="I358" s="11" cm="1">
        <f t="array" aca="1" ref="I358" ca="1">INDEX(INDIRECT($M358),
       MATCH(TRIM($C358), TRIM(INDIRECT($N358)), 0),
       MATCH(TRIM(I$2), TRIM(INDIRECT($O358)), 0))</f>
        <v>5.6195649999999997</v>
      </c>
      <c r="J358" s="9" cm="1">
        <f t="array" aca="1" ref="J358" ca="1">INDEX(INDIRECT($M358),
       MATCH(TRIM($C358), TRIM(INDIRECT($N358)), 0),
       MATCH(TRIM(J$2), TRIM(INDIRECT($O358)), 0))</f>
        <v>7</v>
      </c>
      <c r="K358" s="11" cm="1">
        <f t="array" aca="1" ref="K358" ca="1">INDEX(INDIRECT($M358),
       MATCH(TRIM($C358), TRIM(INDIRECT($N358)), 0),
       MATCH(TRIM(K$2), TRIM(INDIRECT($O358)), 0))</f>
        <v>21.957591649995699</v>
      </c>
      <c r="L358" s="11" cm="1">
        <f t="array" aca="1" ref="L358" ca="1">INDEX(INDIRECT($M358),
       MATCH(TRIM($C358), TRIM(INDIRECT($N358)), 0),
       MATCH(TRIM(L$2), TRIM(INDIRECT($O358)), 0))</f>
        <v>568.70196464999572</v>
      </c>
      <c r="M358" s="5" t="str">
        <f t="shared" si="15"/>
        <v>'2020'!$N$3:$V$80</v>
      </c>
      <c r="N358" s="5" t="str">
        <f t="shared" si="16"/>
        <v>'2020'!$M$2:$M$80</v>
      </c>
      <c r="O358" s="5" t="str">
        <f t="shared" si="17"/>
        <v>'2020'!$N$2:$W$2</v>
      </c>
    </row>
    <row r="359" spans="1:15" x14ac:dyDescent="0.3">
      <c r="A359">
        <v>42</v>
      </c>
      <c r="B359" s="9">
        <v>2020</v>
      </c>
      <c r="C359" t="s">
        <v>41</v>
      </c>
      <c r="D359" s="11" cm="1">
        <f t="array" aca="1" ref="D359" ca="1">INDEX(INDIRECT($M359),
       MATCH(TRIM($C359), TRIM(INDIRECT($N359)), 0),
       MATCH(TRIM(D$2), TRIM(INDIRECT($O359)), 0))</f>
        <v>2</v>
      </c>
      <c r="E359" s="9" t="e" cm="1">
        <f t="array" aca="1" ref="E359" ca="1">INDEX(INDIRECT($M359),
       MATCH(TRIM($C359), TRIM(INDIRECT($N359)), 0),
       MATCH(TRIM(E$2), TRIM(INDIRECT($O359)), 0))</f>
        <v>#N/A</v>
      </c>
      <c r="F359" s="11" cm="1">
        <f t="array" aca="1" ref="F359" ca="1">INDEX(INDIRECT($M359),
       MATCH(TRIM($C359), TRIM(INDIRECT($N359)), 0),
       MATCH(TRIM(F$2), TRIM(INDIRECT($O359)), 0))</f>
        <v>10.282038999999999</v>
      </c>
      <c r="G359" s="11" cm="1">
        <f t="array" aca="1" ref="G359" ca="1">INDEX(INDIRECT($M359),
       MATCH(TRIM($C359), TRIM(INDIRECT($N359)), 0),
       MATCH(TRIM(G$2), TRIM(INDIRECT($O359)), 0))</f>
        <v>0</v>
      </c>
      <c r="H359" s="9" t="e" cm="1">
        <f t="array" aca="1" ref="H359" ca="1">INDEX(INDIRECT($M359),
       MATCH(TRIM($C359), TRIM(INDIRECT($N359)), 0),
       MATCH(TRIM(H$2), TRIM(INDIRECT($O359)), 0))</f>
        <v>#N/A</v>
      </c>
      <c r="I359" s="11" cm="1">
        <f t="array" aca="1" ref="I359" ca="1">INDEX(INDIRECT($M359),
       MATCH(TRIM($C359), TRIM(INDIRECT($N359)), 0),
       MATCH(TRIM(I$2), TRIM(INDIRECT($O359)), 0))</f>
        <v>0</v>
      </c>
      <c r="J359" s="9" cm="1">
        <f t="array" aca="1" ref="J359" ca="1">INDEX(INDIRECT($M359),
       MATCH(TRIM($C359), TRIM(INDIRECT($N359)), 0),
       MATCH(TRIM(J$2), TRIM(INDIRECT($O359)), 0))</f>
        <v>8</v>
      </c>
      <c r="K359" s="11" cm="1">
        <f t="array" aca="1" ref="K359" ca="1">INDEX(INDIRECT($M359),
       MATCH(TRIM($C359), TRIM(INDIRECT($N359)), 0),
       MATCH(TRIM(K$2), TRIM(INDIRECT($O359)), 0))</f>
        <v>5.2912359203322676</v>
      </c>
      <c r="L359" s="11" cm="1">
        <f t="array" aca="1" ref="L359" ca="1">INDEX(INDIRECT($M359),
       MATCH(TRIM($C359), TRIM(INDIRECT($N359)), 0),
       MATCH(TRIM(L$2), TRIM(INDIRECT($O359)), 0))</f>
        <v>15.573274920332267</v>
      </c>
      <c r="M359" s="5" t="str">
        <f t="shared" si="15"/>
        <v>'2020'!$N$3:$V$80</v>
      </c>
      <c r="N359" s="5" t="str">
        <f t="shared" si="16"/>
        <v>'2020'!$M$2:$M$80</v>
      </c>
      <c r="O359" s="5" t="str">
        <f t="shared" si="17"/>
        <v>'2020'!$N$2:$W$2</v>
      </c>
    </row>
    <row r="360" spans="1:15" x14ac:dyDescent="0.3">
      <c r="A360">
        <v>43</v>
      </c>
      <c r="B360" s="9">
        <v>2020</v>
      </c>
      <c r="C360" t="s">
        <v>42</v>
      </c>
      <c r="D360" s="11" cm="1">
        <f t="array" aca="1" ref="D360" ca="1">INDEX(INDIRECT($M360),
       MATCH(TRIM($C360), TRIM(INDIRECT($N360)), 0),
       MATCH(TRIM(D$2), TRIM(INDIRECT($O360)), 0))</f>
        <v>3</v>
      </c>
      <c r="E360" s="9" t="e" cm="1">
        <f t="array" aca="1" ref="E360" ca="1">INDEX(INDIRECT($M360),
       MATCH(TRIM($C360), TRIM(INDIRECT($N360)), 0),
       MATCH(TRIM(E$2), TRIM(INDIRECT($O360)), 0))</f>
        <v>#N/A</v>
      </c>
      <c r="F360" s="11" cm="1">
        <f t="array" aca="1" ref="F360" ca="1">INDEX(INDIRECT($M360),
       MATCH(TRIM($C360), TRIM(INDIRECT($N360)), 0),
       MATCH(TRIM(F$2), TRIM(INDIRECT($O360)), 0))</f>
        <v>10</v>
      </c>
      <c r="G360" s="11" cm="1">
        <f t="array" aca="1" ref="G360" ca="1">INDEX(INDIRECT($M360),
       MATCH(TRIM($C360), TRIM(INDIRECT($N360)), 0),
       MATCH(TRIM(G$2), TRIM(INDIRECT($O360)), 0))</f>
        <v>0</v>
      </c>
      <c r="H360" s="9" t="e" cm="1">
        <f t="array" aca="1" ref="H360" ca="1">INDEX(INDIRECT($M360),
       MATCH(TRIM($C360), TRIM(INDIRECT($N360)), 0),
       MATCH(TRIM(H$2), TRIM(INDIRECT($O360)), 0))</f>
        <v>#N/A</v>
      </c>
      <c r="I360" s="11" cm="1">
        <f t="array" aca="1" ref="I360" ca="1">INDEX(INDIRECT($M360),
       MATCH(TRIM($C360), TRIM(INDIRECT($N360)), 0),
       MATCH(TRIM(I$2), TRIM(INDIRECT($O360)), 0))</f>
        <v>0</v>
      </c>
      <c r="J360" s="9" cm="1">
        <f t="array" aca="1" ref="J360" ca="1">INDEX(INDIRECT($M360),
       MATCH(TRIM($C360), TRIM(INDIRECT($N360)), 0),
       MATCH(TRIM(J$2), TRIM(INDIRECT($O360)), 0))</f>
        <v>41</v>
      </c>
      <c r="K360" s="11" cm="1">
        <f t="array" aca="1" ref="K360" ca="1">INDEX(INDIRECT($M360),
       MATCH(TRIM($C360), TRIM(INDIRECT($N360)), 0),
       MATCH(TRIM(K$2), TRIM(INDIRECT($O360)), 0))</f>
        <v>8.3361439230438048</v>
      </c>
      <c r="L360" s="11" cm="1">
        <f t="array" aca="1" ref="L360" ca="1">INDEX(INDIRECT($M360),
       MATCH(TRIM($C360), TRIM(INDIRECT($N360)), 0),
       MATCH(TRIM(L$2), TRIM(INDIRECT($O360)), 0))</f>
        <v>18.336143923043807</v>
      </c>
      <c r="M360" s="5" t="str">
        <f t="shared" si="15"/>
        <v>'2020'!$N$3:$V$80</v>
      </c>
      <c r="N360" s="5" t="str">
        <f t="shared" si="16"/>
        <v>'2020'!$M$2:$M$80</v>
      </c>
      <c r="O360" s="5" t="str">
        <f t="shared" si="17"/>
        <v>'2020'!$N$2:$W$2</v>
      </c>
    </row>
    <row r="361" spans="1:15" x14ac:dyDescent="0.3">
      <c r="A361">
        <v>44</v>
      </c>
      <c r="B361" s="9">
        <v>2020</v>
      </c>
      <c r="C361" t="s">
        <v>43</v>
      </c>
      <c r="D361" s="11" cm="1">
        <f t="array" aca="1" ref="D361" ca="1">INDEX(INDIRECT($M361),
       MATCH(TRIM($C361), TRIM(INDIRECT($N361)), 0),
       MATCH(TRIM(D$2), TRIM(INDIRECT($O361)), 0))</f>
        <v>1</v>
      </c>
      <c r="E361" s="9" t="e" cm="1">
        <f t="array" aca="1" ref="E361" ca="1">INDEX(INDIRECT($M361),
       MATCH(TRIM($C361), TRIM(INDIRECT($N361)), 0),
       MATCH(TRIM(E$2), TRIM(INDIRECT($O361)), 0))</f>
        <v>#N/A</v>
      </c>
      <c r="F361" s="11" cm="1">
        <f t="array" aca="1" ref="F361" ca="1">INDEX(INDIRECT($M361),
       MATCH(TRIM($C361), TRIM(INDIRECT($N361)), 0),
       MATCH(TRIM(F$2), TRIM(INDIRECT($O361)), 0))</f>
        <v>5</v>
      </c>
      <c r="G361" s="11" cm="1">
        <f t="array" aca="1" ref="G361" ca="1">INDEX(INDIRECT($M361),
       MATCH(TRIM($C361), TRIM(INDIRECT($N361)), 0),
       MATCH(TRIM(G$2), TRIM(INDIRECT($O361)), 0))</f>
        <v>0</v>
      </c>
      <c r="H361" s="9" t="e" cm="1">
        <f t="array" aca="1" ref="H361" ca="1">INDEX(INDIRECT($M361),
       MATCH(TRIM($C361), TRIM(INDIRECT($N361)), 0),
       MATCH(TRIM(H$2), TRIM(INDIRECT($O361)), 0))</f>
        <v>#N/A</v>
      </c>
      <c r="I361" s="11" cm="1">
        <f t="array" aca="1" ref="I361" ca="1">INDEX(INDIRECT($M361),
       MATCH(TRIM($C361), TRIM(INDIRECT($N361)), 0),
       MATCH(TRIM(I$2), TRIM(INDIRECT($O361)), 0))</f>
        <v>0</v>
      </c>
      <c r="J361" s="9" cm="1">
        <f t="array" aca="1" ref="J361" ca="1">INDEX(INDIRECT($M361),
       MATCH(TRIM($C361), TRIM(INDIRECT($N361)), 0),
       MATCH(TRIM(J$2), TRIM(INDIRECT($O361)), 0))</f>
        <v>19</v>
      </c>
      <c r="K361" s="11" cm="1">
        <f t="array" aca="1" ref="K361" ca="1">INDEX(INDIRECT($M361),
       MATCH(TRIM($C361), TRIM(INDIRECT($N361)), 0),
       MATCH(TRIM(K$2), TRIM(INDIRECT($O361)), 0))</f>
        <v>9.3169277782560069</v>
      </c>
      <c r="L361" s="11" cm="1">
        <f t="array" aca="1" ref="L361" ca="1">INDEX(INDIRECT($M361),
       MATCH(TRIM($C361), TRIM(INDIRECT($N361)), 0),
       MATCH(TRIM(L$2), TRIM(INDIRECT($O361)), 0))</f>
        <v>14.316927778256007</v>
      </c>
      <c r="M361" s="5" t="str">
        <f t="shared" si="15"/>
        <v>'2020'!$N$3:$V$80</v>
      </c>
      <c r="N361" s="5" t="str">
        <f t="shared" si="16"/>
        <v>'2020'!$M$2:$M$80</v>
      </c>
      <c r="O361" s="5" t="str">
        <f t="shared" si="17"/>
        <v>'2020'!$N$2:$W$2</v>
      </c>
    </row>
    <row r="362" spans="1:15" x14ac:dyDescent="0.3">
      <c r="A362">
        <v>45</v>
      </c>
      <c r="B362" s="9">
        <v>2020</v>
      </c>
      <c r="C362" t="s">
        <v>44</v>
      </c>
      <c r="D362" s="11" cm="1">
        <f t="array" aca="1" ref="D362" ca="1">INDEX(INDIRECT($M362),
       MATCH(TRIM($C362), TRIM(INDIRECT($N362)), 0),
       MATCH(TRIM(D$2), TRIM(INDIRECT($O362)), 0))</f>
        <v>0</v>
      </c>
      <c r="E362" s="9" t="e" cm="1">
        <f t="array" aca="1" ref="E362" ca="1">INDEX(INDIRECT($M362),
       MATCH(TRIM($C362), TRIM(INDIRECT($N362)), 0),
       MATCH(TRIM(E$2), TRIM(INDIRECT($O362)), 0))</f>
        <v>#N/A</v>
      </c>
      <c r="F362" s="11" cm="1">
        <f t="array" aca="1" ref="F362" ca="1">INDEX(INDIRECT($M362),
       MATCH(TRIM($C362), TRIM(INDIRECT($N362)), 0),
       MATCH(TRIM(F$2), TRIM(INDIRECT($O362)), 0))</f>
        <v>0</v>
      </c>
      <c r="G362" s="11" cm="1">
        <f t="array" aca="1" ref="G362" ca="1">INDEX(INDIRECT($M362),
       MATCH(TRIM($C362), TRIM(INDIRECT($N362)), 0),
       MATCH(TRIM(G$2), TRIM(INDIRECT($O362)), 0))</f>
        <v>1</v>
      </c>
      <c r="H362" s="9" t="e" cm="1">
        <f t="array" aca="1" ref="H362" ca="1">INDEX(INDIRECT($M362),
       MATCH(TRIM($C362), TRIM(INDIRECT($N362)), 0),
       MATCH(TRIM(H$2), TRIM(INDIRECT($O362)), 0))</f>
        <v>#N/A</v>
      </c>
      <c r="I362" s="11" cm="1">
        <f t="array" aca="1" ref="I362" ca="1">INDEX(INDIRECT($M362),
       MATCH(TRIM($C362), TRIM(INDIRECT($N362)), 0),
       MATCH(TRIM(I$2), TRIM(INDIRECT($O362)), 0))</f>
        <v>10.1</v>
      </c>
      <c r="J362" s="9" cm="1">
        <f t="array" aca="1" ref="J362" ca="1">INDEX(INDIRECT($M362),
       MATCH(TRIM($C362), TRIM(INDIRECT($N362)), 0),
       MATCH(TRIM(J$2), TRIM(INDIRECT($O362)), 0))</f>
        <v>5</v>
      </c>
      <c r="K362" s="11" cm="1">
        <f t="array" aca="1" ref="K362" ca="1">INDEX(INDIRECT($M362),
       MATCH(TRIM($C362), TRIM(INDIRECT($N362)), 0),
       MATCH(TRIM(K$2), TRIM(INDIRECT($O362)), 0))</f>
        <v>10.07450488370195</v>
      </c>
      <c r="L362" s="11" cm="1">
        <f t="array" aca="1" ref="L362" ca="1">INDEX(INDIRECT($M362),
       MATCH(TRIM($C362), TRIM(INDIRECT($N362)), 0),
       MATCH(TRIM(L$2), TRIM(INDIRECT($O362)), 0))</f>
        <v>20.17450488370195</v>
      </c>
      <c r="M362" s="5" t="str">
        <f t="shared" si="15"/>
        <v>'2020'!$N$3:$V$80</v>
      </c>
      <c r="N362" s="5" t="str">
        <f t="shared" si="16"/>
        <v>'2020'!$M$2:$M$80</v>
      </c>
      <c r="O362" s="5" t="str">
        <f t="shared" si="17"/>
        <v>'2020'!$N$2:$W$2</v>
      </c>
    </row>
    <row r="363" spans="1:15" x14ac:dyDescent="0.3">
      <c r="A363">
        <v>46</v>
      </c>
      <c r="B363" s="9">
        <v>2020</v>
      </c>
      <c r="C363" t="s">
        <v>45</v>
      </c>
      <c r="D363" s="11" cm="1">
        <f t="array" aca="1" ref="D363" ca="1">INDEX(INDIRECT($M363),
       MATCH(TRIM($C363), TRIM(INDIRECT($N363)), 0),
       MATCH(TRIM(D$2), TRIM(INDIRECT($O363)), 0))</f>
        <v>1</v>
      </c>
      <c r="E363" s="9" t="e" cm="1">
        <f t="array" aca="1" ref="E363" ca="1">INDEX(INDIRECT($M363),
       MATCH(TRIM($C363), TRIM(INDIRECT($N363)), 0),
       MATCH(TRIM(E$2), TRIM(INDIRECT($O363)), 0))</f>
        <v>#N/A</v>
      </c>
      <c r="F363" s="11" cm="1">
        <f t="array" aca="1" ref="F363" ca="1">INDEX(INDIRECT($M363),
       MATCH(TRIM($C363), TRIM(INDIRECT($N363)), 0),
       MATCH(TRIM(F$2), TRIM(INDIRECT($O363)), 0))</f>
        <v>12</v>
      </c>
      <c r="G363" s="11" cm="1">
        <f t="array" aca="1" ref="G363" ca="1">INDEX(INDIRECT($M363),
       MATCH(TRIM($C363), TRIM(INDIRECT($N363)), 0),
       MATCH(TRIM(G$2), TRIM(INDIRECT($O363)), 0))</f>
        <v>0</v>
      </c>
      <c r="H363" s="9" t="e" cm="1">
        <f t="array" aca="1" ref="H363" ca="1">INDEX(INDIRECT($M363),
       MATCH(TRIM($C363), TRIM(INDIRECT($N363)), 0),
       MATCH(TRIM(H$2), TRIM(INDIRECT($O363)), 0))</f>
        <v>#N/A</v>
      </c>
      <c r="I363" s="11" cm="1">
        <f t="array" aca="1" ref="I363" ca="1">INDEX(INDIRECT($M363),
       MATCH(TRIM($C363), TRIM(INDIRECT($N363)), 0),
       MATCH(TRIM(I$2), TRIM(INDIRECT($O363)), 0))</f>
        <v>0</v>
      </c>
      <c r="J363" s="9" cm="1">
        <f t="array" aca="1" ref="J363" ca="1">INDEX(INDIRECT($M363),
       MATCH(TRIM($C363), TRIM(INDIRECT($N363)), 0),
       MATCH(TRIM(J$2), TRIM(INDIRECT($O363)), 0))</f>
        <v>4</v>
      </c>
      <c r="K363" s="11" cm="1">
        <f t="array" aca="1" ref="K363" ca="1">INDEX(INDIRECT($M363),
       MATCH(TRIM($C363), TRIM(INDIRECT($N363)), 0),
       MATCH(TRIM(K$2), TRIM(INDIRECT($O363)), 0))</f>
        <v>2.2957520493242662</v>
      </c>
      <c r="L363" s="11" cm="1">
        <f t="array" aca="1" ref="L363" ca="1">INDEX(INDIRECT($M363),
       MATCH(TRIM($C363), TRIM(INDIRECT($N363)), 0),
       MATCH(TRIM(L$2), TRIM(INDIRECT($O363)), 0))</f>
        <v>14.295752049324266</v>
      </c>
      <c r="M363" s="5" t="str">
        <f t="shared" si="15"/>
        <v>'2020'!$N$3:$V$80</v>
      </c>
      <c r="N363" s="5" t="str">
        <f t="shared" si="16"/>
        <v>'2020'!$M$2:$M$80</v>
      </c>
      <c r="O363" s="5" t="str">
        <f t="shared" si="17"/>
        <v>'2020'!$N$2:$W$2</v>
      </c>
    </row>
    <row r="364" spans="1:15" x14ac:dyDescent="0.3">
      <c r="A364">
        <v>47</v>
      </c>
      <c r="B364" s="9">
        <v>2020</v>
      </c>
      <c r="C364" t="s">
        <v>46</v>
      </c>
      <c r="D364" s="11" cm="1">
        <f t="array" aca="1" ref="D364" ca="1">INDEX(INDIRECT($M364),
       MATCH(TRIM($C364), TRIM(INDIRECT($N364)), 0),
       MATCH(TRIM(D$2), TRIM(INDIRECT($O364)), 0))</f>
        <v>0</v>
      </c>
      <c r="E364" s="9" t="e" cm="1">
        <f t="array" aca="1" ref="E364" ca="1">INDEX(INDIRECT($M364),
       MATCH(TRIM($C364), TRIM(INDIRECT($N364)), 0),
       MATCH(TRIM(E$2), TRIM(INDIRECT($O364)), 0))</f>
        <v>#N/A</v>
      </c>
      <c r="F364" s="11" cm="1">
        <f t="array" aca="1" ref="F364" ca="1">INDEX(INDIRECT($M364),
       MATCH(TRIM($C364), TRIM(INDIRECT($N364)), 0),
       MATCH(TRIM(F$2), TRIM(INDIRECT($O364)), 0))</f>
        <v>0</v>
      </c>
      <c r="G364" s="11" cm="1">
        <f t="array" aca="1" ref="G364" ca="1">INDEX(INDIRECT($M364),
       MATCH(TRIM($C364), TRIM(INDIRECT($N364)), 0),
       MATCH(TRIM(G$2), TRIM(INDIRECT($O364)), 0))</f>
        <v>1</v>
      </c>
      <c r="H364" s="9" t="e" cm="1">
        <f t="array" aca="1" ref="H364" ca="1">INDEX(INDIRECT($M364),
       MATCH(TRIM($C364), TRIM(INDIRECT($N364)), 0),
       MATCH(TRIM(H$2), TRIM(INDIRECT($O364)), 0))</f>
        <v>#N/A</v>
      </c>
      <c r="I364" s="11" cm="1">
        <f t="array" aca="1" ref="I364" ca="1">INDEX(INDIRECT($M364),
       MATCH(TRIM($C364), TRIM(INDIRECT($N364)), 0),
       MATCH(TRIM(I$2), TRIM(INDIRECT($O364)), 0))</f>
        <v>1.726817</v>
      </c>
      <c r="J364" s="9" cm="1">
        <f t="array" aca="1" ref="J364" ca="1">INDEX(INDIRECT($M364),
       MATCH(TRIM($C364), TRIM(INDIRECT($N364)), 0),
       MATCH(TRIM(J$2), TRIM(INDIRECT($O364)), 0))</f>
        <v>6</v>
      </c>
      <c r="K364" s="11" cm="1">
        <f t="array" aca="1" ref="K364" ca="1">INDEX(INDIRECT($M364),
       MATCH(TRIM($C364), TRIM(INDIRECT($N364)), 0),
       MATCH(TRIM(K$2), TRIM(INDIRECT($O364)), 0))</f>
        <v>14.482927175690804</v>
      </c>
      <c r="L364" s="11" cm="1">
        <f t="array" aca="1" ref="L364" ca="1">INDEX(INDIRECT($M364),
       MATCH(TRIM($C364), TRIM(INDIRECT($N364)), 0),
       MATCH(TRIM(L$2), TRIM(INDIRECT($O364)), 0))</f>
        <v>16.209744175690805</v>
      </c>
      <c r="M364" s="5" t="str">
        <f t="shared" si="15"/>
        <v>'2020'!$N$3:$V$80</v>
      </c>
      <c r="N364" s="5" t="str">
        <f t="shared" si="16"/>
        <v>'2020'!$M$2:$M$80</v>
      </c>
      <c r="O364" s="5" t="str">
        <f t="shared" si="17"/>
        <v>'2020'!$N$2:$W$2</v>
      </c>
    </row>
    <row r="365" spans="1:15" x14ac:dyDescent="0.3">
      <c r="A365">
        <v>48</v>
      </c>
      <c r="B365" s="9">
        <v>2020</v>
      </c>
      <c r="C365" t="s">
        <v>47</v>
      </c>
      <c r="D365" s="11" cm="1">
        <f t="array" aca="1" ref="D365" ca="1">INDEX(INDIRECT($M365),
       MATCH(TRIM($C365), TRIM(INDIRECT($N365)), 0),
       MATCH(TRIM(D$2), TRIM(INDIRECT($O365)), 0))</f>
        <v>1</v>
      </c>
      <c r="E365" s="9" t="e" cm="1">
        <f t="array" aca="1" ref="E365" ca="1">INDEX(INDIRECT($M365),
       MATCH(TRIM($C365), TRIM(INDIRECT($N365)), 0),
       MATCH(TRIM(E$2), TRIM(INDIRECT($O365)), 0))</f>
        <v>#N/A</v>
      </c>
      <c r="F365" s="11" cm="1">
        <f t="array" aca="1" ref="F365" ca="1">INDEX(INDIRECT($M365),
       MATCH(TRIM($C365), TRIM(INDIRECT($N365)), 0),
       MATCH(TRIM(F$2), TRIM(INDIRECT($O365)), 0))</f>
        <v>2.0191560000000002</v>
      </c>
      <c r="G365" s="11" cm="1">
        <f t="array" aca="1" ref="G365" ca="1">INDEX(INDIRECT($M365),
       MATCH(TRIM($C365), TRIM(INDIRECT($N365)), 0),
       MATCH(TRIM(G$2), TRIM(INDIRECT($O365)), 0))</f>
        <v>1</v>
      </c>
      <c r="H365" s="9" t="e" cm="1">
        <f t="array" aca="1" ref="H365" ca="1">INDEX(INDIRECT($M365),
       MATCH(TRIM($C365), TRIM(INDIRECT($N365)), 0),
       MATCH(TRIM(H$2), TRIM(INDIRECT($O365)), 0))</f>
        <v>#N/A</v>
      </c>
      <c r="I365" s="11" cm="1">
        <f t="array" aca="1" ref="I365" ca="1">INDEX(INDIRECT($M365),
       MATCH(TRIM($C365), TRIM(INDIRECT($N365)), 0),
       MATCH(TRIM(I$2), TRIM(INDIRECT($O365)), 0))</f>
        <v>0.68031200000000003</v>
      </c>
      <c r="J365" s="9" cm="1">
        <f t="array" aca="1" ref="J365" ca="1">INDEX(INDIRECT($M365),
       MATCH(TRIM($C365), TRIM(INDIRECT($N365)), 0),
       MATCH(TRIM(J$2), TRIM(INDIRECT($O365)), 0))</f>
        <v>10</v>
      </c>
      <c r="K365" s="11" cm="1">
        <f t="array" aca="1" ref="K365" ca="1">INDEX(INDIRECT($M365),
       MATCH(TRIM($C365), TRIM(INDIRECT($N365)), 0),
       MATCH(TRIM(K$2), TRIM(INDIRECT($O365)), 0))</f>
        <v>5.5824282501506461</v>
      </c>
      <c r="L365" s="11" cm="1">
        <f t="array" aca="1" ref="L365" ca="1">INDEX(INDIRECT($M365),
       MATCH(TRIM($C365), TRIM(INDIRECT($N365)), 0),
       MATCH(TRIM(L$2), TRIM(INDIRECT($O365)), 0))</f>
        <v>8.2818962501506466</v>
      </c>
      <c r="M365" s="5" t="str">
        <f t="shared" si="15"/>
        <v>'2020'!$N$3:$V$80</v>
      </c>
      <c r="N365" s="5" t="str">
        <f t="shared" si="16"/>
        <v>'2020'!$M$2:$M$80</v>
      </c>
      <c r="O365" s="5" t="str">
        <f t="shared" si="17"/>
        <v>'2020'!$N$2:$W$2</v>
      </c>
    </row>
    <row r="366" spans="1:15" x14ac:dyDescent="0.3">
      <c r="A366">
        <v>49</v>
      </c>
      <c r="B366" s="9">
        <v>2020</v>
      </c>
      <c r="C366" t="s">
        <v>48</v>
      </c>
      <c r="D366" s="11" cm="1">
        <f t="array" aca="1" ref="D366" ca="1">INDEX(INDIRECT($M366),
       MATCH(TRIM($C366), TRIM(INDIRECT($N366)), 0),
       MATCH(TRIM(D$2), TRIM(INDIRECT($O366)), 0))</f>
        <v>0</v>
      </c>
      <c r="E366" s="9" t="e" cm="1">
        <f t="array" aca="1" ref="E366" ca="1">INDEX(INDIRECT($M366),
       MATCH(TRIM($C366), TRIM(INDIRECT($N366)), 0),
       MATCH(TRIM(E$2), TRIM(INDIRECT($O366)), 0))</f>
        <v>#N/A</v>
      </c>
      <c r="F366" s="11" cm="1">
        <f t="array" aca="1" ref="F366" ca="1">INDEX(INDIRECT($M366),
       MATCH(TRIM($C366), TRIM(INDIRECT($N366)), 0),
       MATCH(TRIM(F$2), TRIM(INDIRECT($O366)), 0))</f>
        <v>0</v>
      </c>
      <c r="G366" s="11" cm="1">
        <f t="array" aca="1" ref="G366" ca="1">INDEX(INDIRECT($M366),
       MATCH(TRIM($C366), TRIM(INDIRECT($N366)), 0),
       MATCH(TRIM(G$2), TRIM(INDIRECT($O366)), 0))</f>
        <v>0</v>
      </c>
      <c r="H366" s="9" t="e" cm="1">
        <f t="array" aca="1" ref="H366" ca="1">INDEX(INDIRECT($M366),
       MATCH(TRIM($C366), TRIM(INDIRECT($N366)), 0),
       MATCH(TRIM(H$2), TRIM(INDIRECT($O366)), 0))</f>
        <v>#N/A</v>
      </c>
      <c r="I366" s="11" cm="1">
        <f t="array" aca="1" ref="I366" ca="1">INDEX(INDIRECT($M366),
       MATCH(TRIM($C366), TRIM(INDIRECT($N366)), 0),
       MATCH(TRIM(I$2), TRIM(INDIRECT($O366)), 0))</f>
        <v>0</v>
      </c>
      <c r="J366" s="9" cm="1">
        <f t="array" aca="1" ref="J366" ca="1">INDEX(INDIRECT($M366),
       MATCH(TRIM($C366), TRIM(INDIRECT($N366)), 0),
       MATCH(TRIM(J$2), TRIM(INDIRECT($O366)), 0))</f>
        <v>3</v>
      </c>
      <c r="K366" s="11" cm="1">
        <f t="array" aca="1" ref="K366" ca="1">INDEX(INDIRECT($M366),
       MATCH(TRIM($C366), TRIM(INDIRECT($N366)), 0),
       MATCH(TRIM(K$2), TRIM(INDIRECT($O366)), 0))</f>
        <v>0.30864250667125709</v>
      </c>
      <c r="L366" s="11" cm="1">
        <f t="array" aca="1" ref="L366" ca="1">INDEX(INDIRECT($M366),
       MATCH(TRIM($C366), TRIM(INDIRECT($N366)), 0),
       MATCH(TRIM(L$2), TRIM(INDIRECT($O366)), 0))</f>
        <v>0.30864250667125709</v>
      </c>
      <c r="M366" s="5" t="str">
        <f t="shared" si="15"/>
        <v>'2020'!$N$3:$V$80</v>
      </c>
      <c r="N366" s="5" t="str">
        <f t="shared" si="16"/>
        <v>'2020'!$M$2:$M$80</v>
      </c>
      <c r="O366" s="5" t="str">
        <f t="shared" si="17"/>
        <v>'2020'!$N$2:$W$2</v>
      </c>
    </row>
    <row r="367" spans="1:15" x14ac:dyDescent="0.3">
      <c r="A367">
        <v>50</v>
      </c>
      <c r="B367" s="9">
        <v>2020</v>
      </c>
      <c r="C367" t="s">
        <v>49</v>
      </c>
      <c r="D367" s="11" t="e" cm="1">
        <f t="array" aca="1" ref="D367" ca="1">INDEX(INDIRECT($M367),
       MATCH(TRIM($C367), TRIM(INDIRECT($N367)), 0),
       MATCH(TRIM(D$2), TRIM(INDIRECT($O367)), 0))</f>
        <v>#N/A</v>
      </c>
      <c r="E367" s="9" t="e" cm="1">
        <f t="array" aca="1" ref="E367" ca="1">INDEX(INDIRECT($M367),
       MATCH(TRIM($C367), TRIM(INDIRECT($N367)), 0),
       MATCH(TRIM(E$2), TRIM(INDIRECT($O367)), 0))</f>
        <v>#N/A</v>
      </c>
      <c r="F367" s="11" t="e" cm="1">
        <f t="array" aca="1" ref="F367" ca="1">INDEX(INDIRECT($M367),
       MATCH(TRIM($C367), TRIM(INDIRECT($N367)), 0),
       MATCH(TRIM(F$2), TRIM(INDIRECT($O367)), 0))</f>
        <v>#N/A</v>
      </c>
      <c r="G367" s="11" t="e" cm="1">
        <f t="array" aca="1" ref="G367" ca="1">INDEX(INDIRECT($M367),
       MATCH(TRIM($C367), TRIM(INDIRECT($N367)), 0),
       MATCH(TRIM(G$2), TRIM(INDIRECT($O367)), 0))</f>
        <v>#N/A</v>
      </c>
      <c r="H367" s="9" t="e" cm="1">
        <f t="array" aca="1" ref="H367" ca="1">INDEX(INDIRECT($M367),
       MATCH(TRIM($C367), TRIM(INDIRECT($N367)), 0),
       MATCH(TRIM(H$2), TRIM(INDIRECT($O367)), 0))</f>
        <v>#N/A</v>
      </c>
      <c r="I367" s="11" t="e" cm="1">
        <f t="array" aca="1" ref="I367" ca="1">INDEX(INDIRECT($M367),
       MATCH(TRIM($C367), TRIM(INDIRECT($N367)), 0),
       MATCH(TRIM(I$2), TRIM(INDIRECT($O367)), 0))</f>
        <v>#N/A</v>
      </c>
      <c r="J367" s="9" t="e" cm="1">
        <f t="array" aca="1" ref="J367" ca="1">INDEX(INDIRECT($M367),
       MATCH(TRIM($C367), TRIM(INDIRECT($N367)), 0),
       MATCH(TRIM(J$2), TRIM(INDIRECT($O367)), 0))</f>
        <v>#N/A</v>
      </c>
      <c r="K367" s="11" t="e" cm="1">
        <f t="array" aca="1" ref="K367" ca="1">INDEX(INDIRECT($M367),
       MATCH(TRIM($C367), TRIM(INDIRECT($N367)), 0),
       MATCH(TRIM(K$2), TRIM(INDIRECT($O367)), 0))</f>
        <v>#N/A</v>
      </c>
      <c r="L367" s="11" t="e" cm="1">
        <f t="array" aca="1" ref="L367" ca="1">INDEX(INDIRECT($M367),
       MATCH(TRIM($C367), TRIM(INDIRECT($N367)), 0),
       MATCH(TRIM(L$2), TRIM(INDIRECT($O367)), 0))</f>
        <v>#N/A</v>
      </c>
      <c r="M367" s="5" t="str">
        <f t="shared" si="15"/>
        <v>'2020'!$N$3:$V$80</v>
      </c>
      <c r="N367" s="5" t="str">
        <f t="shared" si="16"/>
        <v>'2020'!$M$2:$M$80</v>
      </c>
      <c r="O367" s="5" t="str">
        <f t="shared" si="17"/>
        <v>'2020'!$N$2:$W$2</v>
      </c>
    </row>
    <row r="368" spans="1:15" x14ac:dyDescent="0.3">
      <c r="A368">
        <v>51</v>
      </c>
      <c r="B368" s="9">
        <v>2020</v>
      </c>
      <c r="C368" t="s">
        <v>50</v>
      </c>
      <c r="D368" s="11" cm="1">
        <f t="array" aca="1" ref="D368" ca="1">INDEX(INDIRECT($M368),
       MATCH(TRIM($C368), TRIM(INDIRECT($N368)), 0),
       MATCH(TRIM(D$2), TRIM(INDIRECT($O368)), 0))</f>
        <v>1</v>
      </c>
      <c r="E368" s="9" t="e" cm="1">
        <f t="array" aca="1" ref="E368" ca="1">INDEX(INDIRECT($M368),
       MATCH(TRIM($C368), TRIM(INDIRECT($N368)), 0),
       MATCH(TRIM(E$2), TRIM(INDIRECT($O368)), 0))</f>
        <v>#N/A</v>
      </c>
      <c r="F368" s="11" cm="1">
        <f t="array" aca="1" ref="F368" ca="1">INDEX(INDIRECT($M368),
       MATCH(TRIM($C368), TRIM(INDIRECT($N368)), 0),
       MATCH(TRIM(F$2), TRIM(INDIRECT($O368)), 0))</f>
        <v>4.0522470000000004</v>
      </c>
      <c r="G368" s="11" cm="1">
        <f t="array" aca="1" ref="G368" ca="1">INDEX(INDIRECT($M368),
       MATCH(TRIM($C368), TRIM(INDIRECT($N368)), 0),
       MATCH(TRIM(G$2), TRIM(INDIRECT($O368)), 0))</f>
        <v>0</v>
      </c>
      <c r="H368" s="9" t="e" cm="1">
        <f t="array" aca="1" ref="H368" ca="1">INDEX(INDIRECT($M368),
       MATCH(TRIM($C368), TRIM(INDIRECT($N368)), 0),
       MATCH(TRIM(H$2), TRIM(INDIRECT($O368)), 0))</f>
        <v>#N/A</v>
      </c>
      <c r="I368" s="11" cm="1">
        <f t="array" aca="1" ref="I368" ca="1">INDEX(INDIRECT($M368),
       MATCH(TRIM($C368), TRIM(INDIRECT($N368)), 0),
       MATCH(TRIM(I$2), TRIM(INDIRECT($O368)), 0))</f>
        <v>0</v>
      </c>
      <c r="J368" s="9" cm="1">
        <f t="array" aca="1" ref="J368" ca="1">INDEX(INDIRECT($M368),
       MATCH(TRIM($C368), TRIM(INDIRECT($N368)), 0),
       MATCH(TRIM(J$2), TRIM(INDIRECT($O368)), 0))</f>
        <v>0</v>
      </c>
      <c r="K368" s="11" cm="1">
        <f t="array" aca="1" ref="K368" ca="1">INDEX(INDIRECT($M368),
       MATCH(TRIM($C368), TRIM(INDIRECT($N368)), 0),
       MATCH(TRIM(K$2), TRIM(INDIRECT($O368)), 0))</f>
        <v>0</v>
      </c>
      <c r="L368" s="11" cm="1">
        <f t="array" aca="1" ref="L368" ca="1">INDEX(INDIRECT($M368),
       MATCH(TRIM($C368), TRIM(INDIRECT($N368)), 0),
       MATCH(TRIM(L$2), TRIM(INDIRECT($O368)), 0))</f>
        <v>4.0522470000000004</v>
      </c>
      <c r="M368" s="5" t="str">
        <f t="shared" si="15"/>
        <v>'2020'!$N$3:$V$80</v>
      </c>
      <c r="N368" s="5" t="str">
        <f t="shared" si="16"/>
        <v>'2020'!$M$2:$M$80</v>
      </c>
      <c r="O368" s="5" t="str">
        <f t="shared" si="17"/>
        <v>'2020'!$N$2:$W$2</v>
      </c>
    </row>
    <row r="369" spans="1:15" x14ac:dyDescent="0.3">
      <c r="A369">
        <v>52</v>
      </c>
      <c r="B369" s="9">
        <v>2020</v>
      </c>
      <c r="C369" t="s">
        <v>51</v>
      </c>
      <c r="D369" s="11" t="e" cm="1">
        <f t="array" aca="1" ref="D369" ca="1">INDEX(INDIRECT($M369),
       MATCH(TRIM($C369), TRIM(INDIRECT($N369)), 0),
       MATCH(TRIM(D$2), TRIM(INDIRECT($O369)), 0))</f>
        <v>#N/A</v>
      </c>
      <c r="E369" s="9" t="e" cm="1">
        <f t="array" aca="1" ref="E369" ca="1">INDEX(INDIRECT($M369),
       MATCH(TRIM($C369), TRIM(INDIRECT($N369)), 0),
       MATCH(TRIM(E$2), TRIM(INDIRECT($O369)), 0))</f>
        <v>#N/A</v>
      </c>
      <c r="F369" s="11" t="e" cm="1">
        <f t="array" aca="1" ref="F369" ca="1">INDEX(INDIRECT($M369),
       MATCH(TRIM($C369), TRIM(INDIRECT($N369)), 0),
       MATCH(TRIM(F$2), TRIM(INDIRECT($O369)), 0))</f>
        <v>#N/A</v>
      </c>
      <c r="G369" s="11" t="e" cm="1">
        <f t="array" aca="1" ref="G369" ca="1">INDEX(INDIRECT($M369),
       MATCH(TRIM($C369), TRIM(INDIRECT($N369)), 0),
       MATCH(TRIM(G$2), TRIM(INDIRECT($O369)), 0))</f>
        <v>#N/A</v>
      </c>
      <c r="H369" s="9" t="e" cm="1">
        <f t="array" aca="1" ref="H369" ca="1">INDEX(INDIRECT($M369),
       MATCH(TRIM($C369), TRIM(INDIRECT($N369)), 0),
       MATCH(TRIM(H$2), TRIM(INDIRECT($O369)), 0))</f>
        <v>#N/A</v>
      </c>
      <c r="I369" s="11" t="e" cm="1">
        <f t="array" aca="1" ref="I369" ca="1">INDEX(INDIRECT($M369),
       MATCH(TRIM($C369), TRIM(INDIRECT($N369)), 0),
       MATCH(TRIM(I$2), TRIM(INDIRECT($O369)), 0))</f>
        <v>#N/A</v>
      </c>
      <c r="J369" s="9" t="e" cm="1">
        <f t="array" aca="1" ref="J369" ca="1">INDEX(INDIRECT($M369),
       MATCH(TRIM($C369), TRIM(INDIRECT($N369)), 0),
       MATCH(TRIM(J$2), TRIM(INDIRECT($O369)), 0))</f>
        <v>#N/A</v>
      </c>
      <c r="K369" s="11" t="e" cm="1">
        <f t="array" aca="1" ref="K369" ca="1">INDEX(INDIRECT($M369),
       MATCH(TRIM($C369), TRIM(INDIRECT($N369)), 0),
       MATCH(TRIM(K$2), TRIM(INDIRECT($O369)), 0))</f>
        <v>#N/A</v>
      </c>
      <c r="L369" s="11" t="e" cm="1">
        <f t="array" aca="1" ref="L369" ca="1">INDEX(INDIRECT($M369),
       MATCH(TRIM($C369), TRIM(INDIRECT($N369)), 0),
       MATCH(TRIM(L$2), TRIM(INDIRECT($O369)), 0))</f>
        <v>#N/A</v>
      </c>
      <c r="M369" s="5" t="str">
        <f t="shared" si="15"/>
        <v>'2020'!$N$3:$V$80</v>
      </c>
      <c r="N369" s="5" t="str">
        <f t="shared" si="16"/>
        <v>'2020'!$M$2:$M$80</v>
      </c>
      <c r="O369" s="5" t="str">
        <f t="shared" si="17"/>
        <v>'2020'!$N$2:$W$2</v>
      </c>
    </row>
    <row r="370" spans="1:15" x14ac:dyDescent="0.3">
      <c r="A370">
        <v>53</v>
      </c>
      <c r="B370" s="9">
        <v>2020</v>
      </c>
      <c r="C370" t="s">
        <v>52</v>
      </c>
      <c r="D370" s="11" cm="1">
        <f t="array" aca="1" ref="D370" ca="1">INDEX(INDIRECT($M370),
       MATCH(TRIM($C370), TRIM(INDIRECT($N370)), 0),
       MATCH(TRIM(D$2), TRIM(INDIRECT($O370)), 0))</f>
        <v>0</v>
      </c>
      <c r="E370" s="9" t="e" cm="1">
        <f t="array" aca="1" ref="E370" ca="1">INDEX(INDIRECT($M370),
       MATCH(TRIM($C370), TRIM(INDIRECT($N370)), 0),
       MATCH(TRIM(E$2), TRIM(INDIRECT($O370)), 0))</f>
        <v>#N/A</v>
      </c>
      <c r="F370" s="11" cm="1">
        <f t="array" aca="1" ref="F370" ca="1">INDEX(INDIRECT($M370),
       MATCH(TRIM($C370), TRIM(INDIRECT($N370)), 0),
       MATCH(TRIM(F$2), TRIM(INDIRECT($O370)), 0))</f>
        <v>0</v>
      </c>
      <c r="G370" s="11" cm="1">
        <f t="array" aca="1" ref="G370" ca="1">INDEX(INDIRECT($M370),
       MATCH(TRIM($C370), TRIM(INDIRECT($N370)), 0),
       MATCH(TRIM(G$2), TRIM(INDIRECT($O370)), 0))</f>
        <v>0</v>
      </c>
      <c r="H370" s="9" t="e" cm="1">
        <f t="array" aca="1" ref="H370" ca="1">INDEX(INDIRECT($M370),
       MATCH(TRIM($C370), TRIM(INDIRECT($N370)), 0),
       MATCH(TRIM(H$2), TRIM(INDIRECT($O370)), 0))</f>
        <v>#N/A</v>
      </c>
      <c r="I370" s="11" cm="1">
        <f t="array" aca="1" ref="I370" ca="1">INDEX(INDIRECT($M370),
       MATCH(TRIM($C370), TRIM(INDIRECT($N370)), 0),
       MATCH(TRIM(I$2), TRIM(INDIRECT($O370)), 0))</f>
        <v>0</v>
      </c>
      <c r="J370" s="9" cm="1">
        <f t="array" aca="1" ref="J370" ca="1">INDEX(INDIRECT($M370),
       MATCH(TRIM($C370), TRIM(INDIRECT($N370)), 0),
       MATCH(TRIM(J$2), TRIM(INDIRECT($O370)), 0))</f>
        <v>1</v>
      </c>
      <c r="K370" s="11" cm="1">
        <f t="array" aca="1" ref="K370" ca="1">INDEX(INDIRECT($M370),
       MATCH(TRIM($C370), TRIM(INDIRECT($N370)), 0),
       MATCH(TRIM(K$2), TRIM(INDIRECT($O370)), 0))</f>
        <v>0.115132994749075</v>
      </c>
      <c r="L370" s="11" cm="1">
        <f t="array" aca="1" ref="L370" ca="1">INDEX(INDIRECT($M370),
       MATCH(TRIM($C370), TRIM(INDIRECT($N370)), 0),
       MATCH(TRIM(L$2), TRIM(INDIRECT($O370)), 0))</f>
        <v>0.115132994749075</v>
      </c>
      <c r="M370" s="5" t="str">
        <f t="shared" si="15"/>
        <v>'2020'!$N$3:$V$80</v>
      </c>
      <c r="N370" s="5" t="str">
        <f t="shared" si="16"/>
        <v>'2020'!$M$2:$M$80</v>
      </c>
      <c r="O370" s="5" t="str">
        <f t="shared" si="17"/>
        <v>'2020'!$N$2:$W$2</v>
      </c>
    </row>
    <row r="371" spans="1:15" x14ac:dyDescent="0.3">
      <c r="A371">
        <v>54</v>
      </c>
      <c r="B371" s="9">
        <v>2020</v>
      </c>
      <c r="C371" t="s">
        <v>53</v>
      </c>
      <c r="D371" s="11" cm="1">
        <f t="array" aca="1" ref="D371" ca="1">INDEX(INDIRECT($M371),
       MATCH(TRIM($C371), TRIM(INDIRECT($N371)), 0),
       MATCH(TRIM(D$2), TRIM(INDIRECT($O371)), 0))</f>
        <v>1</v>
      </c>
      <c r="E371" s="9" t="e" cm="1">
        <f t="array" aca="1" ref="E371" ca="1">INDEX(INDIRECT($M371),
       MATCH(TRIM($C371), TRIM(INDIRECT($N371)), 0),
       MATCH(TRIM(E$2), TRIM(INDIRECT($O371)), 0))</f>
        <v>#N/A</v>
      </c>
      <c r="F371" s="11" cm="1">
        <f t="array" aca="1" ref="F371" ca="1">INDEX(INDIRECT($M371),
       MATCH(TRIM($C371), TRIM(INDIRECT($N371)), 0),
       MATCH(TRIM(F$2), TRIM(INDIRECT($O371)), 0))</f>
        <v>2.2555999999999998</v>
      </c>
      <c r="G371" s="11" cm="1">
        <f t="array" aca="1" ref="G371" ca="1">INDEX(INDIRECT($M371),
       MATCH(TRIM($C371), TRIM(INDIRECT($N371)), 0),
       MATCH(TRIM(G$2), TRIM(INDIRECT($O371)), 0))</f>
        <v>0</v>
      </c>
      <c r="H371" s="9" t="e" cm="1">
        <f t="array" aca="1" ref="H371" ca="1">INDEX(INDIRECT($M371),
       MATCH(TRIM($C371), TRIM(INDIRECT($N371)), 0),
       MATCH(TRIM(H$2), TRIM(INDIRECT($O371)), 0))</f>
        <v>#N/A</v>
      </c>
      <c r="I371" s="11" cm="1">
        <f t="array" aca="1" ref="I371" ca="1">INDEX(INDIRECT($M371),
       MATCH(TRIM($C371), TRIM(INDIRECT($N371)), 0),
       MATCH(TRIM(I$2), TRIM(INDIRECT($O371)), 0))</f>
        <v>0</v>
      </c>
      <c r="J371" s="9" cm="1">
        <f t="array" aca="1" ref="J371" ca="1">INDEX(INDIRECT($M371),
       MATCH(TRIM($C371), TRIM(INDIRECT($N371)), 0),
       MATCH(TRIM(J$2), TRIM(INDIRECT($O371)), 0))</f>
        <v>1</v>
      </c>
      <c r="K371" s="11" cm="1">
        <f t="array" aca="1" ref="K371" ca="1">INDEX(INDIRECT($M371),
       MATCH(TRIM($C371), TRIM(INDIRECT($N371)), 0),
       MATCH(TRIM(K$2), TRIM(INDIRECT($O371)), 0))</f>
        <v>5.3989842472238996</v>
      </c>
      <c r="L371" s="11" cm="1">
        <f t="array" aca="1" ref="L371" ca="1">INDEX(INDIRECT($M371),
       MATCH(TRIM($C371), TRIM(INDIRECT($N371)), 0),
       MATCH(TRIM(L$2), TRIM(INDIRECT($O371)), 0))</f>
        <v>7.6545842472238999</v>
      </c>
      <c r="M371" s="5" t="str">
        <f t="shared" si="15"/>
        <v>'2020'!$N$3:$V$80</v>
      </c>
      <c r="N371" s="5" t="str">
        <f t="shared" si="16"/>
        <v>'2020'!$M$2:$M$80</v>
      </c>
      <c r="O371" s="5" t="str">
        <f t="shared" si="17"/>
        <v>'2020'!$N$2:$W$2</v>
      </c>
    </row>
    <row r="372" spans="1:15" x14ac:dyDescent="0.3">
      <c r="A372">
        <v>55</v>
      </c>
      <c r="B372" s="9">
        <v>2020</v>
      </c>
      <c r="C372" t="s">
        <v>54</v>
      </c>
      <c r="D372" s="11" cm="1">
        <f t="array" aca="1" ref="D372" ca="1">INDEX(INDIRECT($M372),
       MATCH(TRIM($C372), TRIM(INDIRECT($N372)), 0),
       MATCH(TRIM(D$2), TRIM(INDIRECT($O372)), 0))</f>
        <v>3</v>
      </c>
      <c r="E372" s="9" t="e" cm="1">
        <f t="array" aca="1" ref="E372" ca="1">INDEX(INDIRECT($M372),
       MATCH(TRIM($C372), TRIM(INDIRECT($N372)), 0),
       MATCH(TRIM(E$2), TRIM(INDIRECT($O372)), 0))</f>
        <v>#N/A</v>
      </c>
      <c r="F372" s="11" cm="1">
        <f t="array" aca="1" ref="F372" ca="1">INDEX(INDIRECT($M372),
       MATCH(TRIM($C372), TRIM(INDIRECT($N372)), 0),
       MATCH(TRIM(F$2), TRIM(INDIRECT($O372)), 0))</f>
        <v>295.11397299999999</v>
      </c>
      <c r="G372" s="11" cm="1">
        <f t="array" aca="1" ref="G372" ca="1">INDEX(INDIRECT($M372),
       MATCH(TRIM($C372), TRIM(INDIRECT($N372)), 0),
       MATCH(TRIM(G$2), TRIM(INDIRECT($O372)), 0))</f>
        <v>1</v>
      </c>
      <c r="H372" s="9" t="e" cm="1">
        <f t="array" aca="1" ref="H372" ca="1">INDEX(INDIRECT($M372),
       MATCH(TRIM($C372), TRIM(INDIRECT($N372)), 0),
       MATCH(TRIM(H$2), TRIM(INDIRECT($O372)), 0))</f>
        <v>#N/A</v>
      </c>
      <c r="I372" s="11" cm="1">
        <f t="array" aca="1" ref="I372" ca="1">INDEX(INDIRECT($M372),
       MATCH(TRIM($C372), TRIM(INDIRECT($N372)), 0),
       MATCH(TRIM(I$2), TRIM(INDIRECT($O372)), 0))</f>
        <v>-10.967000000000001</v>
      </c>
      <c r="J372" s="9" cm="1">
        <f t="array" aca="1" ref="J372" ca="1">INDEX(INDIRECT($M372),
       MATCH(TRIM($C372), TRIM(INDIRECT($N372)), 0),
       MATCH(TRIM(J$2), TRIM(INDIRECT($O372)), 0))</f>
        <v>2</v>
      </c>
      <c r="K372" s="11" cm="1">
        <f t="array" aca="1" ref="K372" ca="1">INDEX(INDIRECT($M372),
       MATCH(TRIM($C372), TRIM(INDIRECT($N372)), 0),
       MATCH(TRIM(K$2), TRIM(INDIRECT($O372)), 0))</f>
        <v>0.11621330808298187</v>
      </c>
      <c r="L372" s="11" cm="1">
        <f t="array" aca="1" ref="L372" ca="1">INDEX(INDIRECT($M372),
       MATCH(TRIM($C372), TRIM(INDIRECT($N372)), 0),
       MATCH(TRIM(L$2), TRIM(INDIRECT($O372)), 0))</f>
        <v>284.26318630808299</v>
      </c>
      <c r="M372" s="5" t="str">
        <f t="shared" si="15"/>
        <v>'2020'!$N$3:$V$80</v>
      </c>
      <c r="N372" s="5" t="str">
        <f t="shared" si="16"/>
        <v>'2020'!$M$2:$M$80</v>
      </c>
      <c r="O372" s="5" t="str">
        <f t="shared" si="17"/>
        <v>'2020'!$N$2:$W$2</v>
      </c>
    </row>
    <row r="373" spans="1:15" x14ac:dyDescent="0.3">
      <c r="A373">
        <v>56</v>
      </c>
      <c r="B373" s="9">
        <v>2020</v>
      </c>
      <c r="C373" t="s">
        <v>55</v>
      </c>
      <c r="D373" s="11" t="e" cm="1">
        <f t="array" aca="1" ref="D373" ca="1">INDEX(INDIRECT($M373),
       MATCH(TRIM($C373), TRIM(INDIRECT($N373)), 0),
       MATCH(TRIM(D$2), TRIM(INDIRECT($O373)), 0))</f>
        <v>#N/A</v>
      </c>
      <c r="E373" s="9" t="e" cm="1">
        <f t="array" aca="1" ref="E373" ca="1">INDEX(INDIRECT($M373),
       MATCH(TRIM($C373), TRIM(INDIRECT($N373)), 0),
       MATCH(TRIM(E$2), TRIM(INDIRECT($O373)), 0))</f>
        <v>#N/A</v>
      </c>
      <c r="F373" s="11" t="e" cm="1">
        <f t="array" aca="1" ref="F373" ca="1">INDEX(INDIRECT($M373),
       MATCH(TRIM($C373), TRIM(INDIRECT($N373)), 0),
       MATCH(TRIM(F$2), TRIM(INDIRECT($O373)), 0))</f>
        <v>#N/A</v>
      </c>
      <c r="G373" s="11" t="e" cm="1">
        <f t="array" aca="1" ref="G373" ca="1">INDEX(INDIRECT($M373),
       MATCH(TRIM($C373), TRIM(INDIRECT($N373)), 0),
       MATCH(TRIM(G$2), TRIM(INDIRECT($O373)), 0))</f>
        <v>#N/A</v>
      </c>
      <c r="H373" s="9" t="e" cm="1">
        <f t="array" aca="1" ref="H373" ca="1">INDEX(INDIRECT($M373),
       MATCH(TRIM($C373), TRIM(INDIRECT($N373)), 0),
       MATCH(TRIM(H$2), TRIM(INDIRECT($O373)), 0))</f>
        <v>#N/A</v>
      </c>
      <c r="I373" s="11" t="e" cm="1">
        <f t="array" aca="1" ref="I373" ca="1">INDEX(INDIRECT($M373),
       MATCH(TRIM($C373), TRIM(INDIRECT($N373)), 0),
       MATCH(TRIM(I$2), TRIM(INDIRECT($O373)), 0))</f>
        <v>#N/A</v>
      </c>
      <c r="J373" s="9" t="e" cm="1">
        <f t="array" aca="1" ref="J373" ca="1">INDEX(INDIRECT($M373),
       MATCH(TRIM($C373), TRIM(INDIRECT($N373)), 0),
       MATCH(TRIM(J$2), TRIM(INDIRECT($O373)), 0))</f>
        <v>#N/A</v>
      </c>
      <c r="K373" s="11" t="e" cm="1">
        <f t="array" aca="1" ref="K373" ca="1">INDEX(INDIRECT($M373),
       MATCH(TRIM($C373), TRIM(INDIRECT($N373)), 0),
       MATCH(TRIM(K$2), TRIM(INDIRECT($O373)), 0))</f>
        <v>#N/A</v>
      </c>
      <c r="L373" s="11" t="e" cm="1">
        <f t="array" aca="1" ref="L373" ca="1">INDEX(INDIRECT($M373),
       MATCH(TRIM($C373), TRIM(INDIRECT($N373)), 0),
       MATCH(TRIM(L$2), TRIM(INDIRECT($O373)), 0))</f>
        <v>#N/A</v>
      </c>
      <c r="M373" s="5" t="str">
        <f t="shared" si="15"/>
        <v>'2020'!$N$3:$V$80</v>
      </c>
      <c r="N373" s="5" t="str">
        <f t="shared" si="16"/>
        <v>'2020'!$M$2:$M$80</v>
      </c>
      <c r="O373" s="5" t="str">
        <f t="shared" si="17"/>
        <v>'2020'!$N$2:$W$2</v>
      </c>
    </row>
    <row r="374" spans="1:15" x14ac:dyDescent="0.3">
      <c r="A374">
        <v>57</v>
      </c>
      <c r="B374" s="9">
        <v>2020</v>
      </c>
      <c r="C374" t="s">
        <v>56</v>
      </c>
      <c r="D374" s="11" cm="1">
        <f t="array" aca="1" ref="D374" ca="1">INDEX(INDIRECT($M374),
       MATCH(TRIM($C374), TRIM(INDIRECT($N374)), 0),
       MATCH(TRIM(D$2), TRIM(INDIRECT($O374)), 0))</f>
        <v>0</v>
      </c>
      <c r="E374" s="9" t="e" cm="1">
        <f t="array" aca="1" ref="E374" ca="1">INDEX(INDIRECT($M374),
       MATCH(TRIM($C374), TRIM(INDIRECT($N374)), 0),
       MATCH(TRIM(E$2), TRIM(INDIRECT($O374)), 0))</f>
        <v>#N/A</v>
      </c>
      <c r="F374" s="11" cm="1">
        <f t="array" aca="1" ref="F374" ca="1">INDEX(INDIRECT($M374),
       MATCH(TRIM($C374), TRIM(INDIRECT($N374)), 0),
       MATCH(TRIM(F$2), TRIM(INDIRECT($O374)), 0))</f>
        <v>0</v>
      </c>
      <c r="G374" s="11" cm="1">
        <f t="array" aca="1" ref="G374" ca="1">INDEX(INDIRECT($M374),
       MATCH(TRIM($C374), TRIM(INDIRECT($N374)), 0),
       MATCH(TRIM(G$2), TRIM(INDIRECT($O374)), 0))</f>
        <v>0</v>
      </c>
      <c r="H374" s="9" t="e" cm="1">
        <f t="array" aca="1" ref="H374" ca="1">INDEX(INDIRECT($M374),
       MATCH(TRIM($C374), TRIM(INDIRECT($N374)), 0),
       MATCH(TRIM(H$2), TRIM(INDIRECT($O374)), 0))</f>
        <v>#N/A</v>
      </c>
      <c r="I374" s="11" cm="1">
        <f t="array" aca="1" ref="I374" ca="1">INDEX(INDIRECT($M374),
       MATCH(TRIM($C374), TRIM(INDIRECT($N374)), 0),
       MATCH(TRIM(I$2), TRIM(INDIRECT($O374)), 0))</f>
        <v>0</v>
      </c>
      <c r="J374" s="9" cm="1">
        <f t="array" aca="1" ref="J374" ca="1">INDEX(INDIRECT($M374),
       MATCH(TRIM($C374), TRIM(INDIRECT($N374)), 0),
       MATCH(TRIM(J$2), TRIM(INDIRECT($O374)), 0))</f>
        <v>1</v>
      </c>
      <c r="K374" s="11" cm="1">
        <f t="array" aca="1" ref="K374" ca="1">INDEX(INDIRECT($M374),
       MATCH(TRIM($C374), TRIM(INDIRECT($N374)), 0),
       MATCH(TRIM(K$2), TRIM(INDIRECT($O374)), 0))</f>
        <v>0.87892743393302897</v>
      </c>
      <c r="L374" s="11" cm="1">
        <f t="array" aca="1" ref="L374" ca="1">INDEX(INDIRECT($M374),
       MATCH(TRIM($C374), TRIM(INDIRECT($N374)), 0),
       MATCH(TRIM(L$2), TRIM(INDIRECT($O374)), 0))</f>
        <v>0.87892743393302897</v>
      </c>
      <c r="M374" s="5" t="str">
        <f t="shared" si="15"/>
        <v>'2020'!$N$3:$V$80</v>
      </c>
      <c r="N374" s="5" t="str">
        <f t="shared" si="16"/>
        <v>'2020'!$M$2:$M$80</v>
      </c>
      <c r="O374" s="5" t="str">
        <f t="shared" si="17"/>
        <v>'2020'!$N$2:$W$2</v>
      </c>
    </row>
    <row r="375" spans="1:15" x14ac:dyDescent="0.3">
      <c r="A375">
        <v>58</v>
      </c>
      <c r="B375" s="9">
        <v>2020</v>
      </c>
      <c r="C375" t="s">
        <v>57</v>
      </c>
      <c r="D375" s="11" cm="1">
        <f t="array" aca="1" ref="D375" ca="1">INDEX(INDIRECT($M375),
       MATCH(TRIM($C375), TRIM(INDIRECT($N375)), 0),
       MATCH(TRIM(D$2), TRIM(INDIRECT($O375)), 0))</f>
        <v>4</v>
      </c>
      <c r="E375" s="9" t="e" cm="1">
        <f t="array" aca="1" ref="E375" ca="1">INDEX(INDIRECT($M375),
       MATCH(TRIM($C375), TRIM(INDIRECT($N375)), 0),
       MATCH(TRIM(E$2), TRIM(INDIRECT($O375)), 0))</f>
        <v>#N/A</v>
      </c>
      <c r="F375" s="11" cm="1">
        <f t="array" aca="1" ref="F375" ca="1">INDEX(INDIRECT($M375),
       MATCH(TRIM($C375), TRIM(INDIRECT($N375)), 0),
       MATCH(TRIM(F$2), TRIM(INDIRECT($O375)), 0))</f>
        <v>149.622883</v>
      </c>
      <c r="G375" s="11" cm="1">
        <f t="array" aca="1" ref="G375" ca="1">INDEX(INDIRECT($M375),
       MATCH(TRIM($C375), TRIM(INDIRECT($N375)), 0),
       MATCH(TRIM(G$2), TRIM(INDIRECT($O375)), 0))</f>
        <v>0</v>
      </c>
      <c r="H375" s="9" t="e" cm="1">
        <f t="array" aca="1" ref="H375" ca="1">INDEX(INDIRECT($M375),
       MATCH(TRIM($C375), TRIM(INDIRECT($N375)), 0),
       MATCH(TRIM(H$2), TRIM(INDIRECT($O375)), 0))</f>
        <v>#N/A</v>
      </c>
      <c r="I375" s="11" cm="1">
        <f t="array" aca="1" ref="I375" ca="1">INDEX(INDIRECT($M375),
       MATCH(TRIM($C375), TRIM(INDIRECT($N375)), 0),
       MATCH(TRIM(I$2), TRIM(INDIRECT($O375)), 0))</f>
        <v>0</v>
      </c>
      <c r="J375" s="9" cm="1">
        <f t="array" aca="1" ref="J375" ca="1">INDEX(INDIRECT($M375),
       MATCH(TRIM($C375), TRIM(INDIRECT($N375)), 0),
       MATCH(TRIM(J$2), TRIM(INDIRECT($O375)), 0))</f>
        <v>1</v>
      </c>
      <c r="K375" s="11" cm="1">
        <f t="array" aca="1" ref="K375" ca="1">INDEX(INDIRECT($M375),
       MATCH(TRIM($C375), TRIM(INDIRECT($N375)), 0),
       MATCH(TRIM(K$2), TRIM(INDIRECT($O375)), 0))</f>
        <v>0.13584661728501299</v>
      </c>
      <c r="L375" s="11" cm="1">
        <f t="array" aca="1" ref="L375" ca="1">INDEX(INDIRECT($M375),
       MATCH(TRIM($C375), TRIM(INDIRECT($N375)), 0),
       MATCH(TRIM(L$2), TRIM(INDIRECT($O375)), 0))</f>
        <v>149.75872961728501</v>
      </c>
      <c r="M375" s="5" t="str">
        <f t="shared" si="15"/>
        <v>'2020'!$N$3:$V$80</v>
      </c>
      <c r="N375" s="5" t="str">
        <f t="shared" si="16"/>
        <v>'2020'!$M$2:$M$80</v>
      </c>
      <c r="O375" s="5" t="str">
        <f t="shared" si="17"/>
        <v>'2020'!$N$2:$W$2</v>
      </c>
    </row>
    <row r="376" spans="1:15" x14ac:dyDescent="0.3">
      <c r="A376">
        <v>59</v>
      </c>
      <c r="B376" s="9">
        <v>2020</v>
      </c>
      <c r="C376" t="s">
        <v>58</v>
      </c>
      <c r="D376" s="11" cm="1">
        <f t="array" aca="1" ref="D376" ca="1">INDEX(INDIRECT($M376),
       MATCH(TRIM($C376), TRIM(INDIRECT($N376)), 0),
       MATCH(TRIM(D$2), TRIM(INDIRECT($O376)), 0))</f>
        <v>0</v>
      </c>
      <c r="E376" s="9" t="e" cm="1">
        <f t="array" aca="1" ref="E376" ca="1">INDEX(INDIRECT($M376),
       MATCH(TRIM($C376), TRIM(INDIRECT($N376)), 0),
       MATCH(TRIM(E$2), TRIM(INDIRECT($O376)), 0))</f>
        <v>#N/A</v>
      </c>
      <c r="F376" s="11" cm="1">
        <f t="array" aca="1" ref="F376" ca="1">INDEX(INDIRECT($M376),
       MATCH(TRIM($C376), TRIM(INDIRECT($N376)), 0),
       MATCH(TRIM(F$2), TRIM(INDIRECT($O376)), 0))</f>
        <v>0</v>
      </c>
      <c r="G376" s="11" cm="1">
        <f t="array" aca="1" ref="G376" ca="1">INDEX(INDIRECT($M376),
       MATCH(TRIM($C376), TRIM(INDIRECT($N376)), 0),
       MATCH(TRIM(G$2), TRIM(INDIRECT($O376)), 0))</f>
        <v>0</v>
      </c>
      <c r="H376" s="9" t="e" cm="1">
        <f t="array" aca="1" ref="H376" ca="1">INDEX(INDIRECT($M376),
       MATCH(TRIM($C376), TRIM(INDIRECT($N376)), 0),
       MATCH(TRIM(H$2), TRIM(INDIRECT($O376)), 0))</f>
        <v>#N/A</v>
      </c>
      <c r="I376" s="11" cm="1">
        <f t="array" aca="1" ref="I376" ca="1">INDEX(INDIRECT($M376),
       MATCH(TRIM($C376), TRIM(INDIRECT($N376)), 0),
       MATCH(TRIM(I$2), TRIM(INDIRECT($O376)), 0))</f>
        <v>0</v>
      </c>
      <c r="J376" s="9" cm="1">
        <f t="array" aca="1" ref="J376" ca="1">INDEX(INDIRECT($M376),
       MATCH(TRIM($C376), TRIM(INDIRECT($N376)), 0),
       MATCH(TRIM(J$2), TRIM(INDIRECT($O376)), 0))</f>
        <v>1</v>
      </c>
      <c r="K376" s="11" cm="1">
        <f t="array" aca="1" ref="K376" ca="1">INDEX(INDIRECT($M376),
       MATCH(TRIM($C376), TRIM(INDIRECT($N376)), 0),
       MATCH(TRIM(K$2), TRIM(INDIRECT($O376)), 0))</f>
        <v>8.4090746061805999E-2</v>
      </c>
      <c r="L376" s="11" cm="1">
        <f t="array" aca="1" ref="L376" ca="1">INDEX(INDIRECT($M376),
       MATCH(TRIM($C376), TRIM(INDIRECT($N376)), 0),
       MATCH(TRIM(L$2), TRIM(INDIRECT($O376)), 0))</f>
        <v>8.4090746061805999E-2</v>
      </c>
      <c r="M376" s="5" t="str">
        <f t="shared" si="15"/>
        <v>'2020'!$N$3:$V$80</v>
      </c>
      <c r="N376" s="5" t="str">
        <f t="shared" si="16"/>
        <v>'2020'!$M$2:$M$80</v>
      </c>
      <c r="O376" s="5" t="str">
        <f t="shared" si="17"/>
        <v>'2020'!$N$2:$W$2</v>
      </c>
    </row>
    <row r="377" spans="1:15" x14ac:dyDescent="0.3">
      <c r="A377">
        <v>60</v>
      </c>
      <c r="B377" s="9">
        <v>2020</v>
      </c>
      <c r="C377" t="s">
        <v>59</v>
      </c>
      <c r="D377" s="11" t="e" cm="1">
        <f t="array" aca="1" ref="D377" ca="1">INDEX(INDIRECT($M377),
       MATCH(TRIM($C377), TRIM(INDIRECT($N377)), 0),
       MATCH(TRIM(D$2), TRIM(INDIRECT($O377)), 0))</f>
        <v>#N/A</v>
      </c>
      <c r="E377" s="9" t="e" cm="1">
        <f t="array" aca="1" ref="E377" ca="1">INDEX(INDIRECT($M377),
       MATCH(TRIM($C377), TRIM(INDIRECT($N377)), 0),
       MATCH(TRIM(E$2), TRIM(INDIRECT($O377)), 0))</f>
        <v>#N/A</v>
      </c>
      <c r="F377" s="11" t="e" cm="1">
        <f t="array" aca="1" ref="F377" ca="1">INDEX(INDIRECT($M377),
       MATCH(TRIM($C377), TRIM(INDIRECT($N377)), 0),
       MATCH(TRIM(F$2), TRIM(INDIRECT($O377)), 0))</f>
        <v>#N/A</v>
      </c>
      <c r="G377" s="11" t="e" cm="1">
        <f t="array" aca="1" ref="G377" ca="1">INDEX(INDIRECT($M377),
       MATCH(TRIM($C377), TRIM(INDIRECT($N377)), 0),
       MATCH(TRIM(G$2), TRIM(INDIRECT($O377)), 0))</f>
        <v>#N/A</v>
      </c>
      <c r="H377" s="9" t="e" cm="1">
        <f t="array" aca="1" ref="H377" ca="1">INDEX(INDIRECT($M377),
       MATCH(TRIM($C377), TRIM(INDIRECT($N377)), 0),
       MATCH(TRIM(H$2), TRIM(INDIRECT($O377)), 0))</f>
        <v>#N/A</v>
      </c>
      <c r="I377" s="11" t="e" cm="1">
        <f t="array" aca="1" ref="I377" ca="1">INDEX(INDIRECT($M377),
       MATCH(TRIM($C377), TRIM(INDIRECT($N377)), 0),
       MATCH(TRIM(I$2), TRIM(INDIRECT($O377)), 0))</f>
        <v>#N/A</v>
      </c>
      <c r="J377" s="9" t="e" cm="1">
        <f t="array" aca="1" ref="J377" ca="1">INDEX(INDIRECT($M377),
       MATCH(TRIM($C377), TRIM(INDIRECT($N377)), 0),
       MATCH(TRIM(J$2), TRIM(INDIRECT($O377)), 0))</f>
        <v>#N/A</v>
      </c>
      <c r="K377" s="11" t="e" cm="1">
        <f t="array" aca="1" ref="K377" ca="1">INDEX(INDIRECT($M377),
       MATCH(TRIM($C377), TRIM(INDIRECT($N377)), 0),
       MATCH(TRIM(K$2), TRIM(INDIRECT($O377)), 0))</f>
        <v>#N/A</v>
      </c>
      <c r="L377" s="11" t="e" cm="1">
        <f t="array" aca="1" ref="L377" ca="1">INDEX(INDIRECT($M377),
       MATCH(TRIM($C377), TRIM(INDIRECT($N377)), 0),
       MATCH(TRIM(L$2), TRIM(INDIRECT($O377)), 0))</f>
        <v>#N/A</v>
      </c>
      <c r="M377" s="5" t="str">
        <f t="shared" si="15"/>
        <v>'2020'!$N$3:$V$80</v>
      </c>
      <c r="N377" s="5" t="str">
        <f t="shared" si="16"/>
        <v>'2020'!$M$2:$M$80</v>
      </c>
      <c r="O377" s="5" t="str">
        <f t="shared" si="17"/>
        <v>'2020'!$N$2:$W$2</v>
      </c>
    </row>
    <row r="378" spans="1:15" x14ac:dyDescent="0.3">
      <c r="A378">
        <v>61</v>
      </c>
      <c r="B378" s="9">
        <v>2020</v>
      </c>
      <c r="C378" t="s">
        <v>60</v>
      </c>
      <c r="D378" s="11" cm="1">
        <f t="array" aca="1" ref="D378" ca="1">INDEX(INDIRECT($M378),
       MATCH(TRIM($C378), TRIM(INDIRECT($N378)), 0),
       MATCH(TRIM(D$2), TRIM(INDIRECT($O378)), 0))</f>
        <v>2</v>
      </c>
      <c r="E378" s="9" t="e" cm="1">
        <f t="array" aca="1" ref="E378" ca="1">INDEX(INDIRECT($M378),
       MATCH(TRIM($C378), TRIM(INDIRECT($N378)), 0),
       MATCH(TRIM(E$2), TRIM(INDIRECT($O378)), 0))</f>
        <v>#N/A</v>
      </c>
      <c r="F378" s="11" cm="1">
        <f t="array" aca="1" ref="F378" ca="1">INDEX(INDIRECT($M378),
       MATCH(TRIM($C378), TRIM(INDIRECT($N378)), 0),
       MATCH(TRIM(F$2), TRIM(INDIRECT($O378)), 0))</f>
        <v>3.58</v>
      </c>
      <c r="G378" s="11" cm="1">
        <f t="array" aca="1" ref="G378" ca="1">INDEX(INDIRECT($M378),
       MATCH(TRIM($C378), TRIM(INDIRECT($N378)), 0),
       MATCH(TRIM(G$2), TRIM(INDIRECT($O378)), 0))</f>
        <v>3</v>
      </c>
      <c r="H378" s="9" t="e" cm="1">
        <f t="array" aca="1" ref="H378" ca="1">INDEX(INDIRECT($M378),
       MATCH(TRIM($C378), TRIM(INDIRECT($N378)), 0),
       MATCH(TRIM(H$2), TRIM(INDIRECT($O378)), 0))</f>
        <v>#N/A</v>
      </c>
      <c r="I378" s="11" cm="1">
        <f t="array" aca="1" ref="I378" ca="1">INDEX(INDIRECT($M378),
       MATCH(TRIM($C378), TRIM(INDIRECT($N378)), 0),
       MATCH(TRIM(I$2), TRIM(INDIRECT($O378)), 0))</f>
        <v>8.8603579999999997</v>
      </c>
      <c r="J378" s="9" cm="1">
        <f t="array" aca="1" ref="J378" ca="1">INDEX(INDIRECT($M378),
       MATCH(TRIM($C378), TRIM(INDIRECT($N378)), 0),
       MATCH(TRIM(J$2), TRIM(INDIRECT($O378)), 0))</f>
        <v>9</v>
      </c>
      <c r="K378" s="11" cm="1">
        <f t="array" aca="1" ref="K378" ca="1">INDEX(INDIRECT($M378),
       MATCH(TRIM($C378), TRIM(INDIRECT($N378)), 0),
       MATCH(TRIM(K$2), TRIM(INDIRECT($O378)), 0))</f>
        <v>11.838211242145142</v>
      </c>
      <c r="L378" s="11" cm="1">
        <f t="array" aca="1" ref="L378" ca="1">INDEX(INDIRECT($M378),
       MATCH(TRIM($C378), TRIM(INDIRECT($N378)), 0),
       MATCH(TRIM(L$2), TRIM(INDIRECT($O378)), 0))</f>
        <v>24.278569242145142</v>
      </c>
      <c r="M378" s="5" t="str">
        <f t="shared" si="15"/>
        <v>'2020'!$N$3:$V$80</v>
      </c>
      <c r="N378" s="5" t="str">
        <f t="shared" si="16"/>
        <v>'2020'!$M$2:$M$80</v>
      </c>
      <c r="O378" s="5" t="str">
        <f t="shared" si="17"/>
        <v>'2020'!$N$2:$W$2</v>
      </c>
    </row>
    <row r="379" spans="1:15" x14ac:dyDescent="0.3">
      <c r="A379">
        <v>62</v>
      </c>
      <c r="B379" s="9">
        <v>2020</v>
      </c>
      <c r="C379" t="s">
        <v>61</v>
      </c>
      <c r="D379" s="11" cm="1">
        <f t="array" aca="1" ref="D379" ca="1">INDEX(INDIRECT($M379),
       MATCH(TRIM($C379), TRIM(INDIRECT($N379)), 0),
       MATCH(TRIM(D$2), TRIM(INDIRECT($O379)), 0))</f>
        <v>1</v>
      </c>
      <c r="E379" s="9" t="e" cm="1">
        <f t="array" aca="1" ref="E379" ca="1">INDEX(INDIRECT($M379),
       MATCH(TRIM($C379), TRIM(INDIRECT($N379)), 0),
       MATCH(TRIM(E$2), TRIM(INDIRECT($O379)), 0))</f>
        <v>#N/A</v>
      </c>
      <c r="F379" s="11" cm="1">
        <f t="array" aca="1" ref="F379" ca="1">INDEX(INDIRECT($M379),
       MATCH(TRIM($C379), TRIM(INDIRECT($N379)), 0),
       MATCH(TRIM(F$2), TRIM(INDIRECT($O379)), 0))</f>
        <v>7</v>
      </c>
      <c r="G379" s="11" cm="1">
        <f t="array" aca="1" ref="G379" ca="1">INDEX(INDIRECT($M379),
       MATCH(TRIM($C379), TRIM(INDIRECT($N379)), 0),
       MATCH(TRIM(G$2), TRIM(INDIRECT($O379)), 0))</f>
        <v>1</v>
      </c>
      <c r="H379" s="9" t="e" cm="1">
        <f t="array" aca="1" ref="H379" ca="1">INDEX(INDIRECT($M379),
       MATCH(TRIM($C379), TRIM(INDIRECT($N379)), 0),
       MATCH(TRIM(H$2), TRIM(INDIRECT($O379)), 0))</f>
        <v>#N/A</v>
      </c>
      <c r="I379" s="11" cm="1">
        <f t="array" aca="1" ref="I379" ca="1">INDEX(INDIRECT($M379),
       MATCH(TRIM($C379), TRIM(INDIRECT($N379)), 0),
       MATCH(TRIM(I$2), TRIM(INDIRECT($O379)), 0))</f>
        <v>0.43225400000000003</v>
      </c>
      <c r="J379" s="9" cm="1">
        <f t="array" aca="1" ref="J379" ca="1">INDEX(INDIRECT($M379),
       MATCH(TRIM($C379), TRIM(INDIRECT($N379)), 0),
       MATCH(TRIM(J$2), TRIM(INDIRECT($O379)), 0))</f>
        <v>2</v>
      </c>
      <c r="K379" s="11" cm="1">
        <f t="array" aca="1" ref="K379" ca="1">INDEX(INDIRECT($M379),
       MATCH(TRIM($C379), TRIM(INDIRECT($N379)), 0),
       MATCH(TRIM(K$2), TRIM(INDIRECT($O379)), 0))</f>
        <v>0.86080743737625842</v>
      </c>
      <c r="L379" s="11" cm="1">
        <f t="array" aca="1" ref="L379" ca="1">INDEX(INDIRECT($M379),
       MATCH(TRIM($C379), TRIM(INDIRECT($N379)), 0),
       MATCH(TRIM(L$2), TRIM(INDIRECT($O379)), 0))</f>
        <v>8.2930614373762594</v>
      </c>
      <c r="M379" s="5" t="str">
        <f t="shared" si="15"/>
        <v>'2020'!$N$3:$V$80</v>
      </c>
      <c r="N379" s="5" t="str">
        <f t="shared" si="16"/>
        <v>'2020'!$M$2:$M$80</v>
      </c>
      <c r="O379" s="5" t="str">
        <f t="shared" si="17"/>
        <v>'2020'!$N$2:$W$2</v>
      </c>
    </row>
    <row r="380" spans="1:15" x14ac:dyDescent="0.3">
      <c r="A380">
        <v>63</v>
      </c>
      <c r="B380" s="9">
        <v>2020</v>
      </c>
      <c r="C380" t="s">
        <v>62</v>
      </c>
      <c r="D380" s="11" cm="1">
        <f t="array" aca="1" ref="D380" ca="1">INDEX(INDIRECT($M380),
       MATCH(TRIM($C380), TRIM(INDIRECT($N380)), 0),
       MATCH(TRIM(D$2), TRIM(INDIRECT($O380)), 0))</f>
        <v>2523</v>
      </c>
      <c r="E380" s="9" cm="1">
        <f t="array" aca="1" ref="E380" ca="1">INDEX(INDIRECT($M380),
       MATCH(TRIM($C380), TRIM(INDIRECT($N380)), 0),
       MATCH(TRIM(E$2), TRIM(INDIRECT($O380)), 0))</f>
        <v>0</v>
      </c>
      <c r="F380" s="11" cm="1">
        <f t="array" aca="1" ref="F380" ca="1">INDEX(INDIRECT($M380),
       MATCH(TRIM($C380), TRIM(INDIRECT($N380)), 0),
       MATCH(TRIM(F$2), TRIM(INDIRECT($O380)), 0))</f>
        <v>14646.417346000006</v>
      </c>
      <c r="G380" s="11" cm="1">
        <f t="array" aca="1" ref="G380" ca="1">INDEX(INDIRECT($M380),
       MATCH(TRIM($C380), TRIM(INDIRECT($N380)), 0),
       MATCH(TRIM(G$2), TRIM(INDIRECT($O380)), 0))</f>
        <v>1140</v>
      </c>
      <c r="H380" s="9" cm="1">
        <f t="array" aca="1" ref="H380" ca="1">INDEX(INDIRECT($M380),
       MATCH(TRIM($C380), TRIM(INDIRECT($N380)), 0),
       MATCH(TRIM(H$2), TRIM(INDIRECT($O380)), 0))</f>
        <v>0</v>
      </c>
      <c r="I380" s="11" cm="1">
        <f t="array" aca="1" ref="I380" ca="1">INDEX(INDIRECT($M380),
       MATCH(TRIM($C380), TRIM(INDIRECT($N380)), 0),
       MATCH(TRIM(I$2), TRIM(INDIRECT($O380)), 0))</f>
        <v>6414.4856404600023</v>
      </c>
      <c r="J380" s="9" cm="1">
        <f t="array" aca="1" ref="J380" ca="1">INDEX(INDIRECT($M380),
       MATCH(TRIM($C380), TRIM(INDIRECT($N380)), 0),
       MATCH(TRIM(J$2), TRIM(INDIRECT($O380)), 0))</f>
        <v>6141</v>
      </c>
      <c r="K380" s="11" cm="1">
        <f t="array" aca="1" ref="K380" ca="1">INDEX(INDIRECT($M380),
       MATCH(TRIM($C380), TRIM(INDIRECT($N380)), 0),
       MATCH(TRIM(K$2), TRIM(INDIRECT($O380)), 0))</f>
        <v>7469.1981319629203</v>
      </c>
      <c r="L380" s="11" cm="1">
        <f t="array" aca="1" ref="L380" ca="1">INDEX(INDIRECT($M380),
       MATCH(TRIM($C380), TRIM(INDIRECT($N380)), 0),
       MATCH(TRIM(L$2), TRIM(INDIRECT($O380)), 0))</f>
        <v>28530.101118422921</v>
      </c>
      <c r="M380" s="5" t="str">
        <f t="shared" si="15"/>
        <v>'2020'!$N$3:$V$80</v>
      </c>
      <c r="N380" s="5" t="str">
        <f t="shared" si="16"/>
        <v>'2020'!$M$2:$M$80</v>
      </c>
      <c r="O380" s="5" t="str">
        <f t="shared" si="17"/>
        <v>'2020'!$N$2:$W$2</v>
      </c>
    </row>
    <row r="381" spans="1:15" x14ac:dyDescent="0.3">
      <c r="A381">
        <v>1</v>
      </c>
      <c r="B381" s="9">
        <v>2021</v>
      </c>
      <c r="C381" t="s">
        <v>0</v>
      </c>
      <c r="D381" s="11" cm="1">
        <f t="array" aca="1" ref="D381" ca="1">INDEX(INDIRECT($M381),
       MATCH(TRIM($C381), TRIM(INDIRECT($N381)), 0),
       MATCH(TRIM(D$2), TRIM(INDIRECT($O381)), 0))</f>
        <v>633</v>
      </c>
      <c r="E381" s="9" t="e" cm="1">
        <f t="array" aca="1" ref="E381" ca="1">INDEX(INDIRECT($M381),
       MATCH(TRIM($C381), TRIM(INDIRECT($N381)), 0),
       MATCH(TRIM(E$2), TRIM(INDIRECT($O381)), 0))</f>
        <v>#N/A</v>
      </c>
      <c r="F381" s="11" cm="1">
        <f t="array" aca="1" ref="F381" ca="1">INDEX(INDIRECT($M381),
       MATCH(TRIM($C381), TRIM(INDIRECT($N381)), 0),
       MATCH(TRIM(F$2), TRIM(INDIRECT($O381)), 0))</f>
        <v>686.63199671000018</v>
      </c>
      <c r="G381" s="11" cm="1">
        <f t="array" aca="1" ref="G381" ca="1">INDEX(INDIRECT($M381),
       MATCH(TRIM($C381), TRIM(INDIRECT($N381)), 0),
       MATCH(TRIM(G$2), TRIM(INDIRECT($O381)), 0))</f>
        <v>178</v>
      </c>
      <c r="H381" s="9" t="e" cm="1">
        <f t="array" aca="1" ref="H381" ca="1">INDEX(INDIRECT($M381),
       MATCH(TRIM($C381), TRIM(INDIRECT($N381)), 0),
       MATCH(TRIM(H$2), TRIM(INDIRECT($O381)), 0))</f>
        <v>#N/A</v>
      </c>
      <c r="I381" s="11" cm="1">
        <f t="array" aca="1" ref="I381" ca="1">INDEX(INDIRECT($M381),
       MATCH(TRIM($C381), TRIM(INDIRECT($N381)), 0),
       MATCH(TRIM(I$2), TRIM(INDIRECT($O381)), 0))</f>
        <v>1124.2848928828125</v>
      </c>
      <c r="J381" s="9" cm="1">
        <f t="array" aca="1" ref="J381" ca="1">INDEX(INDIRECT($M381),
       MATCH(TRIM($C381), TRIM(INDIRECT($N381)), 0),
       MATCH(TRIM(J$2), TRIM(INDIRECT($O381)), 0))</f>
        <v>2289</v>
      </c>
      <c r="K381" s="11" cm="1">
        <f t="array" aca="1" ref="K381" ca="1">INDEX(INDIRECT($M381),
       MATCH(TRIM($C381), TRIM(INDIRECT($N381)), 0),
       MATCH(TRIM(K$2), TRIM(INDIRECT($O381)), 0))</f>
        <v>1927.2088600800002</v>
      </c>
      <c r="L381" s="11" cm="1">
        <f t="array" aca="1" ref="L381" ca="1">INDEX(INDIRECT($M381),
       MATCH(TRIM($C381), TRIM(INDIRECT($N381)), 0),
       MATCH(TRIM(L$2), TRIM(INDIRECT($O381)), 0))</f>
        <v>3738.1257496728131</v>
      </c>
      <c r="M381" s="5" t="str">
        <f t="shared" si="15"/>
        <v>'2021'!$N$3:$V$80</v>
      </c>
      <c r="N381" s="5" t="str">
        <f t="shared" si="16"/>
        <v>'2021'!$M$2:$M$80</v>
      </c>
      <c r="O381" s="5" t="str">
        <f t="shared" si="17"/>
        <v>'2021'!$N$2:$W$2</v>
      </c>
    </row>
    <row r="382" spans="1:15" x14ac:dyDescent="0.3">
      <c r="A382">
        <v>2</v>
      </c>
      <c r="B382" s="9">
        <v>2021</v>
      </c>
      <c r="C382" t="s">
        <v>1</v>
      </c>
      <c r="D382" s="11" cm="1">
        <f t="array" aca="1" ref="D382" ca="1">INDEX(INDIRECT($M382),
       MATCH(TRIM($C382), TRIM(INDIRECT($N382)), 0),
       MATCH(TRIM(D$2), TRIM(INDIRECT($O382)), 0))</f>
        <v>75</v>
      </c>
      <c r="E382" s="9" t="e" cm="1">
        <f t="array" aca="1" ref="E382" ca="1">INDEX(INDIRECT($M382),
       MATCH(TRIM($C382), TRIM(INDIRECT($N382)), 0),
       MATCH(TRIM(E$2), TRIM(INDIRECT($O382)), 0))</f>
        <v>#N/A</v>
      </c>
      <c r="F382" s="11" cm="1">
        <f t="array" aca="1" ref="F382" ca="1">INDEX(INDIRECT($M382),
       MATCH(TRIM($C382), TRIM(INDIRECT($N382)), 0),
       MATCH(TRIM(F$2), TRIM(INDIRECT($O382)), 0))</f>
        <v>629.55720099999996</v>
      </c>
      <c r="G382" s="11" cm="1">
        <f t="array" aca="1" ref="G382" ca="1">INDEX(INDIRECT($M382),
       MATCH(TRIM($C382), TRIM(INDIRECT($N382)), 0),
       MATCH(TRIM(G$2), TRIM(INDIRECT($O382)), 0))</f>
        <v>26</v>
      </c>
      <c r="H382" s="9" t="e" cm="1">
        <f t="array" aca="1" ref="H382" ca="1">INDEX(INDIRECT($M382),
       MATCH(TRIM($C382), TRIM(INDIRECT($N382)), 0),
       MATCH(TRIM(H$2), TRIM(INDIRECT($O382)), 0))</f>
        <v>#N/A</v>
      </c>
      <c r="I382" s="11" cm="1">
        <f t="array" aca="1" ref="I382" ca="1">INDEX(INDIRECT($M382),
       MATCH(TRIM($C382), TRIM(INDIRECT($N382)), 0),
       MATCH(TRIM(I$2), TRIM(INDIRECT($O382)), 0))</f>
        <v>669.52313908593749</v>
      </c>
      <c r="J382" s="9" cm="1">
        <f t="array" aca="1" ref="J382" ca="1">INDEX(INDIRECT($M382),
       MATCH(TRIM($C382), TRIM(INDIRECT($N382)), 0),
       MATCH(TRIM(J$2), TRIM(INDIRECT($O382)), 0))</f>
        <v>202</v>
      </c>
      <c r="K382" s="11" cm="1">
        <f t="array" aca="1" ref="K382" ca="1">INDEX(INDIRECT($M382),
       MATCH(TRIM($C382), TRIM(INDIRECT($N382)), 0),
       MATCH(TRIM(K$2), TRIM(INDIRECT($O382)), 0))</f>
        <v>834.04621169000006</v>
      </c>
      <c r="L382" s="11" cm="1">
        <f t="array" aca="1" ref="L382" ca="1">INDEX(INDIRECT($M382),
       MATCH(TRIM($C382), TRIM(INDIRECT($N382)), 0),
       MATCH(TRIM(L$2), TRIM(INDIRECT($O382)), 0))</f>
        <v>2133.1265517759375</v>
      </c>
      <c r="M382" s="5" t="str">
        <f t="shared" si="15"/>
        <v>'2021'!$N$3:$V$80</v>
      </c>
      <c r="N382" s="5" t="str">
        <f t="shared" si="16"/>
        <v>'2021'!$M$2:$M$80</v>
      </c>
      <c r="O382" s="5" t="str">
        <f t="shared" si="17"/>
        <v>'2021'!$N$2:$W$2</v>
      </c>
    </row>
    <row r="383" spans="1:15" x14ac:dyDescent="0.3">
      <c r="A383">
        <v>3</v>
      </c>
      <c r="B383" s="9">
        <v>2021</v>
      </c>
      <c r="C383" t="s">
        <v>2</v>
      </c>
      <c r="D383" s="11" cm="1">
        <f t="array" aca="1" ref="D383" ca="1">INDEX(INDIRECT($M383),
       MATCH(TRIM($C383), TRIM(INDIRECT($N383)), 0),
       MATCH(TRIM(D$2), TRIM(INDIRECT($O383)), 0))</f>
        <v>51</v>
      </c>
      <c r="E383" s="9" t="e" cm="1">
        <f t="array" aca="1" ref="E383" ca="1">INDEX(INDIRECT($M383),
       MATCH(TRIM($C383), TRIM(INDIRECT($N383)), 0),
       MATCH(TRIM(E$2), TRIM(INDIRECT($O383)), 0))</f>
        <v>#N/A</v>
      </c>
      <c r="F383" s="11" cm="1">
        <f t="array" aca="1" ref="F383" ca="1">INDEX(INDIRECT($M383),
       MATCH(TRIM($C383), TRIM(INDIRECT($N383)), 0),
       MATCH(TRIM(F$2), TRIM(INDIRECT($O383)), 0))</f>
        <v>295.44167649000002</v>
      </c>
      <c r="G383" s="11" cm="1">
        <f t="array" aca="1" ref="G383" ca="1">INDEX(INDIRECT($M383),
       MATCH(TRIM($C383), TRIM(INDIRECT($N383)), 0),
       MATCH(TRIM(G$2), TRIM(INDIRECT($O383)), 0))</f>
        <v>49</v>
      </c>
      <c r="H383" s="9" t="e" cm="1">
        <f t="array" aca="1" ref="H383" ca="1">INDEX(INDIRECT($M383),
       MATCH(TRIM($C383), TRIM(INDIRECT($N383)), 0),
       MATCH(TRIM(H$2), TRIM(INDIRECT($O383)), 0))</f>
        <v>#N/A</v>
      </c>
      <c r="I383" s="11" cm="1">
        <f t="array" aca="1" ref="I383" ca="1">INDEX(INDIRECT($M383),
       MATCH(TRIM($C383), TRIM(INDIRECT($N383)), 0),
       MATCH(TRIM(I$2), TRIM(INDIRECT($O383)), 0))</f>
        <v>466.96800400000001</v>
      </c>
      <c r="J383" s="9" cm="1">
        <f t="array" aca="1" ref="J383" ca="1">INDEX(INDIRECT($M383),
       MATCH(TRIM($C383), TRIM(INDIRECT($N383)), 0),
       MATCH(TRIM(J$2), TRIM(INDIRECT($O383)), 0))</f>
        <v>87</v>
      </c>
      <c r="K383" s="11" cm="1">
        <f t="array" aca="1" ref="K383" ca="1">INDEX(INDIRECT($M383),
       MATCH(TRIM($C383), TRIM(INDIRECT($N383)), 0),
       MATCH(TRIM(K$2), TRIM(INDIRECT($O383)), 0))</f>
        <v>597.27409680000005</v>
      </c>
      <c r="L383" s="11" cm="1">
        <f t="array" aca="1" ref="L383" ca="1">INDEX(INDIRECT($M383),
       MATCH(TRIM($C383), TRIM(INDIRECT($N383)), 0),
       MATCH(TRIM(L$2), TRIM(INDIRECT($O383)), 0))</f>
        <v>1359.6837772900001</v>
      </c>
      <c r="M383" s="5" t="str">
        <f t="shared" si="15"/>
        <v>'2021'!$N$3:$V$80</v>
      </c>
      <c r="N383" s="5" t="str">
        <f t="shared" si="16"/>
        <v>'2021'!$M$2:$M$80</v>
      </c>
      <c r="O383" s="5" t="str">
        <f t="shared" si="17"/>
        <v>'2021'!$N$2:$W$2</v>
      </c>
    </row>
    <row r="384" spans="1:15" x14ac:dyDescent="0.3">
      <c r="A384">
        <v>4</v>
      </c>
      <c r="B384" s="9">
        <v>2021</v>
      </c>
      <c r="C384" t="s">
        <v>3</v>
      </c>
      <c r="D384" s="11" cm="1">
        <f t="array" aca="1" ref="D384" ca="1">INDEX(INDIRECT($M384),
       MATCH(TRIM($C384), TRIM(INDIRECT($N384)), 0),
       MATCH(TRIM(D$2), TRIM(INDIRECT($O384)), 0))</f>
        <v>126</v>
      </c>
      <c r="E384" s="9" t="e" cm="1">
        <f t="array" aca="1" ref="E384" ca="1">INDEX(INDIRECT($M384),
       MATCH(TRIM($C384), TRIM(INDIRECT($N384)), 0),
       MATCH(TRIM(E$2), TRIM(INDIRECT($O384)), 0))</f>
        <v>#N/A</v>
      </c>
      <c r="F384" s="11" cm="1">
        <f t="array" aca="1" ref="F384" ca="1">INDEX(INDIRECT($M384),
       MATCH(TRIM($C384), TRIM(INDIRECT($N384)), 0),
       MATCH(TRIM(F$2), TRIM(INDIRECT($O384)), 0))</f>
        <v>1170.5054689999999</v>
      </c>
      <c r="G384" s="11" cm="1">
        <f t="array" aca="1" ref="G384" ca="1">INDEX(INDIRECT($M384),
       MATCH(TRIM($C384), TRIM(INDIRECT($N384)), 0),
       MATCH(TRIM(G$2), TRIM(INDIRECT($O384)), 0))</f>
        <v>96</v>
      </c>
      <c r="H384" s="9" t="e" cm="1">
        <f t="array" aca="1" ref="H384" ca="1">INDEX(INDIRECT($M384),
       MATCH(TRIM($C384), TRIM(INDIRECT($N384)), 0),
       MATCH(TRIM(H$2), TRIM(INDIRECT($O384)), 0))</f>
        <v>#N/A</v>
      </c>
      <c r="I384" s="11" cm="1">
        <f t="array" aca="1" ref="I384" ca="1">INDEX(INDIRECT($M384),
       MATCH(TRIM($C384), TRIM(INDIRECT($N384)), 0),
       MATCH(TRIM(I$2), TRIM(INDIRECT($O384)), 0))</f>
        <v>320.56403882812498</v>
      </c>
      <c r="J384" s="9" cm="1">
        <f t="array" aca="1" ref="J384" ca="1">INDEX(INDIRECT($M384),
       MATCH(TRIM($C384), TRIM(INDIRECT($N384)), 0),
       MATCH(TRIM(J$2), TRIM(INDIRECT($O384)), 0))</f>
        <v>113</v>
      </c>
      <c r="K384" s="11" cm="1">
        <f t="array" aca="1" ref="K384" ca="1">INDEX(INDIRECT($M384),
       MATCH(TRIM($C384), TRIM(INDIRECT($N384)), 0),
       MATCH(TRIM(K$2), TRIM(INDIRECT($O384)), 0))</f>
        <v>171.70529670999991</v>
      </c>
      <c r="L384" s="11" cm="1">
        <f t="array" aca="1" ref="L384" ca="1">INDEX(INDIRECT($M384),
       MATCH(TRIM($C384), TRIM(INDIRECT($N384)), 0),
       MATCH(TRIM(L$2), TRIM(INDIRECT($O384)), 0))</f>
        <v>1662.7748045381247</v>
      </c>
      <c r="M384" s="5" t="str">
        <f t="shared" si="15"/>
        <v>'2021'!$N$3:$V$80</v>
      </c>
      <c r="N384" s="5" t="str">
        <f t="shared" si="16"/>
        <v>'2021'!$M$2:$M$80</v>
      </c>
      <c r="O384" s="5" t="str">
        <f t="shared" si="17"/>
        <v>'2021'!$N$2:$W$2</v>
      </c>
    </row>
    <row r="385" spans="1:15" x14ac:dyDescent="0.3">
      <c r="A385">
        <v>5</v>
      </c>
      <c r="B385" s="9">
        <v>2021</v>
      </c>
      <c r="C385" t="s">
        <v>4</v>
      </c>
      <c r="D385" s="11" cm="1">
        <f t="array" aca="1" ref="D385" ca="1">INDEX(INDIRECT($M385),
       MATCH(TRIM($C385), TRIM(INDIRECT($N385)), 0),
       MATCH(TRIM(D$2), TRIM(INDIRECT($O385)), 0))</f>
        <v>48</v>
      </c>
      <c r="E385" s="9" t="e" cm="1">
        <f t="array" aca="1" ref="E385" ca="1">INDEX(INDIRECT($M385),
       MATCH(TRIM($C385), TRIM(INDIRECT($N385)), 0),
       MATCH(TRIM(E$2), TRIM(INDIRECT($O385)), 0))</f>
        <v>#N/A</v>
      </c>
      <c r="F385" s="11" cm="1">
        <f t="array" aca="1" ref="F385" ca="1">INDEX(INDIRECT($M385),
       MATCH(TRIM($C385), TRIM(INDIRECT($N385)), 0),
       MATCH(TRIM(F$2), TRIM(INDIRECT($O385)), 0))</f>
        <v>317.07539567000003</v>
      </c>
      <c r="G385" s="11" cm="1">
        <f t="array" aca="1" ref="G385" ca="1">INDEX(INDIRECT($M385),
       MATCH(TRIM($C385), TRIM(INDIRECT($N385)), 0),
       MATCH(TRIM(G$2), TRIM(INDIRECT($O385)), 0))</f>
        <v>65</v>
      </c>
      <c r="H385" s="9" t="e" cm="1">
        <f t="array" aca="1" ref="H385" ca="1">INDEX(INDIRECT($M385),
       MATCH(TRIM($C385), TRIM(INDIRECT($N385)), 0),
       MATCH(TRIM(H$2), TRIM(INDIRECT($O385)), 0))</f>
        <v>#N/A</v>
      </c>
      <c r="I385" s="11" cm="1">
        <f t="array" aca="1" ref="I385" ca="1">INDEX(INDIRECT($M385),
       MATCH(TRIM($C385), TRIM(INDIRECT($N385)), 0),
       MATCH(TRIM(I$2), TRIM(INDIRECT($O385)), 0))</f>
        <v>2727.5902120000001</v>
      </c>
      <c r="J385" s="9" cm="1">
        <f t="array" aca="1" ref="J385" ca="1">INDEX(INDIRECT($M385),
       MATCH(TRIM($C385), TRIM(INDIRECT($N385)), 0),
       MATCH(TRIM(J$2), TRIM(INDIRECT($O385)), 0))</f>
        <v>35</v>
      </c>
      <c r="K385" s="11" cm="1">
        <f t="array" aca="1" ref="K385" ca="1">INDEX(INDIRECT($M385),
       MATCH(TRIM($C385), TRIM(INDIRECT($N385)), 0),
       MATCH(TRIM(K$2), TRIM(INDIRECT($O385)), 0))</f>
        <v>2217.5751832699998</v>
      </c>
      <c r="L385" s="11" cm="1">
        <f t="array" aca="1" ref="L385" ca="1">INDEX(INDIRECT($M385),
       MATCH(TRIM($C385), TRIM(INDIRECT($N385)), 0),
       MATCH(TRIM(L$2), TRIM(INDIRECT($O385)), 0))</f>
        <v>5262.2407909399999</v>
      </c>
      <c r="M385" s="5" t="str">
        <f t="shared" si="15"/>
        <v>'2021'!$N$3:$V$80</v>
      </c>
      <c r="N385" s="5" t="str">
        <f t="shared" si="16"/>
        <v>'2021'!$M$2:$M$80</v>
      </c>
      <c r="O385" s="5" t="str">
        <f t="shared" si="17"/>
        <v>'2021'!$N$2:$W$2</v>
      </c>
    </row>
    <row r="386" spans="1:15" x14ac:dyDescent="0.3">
      <c r="A386">
        <v>6</v>
      </c>
      <c r="B386" s="9">
        <v>2021</v>
      </c>
      <c r="C386" t="s">
        <v>5</v>
      </c>
      <c r="D386" s="11" cm="1">
        <f t="array" aca="1" ref="D386" ca="1">INDEX(INDIRECT($M386),
       MATCH(TRIM($C386), TRIM(INDIRECT($N386)), 0),
       MATCH(TRIM(D$2), TRIM(INDIRECT($O386)), 0))</f>
        <v>16</v>
      </c>
      <c r="E386" s="9" t="e" cm="1">
        <f t="array" aca="1" ref="E386" ca="1">INDEX(INDIRECT($M386),
       MATCH(TRIM($C386), TRIM(INDIRECT($N386)), 0),
       MATCH(TRIM(E$2), TRIM(INDIRECT($O386)), 0))</f>
        <v>#N/A</v>
      </c>
      <c r="F386" s="11" cm="1">
        <f t="array" aca="1" ref="F386" ca="1">INDEX(INDIRECT($M386),
       MATCH(TRIM($C386), TRIM(INDIRECT($N386)), 0),
       MATCH(TRIM(F$2), TRIM(INDIRECT($O386)), 0))</f>
        <v>247.89869100000001</v>
      </c>
      <c r="G386" s="11" cm="1">
        <f t="array" aca="1" ref="G386" ca="1">INDEX(INDIRECT($M386),
       MATCH(TRIM($C386), TRIM(INDIRECT($N386)), 0),
       MATCH(TRIM(G$2), TRIM(INDIRECT($O386)), 0))</f>
        <v>26</v>
      </c>
      <c r="H386" s="9" t="e" cm="1">
        <f t="array" aca="1" ref="H386" ca="1">INDEX(INDIRECT($M386),
       MATCH(TRIM($C386), TRIM(INDIRECT($N386)), 0),
       MATCH(TRIM(H$2), TRIM(INDIRECT($O386)), 0))</f>
        <v>#N/A</v>
      </c>
      <c r="I386" s="11" cm="1">
        <f t="array" aca="1" ref="I386" ca="1">INDEX(INDIRECT($M386),
       MATCH(TRIM($C386), TRIM(INDIRECT($N386)), 0),
       MATCH(TRIM(I$2), TRIM(INDIRECT($O386)), 0))</f>
        <v>573.88736900000004</v>
      </c>
      <c r="J386" s="9" cm="1">
        <f t="array" aca="1" ref="J386" ca="1">INDEX(INDIRECT($M386),
       MATCH(TRIM($C386), TRIM(INDIRECT($N386)), 0),
       MATCH(TRIM(J$2), TRIM(INDIRECT($O386)), 0))</f>
        <v>8</v>
      </c>
      <c r="K386" s="11" cm="1">
        <f t="array" aca="1" ref="K386" ca="1">INDEX(INDIRECT($M386),
       MATCH(TRIM($C386), TRIM(INDIRECT($N386)), 0),
       MATCH(TRIM(K$2), TRIM(INDIRECT($O386)), 0))</f>
        <v>1.6897235800000003</v>
      </c>
      <c r="L386" s="11" cm="1">
        <f t="array" aca="1" ref="L386" ca="1">INDEX(INDIRECT($M386),
       MATCH(TRIM($C386), TRIM(INDIRECT($N386)), 0),
       MATCH(TRIM(L$2), TRIM(INDIRECT($O386)), 0))</f>
        <v>823.47578357999998</v>
      </c>
      <c r="M386" s="5" t="str">
        <f t="shared" si="15"/>
        <v>'2021'!$N$3:$V$80</v>
      </c>
      <c r="N386" s="5" t="str">
        <f t="shared" si="16"/>
        <v>'2021'!$M$2:$M$80</v>
      </c>
      <c r="O386" s="5" t="str">
        <f t="shared" si="17"/>
        <v>'2021'!$N$2:$W$2</v>
      </c>
    </row>
    <row r="387" spans="1:15" x14ac:dyDescent="0.3">
      <c r="A387">
        <v>7</v>
      </c>
      <c r="B387" s="9">
        <v>2021</v>
      </c>
      <c r="C387" t="s">
        <v>6</v>
      </c>
      <c r="D387" s="11" cm="1">
        <f t="array" aca="1" ref="D387" ca="1">INDEX(INDIRECT($M387),
       MATCH(TRIM($C387), TRIM(INDIRECT($N387)), 0),
       MATCH(TRIM(D$2), TRIM(INDIRECT($O387)), 0))</f>
        <v>21</v>
      </c>
      <c r="E387" s="9" t="e" cm="1">
        <f t="array" aca="1" ref="E387" ca="1">INDEX(INDIRECT($M387),
       MATCH(TRIM($C387), TRIM(INDIRECT($N387)), 0),
       MATCH(TRIM(E$2), TRIM(INDIRECT($O387)), 0))</f>
        <v>#N/A</v>
      </c>
      <c r="F387" s="11" cm="1">
        <f t="array" aca="1" ref="F387" ca="1">INDEX(INDIRECT($M387),
       MATCH(TRIM($C387), TRIM(INDIRECT($N387)), 0),
       MATCH(TRIM(F$2), TRIM(INDIRECT($O387)), 0))</f>
        <v>621.83869600000003</v>
      </c>
      <c r="G387" s="11" cm="1">
        <f t="array" aca="1" ref="G387" ca="1">INDEX(INDIRECT($M387),
       MATCH(TRIM($C387), TRIM(INDIRECT($N387)), 0),
       MATCH(TRIM(G$2), TRIM(INDIRECT($O387)), 0))</f>
        <v>45</v>
      </c>
      <c r="H387" s="9" t="e" cm="1">
        <f t="array" aca="1" ref="H387" ca="1">INDEX(INDIRECT($M387),
       MATCH(TRIM($C387), TRIM(INDIRECT($N387)), 0),
       MATCH(TRIM(H$2), TRIM(INDIRECT($O387)), 0))</f>
        <v>#N/A</v>
      </c>
      <c r="I387" s="11" cm="1">
        <f t="array" aca="1" ref="I387" ca="1">INDEX(INDIRECT($M387),
       MATCH(TRIM($C387), TRIM(INDIRECT($N387)), 0),
       MATCH(TRIM(I$2), TRIM(INDIRECT($O387)), 0))</f>
        <v>652.70822699999997</v>
      </c>
      <c r="J387" s="9" cm="1">
        <f t="array" aca="1" ref="J387" ca="1">INDEX(INDIRECT($M387),
       MATCH(TRIM($C387), TRIM(INDIRECT($N387)), 0),
       MATCH(TRIM(J$2), TRIM(INDIRECT($O387)), 0))</f>
        <v>40</v>
      </c>
      <c r="K387" s="11" cm="1">
        <f t="array" aca="1" ref="K387" ca="1">INDEX(INDIRECT($M387),
       MATCH(TRIM($C387), TRIM(INDIRECT($N387)), 0),
       MATCH(TRIM(K$2), TRIM(INDIRECT($O387)), 0))</f>
        <v>39.597620599999999</v>
      </c>
      <c r="L387" s="11" cm="1">
        <f t="array" aca="1" ref="L387" ca="1">INDEX(INDIRECT($M387),
       MATCH(TRIM($C387), TRIM(INDIRECT($N387)), 0),
       MATCH(TRIM(L$2), TRIM(INDIRECT($O387)), 0))</f>
        <v>1314.1445435999999</v>
      </c>
      <c r="M387" s="5" t="str">
        <f t="shared" si="15"/>
        <v>'2021'!$N$3:$V$80</v>
      </c>
      <c r="N387" s="5" t="str">
        <f t="shared" si="16"/>
        <v>'2021'!$M$2:$M$80</v>
      </c>
      <c r="O387" s="5" t="str">
        <f t="shared" si="17"/>
        <v>'2021'!$N$2:$W$2</v>
      </c>
    </row>
    <row r="388" spans="1:15" x14ac:dyDescent="0.3">
      <c r="A388">
        <v>8</v>
      </c>
      <c r="B388" s="9">
        <v>2021</v>
      </c>
      <c r="C388" t="s">
        <v>7</v>
      </c>
      <c r="D388" s="11" cm="1">
        <f t="array" aca="1" ref="D388" ca="1">INDEX(INDIRECT($M388),
       MATCH(TRIM($C388), TRIM(INDIRECT($N388)), 0),
       MATCH(TRIM(D$2), TRIM(INDIRECT($O388)), 0))</f>
        <v>21</v>
      </c>
      <c r="E388" s="9" t="e" cm="1">
        <f t="array" aca="1" ref="E388" ca="1">INDEX(INDIRECT($M388),
       MATCH(TRIM($C388), TRIM(INDIRECT($N388)), 0),
       MATCH(TRIM(E$2), TRIM(INDIRECT($O388)), 0))</f>
        <v>#N/A</v>
      </c>
      <c r="F388" s="11" cm="1">
        <f t="array" aca="1" ref="F388" ca="1">INDEX(INDIRECT($M388),
       MATCH(TRIM($C388), TRIM(INDIRECT($N388)), 0),
       MATCH(TRIM(F$2), TRIM(INDIRECT($O388)), 0))</f>
        <v>345.0847</v>
      </c>
      <c r="G388" s="11" cm="1">
        <f t="array" aca="1" ref="G388" ca="1">INDEX(INDIRECT($M388),
       MATCH(TRIM($C388), TRIM(INDIRECT($N388)), 0),
       MATCH(TRIM(G$2), TRIM(INDIRECT($O388)), 0))</f>
        <v>10</v>
      </c>
      <c r="H388" s="9" t="e" cm="1">
        <f t="array" aca="1" ref="H388" ca="1">INDEX(INDIRECT($M388),
       MATCH(TRIM($C388), TRIM(INDIRECT($N388)), 0),
       MATCH(TRIM(H$2), TRIM(INDIRECT($O388)), 0))</f>
        <v>#N/A</v>
      </c>
      <c r="I388" s="11" cm="1">
        <f t="array" aca="1" ref="I388" ca="1">INDEX(INDIRECT($M388),
       MATCH(TRIM($C388), TRIM(INDIRECT($N388)), 0),
       MATCH(TRIM(I$2), TRIM(INDIRECT($O388)), 0))</f>
        <v>10.424977</v>
      </c>
      <c r="J388" s="9" cm="1">
        <f t="array" aca="1" ref="J388" ca="1">INDEX(INDIRECT($M388),
       MATCH(TRIM($C388), TRIM(INDIRECT($N388)), 0),
       MATCH(TRIM(J$2), TRIM(INDIRECT($O388)), 0))</f>
        <v>23</v>
      </c>
      <c r="K388" s="11" cm="1">
        <f t="array" aca="1" ref="K388" ca="1">INDEX(INDIRECT($M388),
       MATCH(TRIM($C388), TRIM(INDIRECT($N388)), 0),
       MATCH(TRIM(K$2), TRIM(INDIRECT($O388)), 0))</f>
        <v>42.655211960000003</v>
      </c>
      <c r="L388" s="11" cm="1">
        <f t="array" aca="1" ref="L388" ca="1">INDEX(INDIRECT($M388),
       MATCH(TRIM($C388), TRIM(INDIRECT($N388)), 0),
       MATCH(TRIM(L$2), TRIM(INDIRECT($O388)), 0))</f>
        <v>398.16488895999998</v>
      </c>
      <c r="M388" s="5" t="str">
        <f t="shared" ref="M388:M451" si="18">_xlfn.CONCAT("'",$B388,"'","!","$N$3:$V$80")</f>
        <v>'2021'!$N$3:$V$80</v>
      </c>
      <c r="N388" s="5" t="str">
        <f t="shared" ref="N388:N451" si="19">_xlfn.CONCAT("'",$B388,"'","!","$M$2:$M$80")</f>
        <v>'2021'!$M$2:$M$80</v>
      </c>
      <c r="O388" s="5" t="str">
        <f t="shared" ref="O388:O451" si="20">_xlfn.CONCAT("'",$B388,"'","!","$N$2:$W$2")</f>
        <v>'2021'!$N$2:$W$2</v>
      </c>
    </row>
    <row r="389" spans="1:15" x14ac:dyDescent="0.3">
      <c r="A389">
        <v>9</v>
      </c>
      <c r="B389" s="9">
        <v>2021</v>
      </c>
      <c r="C389" t="s">
        <v>8</v>
      </c>
      <c r="D389" s="11" cm="1">
        <f t="array" aca="1" ref="D389" ca="1">INDEX(INDIRECT($M389),
       MATCH(TRIM($C389), TRIM(INDIRECT($N389)), 0),
       MATCH(TRIM(D$2), TRIM(INDIRECT($O389)), 0))</f>
        <v>20</v>
      </c>
      <c r="E389" s="9" t="e" cm="1">
        <f t="array" aca="1" ref="E389" ca="1">INDEX(INDIRECT($M389),
       MATCH(TRIM($C389), TRIM(INDIRECT($N389)), 0),
       MATCH(TRIM(E$2), TRIM(INDIRECT($O389)), 0))</f>
        <v>#N/A</v>
      </c>
      <c r="F389" s="11" cm="1">
        <f t="array" aca="1" ref="F389" ca="1">INDEX(INDIRECT($M389),
       MATCH(TRIM($C389), TRIM(INDIRECT($N389)), 0),
       MATCH(TRIM(F$2), TRIM(INDIRECT($O389)), 0))</f>
        <v>237.24661399999999</v>
      </c>
      <c r="G389" s="11" cm="1">
        <f t="array" aca="1" ref="G389" ca="1">INDEX(INDIRECT($M389),
       MATCH(TRIM($C389), TRIM(INDIRECT($N389)), 0),
       MATCH(TRIM(G$2), TRIM(INDIRECT($O389)), 0))</f>
        <v>28</v>
      </c>
      <c r="H389" s="9" t="e" cm="1">
        <f t="array" aca="1" ref="H389" ca="1">INDEX(INDIRECT($M389),
       MATCH(TRIM($C389), TRIM(INDIRECT($N389)), 0),
       MATCH(TRIM(H$2), TRIM(INDIRECT($O389)), 0))</f>
        <v>#N/A</v>
      </c>
      <c r="I389" s="11" cm="1">
        <f t="array" aca="1" ref="I389" ca="1">INDEX(INDIRECT($M389),
       MATCH(TRIM($C389), TRIM(INDIRECT($N389)), 0),
       MATCH(TRIM(I$2), TRIM(INDIRECT($O389)), 0))</f>
        <v>68.639651000000001</v>
      </c>
      <c r="J389" s="9" cm="1">
        <f t="array" aca="1" ref="J389" ca="1">INDEX(INDIRECT($M389),
       MATCH(TRIM($C389), TRIM(INDIRECT($N389)), 0),
       MATCH(TRIM(J$2), TRIM(INDIRECT($O389)), 0))</f>
        <v>3</v>
      </c>
      <c r="K389" s="11" cm="1">
        <f t="array" aca="1" ref="K389" ca="1">INDEX(INDIRECT($M389),
       MATCH(TRIM($C389), TRIM(INDIRECT($N389)), 0),
       MATCH(TRIM(K$2), TRIM(INDIRECT($O389)), 0))</f>
        <v>1.9909113300000001</v>
      </c>
      <c r="L389" s="11" cm="1">
        <f t="array" aca="1" ref="L389" ca="1">INDEX(INDIRECT($M389),
       MATCH(TRIM($C389), TRIM(INDIRECT($N389)), 0),
       MATCH(TRIM(L$2), TRIM(INDIRECT($O389)), 0))</f>
        <v>307.87717633</v>
      </c>
      <c r="M389" s="5" t="str">
        <f t="shared" si="18"/>
        <v>'2021'!$N$3:$V$80</v>
      </c>
      <c r="N389" s="5" t="str">
        <f t="shared" si="19"/>
        <v>'2021'!$M$2:$M$80</v>
      </c>
      <c r="O389" s="5" t="str">
        <f t="shared" si="20"/>
        <v>'2021'!$N$2:$W$2</v>
      </c>
    </row>
    <row r="390" spans="1:15" x14ac:dyDescent="0.3">
      <c r="A390">
        <v>10</v>
      </c>
      <c r="B390" s="9">
        <v>2021</v>
      </c>
      <c r="C390" t="s">
        <v>9</v>
      </c>
      <c r="D390" s="11" cm="1">
        <f t="array" aca="1" ref="D390" ca="1">INDEX(INDIRECT($M390),
       MATCH(TRIM($C390), TRIM(INDIRECT($N390)), 0),
       MATCH(TRIM(D$2), TRIM(INDIRECT($O390)), 0))</f>
        <v>54</v>
      </c>
      <c r="E390" s="9" t="e" cm="1">
        <f t="array" aca="1" ref="E390" ca="1">INDEX(INDIRECT($M390),
       MATCH(TRIM($C390), TRIM(INDIRECT($N390)), 0),
       MATCH(TRIM(E$2), TRIM(INDIRECT($O390)), 0))</f>
        <v>#N/A</v>
      </c>
      <c r="F390" s="11" cm="1">
        <f t="array" aca="1" ref="F390" ca="1">INDEX(INDIRECT($M390),
       MATCH(TRIM($C390), TRIM(INDIRECT($N390)), 0),
       MATCH(TRIM(F$2), TRIM(INDIRECT($O390)), 0))</f>
        <v>3518.84488904</v>
      </c>
      <c r="G390" s="11" cm="1">
        <f t="array" aca="1" ref="G390" ca="1">INDEX(INDIRECT($M390),
       MATCH(TRIM($C390), TRIM(INDIRECT($N390)), 0),
       MATCH(TRIM(G$2), TRIM(INDIRECT($O390)), 0))</f>
        <v>65</v>
      </c>
      <c r="H390" s="9" t="e" cm="1">
        <f t="array" aca="1" ref="H390" ca="1">INDEX(INDIRECT($M390),
       MATCH(TRIM($C390), TRIM(INDIRECT($N390)), 0),
       MATCH(TRIM(H$2), TRIM(INDIRECT($O390)), 0))</f>
        <v>#N/A</v>
      </c>
      <c r="I390" s="11" cm="1">
        <f t="array" aca="1" ref="I390" ca="1">INDEX(INDIRECT($M390),
       MATCH(TRIM($C390), TRIM(INDIRECT($N390)), 0),
       MATCH(TRIM(I$2), TRIM(INDIRECT($O390)), 0))</f>
        <v>255.24365950000001</v>
      </c>
      <c r="J390" s="9" cm="1">
        <f t="array" aca="1" ref="J390" ca="1">INDEX(INDIRECT($M390),
       MATCH(TRIM($C390), TRIM(INDIRECT($N390)), 0),
       MATCH(TRIM(J$2), TRIM(INDIRECT($O390)), 0))</f>
        <v>43</v>
      </c>
      <c r="K390" s="11" cm="1">
        <f t="array" aca="1" ref="K390" ca="1">INDEX(INDIRECT($M390),
       MATCH(TRIM($C390), TRIM(INDIRECT($N390)), 0),
       MATCH(TRIM(K$2), TRIM(INDIRECT($O390)), 0))</f>
        <v>68.8906499</v>
      </c>
      <c r="L390" s="11" cm="1">
        <f t="array" aca="1" ref="L390" ca="1">INDEX(INDIRECT($M390),
       MATCH(TRIM($C390), TRIM(INDIRECT($N390)), 0),
       MATCH(TRIM(L$2), TRIM(INDIRECT($O390)), 0))</f>
        <v>3842.9791984399999</v>
      </c>
      <c r="M390" s="5" t="str">
        <f t="shared" si="18"/>
        <v>'2021'!$N$3:$V$80</v>
      </c>
      <c r="N390" s="5" t="str">
        <f t="shared" si="19"/>
        <v>'2021'!$M$2:$M$80</v>
      </c>
      <c r="O390" s="5" t="str">
        <f t="shared" si="20"/>
        <v>'2021'!$N$2:$W$2</v>
      </c>
    </row>
    <row r="391" spans="1:15" x14ac:dyDescent="0.3">
      <c r="A391">
        <v>11</v>
      </c>
      <c r="B391" s="9">
        <v>2021</v>
      </c>
      <c r="C391" t="s">
        <v>10</v>
      </c>
      <c r="D391" s="11" cm="1">
        <f t="array" aca="1" ref="D391" ca="1">INDEX(INDIRECT($M391),
       MATCH(TRIM($C391), TRIM(INDIRECT($N391)), 0),
       MATCH(TRIM(D$2), TRIM(INDIRECT($O391)), 0))</f>
        <v>17</v>
      </c>
      <c r="E391" s="9" t="e" cm="1">
        <f t="array" aca="1" ref="E391" ca="1">INDEX(INDIRECT($M391),
       MATCH(TRIM($C391), TRIM(INDIRECT($N391)), 0),
       MATCH(TRIM(E$2), TRIM(INDIRECT($O391)), 0))</f>
        <v>#N/A</v>
      </c>
      <c r="F391" s="11" cm="1">
        <f t="array" aca="1" ref="F391" ca="1">INDEX(INDIRECT($M391),
       MATCH(TRIM($C391), TRIM(INDIRECT($N391)), 0),
       MATCH(TRIM(F$2), TRIM(INDIRECT($O391)), 0))</f>
        <v>110.24533099999999</v>
      </c>
      <c r="G391" s="11" cm="1">
        <f t="array" aca="1" ref="G391" ca="1">INDEX(INDIRECT($M391),
       MATCH(TRIM($C391), TRIM(INDIRECT($N391)), 0),
       MATCH(TRIM(G$2), TRIM(INDIRECT($O391)), 0))</f>
        <v>43</v>
      </c>
      <c r="H391" s="9" t="e" cm="1">
        <f t="array" aca="1" ref="H391" ca="1">INDEX(INDIRECT($M391),
       MATCH(TRIM($C391), TRIM(INDIRECT($N391)), 0),
       MATCH(TRIM(H$2), TRIM(INDIRECT($O391)), 0))</f>
        <v>#N/A</v>
      </c>
      <c r="I391" s="11" cm="1">
        <f t="array" aca="1" ref="I391" ca="1">INDEX(INDIRECT($M391),
       MATCH(TRIM($C391), TRIM(INDIRECT($N391)), 0),
       MATCH(TRIM(I$2), TRIM(INDIRECT($O391)), 0))</f>
        <v>195.04966400000001</v>
      </c>
      <c r="J391" s="9" cm="1">
        <f t="array" aca="1" ref="J391" ca="1">INDEX(INDIRECT($M391),
       MATCH(TRIM($C391), TRIM(INDIRECT($N391)), 0),
       MATCH(TRIM(J$2), TRIM(INDIRECT($O391)), 0))</f>
        <v>50</v>
      </c>
      <c r="K391" s="11" cm="1">
        <f t="array" aca="1" ref="K391" ca="1">INDEX(INDIRECT($M391),
       MATCH(TRIM($C391), TRIM(INDIRECT($N391)), 0),
       MATCH(TRIM(K$2), TRIM(INDIRECT($O391)), 0))</f>
        <v>26.306645830000001</v>
      </c>
      <c r="L391" s="11" cm="1">
        <f t="array" aca="1" ref="L391" ca="1">INDEX(INDIRECT($M391),
       MATCH(TRIM($C391), TRIM(INDIRECT($N391)), 0),
       MATCH(TRIM(L$2), TRIM(INDIRECT($O391)), 0))</f>
        <v>331.60164082999995</v>
      </c>
      <c r="M391" s="5" t="str">
        <f t="shared" si="18"/>
        <v>'2021'!$N$3:$V$80</v>
      </c>
      <c r="N391" s="5" t="str">
        <f t="shared" si="19"/>
        <v>'2021'!$M$2:$M$80</v>
      </c>
      <c r="O391" s="5" t="str">
        <f t="shared" si="20"/>
        <v>'2021'!$N$2:$W$2</v>
      </c>
    </row>
    <row r="392" spans="1:15" x14ac:dyDescent="0.3">
      <c r="A392">
        <v>12</v>
      </c>
      <c r="B392" s="9">
        <v>2021</v>
      </c>
      <c r="C392" t="s">
        <v>11</v>
      </c>
      <c r="D392" s="11" cm="1">
        <f t="array" aca="1" ref="D392" ca="1">INDEX(INDIRECT($M392),
       MATCH(TRIM($C392), TRIM(INDIRECT($N392)), 0),
       MATCH(TRIM(D$2), TRIM(INDIRECT($O392)), 0))</f>
        <v>15</v>
      </c>
      <c r="E392" s="9" t="e" cm="1">
        <f t="array" aca="1" ref="E392" ca="1">INDEX(INDIRECT($M392),
       MATCH(TRIM($C392), TRIM(INDIRECT($N392)), 0),
       MATCH(TRIM(E$2), TRIM(INDIRECT($O392)), 0))</f>
        <v>#N/A</v>
      </c>
      <c r="F392" s="11" cm="1">
        <f t="array" aca="1" ref="F392" ca="1">INDEX(INDIRECT($M392),
       MATCH(TRIM($C392), TRIM(INDIRECT($N392)), 0),
       MATCH(TRIM(F$2), TRIM(INDIRECT($O392)), 0))</f>
        <v>111.33557999999999</v>
      </c>
      <c r="G392" s="11" cm="1">
        <f t="array" aca="1" ref="G392" ca="1">INDEX(INDIRECT($M392),
       MATCH(TRIM($C392), TRIM(INDIRECT($N392)), 0),
       MATCH(TRIM(G$2), TRIM(INDIRECT($O392)), 0))</f>
        <v>15</v>
      </c>
      <c r="H392" s="9" t="e" cm="1">
        <f t="array" aca="1" ref="H392" ca="1">INDEX(INDIRECT($M392),
       MATCH(TRIM($C392), TRIM(INDIRECT($N392)), 0),
       MATCH(TRIM(H$2), TRIM(INDIRECT($O392)), 0))</f>
        <v>#N/A</v>
      </c>
      <c r="I392" s="11" cm="1">
        <f t="array" aca="1" ref="I392" ca="1">INDEX(INDIRECT($M392),
       MATCH(TRIM($C392), TRIM(INDIRECT($N392)), 0),
       MATCH(TRIM(I$2), TRIM(INDIRECT($O392)), 0))</f>
        <v>104.63102600000001</v>
      </c>
      <c r="J392" s="9" cm="1">
        <f t="array" aca="1" ref="J392" ca="1">INDEX(INDIRECT($M392),
       MATCH(TRIM($C392), TRIM(INDIRECT($N392)), 0),
       MATCH(TRIM(J$2), TRIM(INDIRECT($O392)), 0))</f>
        <v>8</v>
      </c>
      <c r="K392" s="11" cm="1">
        <f t="array" aca="1" ref="K392" ca="1">INDEX(INDIRECT($M392),
       MATCH(TRIM($C392), TRIM(INDIRECT($N392)), 0),
       MATCH(TRIM(K$2), TRIM(INDIRECT($O392)), 0))</f>
        <v>4.3320767199999999</v>
      </c>
      <c r="L392" s="11" cm="1">
        <f t="array" aca="1" ref="L392" ca="1">INDEX(INDIRECT($M392),
       MATCH(TRIM($C392), TRIM(INDIRECT($N392)), 0),
       MATCH(TRIM(L$2), TRIM(INDIRECT($O392)), 0))</f>
        <v>220.29868272000002</v>
      </c>
      <c r="M392" s="5" t="str">
        <f t="shared" si="18"/>
        <v>'2021'!$N$3:$V$80</v>
      </c>
      <c r="N392" s="5" t="str">
        <f t="shared" si="19"/>
        <v>'2021'!$M$2:$M$80</v>
      </c>
      <c r="O392" s="5" t="str">
        <f t="shared" si="20"/>
        <v>'2021'!$N$2:$W$2</v>
      </c>
    </row>
    <row r="393" spans="1:15" x14ac:dyDescent="0.3">
      <c r="A393">
        <v>13</v>
      </c>
      <c r="B393" s="9">
        <v>2021</v>
      </c>
      <c r="C393" t="s">
        <v>12</v>
      </c>
      <c r="D393" s="11" cm="1">
        <f t="array" aca="1" ref="D393" ca="1">INDEX(INDIRECT($M393),
       MATCH(TRIM($C393), TRIM(INDIRECT($N393)), 0),
       MATCH(TRIM(D$2), TRIM(INDIRECT($O393)), 0))</f>
        <v>27</v>
      </c>
      <c r="E393" s="9" t="e" cm="1">
        <f t="array" aca="1" ref="E393" ca="1">INDEX(INDIRECT($M393),
       MATCH(TRIM($C393), TRIM(INDIRECT($N393)), 0),
       MATCH(TRIM(E$2), TRIM(INDIRECT($O393)), 0))</f>
        <v>#N/A</v>
      </c>
      <c r="F393" s="11" cm="1">
        <f t="array" aca="1" ref="F393" ca="1">INDEX(INDIRECT($M393),
       MATCH(TRIM($C393), TRIM(INDIRECT($N393)), 0),
       MATCH(TRIM(F$2), TRIM(INDIRECT($O393)), 0))</f>
        <v>703.14290400000004</v>
      </c>
      <c r="G393" s="11" cm="1">
        <f t="array" aca="1" ref="G393" ca="1">INDEX(INDIRECT($M393),
       MATCH(TRIM($C393), TRIM(INDIRECT($N393)), 0),
       MATCH(TRIM(G$2), TRIM(INDIRECT($O393)), 0))</f>
        <v>8</v>
      </c>
      <c r="H393" s="9" t="e" cm="1">
        <f t="array" aca="1" ref="H393" ca="1">INDEX(INDIRECT($M393),
       MATCH(TRIM($C393), TRIM(INDIRECT($N393)), 0),
       MATCH(TRIM(H$2), TRIM(INDIRECT($O393)), 0))</f>
        <v>#N/A</v>
      </c>
      <c r="I393" s="11" cm="1">
        <f t="array" aca="1" ref="I393" ca="1">INDEX(INDIRECT($M393),
       MATCH(TRIM($C393), TRIM(INDIRECT($N393)), 0),
       MATCH(TRIM(I$2), TRIM(INDIRECT($O393)), 0))</f>
        <v>33.209524999999999</v>
      </c>
      <c r="J393" s="9" cm="1">
        <f t="array" aca="1" ref="J393" ca="1">INDEX(INDIRECT($M393),
       MATCH(TRIM($C393), TRIM(INDIRECT($N393)), 0),
       MATCH(TRIM(J$2), TRIM(INDIRECT($O393)), 0))</f>
        <v>13</v>
      </c>
      <c r="K393" s="11" cm="1">
        <f t="array" aca="1" ref="K393" ca="1">INDEX(INDIRECT($M393),
       MATCH(TRIM($C393), TRIM(INDIRECT($N393)), 0),
       MATCH(TRIM(K$2), TRIM(INDIRECT($O393)), 0))</f>
        <v>7.6776238799999996</v>
      </c>
      <c r="L393" s="11" cm="1">
        <f t="array" aca="1" ref="L393" ca="1">INDEX(INDIRECT($M393),
       MATCH(TRIM($C393), TRIM(INDIRECT($N393)), 0),
       MATCH(TRIM(L$2), TRIM(INDIRECT($O393)), 0))</f>
        <v>744.03005288000008</v>
      </c>
      <c r="M393" s="5" t="str">
        <f t="shared" si="18"/>
        <v>'2021'!$N$3:$V$80</v>
      </c>
      <c r="N393" s="5" t="str">
        <f t="shared" si="19"/>
        <v>'2021'!$M$2:$M$80</v>
      </c>
      <c r="O393" s="5" t="str">
        <f t="shared" si="20"/>
        <v>'2021'!$N$2:$W$2</v>
      </c>
    </row>
    <row r="394" spans="1:15" x14ac:dyDescent="0.3">
      <c r="A394">
        <v>14</v>
      </c>
      <c r="B394" s="9">
        <v>2021</v>
      </c>
      <c r="C394" t="s">
        <v>13</v>
      </c>
      <c r="D394" s="11" cm="1">
        <f t="array" aca="1" ref="D394" ca="1">INDEX(INDIRECT($M394),
       MATCH(TRIM($C394), TRIM(INDIRECT($N394)), 0),
       MATCH(TRIM(D$2), TRIM(INDIRECT($O394)), 0))</f>
        <v>40</v>
      </c>
      <c r="E394" s="9" t="e" cm="1">
        <f t="array" aca="1" ref="E394" ca="1">INDEX(INDIRECT($M394),
       MATCH(TRIM($C394), TRIM(INDIRECT($N394)), 0),
       MATCH(TRIM(E$2), TRIM(INDIRECT($O394)), 0))</f>
        <v>#N/A</v>
      </c>
      <c r="F394" s="11" cm="1">
        <f t="array" aca="1" ref="F394" ca="1">INDEX(INDIRECT($M394),
       MATCH(TRIM($C394), TRIM(INDIRECT($N394)), 0),
       MATCH(TRIM(F$2), TRIM(INDIRECT($O394)), 0))</f>
        <v>150.00195500000001</v>
      </c>
      <c r="G394" s="11" cm="1">
        <f t="array" aca="1" ref="G394" ca="1">INDEX(INDIRECT($M394),
       MATCH(TRIM($C394), TRIM(INDIRECT($N394)), 0),
       MATCH(TRIM(G$2), TRIM(INDIRECT($O394)), 0))</f>
        <v>19</v>
      </c>
      <c r="H394" s="9" t="e" cm="1">
        <f t="array" aca="1" ref="H394" ca="1">INDEX(INDIRECT($M394),
       MATCH(TRIM($C394), TRIM(INDIRECT($N394)), 0),
       MATCH(TRIM(H$2), TRIM(INDIRECT($O394)), 0))</f>
        <v>#N/A</v>
      </c>
      <c r="I394" s="11" cm="1">
        <f t="array" aca="1" ref="I394" ca="1">INDEX(INDIRECT($M394),
       MATCH(TRIM($C394), TRIM(INDIRECT($N394)), 0),
       MATCH(TRIM(I$2), TRIM(INDIRECT($O394)), 0))</f>
        <v>10.606971937499999</v>
      </c>
      <c r="J394" s="9" cm="1">
        <f t="array" aca="1" ref="J394" ca="1">INDEX(INDIRECT($M394),
       MATCH(TRIM($C394), TRIM(INDIRECT($N394)), 0),
       MATCH(TRIM(J$2), TRIM(INDIRECT($O394)), 0))</f>
        <v>51</v>
      </c>
      <c r="K394" s="11" cm="1">
        <f t="array" aca="1" ref="K394" ca="1">INDEX(INDIRECT($M394),
       MATCH(TRIM($C394), TRIM(INDIRECT($N394)), 0),
       MATCH(TRIM(K$2), TRIM(INDIRECT($O394)), 0))</f>
        <v>11.732700099999999</v>
      </c>
      <c r="L394" s="11" cm="1">
        <f t="array" aca="1" ref="L394" ca="1">INDEX(INDIRECT($M394),
       MATCH(TRIM($C394), TRIM(INDIRECT($N394)), 0),
       MATCH(TRIM(L$2), TRIM(INDIRECT($O394)), 0))</f>
        <v>172.34162703749999</v>
      </c>
      <c r="M394" s="5" t="str">
        <f t="shared" si="18"/>
        <v>'2021'!$N$3:$V$80</v>
      </c>
      <c r="N394" s="5" t="str">
        <f t="shared" si="19"/>
        <v>'2021'!$M$2:$M$80</v>
      </c>
      <c r="O394" s="5" t="str">
        <f t="shared" si="20"/>
        <v>'2021'!$N$2:$W$2</v>
      </c>
    </row>
    <row r="395" spans="1:15" x14ac:dyDescent="0.3">
      <c r="A395">
        <v>15</v>
      </c>
      <c r="B395" s="9">
        <v>2021</v>
      </c>
      <c r="C395" t="s">
        <v>14</v>
      </c>
      <c r="D395" s="11" cm="1">
        <f t="array" aca="1" ref="D395" ca="1">INDEX(INDIRECT($M395),
       MATCH(TRIM($C395), TRIM(INDIRECT($N395)), 0),
       MATCH(TRIM(D$2), TRIM(INDIRECT($O395)), 0))</f>
        <v>28</v>
      </c>
      <c r="E395" s="9" t="e" cm="1">
        <f t="array" aca="1" ref="E395" ca="1">INDEX(INDIRECT($M395),
       MATCH(TRIM($C395), TRIM(INDIRECT($N395)), 0),
       MATCH(TRIM(E$2), TRIM(INDIRECT($O395)), 0))</f>
        <v>#N/A</v>
      </c>
      <c r="F395" s="11" cm="1">
        <f t="array" aca="1" ref="F395" ca="1">INDEX(INDIRECT($M395),
       MATCH(TRIM($C395), TRIM(INDIRECT($N395)), 0),
       MATCH(TRIM(F$2), TRIM(INDIRECT($O395)), 0))</f>
        <v>393.80410999999998</v>
      </c>
      <c r="G395" s="11" cm="1">
        <f t="array" aca="1" ref="G395" ca="1">INDEX(INDIRECT($M395),
       MATCH(TRIM($C395), TRIM(INDIRECT($N395)), 0),
       MATCH(TRIM(G$2), TRIM(INDIRECT($O395)), 0))</f>
        <v>38</v>
      </c>
      <c r="H395" s="9" t="e" cm="1">
        <f t="array" aca="1" ref="H395" ca="1">INDEX(INDIRECT($M395),
       MATCH(TRIM($C395), TRIM(INDIRECT($N395)), 0),
       MATCH(TRIM(H$2), TRIM(INDIRECT($O395)), 0))</f>
        <v>#N/A</v>
      </c>
      <c r="I395" s="11" cm="1">
        <f t="array" aca="1" ref="I395" ca="1">INDEX(INDIRECT($M395),
       MATCH(TRIM($C395), TRIM(INDIRECT($N395)), 0),
       MATCH(TRIM(I$2), TRIM(INDIRECT($O395)), 0))</f>
        <v>272.59077217968752</v>
      </c>
      <c r="J395" s="9" cm="1">
        <f t="array" aca="1" ref="J395" ca="1">INDEX(INDIRECT($M395),
       MATCH(TRIM($C395), TRIM(INDIRECT($N395)), 0),
       MATCH(TRIM(J$2), TRIM(INDIRECT($O395)), 0))</f>
        <v>34</v>
      </c>
      <c r="K395" s="11" cm="1">
        <f t="array" aca="1" ref="K395" ca="1">INDEX(INDIRECT($M395),
       MATCH(TRIM($C395), TRIM(INDIRECT($N395)), 0),
       MATCH(TRIM(K$2), TRIM(INDIRECT($O395)), 0))</f>
        <v>45.737235890000001</v>
      </c>
      <c r="L395" s="11" cm="1">
        <f t="array" aca="1" ref="L395" ca="1">INDEX(INDIRECT($M395),
       MATCH(TRIM($C395), TRIM(INDIRECT($N395)), 0),
       MATCH(TRIM(L$2), TRIM(INDIRECT($O395)), 0))</f>
        <v>712.13211806968752</v>
      </c>
      <c r="M395" s="5" t="str">
        <f t="shared" si="18"/>
        <v>'2021'!$N$3:$V$80</v>
      </c>
      <c r="N395" s="5" t="str">
        <f t="shared" si="19"/>
        <v>'2021'!$M$2:$M$80</v>
      </c>
      <c r="O395" s="5" t="str">
        <f t="shared" si="20"/>
        <v>'2021'!$N$2:$W$2</v>
      </c>
    </row>
    <row r="396" spans="1:15" x14ac:dyDescent="0.3">
      <c r="A396">
        <v>16</v>
      </c>
      <c r="B396" s="9">
        <v>2021</v>
      </c>
      <c r="C396" t="s">
        <v>15</v>
      </c>
      <c r="D396" s="11" cm="1">
        <f t="array" aca="1" ref="D396" ca="1">INDEX(INDIRECT($M396),
       MATCH(TRIM($C396), TRIM(INDIRECT($N396)), 0),
       MATCH(TRIM(D$2), TRIM(INDIRECT($O396)), 0))</f>
        <v>49</v>
      </c>
      <c r="E396" s="9" t="e" cm="1">
        <f t="array" aca="1" ref="E396" ca="1">INDEX(INDIRECT($M396),
       MATCH(TRIM($C396), TRIM(INDIRECT($N396)), 0),
       MATCH(TRIM(E$2), TRIM(INDIRECT($O396)), 0))</f>
        <v>#N/A</v>
      </c>
      <c r="F396" s="11" cm="1">
        <f t="array" aca="1" ref="F396" ca="1">INDEX(INDIRECT($M396),
       MATCH(TRIM($C396), TRIM(INDIRECT($N396)), 0),
       MATCH(TRIM(F$2), TRIM(INDIRECT($O396)), 0))</f>
        <v>327.52064354999999</v>
      </c>
      <c r="G396" s="11" cm="1">
        <f t="array" aca="1" ref="G396" ca="1">INDEX(INDIRECT($M396),
       MATCH(TRIM($C396), TRIM(INDIRECT($N396)), 0),
       MATCH(TRIM(G$2), TRIM(INDIRECT($O396)), 0))</f>
        <v>32</v>
      </c>
      <c r="H396" s="9" t="e" cm="1">
        <f t="array" aca="1" ref="H396" ca="1">INDEX(INDIRECT($M396),
       MATCH(TRIM($C396), TRIM(INDIRECT($N396)), 0),
       MATCH(TRIM(H$2), TRIM(INDIRECT($O396)), 0))</f>
        <v>#N/A</v>
      </c>
      <c r="I396" s="11" cm="1">
        <f t="array" aca="1" ref="I396" ca="1">INDEX(INDIRECT($M396),
       MATCH(TRIM($C396), TRIM(INDIRECT($N396)), 0),
       MATCH(TRIM(I$2), TRIM(INDIRECT($O396)), 0))</f>
        <v>109.371286</v>
      </c>
      <c r="J396" s="9" cm="1">
        <f t="array" aca="1" ref="J396" ca="1">INDEX(INDIRECT($M396),
       MATCH(TRIM($C396), TRIM(INDIRECT($N396)), 0),
       MATCH(TRIM(J$2), TRIM(INDIRECT($O396)), 0))</f>
        <v>13</v>
      </c>
      <c r="K396" s="11" cm="1">
        <f t="array" aca="1" ref="K396" ca="1">INDEX(INDIRECT($M396),
       MATCH(TRIM($C396), TRIM(INDIRECT($N396)), 0),
       MATCH(TRIM(K$2), TRIM(INDIRECT($O396)), 0))</f>
        <v>13.479669229999999</v>
      </c>
      <c r="L396" s="11" cm="1">
        <f t="array" aca="1" ref="L396" ca="1">INDEX(INDIRECT($M396),
       MATCH(TRIM($C396), TRIM(INDIRECT($N396)), 0),
       MATCH(TRIM(L$2), TRIM(INDIRECT($O396)), 0))</f>
        <v>450.37159878</v>
      </c>
      <c r="M396" s="5" t="str">
        <f t="shared" si="18"/>
        <v>'2021'!$N$3:$V$80</v>
      </c>
      <c r="N396" s="5" t="str">
        <f t="shared" si="19"/>
        <v>'2021'!$M$2:$M$80</v>
      </c>
      <c r="O396" s="5" t="str">
        <f t="shared" si="20"/>
        <v>'2021'!$N$2:$W$2</v>
      </c>
    </row>
    <row r="397" spans="1:15" x14ac:dyDescent="0.3">
      <c r="A397">
        <v>17</v>
      </c>
      <c r="B397" s="9">
        <v>2021</v>
      </c>
      <c r="C397" t="s">
        <v>16</v>
      </c>
      <c r="D397" s="11" cm="1">
        <f t="array" aca="1" ref="D397" ca="1">INDEX(INDIRECT($M397),
       MATCH(TRIM($C397), TRIM(INDIRECT($N397)), 0),
       MATCH(TRIM(D$2), TRIM(INDIRECT($O397)), 0))</f>
        <v>2</v>
      </c>
      <c r="E397" s="9" t="e" cm="1">
        <f t="array" aca="1" ref="E397" ca="1">INDEX(INDIRECT($M397),
       MATCH(TRIM($C397), TRIM(INDIRECT($N397)), 0),
       MATCH(TRIM(E$2), TRIM(INDIRECT($O397)), 0))</f>
        <v>#N/A</v>
      </c>
      <c r="F397" s="11" cm="1">
        <f t="array" aca="1" ref="F397" ca="1">INDEX(INDIRECT($M397),
       MATCH(TRIM($C397), TRIM(INDIRECT($N397)), 0),
       MATCH(TRIM(F$2), TRIM(INDIRECT($O397)), 0))</f>
        <v>2.0590000000000002</v>
      </c>
      <c r="G397" s="11" cm="1">
        <f t="array" aca="1" ref="G397" ca="1">INDEX(INDIRECT($M397),
       MATCH(TRIM($C397), TRIM(INDIRECT($N397)), 0),
       MATCH(TRIM(G$2), TRIM(INDIRECT($O397)), 0))</f>
        <v>4</v>
      </c>
      <c r="H397" s="9" t="e" cm="1">
        <f t="array" aca="1" ref="H397" ca="1">INDEX(INDIRECT($M397),
       MATCH(TRIM($C397), TRIM(INDIRECT($N397)), 0),
       MATCH(TRIM(H$2), TRIM(INDIRECT($O397)), 0))</f>
        <v>#N/A</v>
      </c>
      <c r="I397" s="11" cm="1">
        <f t="array" aca="1" ref="I397" ca="1">INDEX(INDIRECT($M397),
       MATCH(TRIM($C397), TRIM(INDIRECT($N397)), 0),
       MATCH(TRIM(I$2), TRIM(INDIRECT($O397)), 0))</f>
        <v>134.4</v>
      </c>
      <c r="J397" s="9" cm="1">
        <f t="array" aca="1" ref="J397" ca="1">INDEX(INDIRECT($M397),
       MATCH(TRIM($C397), TRIM(INDIRECT($N397)), 0),
       MATCH(TRIM(J$2), TRIM(INDIRECT($O397)), 0))</f>
        <v>3</v>
      </c>
      <c r="K397" s="11" cm="1">
        <f t="array" aca="1" ref="K397" ca="1">INDEX(INDIRECT($M397),
       MATCH(TRIM($C397), TRIM(INDIRECT($N397)), 0),
       MATCH(TRIM(K$2), TRIM(INDIRECT($O397)), 0))</f>
        <v>1.4653288899999999</v>
      </c>
      <c r="L397" s="11" cm="1">
        <f t="array" aca="1" ref="L397" ca="1">INDEX(INDIRECT($M397),
       MATCH(TRIM($C397), TRIM(INDIRECT($N397)), 0),
       MATCH(TRIM(L$2), TRIM(INDIRECT($O397)), 0))</f>
        <v>137.92432889</v>
      </c>
      <c r="M397" s="5" t="str">
        <f t="shared" si="18"/>
        <v>'2021'!$N$3:$V$80</v>
      </c>
      <c r="N397" s="5" t="str">
        <f t="shared" si="19"/>
        <v>'2021'!$M$2:$M$80</v>
      </c>
      <c r="O397" s="5" t="str">
        <f t="shared" si="20"/>
        <v>'2021'!$N$2:$W$2</v>
      </c>
    </row>
    <row r="398" spans="1:15" x14ac:dyDescent="0.3">
      <c r="A398">
        <v>18</v>
      </c>
      <c r="B398" s="9">
        <v>2021</v>
      </c>
      <c r="C398" t="s">
        <v>17</v>
      </c>
      <c r="D398" s="11" cm="1">
        <f t="array" aca="1" ref="D398" ca="1">INDEX(INDIRECT($M398),
       MATCH(TRIM($C398), TRIM(INDIRECT($N398)), 0),
       MATCH(TRIM(D$2), TRIM(INDIRECT($O398)), 0))</f>
        <v>11</v>
      </c>
      <c r="E398" s="9" t="e" cm="1">
        <f t="array" aca="1" ref="E398" ca="1">INDEX(INDIRECT($M398),
       MATCH(TRIM($C398), TRIM(INDIRECT($N398)), 0),
       MATCH(TRIM(E$2), TRIM(INDIRECT($O398)), 0))</f>
        <v>#N/A</v>
      </c>
      <c r="F398" s="11" cm="1">
        <f t="array" aca="1" ref="F398" ca="1">INDEX(INDIRECT($M398),
       MATCH(TRIM($C398), TRIM(INDIRECT($N398)), 0),
       MATCH(TRIM(F$2), TRIM(INDIRECT($O398)), 0))</f>
        <v>137.44114099999999</v>
      </c>
      <c r="G398" s="11" cm="1">
        <f t="array" aca="1" ref="G398" ca="1">INDEX(INDIRECT($M398),
       MATCH(TRIM($C398), TRIM(INDIRECT($N398)), 0),
       MATCH(TRIM(G$2), TRIM(INDIRECT($O398)), 0))</f>
        <v>8</v>
      </c>
      <c r="H398" s="9" t="e" cm="1">
        <f t="array" aca="1" ref="H398" ca="1">INDEX(INDIRECT($M398),
       MATCH(TRIM($C398), TRIM(INDIRECT($N398)), 0),
       MATCH(TRIM(H$2), TRIM(INDIRECT($O398)), 0))</f>
        <v>#N/A</v>
      </c>
      <c r="I398" s="11" cm="1">
        <f t="array" aca="1" ref="I398" ca="1">INDEX(INDIRECT($M398),
       MATCH(TRIM($C398), TRIM(INDIRECT($N398)), 0),
       MATCH(TRIM(I$2), TRIM(INDIRECT($O398)), 0))</f>
        <v>42.432305999999997</v>
      </c>
      <c r="J398" s="9" cm="1">
        <f t="array" aca="1" ref="J398" ca="1">INDEX(INDIRECT($M398),
       MATCH(TRIM($C398), TRIM(INDIRECT($N398)), 0),
       MATCH(TRIM(J$2), TRIM(INDIRECT($O398)), 0))</f>
        <v>7</v>
      </c>
      <c r="K398" s="11" cm="1">
        <f t="array" aca="1" ref="K398" ca="1">INDEX(INDIRECT($M398),
       MATCH(TRIM($C398), TRIM(INDIRECT($N398)), 0),
       MATCH(TRIM(K$2), TRIM(INDIRECT($O398)), 0))</f>
        <v>12.963728080000003</v>
      </c>
      <c r="L398" s="11" cm="1">
        <f t="array" aca="1" ref="L398" ca="1">INDEX(INDIRECT($M398),
       MATCH(TRIM($C398), TRIM(INDIRECT($N398)), 0),
       MATCH(TRIM(L$2), TRIM(INDIRECT($O398)), 0))</f>
        <v>192.83717508000001</v>
      </c>
      <c r="M398" s="5" t="str">
        <f t="shared" si="18"/>
        <v>'2021'!$N$3:$V$80</v>
      </c>
      <c r="N398" s="5" t="str">
        <f t="shared" si="19"/>
        <v>'2021'!$M$2:$M$80</v>
      </c>
      <c r="O398" s="5" t="str">
        <f t="shared" si="20"/>
        <v>'2021'!$N$2:$W$2</v>
      </c>
    </row>
    <row r="399" spans="1:15" x14ac:dyDescent="0.3">
      <c r="A399">
        <v>19</v>
      </c>
      <c r="B399" s="9">
        <v>2021</v>
      </c>
      <c r="C399" t="s">
        <v>18</v>
      </c>
      <c r="D399" s="11" cm="1">
        <f t="array" aca="1" ref="D399" ca="1">INDEX(INDIRECT($M399),
       MATCH(TRIM($C399), TRIM(INDIRECT($N399)), 0),
       MATCH(TRIM(D$2), TRIM(INDIRECT($O399)), 0))</f>
        <v>15</v>
      </c>
      <c r="E399" s="9" t="e" cm="1">
        <f t="array" aca="1" ref="E399" ca="1">INDEX(INDIRECT($M399),
       MATCH(TRIM($C399), TRIM(INDIRECT($N399)), 0),
       MATCH(TRIM(E$2), TRIM(INDIRECT($O399)), 0))</f>
        <v>#N/A</v>
      </c>
      <c r="F399" s="11" cm="1">
        <f t="array" aca="1" ref="F399" ca="1">INDEX(INDIRECT($M399),
       MATCH(TRIM($C399), TRIM(INDIRECT($N399)), 0),
       MATCH(TRIM(F$2), TRIM(INDIRECT($O399)), 0))</f>
        <v>434.23673300000002</v>
      </c>
      <c r="G399" s="11" cm="1">
        <f t="array" aca="1" ref="G399" ca="1">INDEX(INDIRECT($M399),
       MATCH(TRIM($C399), TRIM(INDIRECT($N399)), 0),
       MATCH(TRIM(G$2), TRIM(INDIRECT($O399)), 0))</f>
        <v>16</v>
      </c>
      <c r="H399" s="9" t="e" cm="1">
        <f t="array" aca="1" ref="H399" ca="1">INDEX(INDIRECT($M399),
       MATCH(TRIM($C399), TRIM(INDIRECT($N399)), 0),
       MATCH(TRIM(H$2), TRIM(INDIRECT($O399)), 0))</f>
        <v>#N/A</v>
      </c>
      <c r="I399" s="11" cm="1">
        <f t="array" aca="1" ref="I399" ca="1">INDEX(INDIRECT($M399),
       MATCH(TRIM($C399), TRIM(INDIRECT($N399)), 0),
       MATCH(TRIM(I$2), TRIM(INDIRECT($O399)), 0))</f>
        <v>133.54902899999999</v>
      </c>
      <c r="J399" s="9" cm="1">
        <f t="array" aca="1" ref="J399" ca="1">INDEX(INDIRECT($M399),
       MATCH(TRIM($C399), TRIM(INDIRECT($N399)), 0),
       MATCH(TRIM(J$2), TRIM(INDIRECT($O399)), 0))</f>
        <v>7</v>
      </c>
      <c r="K399" s="11" cm="1">
        <f t="array" aca="1" ref="K399" ca="1">INDEX(INDIRECT($M399),
       MATCH(TRIM($C399), TRIM(INDIRECT($N399)), 0),
       MATCH(TRIM(K$2), TRIM(INDIRECT($O399)), 0))</f>
        <v>9.5981577500000004</v>
      </c>
      <c r="L399" s="11" cm="1">
        <f t="array" aca="1" ref="L399" ca="1">INDEX(INDIRECT($M399),
       MATCH(TRIM($C399), TRIM(INDIRECT($N399)), 0),
       MATCH(TRIM(L$2), TRIM(INDIRECT($O399)), 0))</f>
        <v>577.38391975000002</v>
      </c>
      <c r="M399" s="5" t="str">
        <f t="shared" si="18"/>
        <v>'2021'!$N$3:$V$80</v>
      </c>
      <c r="N399" s="5" t="str">
        <f t="shared" si="19"/>
        <v>'2021'!$M$2:$M$80</v>
      </c>
      <c r="O399" s="5" t="str">
        <f t="shared" si="20"/>
        <v>'2021'!$N$2:$W$2</v>
      </c>
    </row>
    <row r="400" spans="1:15" x14ac:dyDescent="0.3">
      <c r="A400">
        <v>20</v>
      </c>
      <c r="B400" s="9">
        <v>2021</v>
      </c>
      <c r="C400" t="s">
        <v>19</v>
      </c>
      <c r="D400" s="11" cm="1">
        <f t="array" aca="1" ref="D400" ca="1">INDEX(INDIRECT($M400),
       MATCH(TRIM($C400), TRIM(INDIRECT($N400)), 0),
       MATCH(TRIM(D$2), TRIM(INDIRECT($O400)), 0))</f>
        <v>3</v>
      </c>
      <c r="E400" s="9" t="e" cm="1">
        <f t="array" aca="1" ref="E400" ca="1">INDEX(INDIRECT($M400),
       MATCH(TRIM($C400), TRIM(INDIRECT($N400)), 0),
       MATCH(TRIM(E$2), TRIM(INDIRECT($O400)), 0))</f>
        <v>#N/A</v>
      </c>
      <c r="F400" s="11" cm="1">
        <f t="array" aca="1" ref="F400" ca="1">INDEX(INDIRECT($M400),
       MATCH(TRIM($C400), TRIM(INDIRECT($N400)), 0),
       MATCH(TRIM(F$2), TRIM(INDIRECT($O400)), 0))</f>
        <v>165.55836600000001</v>
      </c>
      <c r="G400" s="11" cm="1">
        <f t="array" aca="1" ref="G400" ca="1">INDEX(INDIRECT($M400),
       MATCH(TRIM($C400), TRIM(INDIRECT($N400)), 0),
       MATCH(TRIM(G$2), TRIM(INDIRECT($O400)), 0))</f>
        <v>2</v>
      </c>
      <c r="H400" s="9" t="e" cm="1">
        <f t="array" aca="1" ref="H400" ca="1">INDEX(INDIRECT($M400),
       MATCH(TRIM($C400), TRIM(INDIRECT($N400)), 0),
       MATCH(TRIM(H$2), TRIM(INDIRECT($O400)), 0))</f>
        <v>#N/A</v>
      </c>
      <c r="I400" s="11" cm="1">
        <f t="array" aca="1" ref="I400" ca="1">INDEX(INDIRECT($M400),
       MATCH(TRIM($C400), TRIM(INDIRECT($N400)), 0),
       MATCH(TRIM(I$2), TRIM(INDIRECT($O400)), 0))</f>
        <v>16.3</v>
      </c>
      <c r="J400" s="9" cm="1">
        <f t="array" aca="1" ref="J400" ca="1">INDEX(INDIRECT($M400),
       MATCH(TRIM($C400), TRIM(INDIRECT($N400)), 0),
       MATCH(TRIM(J$2), TRIM(INDIRECT($O400)), 0))</f>
        <v>11</v>
      </c>
      <c r="K400" s="11" cm="1">
        <f t="array" aca="1" ref="K400" ca="1">INDEX(INDIRECT($M400),
       MATCH(TRIM($C400), TRIM(INDIRECT($N400)), 0),
       MATCH(TRIM(K$2), TRIM(INDIRECT($O400)), 0))</f>
        <v>1.62469497</v>
      </c>
      <c r="L400" s="11" cm="1">
        <f t="array" aca="1" ref="L400" ca="1">INDEX(INDIRECT($M400),
       MATCH(TRIM($C400), TRIM(INDIRECT($N400)), 0),
       MATCH(TRIM(L$2), TRIM(INDIRECT($O400)), 0))</f>
        <v>183.48306097000003</v>
      </c>
      <c r="M400" s="5" t="str">
        <f t="shared" si="18"/>
        <v>'2021'!$N$3:$V$80</v>
      </c>
      <c r="N400" s="5" t="str">
        <f t="shared" si="19"/>
        <v>'2021'!$M$2:$M$80</v>
      </c>
      <c r="O400" s="5" t="str">
        <f t="shared" si="20"/>
        <v>'2021'!$N$2:$W$2</v>
      </c>
    </row>
    <row r="401" spans="1:15" x14ac:dyDescent="0.3">
      <c r="A401">
        <v>21</v>
      </c>
      <c r="B401" s="9">
        <v>2021</v>
      </c>
      <c r="C401" t="s">
        <v>20</v>
      </c>
      <c r="D401" s="11" cm="1">
        <f t="array" aca="1" ref="D401" ca="1">INDEX(INDIRECT($M401),
       MATCH(TRIM($C401), TRIM(INDIRECT($N401)), 0),
       MATCH(TRIM(D$2), TRIM(INDIRECT($O401)), 0))</f>
        <v>9</v>
      </c>
      <c r="E401" s="9" t="e" cm="1">
        <f t="array" aca="1" ref="E401" ca="1">INDEX(INDIRECT($M401),
       MATCH(TRIM($C401), TRIM(INDIRECT($N401)), 0),
       MATCH(TRIM(E$2), TRIM(INDIRECT($O401)), 0))</f>
        <v>#N/A</v>
      </c>
      <c r="F401" s="11" cm="1">
        <f t="array" aca="1" ref="F401" ca="1">INDEX(INDIRECT($M401),
       MATCH(TRIM($C401), TRIM(INDIRECT($N401)), 0),
       MATCH(TRIM(F$2), TRIM(INDIRECT($O401)), 0))</f>
        <v>283.18470200000002</v>
      </c>
      <c r="G401" s="11" cm="1">
        <f t="array" aca="1" ref="G401" ca="1">INDEX(INDIRECT($M401),
       MATCH(TRIM($C401), TRIM(INDIRECT($N401)), 0),
       MATCH(TRIM(G$2), TRIM(INDIRECT($O401)), 0))</f>
        <v>6</v>
      </c>
      <c r="H401" s="9" t="e" cm="1">
        <f t="array" aca="1" ref="H401" ca="1">INDEX(INDIRECT($M401),
       MATCH(TRIM($C401), TRIM(INDIRECT($N401)), 0),
       MATCH(TRIM(H$2), TRIM(INDIRECT($O401)), 0))</f>
        <v>#N/A</v>
      </c>
      <c r="I401" s="11" cm="1">
        <f t="array" aca="1" ref="I401" ca="1">INDEX(INDIRECT($M401),
       MATCH(TRIM($C401), TRIM(INDIRECT($N401)), 0),
       MATCH(TRIM(I$2), TRIM(INDIRECT($O401)), 0))</f>
        <v>34.673844750000001</v>
      </c>
      <c r="J401" s="9" cm="1">
        <f t="array" aca="1" ref="J401" ca="1">INDEX(INDIRECT($M401),
       MATCH(TRIM($C401), TRIM(INDIRECT($N401)), 0),
       MATCH(TRIM(J$2), TRIM(INDIRECT($O401)), 0))</f>
        <v>3</v>
      </c>
      <c r="K401" s="11" cm="1">
        <f t="array" aca="1" ref="K401" ca="1">INDEX(INDIRECT($M401),
       MATCH(TRIM($C401), TRIM(INDIRECT($N401)), 0),
       MATCH(TRIM(K$2), TRIM(INDIRECT($O401)), 0))</f>
        <v>0.66425630000000002</v>
      </c>
      <c r="L401" s="11" cm="1">
        <f t="array" aca="1" ref="L401" ca="1">INDEX(INDIRECT($M401),
       MATCH(TRIM($C401), TRIM(INDIRECT($N401)), 0),
       MATCH(TRIM(L$2), TRIM(INDIRECT($O401)), 0))</f>
        <v>318.52280304999999</v>
      </c>
      <c r="M401" s="5" t="str">
        <f t="shared" si="18"/>
        <v>'2021'!$N$3:$V$80</v>
      </c>
      <c r="N401" s="5" t="str">
        <f t="shared" si="19"/>
        <v>'2021'!$M$2:$M$80</v>
      </c>
      <c r="O401" s="5" t="str">
        <f t="shared" si="20"/>
        <v>'2021'!$N$2:$W$2</v>
      </c>
    </row>
    <row r="402" spans="1:15" x14ac:dyDescent="0.3">
      <c r="A402">
        <v>22</v>
      </c>
      <c r="B402" s="9">
        <v>2021</v>
      </c>
      <c r="C402" t="s">
        <v>21</v>
      </c>
      <c r="D402" s="11" cm="1">
        <f t="array" aca="1" ref="D402" ca="1">INDEX(INDIRECT($M402),
       MATCH(TRIM($C402), TRIM(INDIRECT($N402)), 0),
       MATCH(TRIM(D$2), TRIM(INDIRECT($O402)), 0))</f>
        <v>10</v>
      </c>
      <c r="E402" s="9" t="e" cm="1">
        <f t="array" aca="1" ref="E402" ca="1">INDEX(INDIRECT($M402),
       MATCH(TRIM($C402), TRIM(INDIRECT($N402)), 0),
       MATCH(TRIM(E$2), TRIM(INDIRECT($O402)), 0))</f>
        <v>#N/A</v>
      </c>
      <c r="F402" s="11" cm="1">
        <f t="array" aca="1" ref="F402" ca="1">INDEX(INDIRECT($M402),
       MATCH(TRIM($C402), TRIM(INDIRECT($N402)), 0),
       MATCH(TRIM(F$2), TRIM(INDIRECT($O402)), 0))</f>
        <v>1011.547296</v>
      </c>
      <c r="G402" s="11" cm="1">
        <f t="array" aca="1" ref="G402" ca="1">INDEX(INDIRECT($M402),
       MATCH(TRIM($C402), TRIM(INDIRECT($N402)), 0),
       MATCH(TRIM(G$2), TRIM(INDIRECT($O402)), 0))</f>
        <v>4</v>
      </c>
      <c r="H402" s="9" t="e" cm="1">
        <f t="array" aca="1" ref="H402" ca="1">INDEX(INDIRECT($M402),
       MATCH(TRIM($C402), TRIM(INDIRECT($N402)), 0),
       MATCH(TRIM(H$2), TRIM(INDIRECT($O402)), 0))</f>
        <v>#N/A</v>
      </c>
      <c r="I402" s="11" cm="1">
        <f t="array" aca="1" ref="I402" ca="1">INDEX(INDIRECT($M402),
       MATCH(TRIM($C402), TRIM(INDIRECT($N402)), 0),
       MATCH(TRIM(I$2), TRIM(INDIRECT($O402)), 0))</f>
        <v>113.95092200000001</v>
      </c>
      <c r="J402" s="9" cm="1">
        <f t="array" aca="1" ref="J402" ca="1">INDEX(INDIRECT($M402),
       MATCH(TRIM($C402), TRIM(INDIRECT($N402)), 0),
       MATCH(TRIM(J$2), TRIM(INDIRECT($O402)), 0))</f>
        <v>11</v>
      </c>
      <c r="K402" s="11" cm="1">
        <f t="array" aca="1" ref="K402" ca="1">INDEX(INDIRECT($M402),
       MATCH(TRIM($C402), TRIM(INDIRECT($N402)), 0),
       MATCH(TRIM(K$2), TRIM(INDIRECT($O402)), 0))</f>
        <v>31.165627689999994</v>
      </c>
      <c r="L402" s="11" cm="1">
        <f t="array" aca="1" ref="L402" ca="1">INDEX(INDIRECT($M402),
       MATCH(TRIM($C402), TRIM(INDIRECT($N402)), 0),
       MATCH(TRIM(L$2), TRIM(INDIRECT($O402)), 0))</f>
        <v>1156.66384569</v>
      </c>
      <c r="M402" s="5" t="str">
        <f t="shared" si="18"/>
        <v>'2021'!$N$3:$V$80</v>
      </c>
      <c r="N402" s="5" t="str">
        <f t="shared" si="19"/>
        <v>'2021'!$M$2:$M$80</v>
      </c>
      <c r="O402" s="5" t="str">
        <f t="shared" si="20"/>
        <v>'2021'!$N$2:$W$2</v>
      </c>
    </row>
    <row r="403" spans="1:15" x14ac:dyDescent="0.3">
      <c r="A403">
        <v>23</v>
      </c>
      <c r="B403" s="9">
        <v>2021</v>
      </c>
      <c r="C403" t="s">
        <v>22</v>
      </c>
      <c r="D403" s="11" cm="1">
        <f t="array" aca="1" ref="D403" ca="1">INDEX(INDIRECT($M403),
       MATCH(TRIM($C403), TRIM(INDIRECT($N403)), 0),
       MATCH(TRIM(D$2), TRIM(INDIRECT($O403)), 0))</f>
        <v>1</v>
      </c>
      <c r="E403" s="9" t="e" cm="1">
        <f t="array" aca="1" ref="E403" ca="1">INDEX(INDIRECT($M403),
       MATCH(TRIM($C403), TRIM(INDIRECT($N403)), 0),
       MATCH(TRIM(E$2), TRIM(INDIRECT($O403)), 0))</f>
        <v>#N/A</v>
      </c>
      <c r="F403" s="11" cm="1">
        <f t="array" aca="1" ref="F403" ca="1">INDEX(INDIRECT($M403),
       MATCH(TRIM($C403), TRIM(INDIRECT($N403)), 0),
       MATCH(TRIM(F$2), TRIM(INDIRECT($O403)), 0))</f>
        <v>1.1093189999999999</v>
      </c>
      <c r="G403" s="11" cm="1">
        <f t="array" aca="1" ref="G403" ca="1">INDEX(INDIRECT($M403),
       MATCH(TRIM($C403), TRIM(INDIRECT($N403)), 0),
       MATCH(TRIM(G$2), TRIM(INDIRECT($O403)), 0))</f>
        <v>0</v>
      </c>
      <c r="H403" s="9" t="e" cm="1">
        <f t="array" aca="1" ref="H403" ca="1">INDEX(INDIRECT($M403),
       MATCH(TRIM($C403), TRIM(INDIRECT($N403)), 0),
       MATCH(TRIM(H$2), TRIM(INDIRECT($O403)), 0))</f>
        <v>#N/A</v>
      </c>
      <c r="I403" s="11" cm="1">
        <f t="array" aca="1" ref="I403" ca="1">INDEX(INDIRECT($M403),
       MATCH(TRIM($C403), TRIM(INDIRECT($N403)), 0),
       MATCH(TRIM(I$2), TRIM(INDIRECT($O403)), 0))</f>
        <v>0</v>
      </c>
      <c r="J403" s="9" cm="1">
        <f t="array" aca="1" ref="J403" ca="1">INDEX(INDIRECT($M403),
       MATCH(TRIM($C403), TRIM(INDIRECT($N403)), 0),
       MATCH(TRIM(J$2), TRIM(INDIRECT($O403)), 0))</f>
        <v>0</v>
      </c>
      <c r="K403" s="11" cm="1">
        <f t="array" aca="1" ref="K403" ca="1">INDEX(INDIRECT($M403),
       MATCH(TRIM($C403), TRIM(INDIRECT($N403)), 0),
       MATCH(TRIM(K$2), TRIM(INDIRECT($O403)), 0))</f>
        <v>0</v>
      </c>
      <c r="L403" s="11" cm="1">
        <f t="array" aca="1" ref="L403" ca="1">INDEX(INDIRECT($M403),
       MATCH(TRIM($C403), TRIM(INDIRECT($N403)), 0),
       MATCH(TRIM(L$2), TRIM(INDIRECT($O403)), 0))</f>
        <v>1.1093189999999999</v>
      </c>
      <c r="M403" s="5" t="str">
        <f t="shared" si="18"/>
        <v>'2021'!$N$3:$V$80</v>
      </c>
      <c r="N403" s="5" t="str">
        <f t="shared" si="19"/>
        <v>'2021'!$M$2:$M$80</v>
      </c>
      <c r="O403" s="5" t="str">
        <f t="shared" si="20"/>
        <v>'2021'!$N$2:$W$2</v>
      </c>
    </row>
    <row r="404" spans="1:15" x14ac:dyDescent="0.3">
      <c r="A404">
        <v>24</v>
      </c>
      <c r="B404" s="9">
        <v>2021</v>
      </c>
      <c r="C404" t="s">
        <v>23</v>
      </c>
      <c r="D404" s="11" cm="1">
        <f t="array" aca="1" ref="D404" ca="1">INDEX(INDIRECT($M404),
       MATCH(TRIM($C404), TRIM(INDIRECT($N404)), 0),
       MATCH(TRIM(D$2), TRIM(INDIRECT($O404)), 0))</f>
        <v>1</v>
      </c>
      <c r="E404" s="9" t="e" cm="1">
        <f t="array" aca="1" ref="E404" ca="1">INDEX(INDIRECT($M404),
       MATCH(TRIM($C404), TRIM(INDIRECT($N404)), 0),
       MATCH(TRIM(E$2), TRIM(INDIRECT($O404)), 0))</f>
        <v>#N/A</v>
      </c>
      <c r="F404" s="11" cm="1">
        <f t="array" aca="1" ref="F404" ca="1">INDEX(INDIRECT($M404),
       MATCH(TRIM($C404), TRIM(INDIRECT($N404)), 0),
       MATCH(TRIM(F$2), TRIM(INDIRECT($O404)), 0))</f>
        <v>6.75</v>
      </c>
      <c r="G404" s="11" cm="1">
        <f t="array" aca="1" ref="G404" ca="1">INDEX(INDIRECT($M404),
       MATCH(TRIM($C404), TRIM(INDIRECT($N404)), 0),
       MATCH(TRIM(G$2), TRIM(INDIRECT($O404)), 0))</f>
        <v>5</v>
      </c>
      <c r="H404" s="9" t="e" cm="1">
        <f t="array" aca="1" ref="H404" ca="1">INDEX(INDIRECT($M404),
       MATCH(TRIM($C404), TRIM(INDIRECT($N404)), 0),
       MATCH(TRIM(H$2), TRIM(INDIRECT($O404)), 0))</f>
        <v>#N/A</v>
      </c>
      <c r="I404" s="11" cm="1">
        <f t="array" aca="1" ref="I404" ca="1">INDEX(INDIRECT($M404),
       MATCH(TRIM($C404), TRIM(INDIRECT($N404)), 0),
       MATCH(TRIM(I$2), TRIM(INDIRECT($O404)), 0))</f>
        <v>25.139393999999999</v>
      </c>
      <c r="J404" s="9" cm="1">
        <f t="array" aca="1" ref="J404" ca="1">INDEX(INDIRECT($M404),
       MATCH(TRIM($C404), TRIM(INDIRECT($N404)), 0),
       MATCH(TRIM(J$2), TRIM(INDIRECT($O404)), 0))</f>
        <v>63</v>
      </c>
      <c r="K404" s="11" cm="1">
        <f t="array" aca="1" ref="K404" ca="1">INDEX(INDIRECT($M404),
       MATCH(TRIM($C404), TRIM(INDIRECT($N404)), 0),
       MATCH(TRIM(K$2), TRIM(INDIRECT($O404)), 0))</f>
        <v>5.8932420599999968</v>
      </c>
      <c r="L404" s="11" cm="1">
        <f t="array" aca="1" ref="L404" ca="1">INDEX(INDIRECT($M404),
       MATCH(TRIM($C404), TRIM(INDIRECT($N404)), 0),
       MATCH(TRIM(L$2), TRIM(INDIRECT($O404)), 0))</f>
        <v>37.782636059999994</v>
      </c>
      <c r="M404" s="5" t="str">
        <f t="shared" si="18"/>
        <v>'2021'!$N$3:$V$80</v>
      </c>
      <c r="N404" s="5" t="str">
        <f t="shared" si="19"/>
        <v>'2021'!$M$2:$M$80</v>
      </c>
      <c r="O404" s="5" t="str">
        <f t="shared" si="20"/>
        <v>'2021'!$N$2:$W$2</v>
      </c>
    </row>
    <row r="405" spans="1:15" x14ac:dyDescent="0.3">
      <c r="A405">
        <v>25</v>
      </c>
      <c r="B405" s="9">
        <v>2021</v>
      </c>
      <c r="C405" t="s">
        <v>24</v>
      </c>
      <c r="D405" s="11" cm="1">
        <f t="array" aca="1" ref="D405" ca="1">INDEX(INDIRECT($M405),
       MATCH(TRIM($C405), TRIM(INDIRECT($N405)), 0),
       MATCH(TRIM(D$2), TRIM(INDIRECT($O405)), 0))</f>
        <v>7</v>
      </c>
      <c r="E405" s="9" t="e" cm="1">
        <f t="array" aca="1" ref="E405" ca="1">INDEX(INDIRECT($M405),
       MATCH(TRIM($C405), TRIM(INDIRECT($N405)), 0),
       MATCH(TRIM(E$2), TRIM(INDIRECT($O405)), 0))</f>
        <v>#N/A</v>
      </c>
      <c r="F405" s="11" cm="1">
        <f t="array" aca="1" ref="F405" ca="1">INDEX(INDIRECT($M405),
       MATCH(TRIM($C405), TRIM(INDIRECT($N405)), 0),
       MATCH(TRIM(F$2), TRIM(INDIRECT($O405)), 0))</f>
        <v>15.207852000000001</v>
      </c>
      <c r="G405" s="11" cm="1">
        <f t="array" aca="1" ref="G405" ca="1">INDEX(INDIRECT($M405),
       MATCH(TRIM($C405), TRIM(INDIRECT($N405)), 0),
       MATCH(TRIM(G$2), TRIM(INDIRECT($O405)), 0))</f>
        <v>6</v>
      </c>
      <c r="H405" s="9" t="e" cm="1">
        <f t="array" aca="1" ref="H405" ca="1">INDEX(INDIRECT($M405),
       MATCH(TRIM($C405), TRIM(INDIRECT($N405)), 0),
       MATCH(TRIM(H$2), TRIM(INDIRECT($O405)), 0))</f>
        <v>#N/A</v>
      </c>
      <c r="I405" s="11" cm="1">
        <f t="array" aca="1" ref="I405" ca="1">INDEX(INDIRECT($M405),
       MATCH(TRIM($C405), TRIM(INDIRECT($N405)), 0),
       MATCH(TRIM(I$2), TRIM(INDIRECT($O405)), 0))</f>
        <v>13.092245</v>
      </c>
      <c r="J405" s="9" cm="1">
        <f t="array" aca="1" ref="J405" ca="1">INDEX(INDIRECT($M405),
       MATCH(TRIM($C405), TRIM(INDIRECT($N405)), 0),
       MATCH(TRIM(J$2), TRIM(INDIRECT($O405)), 0))</f>
        <v>40</v>
      </c>
      <c r="K405" s="11" cm="1">
        <f t="array" aca="1" ref="K405" ca="1">INDEX(INDIRECT($M405),
       MATCH(TRIM($C405), TRIM(INDIRECT($N405)), 0),
       MATCH(TRIM(K$2), TRIM(INDIRECT($O405)), 0))</f>
        <v>11.655130590000001</v>
      </c>
      <c r="L405" s="11" cm="1">
        <f t="array" aca="1" ref="L405" ca="1">INDEX(INDIRECT($M405),
       MATCH(TRIM($C405), TRIM(INDIRECT($N405)), 0),
       MATCH(TRIM(L$2), TRIM(INDIRECT($O405)), 0))</f>
        <v>39.95522759</v>
      </c>
      <c r="M405" s="5" t="str">
        <f t="shared" si="18"/>
        <v>'2021'!$N$3:$V$80</v>
      </c>
      <c r="N405" s="5" t="str">
        <f t="shared" si="19"/>
        <v>'2021'!$M$2:$M$80</v>
      </c>
      <c r="O405" s="5" t="str">
        <f t="shared" si="20"/>
        <v>'2021'!$N$2:$W$2</v>
      </c>
    </row>
    <row r="406" spans="1:15" x14ac:dyDescent="0.3">
      <c r="A406">
        <v>26</v>
      </c>
      <c r="B406" s="9">
        <v>2021</v>
      </c>
      <c r="C406" t="s">
        <v>25</v>
      </c>
      <c r="D406" s="11" cm="1">
        <f t="array" aca="1" ref="D406" ca="1">INDEX(INDIRECT($M406),
       MATCH(TRIM($C406), TRIM(INDIRECT($N406)), 0),
       MATCH(TRIM(D$2), TRIM(INDIRECT($O406)), 0))</f>
        <v>2</v>
      </c>
      <c r="E406" s="9" t="e" cm="1">
        <f t="array" aca="1" ref="E406" ca="1">INDEX(INDIRECT($M406),
       MATCH(TRIM($C406), TRIM(INDIRECT($N406)), 0),
       MATCH(TRIM(E$2), TRIM(INDIRECT($O406)), 0))</f>
        <v>#N/A</v>
      </c>
      <c r="F406" s="11" cm="1">
        <f t="array" aca="1" ref="F406" ca="1">INDEX(INDIRECT($M406),
       MATCH(TRIM($C406), TRIM(INDIRECT($N406)), 0),
       MATCH(TRIM(F$2), TRIM(INDIRECT($O406)), 0))</f>
        <v>12.348070999999999</v>
      </c>
      <c r="G406" s="11" cm="1">
        <f t="array" aca="1" ref="G406" ca="1">INDEX(INDIRECT($M406),
       MATCH(TRIM($C406), TRIM(INDIRECT($N406)), 0),
       MATCH(TRIM(G$2), TRIM(INDIRECT($O406)), 0))</f>
        <v>0</v>
      </c>
      <c r="H406" s="9" t="e" cm="1">
        <f t="array" aca="1" ref="H406" ca="1">INDEX(INDIRECT($M406),
       MATCH(TRIM($C406), TRIM(INDIRECT($N406)), 0),
       MATCH(TRIM(H$2), TRIM(INDIRECT($O406)), 0))</f>
        <v>#N/A</v>
      </c>
      <c r="I406" s="11" cm="1">
        <f t="array" aca="1" ref="I406" ca="1">INDEX(INDIRECT($M406),
       MATCH(TRIM($C406), TRIM(INDIRECT($N406)), 0),
       MATCH(TRIM(I$2), TRIM(INDIRECT($O406)), 0))</f>
        <v>0</v>
      </c>
      <c r="J406" s="9" cm="1">
        <f t="array" aca="1" ref="J406" ca="1">INDEX(INDIRECT($M406),
       MATCH(TRIM($C406), TRIM(INDIRECT($N406)), 0),
       MATCH(TRIM(J$2), TRIM(INDIRECT($O406)), 0))</f>
        <v>10</v>
      </c>
      <c r="K406" s="11" cm="1">
        <f t="array" aca="1" ref="K406" ca="1">INDEX(INDIRECT($M406),
       MATCH(TRIM($C406), TRIM(INDIRECT($N406)), 0),
       MATCH(TRIM(K$2), TRIM(INDIRECT($O406)), 0))</f>
        <v>2.1022177099999997</v>
      </c>
      <c r="L406" s="11" cm="1">
        <f t="array" aca="1" ref="L406" ca="1">INDEX(INDIRECT($M406),
       MATCH(TRIM($C406), TRIM(INDIRECT($N406)), 0),
       MATCH(TRIM(L$2), TRIM(INDIRECT($O406)), 0))</f>
        <v>14.450288709999999</v>
      </c>
      <c r="M406" s="5" t="str">
        <f t="shared" si="18"/>
        <v>'2021'!$N$3:$V$80</v>
      </c>
      <c r="N406" s="5" t="str">
        <f t="shared" si="19"/>
        <v>'2021'!$M$2:$M$80</v>
      </c>
      <c r="O406" s="5" t="str">
        <f t="shared" si="20"/>
        <v>'2021'!$N$2:$W$2</v>
      </c>
    </row>
    <row r="407" spans="1:15" x14ac:dyDescent="0.3">
      <c r="A407">
        <v>27</v>
      </c>
      <c r="B407" s="9">
        <v>2021</v>
      </c>
      <c r="C407" t="s">
        <v>26</v>
      </c>
      <c r="D407" s="11" cm="1">
        <f t="array" aca="1" ref="D407" ca="1">INDEX(INDIRECT($M407),
       MATCH(TRIM($C407), TRIM(INDIRECT($N407)), 0),
       MATCH(TRIM(D$2), TRIM(INDIRECT($O407)), 0))</f>
        <v>6</v>
      </c>
      <c r="E407" s="9" t="e" cm="1">
        <f t="array" aca="1" ref="E407" ca="1">INDEX(INDIRECT($M407),
       MATCH(TRIM($C407), TRIM(INDIRECT($N407)), 0),
       MATCH(TRIM(E$2), TRIM(INDIRECT($O407)), 0))</f>
        <v>#N/A</v>
      </c>
      <c r="F407" s="11" cm="1">
        <f t="array" aca="1" ref="F407" ca="1">INDEX(INDIRECT($M407),
       MATCH(TRIM($C407), TRIM(INDIRECT($N407)), 0),
       MATCH(TRIM(F$2), TRIM(INDIRECT($O407)), 0))</f>
        <v>13.742829</v>
      </c>
      <c r="G407" s="11" cm="1">
        <f t="array" aca="1" ref="G407" ca="1">INDEX(INDIRECT($M407),
       MATCH(TRIM($C407), TRIM(INDIRECT($N407)), 0),
       MATCH(TRIM(G$2), TRIM(INDIRECT($O407)), 0))</f>
        <v>6</v>
      </c>
      <c r="H407" s="9" t="e" cm="1">
        <f t="array" aca="1" ref="H407" ca="1">INDEX(INDIRECT($M407),
       MATCH(TRIM($C407), TRIM(INDIRECT($N407)), 0),
       MATCH(TRIM(H$2), TRIM(INDIRECT($O407)), 0))</f>
        <v>#N/A</v>
      </c>
      <c r="I407" s="11" cm="1">
        <f t="array" aca="1" ref="I407" ca="1">INDEX(INDIRECT($M407),
       MATCH(TRIM($C407), TRIM(INDIRECT($N407)), 0),
       MATCH(TRIM(I$2), TRIM(INDIRECT($O407)), 0))</f>
        <v>33.688794156249998</v>
      </c>
      <c r="J407" s="9" cm="1">
        <f t="array" aca="1" ref="J407" ca="1">INDEX(INDIRECT($M407),
       MATCH(TRIM($C407), TRIM(INDIRECT($N407)), 0),
       MATCH(TRIM(J$2), TRIM(INDIRECT($O407)), 0))</f>
        <v>3</v>
      </c>
      <c r="K407" s="11" cm="1">
        <f t="array" aca="1" ref="K407" ca="1">INDEX(INDIRECT($M407),
       MATCH(TRIM($C407), TRIM(INDIRECT($N407)), 0),
       MATCH(TRIM(K$2), TRIM(INDIRECT($O407)), 0))</f>
        <v>2.8769030099999999</v>
      </c>
      <c r="L407" s="11" cm="1">
        <f t="array" aca="1" ref="L407" ca="1">INDEX(INDIRECT($M407),
       MATCH(TRIM($C407), TRIM(INDIRECT($N407)), 0),
       MATCH(TRIM(L$2), TRIM(INDIRECT($O407)), 0))</f>
        <v>50.308526166249997</v>
      </c>
      <c r="M407" s="5" t="str">
        <f t="shared" si="18"/>
        <v>'2021'!$N$3:$V$80</v>
      </c>
      <c r="N407" s="5" t="str">
        <f t="shared" si="19"/>
        <v>'2021'!$M$2:$M$80</v>
      </c>
      <c r="O407" s="5" t="str">
        <f t="shared" si="20"/>
        <v>'2021'!$N$2:$W$2</v>
      </c>
    </row>
    <row r="408" spans="1:15" x14ac:dyDescent="0.3">
      <c r="A408">
        <v>28</v>
      </c>
      <c r="B408" s="9">
        <v>2021</v>
      </c>
      <c r="C408" t="s">
        <v>27</v>
      </c>
      <c r="D408" s="11" cm="1">
        <f t="array" aca="1" ref="D408" ca="1">INDEX(INDIRECT($M408),
       MATCH(TRIM($C408), TRIM(INDIRECT($N408)), 0),
       MATCH(TRIM(D$2), TRIM(INDIRECT($O408)), 0))</f>
        <v>7</v>
      </c>
      <c r="E408" s="9" t="e" cm="1">
        <f t="array" aca="1" ref="E408" ca="1">INDEX(INDIRECT($M408),
       MATCH(TRIM($C408), TRIM(INDIRECT($N408)), 0),
       MATCH(TRIM(E$2), TRIM(INDIRECT($O408)), 0))</f>
        <v>#N/A</v>
      </c>
      <c r="F408" s="11" cm="1">
        <f t="array" aca="1" ref="F408" ca="1">INDEX(INDIRECT($M408),
       MATCH(TRIM($C408), TRIM(INDIRECT($N408)), 0),
       MATCH(TRIM(F$2), TRIM(INDIRECT($O408)), 0))</f>
        <v>83.759541999999996</v>
      </c>
      <c r="G408" s="11" cm="1">
        <f t="array" aca="1" ref="G408" ca="1">INDEX(INDIRECT($M408),
       MATCH(TRIM($C408), TRIM(INDIRECT($N408)), 0),
       MATCH(TRIM(G$2), TRIM(INDIRECT($O408)), 0))</f>
        <v>2</v>
      </c>
      <c r="H408" s="9" t="e" cm="1">
        <f t="array" aca="1" ref="H408" ca="1">INDEX(INDIRECT($M408),
       MATCH(TRIM($C408), TRIM(INDIRECT($N408)), 0),
       MATCH(TRIM(H$2), TRIM(INDIRECT($O408)), 0))</f>
        <v>#N/A</v>
      </c>
      <c r="I408" s="11" cm="1">
        <f t="array" aca="1" ref="I408" ca="1">INDEX(INDIRECT($M408),
       MATCH(TRIM($C408), TRIM(INDIRECT($N408)), 0),
       MATCH(TRIM(I$2), TRIM(INDIRECT($O408)), 0))</f>
        <v>22</v>
      </c>
      <c r="J408" s="9" cm="1">
        <f t="array" aca="1" ref="J408" ca="1">INDEX(INDIRECT($M408),
       MATCH(TRIM($C408), TRIM(INDIRECT($N408)), 0),
       MATCH(TRIM(J$2), TRIM(INDIRECT($O408)), 0))</f>
        <v>11</v>
      </c>
      <c r="K408" s="11" cm="1">
        <f t="array" aca="1" ref="K408" ca="1">INDEX(INDIRECT($M408),
       MATCH(TRIM($C408), TRIM(INDIRECT($N408)), 0),
       MATCH(TRIM(K$2), TRIM(INDIRECT($O408)), 0))</f>
        <v>51.084819010000004</v>
      </c>
      <c r="L408" s="11" cm="1">
        <f t="array" aca="1" ref="L408" ca="1">INDEX(INDIRECT($M408),
       MATCH(TRIM($C408), TRIM(INDIRECT($N408)), 0),
       MATCH(TRIM(L$2), TRIM(INDIRECT($O408)), 0))</f>
        <v>156.84436101</v>
      </c>
      <c r="M408" s="5" t="str">
        <f t="shared" si="18"/>
        <v>'2021'!$N$3:$V$80</v>
      </c>
      <c r="N408" s="5" t="str">
        <f t="shared" si="19"/>
        <v>'2021'!$M$2:$M$80</v>
      </c>
      <c r="O408" s="5" t="str">
        <f t="shared" si="20"/>
        <v>'2021'!$N$2:$W$2</v>
      </c>
    </row>
    <row r="409" spans="1:15" x14ac:dyDescent="0.3">
      <c r="A409">
        <v>29</v>
      </c>
      <c r="B409" s="9">
        <v>2021</v>
      </c>
      <c r="C409" t="s">
        <v>28</v>
      </c>
      <c r="D409" s="11" cm="1">
        <f t="array" aca="1" ref="D409" ca="1">INDEX(INDIRECT($M409),
       MATCH(TRIM($C409), TRIM(INDIRECT($N409)), 0),
       MATCH(TRIM(D$2), TRIM(INDIRECT($O409)), 0))</f>
        <v>2</v>
      </c>
      <c r="E409" s="9" t="e" cm="1">
        <f t="array" aca="1" ref="E409" ca="1">INDEX(INDIRECT($M409),
       MATCH(TRIM($C409), TRIM(INDIRECT($N409)), 0),
       MATCH(TRIM(E$2), TRIM(INDIRECT($O409)), 0))</f>
        <v>#N/A</v>
      </c>
      <c r="F409" s="11" cm="1">
        <f t="array" aca="1" ref="F409" ca="1">INDEX(INDIRECT($M409),
       MATCH(TRIM($C409), TRIM(INDIRECT($N409)), 0),
       MATCH(TRIM(F$2), TRIM(INDIRECT($O409)), 0))</f>
        <v>24.95</v>
      </c>
      <c r="G409" s="11" cm="1">
        <f t="array" aca="1" ref="G409" ca="1">INDEX(INDIRECT($M409),
       MATCH(TRIM($C409), TRIM(INDIRECT($N409)), 0),
       MATCH(TRIM(G$2), TRIM(INDIRECT($O409)), 0))</f>
        <v>2</v>
      </c>
      <c r="H409" s="9" t="e" cm="1">
        <f t="array" aca="1" ref="H409" ca="1">INDEX(INDIRECT($M409),
       MATCH(TRIM($C409), TRIM(INDIRECT($N409)), 0),
       MATCH(TRIM(H$2), TRIM(INDIRECT($O409)), 0))</f>
        <v>#N/A</v>
      </c>
      <c r="I409" s="11" cm="1">
        <f t="array" aca="1" ref="I409" ca="1">INDEX(INDIRECT($M409),
       MATCH(TRIM($C409), TRIM(INDIRECT($N409)), 0),
       MATCH(TRIM(I$2), TRIM(INDIRECT($O409)), 0))</f>
        <v>17.059999999999999</v>
      </c>
      <c r="J409" s="9" cm="1">
        <f t="array" aca="1" ref="J409" ca="1">INDEX(INDIRECT($M409),
       MATCH(TRIM($C409), TRIM(INDIRECT($N409)), 0),
       MATCH(TRIM(J$2), TRIM(INDIRECT($O409)), 0))</f>
        <v>0</v>
      </c>
      <c r="K409" s="11" cm="1">
        <f t="array" aca="1" ref="K409" ca="1">INDEX(INDIRECT($M409),
       MATCH(TRIM($C409), TRIM(INDIRECT($N409)), 0),
       MATCH(TRIM(K$2), TRIM(INDIRECT($O409)), 0))</f>
        <v>0</v>
      </c>
      <c r="L409" s="11" cm="1">
        <f t="array" aca="1" ref="L409" ca="1">INDEX(INDIRECT($M409),
       MATCH(TRIM($C409), TRIM(INDIRECT($N409)), 0),
       MATCH(TRIM(L$2), TRIM(INDIRECT($O409)), 0))</f>
        <v>42.01</v>
      </c>
      <c r="M409" s="5" t="str">
        <f t="shared" si="18"/>
        <v>'2021'!$N$3:$V$80</v>
      </c>
      <c r="N409" s="5" t="str">
        <f t="shared" si="19"/>
        <v>'2021'!$M$2:$M$80</v>
      </c>
      <c r="O409" s="5" t="str">
        <f t="shared" si="20"/>
        <v>'2021'!$N$2:$W$2</v>
      </c>
    </row>
    <row r="410" spans="1:15" x14ac:dyDescent="0.3">
      <c r="A410">
        <v>30</v>
      </c>
      <c r="B410" s="9">
        <v>2021</v>
      </c>
      <c r="C410" t="s">
        <v>29</v>
      </c>
      <c r="D410" s="11" cm="1">
        <f t="array" aca="1" ref="D410" ca="1">INDEX(INDIRECT($M410),
       MATCH(TRIM($C410), TRIM(INDIRECT($N410)), 0),
       MATCH(TRIM(D$2), TRIM(INDIRECT($O410)), 0))</f>
        <v>1</v>
      </c>
      <c r="E410" s="9" t="e" cm="1">
        <f t="array" aca="1" ref="E410" ca="1">INDEX(INDIRECT($M410),
       MATCH(TRIM($C410), TRIM(INDIRECT($N410)), 0),
       MATCH(TRIM(E$2), TRIM(INDIRECT($O410)), 0))</f>
        <v>#N/A</v>
      </c>
      <c r="F410" s="11" cm="1">
        <f t="array" aca="1" ref="F410" ca="1">INDEX(INDIRECT($M410),
       MATCH(TRIM($C410), TRIM(INDIRECT($N410)), 0),
       MATCH(TRIM(F$2), TRIM(INDIRECT($O410)), 0))</f>
        <v>4</v>
      </c>
      <c r="G410" s="11" cm="1">
        <f t="array" aca="1" ref="G410" ca="1">INDEX(INDIRECT($M410),
       MATCH(TRIM($C410), TRIM(INDIRECT($N410)), 0),
       MATCH(TRIM(G$2), TRIM(INDIRECT($O410)), 0))</f>
        <v>0</v>
      </c>
      <c r="H410" s="9" t="e" cm="1">
        <f t="array" aca="1" ref="H410" ca="1">INDEX(INDIRECT($M410),
       MATCH(TRIM($C410), TRIM(INDIRECT($N410)), 0),
       MATCH(TRIM(H$2), TRIM(INDIRECT($O410)), 0))</f>
        <v>#N/A</v>
      </c>
      <c r="I410" s="11" cm="1">
        <f t="array" aca="1" ref="I410" ca="1">INDEX(INDIRECT($M410),
       MATCH(TRIM($C410), TRIM(INDIRECT($N410)), 0),
       MATCH(TRIM(I$2), TRIM(INDIRECT($O410)), 0))</f>
        <v>0</v>
      </c>
      <c r="J410" s="9" cm="1">
        <f t="array" aca="1" ref="J410" ca="1">INDEX(INDIRECT($M410),
       MATCH(TRIM($C410), TRIM(INDIRECT($N410)), 0),
       MATCH(TRIM(J$2), TRIM(INDIRECT($O410)), 0))</f>
        <v>12</v>
      </c>
      <c r="K410" s="11" cm="1">
        <f t="array" aca="1" ref="K410" ca="1">INDEX(INDIRECT($M410),
       MATCH(TRIM($C410), TRIM(INDIRECT($N410)), 0),
       MATCH(TRIM(K$2), TRIM(INDIRECT($O410)), 0))</f>
        <v>74.757006029999999</v>
      </c>
      <c r="L410" s="11" cm="1">
        <f t="array" aca="1" ref="L410" ca="1">INDEX(INDIRECT($M410),
       MATCH(TRIM($C410), TRIM(INDIRECT($N410)), 0),
       MATCH(TRIM(L$2), TRIM(INDIRECT($O410)), 0))</f>
        <v>78.757006029999999</v>
      </c>
      <c r="M410" s="5" t="str">
        <f t="shared" si="18"/>
        <v>'2021'!$N$3:$V$80</v>
      </c>
      <c r="N410" s="5" t="str">
        <f t="shared" si="19"/>
        <v>'2021'!$M$2:$M$80</v>
      </c>
      <c r="O410" s="5" t="str">
        <f t="shared" si="20"/>
        <v>'2021'!$N$2:$W$2</v>
      </c>
    </row>
    <row r="411" spans="1:15" x14ac:dyDescent="0.3">
      <c r="A411">
        <v>31</v>
      </c>
      <c r="B411" s="9">
        <v>2021</v>
      </c>
      <c r="C411" t="s">
        <v>30</v>
      </c>
      <c r="D411" s="11" cm="1">
        <f t="array" aca="1" ref="D411" ca="1">INDEX(INDIRECT($M411),
       MATCH(TRIM($C411), TRIM(INDIRECT($N411)), 0),
       MATCH(TRIM(D$2), TRIM(INDIRECT($O411)), 0))</f>
        <v>1</v>
      </c>
      <c r="E411" s="9" t="e" cm="1">
        <f t="array" aca="1" ref="E411" ca="1">INDEX(INDIRECT($M411),
       MATCH(TRIM($C411), TRIM(INDIRECT($N411)), 0),
       MATCH(TRIM(E$2), TRIM(INDIRECT($O411)), 0))</f>
        <v>#N/A</v>
      </c>
      <c r="F411" s="11" cm="1">
        <f t="array" aca="1" ref="F411" ca="1">INDEX(INDIRECT($M411),
       MATCH(TRIM($C411), TRIM(INDIRECT($N411)), 0),
       MATCH(TRIM(F$2), TRIM(INDIRECT($O411)), 0))</f>
        <v>4.3160000000000004E-3</v>
      </c>
      <c r="G411" s="11" cm="1">
        <f t="array" aca="1" ref="G411" ca="1">INDEX(INDIRECT($M411),
       MATCH(TRIM($C411), TRIM(INDIRECT($N411)), 0),
       MATCH(TRIM(G$2), TRIM(INDIRECT($O411)), 0))</f>
        <v>0</v>
      </c>
      <c r="H411" s="9" t="e" cm="1">
        <f t="array" aca="1" ref="H411" ca="1">INDEX(INDIRECT($M411),
       MATCH(TRIM($C411), TRIM(INDIRECT($N411)), 0),
       MATCH(TRIM(H$2), TRIM(INDIRECT($O411)), 0))</f>
        <v>#N/A</v>
      </c>
      <c r="I411" s="11" cm="1">
        <f t="array" aca="1" ref="I411" ca="1">INDEX(INDIRECT($M411),
       MATCH(TRIM($C411), TRIM(INDIRECT($N411)), 0),
       MATCH(TRIM(I$2), TRIM(INDIRECT($O411)), 0))</f>
        <v>0</v>
      </c>
      <c r="J411" s="9" cm="1">
        <f t="array" aca="1" ref="J411" ca="1">INDEX(INDIRECT($M411),
       MATCH(TRIM($C411), TRIM(INDIRECT($N411)), 0),
       MATCH(TRIM(J$2), TRIM(INDIRECT($O411)), 0))</f>
        <v>1</v>
      </c>
      <c r="K411" s="11" cm="1">
        <f t="array" aca="1" ref="K411" ca="1">INDEX(INDIRECT($M411),
       MATCH(TRIM($C411), TRIM(INDIRECT($N411)), 0),
       MATCH(TRIM(K$2), TRIM(INDIRECT($O411)), 0))</f>
        <v>0.20077720000000002</v>
      </c>
      <c r="L411" s="11" cm="1">
        <f t="array" aca="1" ref="L411" ca="1">INDEX(INDIRECT($M411),
       MATCH(TRIM($C411), TRIM(INDIRECT($N411)), 0),
       MATCH(TRIM(L$2), TRIM(INDIRECT($O411)), 0))</f>
        <v>0.20509320000000003</v>
      </c>
      <c r="M411" s="5" t="str">
        <f t="shared" si="18"/>
        <v>'2021'!$N$3:$V$80</v>
      </c>
      <c r="N411" s="5" t="str">
        <f t="shared" si="19"/>
        <v>'2021'!$M$2:$M$80</v>
      </c>
      <c r="O411" s="5" t="str">
        <f t="shared" si="20"/>
        <v>'2021'!$N$2:$W$2</v>
      </c>
    </row>
    <row r="412" spans="1:15" x14ac:dyDescent="0.3">
      <c r="A412">
        <v>32</v>
      </c>
      <c r="B412" s="9">
        <v>2021</v>
      </c>
      <c r="C412" t="s">
        <v>31</v>
      </c>
      <c r="D412" s="11" cm="1">
        <f t="array" aca="1" ref="D412" ca="1">INDEX(INDIRECT($M412),
       MATCH(TRIM($C412), TRIM(INDIRECT($N412)), 0),
       MATCH(TRIM(D$2), TRIM(INDIRECT($O412)), 0))</f>
        <v>0</v>
      </c>
      <c r="E412" s="9" t="e" cm="1">
        <f t="array" aca="1" ref="E412" ca="1">INDEX(INDIRECT($M412),
       MATCH(TRIM($C412), TRIM(INDIRECT($N412)), 0),
       MATCH(TRIM(E$2), TRIM(INDIRECT($O412)), 0))</f>
        <v>#N/A</v>
      </c>
      <c r="F412" s="11" cm="1">
        <f t="array" aca="1" ref="F412" ca="1">INDEX(INDIRECT($M412),
       MATCH(TRIM($C412), TRIM(INDIRECT($N412)), 0),
       MATCH(TRIM(F$2), TRIM(INDIRECT($O412)), 0))</f>
        <v>0</v>
      </c>
      <c r="G412" s="11" cm="1">
        <f t="array" aca="1" ref="G412" ca="1">INDEX(INDIRECT($M412),
       MATCH(TRIM($C412), TRIM(INDIRECT($N412)), 0),
       MATCH(TRIM(G$2), TRIM(INDIRECT($O412)), 0))</f>
        <v>1</v>
      </c>
      <c r="H412" s="9" t="e" cm="1">
        <f t="array" aca="1" ref="H412" ca="1">INDEX(INDIRECT($M412),
       MATCH(TRIM($C412), TRIM(INDIRECT($N412)), 0),
       MATCH(TRIM(H$2), TRIM(INDIRECT($O412)), 0))</f>
        <v>#N/A</v>
      </c>
      <c r="I412" s="11" cm="1">
        <f t="array" aca="1" ref="I412" ca="1">INDEX(INDIRECT($M412),
       MATCH(TRIM($C412), TRIM(INDIRECT($N412)), 0),
       MATCH(TRIM(I$2), TRIM(INDIRECT($O412)), 0))</f>
        <v>0.5</v>
      </c>
      <c r="J412" s="9" cm="1">
        <f t="array" aca="1" ref="J412" ca="1">INDEX(INDIRECT($M412),
       MATCH(TRIM($C412), TRIM(INDIRECT($N412)), 0),
       MATCH(TRIM(J$2), TRIM(INDIRECT($O412)), 0))</f>
        <v>0</v>
      </c>
      <c r="K412" s="11" cm="1">
        <f t="array" aca="1" ref="K412" ca="1">INDEX(INDIRECT($M412),
       MATCH(TRIM($C412), TRIM(INDIRECT($N412)), 0),
       MATCH(TRIM(K$2), TRIM(INDIRECT($O412)), 0))</f>
        <v>0</v>
      </c>
      <c r="L412" s="11" cm="1">
        <f t="array" aca="1" ref="L412" ca="1">INDEX(INDIRECT($M412),
       MATCH(TRIM($C412), TRIM(INDIRECT($N412)), 0),
       MATCH(TRIM(L$2), TRIM(INDIRECT($O412)), 0))</f>
        <v>0.5</v>
      </c>
      <c r="M412" s="5" t="str">
        <f t="shared" si="18"/>
        <v>'2021'!$N$3:$V$80</v>
      </c>
      <c r="N412" s="5" t="str">
        <f t="shared" si="19"/>
        <v>'2021'!$M$2:$M$80</v>
      </c>
      <c r="O412" s="5" t="str">
        <f t="shared" si="20"/>
        <v>'2021'!$N$2:$W$2</v>
      </c>
    </row>
    <row r="413" spans="1:15" x14ac:dyDescent="0.3">
      <c r="A413">
        <v>33</v>
      </c>
      <c r="B413" s="9">
        <v>2021</v>
      </c>
      <c r="C413" t="s">
        <v>32</v>
      </c>
      <c r="D413" s="11" cm="1">
        <f t="array" aca="1" ref="D413" ca="1">INDEX(INDIRECT($M413),
       MATCH(TRIM($C413), TRIM(INDIRECT($N413)), 0),
       MATCH(TRIM(D$2), TRIM(INDIRECT($O413)), 0))</f>
        <v>1</v>
      </c>
      <c r="E413" s="9" t="e" cm="1">
        <f t="array" aca="1" ref="E413" ca="1">INDEX(INDIRECT($M413),
       MATCH(TRIM($C413), TRIM(INDIRECT($N413)), 0),
       MATCH(TRIM(E$2), TRIM(INDIRECT($O413)), 0))</f>
        <v>#N/A</v>
      </c>
      <c r="F413" s="11" cm="1">
        <f t="array" aca="1" ref="F413" ca="1">INDEX(INDIRECT($M413),
       MATCH(TRIM($C413), TRIM(INDIRECT($N413)), 0),
       MATCH(TRIM(F$2), TRIM(INDIRECT($O413)), 0))</f>
        <v>0.25</v>
      </c>
      <c r="G413" s="11" cm="1">
        <f t="array" aca="1" ref="G413" ca="1">INDEX(INDIRECT($M413),
       MATCH(TRIM($C413), TRIM(INDIRECT($N413)), 0),
       MATCH(TRIM(G$2), TRIM(INDIRECT($O413)), 0))</f>
        <v>2</v>
      </c>
      <c r="H413" s="9" t="e" cm="1">
        <f t="array" aca="1" ref="H413" ca="1">INDEX(INDIRECT($M413),
       MATCH(TRIM($C413), TRIM(INDIRECT($N413)), 0),
       MATCH(TRIM(H$2), TRIM(INDIRECT($O413)), 0))</f>
        <v>#N/A</v>
      </c>
      <c r="I413" s="11" cm="1">
        <f t="array" aca="1" ref="I413" ca="1">INDEX(INDIRECT($M413),
       MATCH(TRIM($C413), TRIM(INDIRECT($N413)), 0),
       MATCH(TRIM(I$2), TRIM(INDIRECT($O413)), 0))</f>
        <v>8.7071380000000005</v>
      </c>
      <c r="J413" s="9" cm="1">
        <f t="array" aca="1" ref="J413" ca="1">INDEX(INDIRECT($M413),
       MATCH(TRIM($C413), TRIM(INDIRECT($N413)), 0),
       MATCH(TRIM(J$2), TRIM(INDIRECT($O413)), 0))</f>
        <v>4</v>
      </c>
      <c r="K413" s="11" cm="1">
        <f t="array" aca="1" ref="K413" ca="1">INDEX(INDIRECT($M413),
       MATCH(TRIM($C413), TRIM(INDIRECT($N413)), 0),
       MATCH(TRIM(K$2), TRIM(INDIRECT($O413)), 0))</f>
        <v>3.0942691899999999</v>
      </c>
      <c r="L413" s="11" cm="1">
        <f t="array" aca="1" ref="L413" ca="1">INDEX(INDIRECT($M413),
       MATCH(TRIM($C413), TRIM(INDIRECT($N413)), 0),
       MATCH(TRIM(L$2), TRIM(INDIRECT($O413)), 0))</f>
        <v>12.051407190000001</v>
      </c>
      <c r="M413" s="5" t="str">
        <f t="shared" si="18"/>
        <v>'2021'!$N$3:$V$80</v>
      </c>
      <c r="N413" s="5" t="str">
        <f t="shared" si="19"/>
        <v>'2021'!$M$2:$M$80</v>
      </c>
      <c r="O413" s="5" t="str">
        <f t="shared" si="20"/>
        <v>'2021'!$N$2:$W$2</v>
      </c>
    </row>
    <row r="414" spans="1:15" x14ac:dyDescent="0.3">
      <c r="A414">
        <v>34</v>
      </c>
      <c r="B414" s="9">
        <v>2021</v>
      </c>
      <c r="C414" t="s">
        <v>33</v>
      </c>
      <c r="D414" s="11" cm="1">
        <f t="array" aca="1" ref="D414" ca="1">INDEX(INDIRECT($M414),
       MATCH(TRIM($C414), TRIM(INDIRECT($N414)), 0),
       MATCH(TRIM(D$2), TRIM(INDIRECT($O414)), 0))</f>
        <v>4</v>
      </c>
      <c r="E414" s="9" t="e" cm="1">
        <f t="array" aca="1" ref="E414" ca="1">INDEX(INDIRECT($M414),
       MATCH(TRIM($C414), TRIM(INDIRECT($N414)), 0),
       MATCH(TRIM(E$2), TRIM(INDIRECT($O414)), 0))</f>
        <v>#N/A</v>
      </c>
      <c r="F414" s="11" cm="1">
        <f t="array" aca="1" ref="F414" ca="1">INDEX(INDIRECT($M414),
       MATCH(TRIM($C414), TRIM(INDIRECT($N414)), 0),
       MATCH(TRIM(F$2), TRIM(INDIRECT($O414)), 0))</f>
        <v>80.341999999999999</v>
      </c>
      <c r="G414" s="11" cm="1">
        <f t="array" aca="1" ref="G414" ca="1">INDEX(INDIRECT($M414),
       MATCH(TRIM($C414), TRIM(INDIRECT($N414)), 0),
       MATCH(TRIM(G$2), TRIM(INDIRECT($O414)), 0))</f>
        <v>3</v>
      </c>
      <c r="H414" s="9" t="e" cm="1">
        <f t="array" aca="1" ref="H414" ca="1">INDEX(INDIRECT($M414),
       MATCH(TRIM($C414), TRIM(INDIRECT($N414)), 0),
       MATCH(TRIM(H$2), TRIM(INDIRECT($O414)), 0))</f>
        <v>#N/A</v>
      </c>
      <c r="I414" s="11" cm="1">
        <f t="array" aca="1" ref="I414" ca="1">INDEX(INDIRECT($M414),
       MATCH(TRIM($C414), TRIM(INDIRECT($N414)), 0),
       MATCH(TRIM(I$2), TRIM(INDIRECT($O414)), 0))</f>
        <v>12.401764</v>
      </c>
      <c r="J414" s="9" cm="1">
        <f t="array" aca="1" ref="J414" ca="1">INDEX(INDIRECT($M414),
       MATCH(TRIM($C414), TRIM(INDIRECT($N414)), 0),
       MATCH(TRIM(J$2), TRIM(INDIRECT($O414)), 0))</f>
        <v>12</v>
      </c>
      <c r="K414" s="11" cm="1">
        <f t="array" aca="1" ref="K414" ca="1">INDEX(INDIRECT($M414),
       MATCH(TRIM($C414), TRIM(INDIRECT($N414)), 0),
       MATCH(TRIM(K$2), TRIM(INDIRECT($O414)), 0))</f>
        <v>21.14896388</v>
      </c>
      <c r="L414" s="11" cm="1">
        <f t="array" aca="1" ref="L414" ca="1">INDEX(INDIRECT($M414),
       MATCH(TRIM($C414), TRIM(INDIRECT($N414)), 0),
       MATCH(TRIM(L$2), TRIM(INDIRECT($O414)), 0))</f>
        <v>113.89272788</v>
      </c>
      <c r="M414" s="5" t="str">
        <f t="shared" si="18"/>
        <v>'2021'!$N$3:$V$80</v>
      </c>
      <c r="N414" s="5" t="str">
        <f t="shared" si="19"/>
        <v>'2021'!$M$2:$M$80</v>
      </c>
      <c r="O414" s="5" t="str">
        <f t="shared" si="20"/>
        <v>'2021'!$N$2:$W$2</v>
      </c>
    </row>
    <row r="415" spans="1:15" x14ac:dyDescent="0.3">
      <c r="A415">
        <v>35</v>
      </c>
      <c r="B415" s="9">
        <v>2021</v>
      </c>
      <c r="C415" t="s">
        <v>34</v>
      </c>
      <c r="D415" s="11" cm="1">
        <f t="array" aca="1" ref="D415" ca="1">INDEX(INDIRECT($M415),
       MATCH(TRIM($C415), TRIM(INDIRECT($N415)), 0),
       MATCH(TRIM(D$2), TRIM(INDIRECT($O415)), 0))</f>
        <v>1</v>
      </c>
      <c r="E415" s="9" t="e" cm="1">
        <f t="array" aca="1" ref="E415" ca="1">INDEX(INDIRECT($M415),
       MATCH(TRIM($C415), TRIM(INDIRECT($N415)), 0),
       MATCH(TRIM(E$2), TRIM(INDIRECT($O415)), 0))</f>
        <v>#N/A</v>
      </c>
      <c r="F415" s="11" cm="1">
        <f t="array" aca="1" ref="F415" ca="1">INDEX(INDIRECT($M415),
       MATCH(TRIM($C415), TRIM(INDIRECT($N415)), 0),
       MATCH(TRIM(F$2), TRIM(INDIRECT($O415)), 0))</f>
        <v>4.3099829999999999</v>
      </c>
      <c r="G415" s="11" cm="1">
        <f t="array" aca="1" ref="G415" ca="1">INDEX(INDIRECT($M415),
       MATCH(TRIM($C415), TRIM(INDIRECT($N415)), 0),
       MATCH(TRIM(G$2), TRIM(INDIRECT($O415)), 0))</f>
        <v>1</v>
      </c>
      <c r="H415" s="9" t="e" cm="1">
        <f t="array" aca="1" ref="H415" ca="1">INDEX(INDIRECT($M415),
       MATCH(TRIM($C415), TRIM(INDIRECT($N415)), 0),
       MATCH(TRIM(H$2), TRIM(INDIRECT($O415)), 0))</f>
        <v>#N/A</v>
      </c>
      <c r="I415" s="11" cm="1">
        <f t="array" aca="1" ref="I415" ca="1">INDEX(INDIRECT($M415),
       MATCH(TRIM($C415), TRIM(INDIRECT($N415)), 0),
       MATCH(TRIM(I$2), TRIM(INDIRECT($O415)), 0))</f>
        <v>0.87886900000000001</v>
      </c>
      <c r="J415" s="9" cm="1">
        <f t="array" aca="1" ref="J415" ca="1">INDEX(INDIRECT($M415),
       MATCH(TRIM($C415), TRIM(INDIRECT($N415)), 0),
       MATCH(TRIM(J$2), TRIM(INDIRECT($O415)), 0))</f>
        <v>2</v>
      </c>
      <c r="K415" s="11" cm="1">
        <f t="array" aca="1" ref="K415" ca="1">INDEX(INDIRECT($M415),
       MATCH(TRIM($C415), TRIM(INDIRECT($N415)), 0),
       MATCH(TRIM(K$2), TRIM(INDIRECT($O415)), 0))</f>
        <v>30.149335630000003</v>
      </c>
      <c r="L415" s="11" cm="1">
        <f t="array" aca="1" ref="L415" ca="1">INDEX(INDIRECT($M415),
       MATCH(TRIM($C415), TRIM(INDIRECT($N415)), 0),
       MATCH(TRIM(L$2), TRIM(INDIRECT($O415)), 0))</f>
        <v>35.33818763</v>
      </c>
      <c r="M415" s="5" t="str">
        <f t="shared" si="18"/>
        <v>'2021'!$N$3:$V$80</v>
      </c>
      <c r="N415" s="5" t="str">
        <f t="shared" si="19"/>
        <v>'2021'!$M$2:$M$80</v>
      </c>
      <c r="O415" s="5" t="str">
        <f t="shared" si="20"/>
        <v>'2021'!$N$2:$W$2</v>
      </c>
    </row>
    <row r="416" spans="1:15" x14ac:dyDescent="0.3">
      <c r="A416">
        <v>36</v>
      </c>
      <c r="B416" s="9">
        <v>2021</v>
      </c>
      <c r="C416" t="s">
        <v>35</v>
      </c>
      <c r="D416" s="11" cm="1">
        <f t="array" aca="1" ref="D416" ca="1">INDEX(INDIRECT($M416),
       MATCH(TRIM($C416), TRIM(INDIRECT($N416)), 0),
       MATCH(TRIM(D$2), TRIM(INDIRECT($O416)), 0))</f>
        <v>6</v>
      </c>
      <c r="E416" s="9" t="e" cm="1">
        <f t="array" aca="1" ref="E416" ca="1">INDEX(INDIRECT($M416),
       MATCH(TRIM($C416), TRIM(INDIRECT($N416)), 0),
       MATCH(TRIM(E$2), TRIM(INDIRECT($O416)), 0))</f>
        <v>#N/A</v>
      </c>
      <c r="F416" s="11" cm="1">
        <f t="array" aca="1" ref="F416" ca="1">INDEX(INDIRECT($M416),
       MATCH(TRIM($C416), TRIM(INDIRECT($N416)), 0),
       MATCH(TRIM(F$2), TRIM(INDIRECT($O416)), 0))</f>
        <v>145.537834</v>
      </c>
      <c r="G416" s="11" cm="1">
        <f t="array" aca="1" ref="G416" ca="1">INDEX(INDIRECT($M416),
       MATCH(TRIM($C416), TRIM(INDIRECT($N416)), 0),
       MATCH(TRIM(G$2), TRIM(INDIRECT($O416)), 0))</f>
        <v>2</v>
      </c>
      <c r="H416" s="9" t="e" cm="1">
        <f t="array" aca="1" ref="H416" ca="1">INDEX(INDIRECT($M416),
       MATCH(TRIM($C416), TRIM(INDIRECT($N416)), 0),
       MATCH(TRIM(H$2), TRIM(INDIRECT($O416)), 0))</f>
        <v>#N/A</v>
      </c>
      <c r="I416" s="11" cm="1">
        <f t="array" aca="1" ref="I416" ca="1">INDEX(INDIRECT($M416),
       MATCH(TRIM($C416), TRIM(INDIRECT($N416)), 0),
       MATCH(TRIM(I$2), TRIM(INDIRECT($O416)), 0))</f>
        <v>8</v>
      </c>
      <c r="J416" s="9" cm="1">
        <f t="array" aca="1" ref="J416" ca="1">INDEX(INDIRECT($M416),
       MATCH(TRIM($C416), TRIM(INDIRECT($N416)), 0),
       MATCH(TRIM(J$2), TRIM(INDIRECT($O416)), 0))</f>
        <v>3</v>
      </c>
      <c r="K416" s="11" cm="1">
        <f t="array" aca="1" ref="K416" ca="1">INDEX(INDIRECT($M416),
       MATCH(TRIM($C416), TRIM(INDIRECT($N416)), 0),
       MATCH(TRIM(K$2), TRIM(INDIRECT($O416)), 0))</f>
        <v>0.50049957</v>
      </c>
      <c r="L416" s="11" cm="1">
        <f t="array" aca="1" ref="L416" ca="1">INDEX(INDIRECT($M416),
       MATCH(TRIM($C416), TRIM(INDIRECT($N416)), 0),
       MATCH(TRIM(L$2), TRIM(INDIRECT($O416)), 0))</f>
        <v>154.03833356999999</v>
      </c>
      <c r="M416" s="5" t="str">
        <f t="shared" si="18"/>
        <v>'2021'!$N$3:$V$80</v>
      </c>
      <c r="N416" s="5" t="str">
        <f t="shared" si="19"/>
        <v>'2021'!$M$2:$M$80</v>
      </c>
      <c r="O416" s="5" t="str">
        <f t="shared" si="20"/>
        <v>'2021'!$N$2:$W$2</v>
      </c>
    </row>
    <row r="417" spans="1:15" x14ac:dyDescent="0.3">
      <c r="A417">
        <v>37</v>
      </c>
      <c r="B417" s="9">
        <v>2021</v>
      </c>
      <c r="C417" t="s">
        <v>36</v>
      </c>
      <c r="D417" s="11" cm="1">
        <f t="array" aca="1" ref="D417" ca="1">INDEX(INDIRECT($M417),
       MATCH(TRIM($C417), TRIM(INDIRECT($N417)), 0),
       MATCH(TRIM(D$2), TRIM(INDIRECT($O417)), 0))</f>
        <v>5</v>
      </c>
      <c r="E417" s="9" t="e" cm="1">
        <f t="array" aca="1" ref="E417" ca="1">INDEX(INDIRECT($M417),
       MATCH(TRIM($C417), TRIM(INDIRECT($N417)), 0),
       MATCH(TRIM(E$2), TRIM(INDIRECT($O417)), 0))</f>
        <v>#N/A</v>
      </c>
      <c r="F417" s="11" cm="1">
        <f t="array" aca="1" ref="F417" ca="1">INDEX(INDIRECT($M417),
       MATCH(TRIM($C417), TRIM(INDIRECT($N417)), 0),
       MATCH(TRIM(F$2), TRIM(INDIRECT($O417)), 0))</f>
        <v>1316.8167840000001</v>
      </c>
      <c r="G417" s="11" cm="1">
        <f t="array" aca="1" ref="G417" ca="1">INDEX(INDIRECT($M417),
       MATCH(TRIM($C417), TRIM(INDIRECT($N417)), 0),
       MATCH(TRIM(G$2), TRIM(INDIRECT($O417)), 0))</f>
        <v>1</v>
      </c>
      <c r="H417" s="9" t="e" cm="1">
        <f t="array" aca="1" ref="H417" ca="1">INDEX(INDIRECT($M417),
       MATCH(TRIM($C417), TRIM(INDIRECT($N417)), 0),
       MATCH(TRIM(H$2), TRIM(INDIRECT($O417)), 0))</f>
        <v>#N/A</v>
      </c>
      <c r="I417" s="11" cm="1">
        <f t="array" aca="1" ref="I417" ca="1">INDEX(INDIRECT($M417),
       MATCH(TRIM($C417), TRIM(INDIRECT($N417)), 0),
       MATCH(TRIM(I$2), TRIM(INDIRECT($O417)), 0))</f>
        <v>9</v>
      </c>
      <c r="J417" s="9" cm="1">
        <f t="array" aca="1" ref="J417" ca="1">INDEX(INDIRECT($M417),
       MATCH(TRIM($C417), TRIM(INDIRECT($N417)), 0),
       MATCH(TRIM(J$2), TRIM(INDIRECT($O417)), 0))</f>
        <v>7</v>
      </c>
      <c r="K417" s="11" cm="1">
        <f t="array" aca="1" ref="K417" ca="1">INDEX(INDIRECT($M417),
       MATCH(TRIM($C417), TRIM(INDIRECT($N417)), 0),
       MATCH(TRIM(K$2), TRIM(INDIRECT($O417)), 0))</f>
        <v>1.4568211200000001</v>
      </c>
      <c r="L417" s="11" cm="1">
        <f t="array" aca="1" ref="L417" ca="1">INDEX(INDIRECT($M417),
       MATCH(TRIM($C417), TRIM(INDIRECT($N417)), 0),
       MATCH(TRIM(L$2), TRIM(INDIRECT($O417)), 0))</f>
        <v>1327.2736051200002</v>
      </c>
      <c r="M417" s="5" t="str">
        <f t="shared" si="18"/>
        <v>'2021'!$N$3:$V$80</v>
      </c>
      <c r="N417" s="5" t="str">
        <f t="shared" si="19"/>
        <v>'2021'!$M$2:$M$80</v>
      </c>
      <c r="O417" s="5" t="str">
        <f t="shared" si="20"/>
        <v>'2021'!$N$2:$W$2</v>
      </c>
    </row>
    <row r="418" spans="1:15" x14ac:dyDescent="0.3">
      <c r="A418">
        <v>38</v>
      </c>
      <c r="B418" s="9">
        <v>2021</v>
      </c>
      <c r="C418" t="s">
        <v>37</v>
      </c>
      <c r="D418" s="11" cm="1">
        <f t="array" aca="1" ref="D418" ca="1">INDEX(INDIRECT($M418),
       MATCH(TRIM($C418), TRIM(INDIRECT($N418)), 0),
       MATCH(TRIM(D$2), TRIM(INDIRECT($O418)), 0))</f>
        <v>6</v>
      </c>
      <c r="E418" s="9" t="e" cm="1">
        <f t="array" aca="1" ref="E418" ca="1">INDEX(INDIRECT($M418),
       MATCH(TRIM($C418), TRIM(INDIRECT($N418)), 0),
       MATCH(TRIM(E$2), TRIM(INDIRECT($O418)), 0))</f>
        <v>#N/A</v>
      </c>
      <c r="F418" s="11" cm="1">
        <f t="array" aca="1" ref="F418" ca="1">INDEX(INDIRECT($M418),
       MATCH(TRIM($C418), TRIM(INDIRECT($N418)), 0),
       MATCH(TRIM(F$2), TRIM(INDIRECT($O418)), 0))</f>
        <v>459.85197499999998</v>
      </c>
      <c r="G418" s="11" cm="1">
        <f t="array" aca="1" ref="G418" ca="1">INDEX(INDIRECT($M418),
       MATCH(TRIM($C418), TRIM(INDIRECT($N418)), 0),
       MATCH(TRIM(G$2), TRIM(INDIRECT($O418)), 0))</f>
        <v>1</v>
      </c>
      <c r="H418" s="9" t="e" cm="1">
        <f t="array" aca="1" ref="H418" ca="1">INDEX(INDIRECT($M418),
       MATCH(TRIM($C418), TRIM(INDIRECT($N418)), 0),
       MATCH(TRIM(H$2), TRIM(INDIRECT($O418)), 0))</f>
        <v>#N/A</v>
      </c>
      <c r="I418" s="11" cm="1">
        <f t="array" aca="1" ref="I418" ca="1">INDEX(INDIRECT($M418),
       MATCH(TRIM($C418), TRIM(INDIRECT($N418)), 0),
       MATCH(TRIM(I$2), TRIM(INDIRECT($O418)), 0))</f>
        <v>1.4355770000000001</v>
      </c>
      <c r="J418" s="9" cm="1">
        <f t="array" aca="1" ref="J418" ca="1">INDEX(INDIRECT($M418),
       MATCH(TRIM($C418), TRIM(INDIRECT($N418)), 0),
       MATCH(TRIM(J$2), TRIM(INDIRECT($O418)), 0))</f>
        <v>3</v>
      </c>
      <c r="K418" s="11" cm="1">
        <f t="array" aca="1" ref="K418" ca="1">INDEX(INDIRECT($M418),
       MATCH(TRIM($C418), TRIM(INDIRECT($N418)), 0),
       MATCH(TRIM(K$2), TRIM(INDIRECT($O418)), 0))</f>
        <v>1.35180393</v>
      </c>
      <c r="L418" s="11" cm="1">
        <f t="array" aca="1" ref="L418" ca="1">INDEX(INDIRECT($M418),
       MATCH(TRIM($C418), TRIM(INDIRECT($N418)), 0),
       MATCH(TRIM(L$2), TRIM(INDIRECT($O418)), 0))</f>
        <v>462.63935593000002</v>
      </c>
      <c r="M418" s="5" t="str">
        <f t="shared" si="18"/>
        <v>'2021'!$N$3:$V$80</v>
      </c>
      <c r="N418" s="5" t="str">
        <f t="shared" si="19"/>
        <v>'2021'!$M$2:$M$80</v>
      </c>
      <c r="O418" s="5" t="str">
        <f t="shared" si="20"/>
        <v>'2021'!$N$2:$W$2</v>
      </c>
    </row>
    <row r="419" spans="1:15" x14ac:dyDescent="0.3">
      <c r="A419">
        <v>39</v>
      </c>
      <c r="B419" s="9">
        <v>2021</v>
      </c>
      <c r="C419" t="s">
        <v>38</v>
      </c>
      <c r="D419" s="11" cm="1">
        <f t="array" aca="1" ref="D419" ca="1">INDEX(INDIRECT($M419),
       MATCH(TRIM($C419), TRIM(INDIRECT($N419)), 0),
       MATCH(TRIM(D$2), TRIM(INDIRECT($O419)), 0))</f>
        <v>1</v>
      </c>
      <c r="E419" s="9" t="e" cm="1">
        <f t="array" aca="1" ref="E419" ca="1">INDEX(INDIRECT($M419),
       MATCH(TRIM($C419), TRIM(INDIRECT($N419)), 0),
       MATCH(TRIM(E$2), TRIM(INDIRECT($O419)), 0))</f>
        <v>#N/A</v>
      </c>
      <c r="F419" s="11" cm="1">
        <f t="array" aca="1" ref="F419" ca="1">INDEX(INDIRECT($M419),
       MATCH(TRIM($C419), TRIM(INDIRECT($N419)), 0),
       MATCH(TRIM(F$2), TRIM(INDIRECT($O419)), 0))</f>
        <v>11</v>
      </c>
      <c r="G419" s="11" cm="1">
        <f t="array" aca="1" ref="G419" ca="1">INDEX(INDIRECT($M419),
       MATCH(TRIM($C419), TRIM(INDIRECT($N419)), 0),
       MATCH(TRIM(G$2), TRIM(INDIRECT($O419)), 0))</f>
        <v>0</v>
      </c>
      <c r="H419" s="9" t="e" cm="1">
        <f t="array" aca="1" ref="H419" ca="1">INDEX(INDIRECT($M419),
       MATCH(TRIM($C419), TRIM(INDIRECT($N419)), 0),
       MATCH(TRIM(H$2), TRIM(INDIRECT($O419)), 0))</f>
        <v>#N/A</v>
      </c>
      <c r="I419" s="11" cm="1">
        <f t="array" aca="1" ref="I419" ca="1">INDEX(INDIRECT($M419),
       MATCH(TRIM($C419), TRIM(INDIRECT($N419)), 0),
       MATCH(TRIM(I$2), TRIM(INDIRECT($O419)), 0))</f>
        <v>0</v>
      </c>
      <c r="J419" s="9" cm="1">
        <f t="array" aca="1" ref="J419" ca="1">INDEX(INDIRECT($M419),
       MATCH(TRIM($C419), TRIM(INDIRECT($N419)), 0),
       MATCH(TRIM(J$2), TRIM(INDIRECT($O419)), 0))</f>
        <v>3</v>
      </c>
      <c r="K419" s="11" cm="1">
        <f t="array" aca="1" ref="K419" ca="1">INDEX(INDIRECT($M419),
       MATCH(TRIM($C419), TRIM(INDIRECT($N419)), 0),
       MATCH(TRIM(K$2), TRIM(INDIRECT($O419)), 0))</f>
        <v>0.93827000000000005</v>
      </c>
      <c r="L419" s="11" cm="1">
        <f t="array" aca="1" ref="L419" ca="1">INDEX(INDIRECT($M419),
       MATCH(TRIM($C419), TRIM(INDIRECT($N419)), 0),
       MATCH(TRIM(L$2), TRIM(INDIRECT($O419)), 0))</f>
        <v>11.938269999999999</v>
      </c>
      <c r="M419" s="5" t="str">
        <f t="shared" si="18"/>
        <v>'2021'!$N$3:$V$80</v>
      </c>
      <c r="N419" s="5" t="str">
        <f t="shared" si="19"/>
        <v>'2021'!$M$2:$M$80</v>
      </c>
      <c r="O419" s="5" t="str">
        <f t="shared" si="20"/>
        <v>'2021'!$N$2:$W$2</v>
      </c>
    </row>
    <row r="420" spans="1:15" x14ac:dyDescent="0.3">
      <c r="A420">
        <v>40</v>
      </c>
      <c r="B420" s="9">
        <v>2021</v>
      </c>
      <c r="C420" t="s">
        <v>39</v>
      </c>
      <c r="D420" s="11" cm="1">
        <f t="array" aca="1" ref="D420" ca="1">INDEX(INDIRECT($M420),
       MATCH(TRIM($C420), TRIM(INDIRECT($N420)), 0),
       MATCH(TRIM(D$2), TRIM(INDIRECT($O420)), 0))</f>
        <v>3</v>
      </c>
      <c r="E420" s="9" t="e" cm="1">
        <f t="array" aca="1" ref="E420" ca="1">INDEX(INDIRECT($M420),
       MATCH(TRIM($C420), TRIM(INDIRECT($N420)), 0),
       MATCH(TRIM(E$2), TRIM(INDIRECT($O420)), 0))</f>
        <v>#N/A</v>
      </c>
      <c r="F420" s="11" cm="1">
        <f t="array" aca="1" ref="F420" ca="1">INDEX(INDIRECT($M420),
       MATCH(TRIM($C420), TRIM(INDIRECT($N420)), 0),
       MATCH(TRIM(F$2), TRIM(INDIRECT($O420)), 0))</f>
        <v>3.6</v>
      </c>
      <c r="G420" s="11" cm="1">
        <f t="array" aca="1" ref="G420" ca="1">INDEX(INDIRECT($M420),
       MATCH(TRIM($C420), TRIM(INDIRECT($N420)), 0),
       MATCH(TRIM(G$2), TRIM(INDIRECT($O420)), 0))</f>
        <v>15</v>
      </c>
      <c r="H420" s="9" t="e" cm="1">
        <f t="array" aca="1" ref="H420" ca="1">INDEX(INDIRECT($M420),
       MATCH(TRIM($C420), TRIM(INDIRECT($N420)), 0),
       MATCH(TRIM(H$2), TRIM(INDIRECT($O420)), 0))</f>
        <v>#N/A</v>
      </c>
      <c r="I420" s="11" cm="1">
        <f t="array" aca="1" ref="I420" ca="1">INDEX(INDIRECT($M420),
       MATCH(TRIM($C420), TRIM(INDIRECT($N420)), 0),
       MATCH(TRIM(I$2), TRIM(INDIRECT($O420)), 0))</f>
        <v>55.76708</v>
      </c>
      <c r="J420" s="9" cm="1">
        <f t="array" aca="1" ref="J420" ca="1">INDEX(INDIRECT($M420),
       MATCH(TRIM($C420), TRIM(INDIRECT($N420)), 0),
       MATCH(TRIM(J$2), TRIM(INDIRECT($O420)), 0))</f>
        <v>7</v>
      </c>
      <c r="K420" s="11" cm="1">
        <f t="array" aca="1" ref="K420" ca="1">INDEX(INDIRECT($M420),
       MATCH(TRIM($C420), TRIM(INDIRECT($N420)), 0),
       MATCH(TRIM(K$2), TRIM(INDIRECT($O420)), 0))</f>
        <v>89.708235039999991</v>
      </c>
      <c r="L420" s="11" cm="1">
        <f t="array" aca="1" ref="L420" ca="1">INDEX(INDIRECT($M420),
       MATCH(TRIM($C420), TRIM(INDIRECT($N420)), 0),
       MATCH(TRIM(L$2), TRIM(INDIRECT($O420)), 0))</f>
        <v>149.07531503999999</v>
      </c>
      <c r="M420" s="5" t="str">
        <f t="shared" si="18"/>
        <v>'2021'!$N$3:$V$80</v>
      </c>
      <c r="N420" s="5" t="str">
        <f t="shared" si="19"/>
        <v>'2021'!$M$2:$M$80</v>
      </c>
      <c r="O420" s="5" t="str">
        <f t="shared" si="20"/>
        <v>'2021'!$N$2:$W$2</v>
      </c>
    </row>
    <row r="421" spans="1:15" x14ac:dyDescent="0.3">
      <c r="A421">
        <v>41</v>
      </c>
      <c r="B421" s="9">
        <v>2021</v>
      </c>
      <c r="C421" t="s">
        <v>40</v>
      </c>
      <c r="D421" s="11" cm="1">
        <f t="array" aca="1" ref="D421" ca="1">INDEX(INDIRECT($M421),
       MATCH(TRIM($C421), TRIM(INDIRECT($N421)), 0),
       MATCH(TRIM(D$2), TRIM(INDIRECT($O421)), 0))</f>
        <v>3</v>
      </c>
      <c r="E421" s="9" t="e" cm="1">
        <f t="array" aca="1" ref="E421" ca="1">INDEX(INDIRECT($M421),
       MATCH(TRIM($C421), TRIM(INDIRECT($N421)), 0),
       MATCH(TRIM(E$2), TRIM(INDIRECT($O421)), 0))</f>
        <v>#N/A</v>
      </c>
      <c r="F421" s="11" cm="1">
        <f t="array" aca="1" ref="F421" ca="1">INDEX(INDIRECT($M421),
       MATCH(TRIM($C421), TRIM(INDIRECT($N421)), 0),
       MATCH(TRIM(F$2), TRIM(INDIRECT($O421)), 0))</f>
        <v>63.132354999999997</v>
      </c>
      <c r="G421" s="11" cm="1">
        <f t="array" aca="1" ref="G421" ca="1">INDEX(INDIRECT($M421),
       MATCH(TRIM($C421), TRIM(INDIRECT($N421)), 0),
       MATCH(TRIM(G$2), TRIM(INDIRECT($O421)), 0))</f>
        <v>5</v>
      </c>
      <c r="H421" s="9" t="e" cm="1">
        <f t="array" aca="1" ref="H421" ca="1">INDEX(INDIRECT($M421),
       MATCH(TRIM($C421), TRIM(INDIRECT($N421)), 0),
       MATCH(TRIM(H$2), TRIM(INDIRECT($O421)), 0))</f>
        <v>#N/A</v>
      </c>
      <c r="I421" s="11" cm="1">
        <f t="array" aca="1" ref="I421" ca="1">INDEX(INDIRECT($M421),
       MATCH(TRIM($C421), TRIM(INDIRECT($N421)), 0),
       MATCH(TRIM(I$2), TRIM(INDIRECT($O421)), 0))</f>
        <v>-91.759601000000004</v>
      </c>
      <c r="J421" s="9" cm="1">
        <f t="array" aca="1" ref="J421" ca="1">INDEX(INDIRECT($M421),
       MATCH(TRIM($C421), TRIM(INDIRECT($N421)), 0),
       MATCH(TRIM(J$2), TRIM(INDIRECT($O421)), 0))</f>
        <v>6</v>
      </c>
      <c r="K421" s="11" cm="1">
        <f t="array" aca="1" ref="K421" ca="1">INDEX(INDIRECT($M421),
       MATCH(TRIM($C421), TRIM(INDIRECT($N421)), 0),
       MATCH(TRIM(K$2), TRIM(INDIRECT($O421)), 0))</f>
        <v>12.52597263</v>
      </c>
      <c r="L421" s="11" cm="1">
        <f t="array" aca="1" ref="L421" ca="1">INDEX(INDIRECT($M421),
       MATCH(TRIM($C421), TRIM(INDIRECT($N421)), 0),
       MATCH(TRIM(L$2), TRIM(INDIRECT($O421)), 0))</f>
        <v>-16.101273370000008</v>
      </c>
      <c r="M421" s="5" t="str">
        <f t="shared" si="18"/>
        <v>'2021'!$N$3:$V$80</v>
      </c>
      <c r="N421" s="5" t="str">
        <f t="shared" si="19"/>
        <v>'2021'!$M$2:$M$80</v>
      </c>
      <c r="O421" s="5" t="str">
        <f t="shared" si="20"/>
        <v>'2021'!$N$2:$W$2</v>
      </c>
    </row>
    <row r="422" spans="1:15" x14ac:dyDescent="0.3">
      <c r="A422">
        <v>42</v>
      </c>
      <c r="B422" s="9">
        <v>2021</v>
      </c>
      <c r="C422" t="s">
        <v>41</v>
      </c>
      <c r="D422" s="11" cm="1">
        <f t="array" aca="1" ref="D422" ca="1">INDEX(INDIRECT($M422),
       MATCH(TRIM($C422), TRIM(INDIRECT($N422)), 0),
       MATCH(TRIM(D$2), TRIM(INDIRECT($O422)), 0))</f>
        <v>0</v>
      </c>
      <c r="E422" s="9" t="e" cm="1">
        <f t="array" aca="1" ref="E422" ca="1">INDEX(INDIRECT($M422),
       MATCH(TRIM($C422), TRIM(INDIRECT($N422)), 0),
       MATCH(TRIM(E$2), TRIM(INDIRECT($O422)), 0))</f>
        <v>#N/A</v>
      </c>
      <c r="F422" s="11" cm="1">
        <f t="array" aca="1" ref="F422" ca="1">INDEX(INDIRECT($M422),
       MATCH(TRIM($C422), TRIM(INDIRECT($N422)), 0),
       MATCH(TRIM(F$2), TRIM(INDIRECT($O422)), 0))</f>
        <v>0</v>
      </c>
      <c r="G422" s="11" cm="1">
        <f t="array" aca="1" ref="G422" ca="1">INDEX(INDIRECT($M422),
       MATCH(TRIM($C422), TRIM(INDIRECT($N422)), 0),
       MATCH(TRIM(G$2), TRIM(INDIRECT($O422)), 0))</f>
        <v>0</v>
      </c>
      <c r="H422" s="9" t="e" cm="1">
        <f t="array" aca="1" ref="H422" ca="1">INDEX(INDIRECT($M422),
       MATCH(TRIM($C422), TRIM(INDIRECT($N422)), 0),
       MATCH(TRIM(H$2), TRIM(INDIRECT($O422)), 0))</f>
        <v>#N/A</v>
      </c>
      <c r="I422" s="11" cm="1">
        <f t="array" aca="1" ref="I422" ca="1">INDEX(INDIRECT($M422),
       MATCH(TRIM($C422), TRIM(INDIRECT($N422)), 0),
       MATCH(TRIM(I$2), TRIM(INDIRECT($O422)), 0))</f>
        <v>0</v>
      </c>
      <c r="J422" s="9" cm="1">
        <f t="array" aca="1" ref="J422" ca="1">INDEX(INDIRECT($M422),
       MATCH(TRIM($C422), TRIM(INDIRECT($N422)), 0),
       MATCH(TRIM(J$2), TRIM(INDIRECT($O422)), 0))</f>
        <v>13</v>
      </c>
      <c r="K422" s="11" cm="1">
        <f t="array" aca="1" ref="K422" ca="1">INDEX(INDIRECT($M422),
       MATCH(TRIM($C422), TRIM(INDIRECT($N422)), 0),
       MATCH(TRIM(K$2), TRIM(INDIRECT($O422)), 0))</f>
        <v>11.751142189999999</v>
      </c>
      <c r="L422" s="11" cm="1">
        <f t="array" aca="1" ref="L422" ca="1">INDEX(INDIRECT($M422),
       MATCH(TRIM($C422), TRIM(INDIRECT($N422)), 0),
       MATCH(TRIM(L$2), TRIM(INDIRECT($O422)), 0))</f>
        <v>11.751142189999999</v>
      </c>
      <c r="M422" s="5" t="str">
        <f t="shared" si="18"/>
        <v>'2021'!$N$3:$V$80</v>
      </c>
      <c r="N422" s="5" t="str">
        <f t="shared" si="19"/>
        <v>'2021'!$M$2:$M$80</v>
      </c>
      <c r="O422" s="5" t="str">
        <f t="shared" si="20"/>
        <v>'2021'!$N$2:$W$2</v>
      </c>
    </row>
    <row r="423" spans="1:15" x14ac:dyDescent="0.3">
      <c r="A423">
        <v>43</v>
      </c>
      <c r="B423" s="9">
        <v>2021</v>
      </c>
      <c r="C423" t="s">
        <v>42</v>
      </c>
      <c r="D423" s="11" cm="1">
        <f t="array" aca="1" ref="D423" ca="1">INDEX(INDIRECT($M423),
       MATCH(TRIM($C423), TRIM(INDIRECT($N423)), 0),
       MATCH(TRIM(D$2), TRIM(INDIRECT($O423)), 0))</f>
        <v>1</v>
      </c>
      <c r="E423" s="9" t="e" cm="1">
        <f t="array" aca="1" ref="E423" ca="1">INDEX(INDIRECT($M423),
       MATCH(TRIM($C423), TRIM(INDIRECT($N423)), 0),
       MATCH(TRIM(E$2), TRIM(INDIRECT($O423)), 0))</f>
        <v>#N/A</v>
      </c>
      <c r="F423" s="11" cm="1">
        <f t="array" aca="1" ref="F423" ca="1">INDEX(INDIRECT($M423),
       MATCH(TRIM($C423), TRIM(INDIRECT($N423)), 0),
       MATCH(TRIM(F$2), TRIM(INDIRECT($O423)), 0))</f>
        <v>2</v>
      </c>
      <c r="G423" s="11" cm="1">
        <f t="array" aca="1" ref="G423" ca="1">INDEX(INDIRECT($M423),
       MATCH(TRIM($C423), TRIM(INDIRECT($N423)), 0),
       MATCH(TRIM(G$2), TRIM(INDIRECT($O423)), 0))</f>
        <v>2</v>
      </c>
      <c r="H423" s="9" t="e" cm="1">
        <f t="array" aca="1" ref="H423" ca="1">INDEX(INDIRECT($M423),
       MATCH(TRIM($C423), TRIM(INDIRECT($N423)), 0),
       MATCH(TRIM(H$2), TRIM(INDIRECT($O423)), 0))</f>
        <v>#N/A</v>
      </c>
      <c r="I423" s="11" cm="1">
        <f t="array" aca="1" ref="I423" ca="1">INDEX(INDIRECT($M423),
       MATCH(TRIM($C423), TRIM(INDIRECT($N423)), 0),
       MATCH(TRIM(I$2), TRIM(INDIRECT($O423)), 0))</f>
        <v>3.3673579999999999</v>
      </c>
      <c r="J423" s="9" cm="1">
        <f t="array" aca="1" ref="J423" ca="1">INDEX(INDIRECT($M423),
       MATCH(TRIM($C423), TRIM(INDIRECT($N423)), 0),
       MATCH(TRIM(J$2), TRIM(INDIRECT($O423)), 0))</f>
        <v>31</v>
      </c>
      <c r="K423" s="11" cm="1">
        <f t="array" aca="1" ref="K423" ca="1">INDEX(INDIRECT($M423),
       MATCH(TRIM($C423), TRIM(INDIRECT($N423)), 0),
       MATCH(TRIM(K$2), TRIM(INDIRECT($O423)), 0))</f>
        <v>7.2195085700000003</v>
      </c>
      <c r="L423" s="11" cm="1">
        <f t="array" aca="1" ref="L423" ca="1">INDEX(INDIRECT($M423),
       MATCH(TRIM($C423), TRIM(INDIRECT($N423)), 0),
       MATCH(TRIM(L$2), TRIM(INDIRECT($O423)), 0))</f>
        <v>12.58686657</v>
      </c>
      <c r="M423" s="5" t="str">
        <f t="shared" si="18"/>
        <v>'2021'!$N$3:$V$80</v>
      </c>
      <c r="N423" s="5" t="str">
        <f t="shared" si="19"/>
        <v>'2021'!$M$2:$M$80</v>
      </c>
      <c r="O423" s="5" t="str">
        <f t="shared" si="20"/>
        <v>'2021'!$N$2:$W$2</v>
      </c>
    </row>
    <row r="424" spans="1:15" x14ac:dyDescent="0.3">
      <c r="A424">
        <v>44</v>
      </c>
      <c r="B424" s="9">
        <v>2021</v>
      </c>
      <c r="C424" t="s">
        <v>43</v>
      </c>
      <c r="D424" s="11" cm="1">
        <f t="array" aca="1" ref="D424" ca="1">INDEX(INDIRECT($M424),
       MATCH(TRIM($C424), TRIM(INDIRECT($N424)), 0),
       MATCH(TRIM(D$2), TRIM(INDIRECT($O424)), 0))</f>
        <v>0</v>
      </c>
      <c r="E424" s="9" t="e" cm="1">
        <f t="array" aca="1" ref="E424" ca="1">INDEX(INDIRECT($M424),
       MATCH(TRIM($C424), TRIM(INDIRECT($N424)), 0),
       MATCH(TRIM(E$2), TRIM(INDIRECT($O424)), 0))</f>
        <v>#N/A</v>
      </c>
      <c r="F424" s="11" cm="1">
        <f t="array" aca="1" ref="F424" ca="1">INDEX(INDIRECT($M424),
       MATCH(TRIM($C424), TRIM(INDIRECT($N424)), 0),
       MATCH(TRIM(F$2), TRIM(INDIRECT($O424)), 0))</f>
        <v>0</v>
      </c>
      <c r="G424" s="11" cm="1">
        <f t="array" aca="1" ref="G424" ca="1">INDEX(INDIRECT($M424),
       MATCH(TRIM($C424), TRIM(INDIRECT($N424)), 0),
       MATCH(TRIM(G$2), TRIM(INDIRECT($O424)), 0))</f>
        <v>0</v>
      </c>
      <c r="H424" s="9" t="e" cm="1">
        <f t="array" aca="1" ref="H424" ca="1">INDEX(INDIRECT($M424),
       MATCH(TRIM($C424), TRIM(INDIRECT($N424)), 0),
       MATCH(TRIM(H$2), TRIM(INDIRECT($O424)), 0))</f>
        <v>#N/A</v>
      </c>
      <c r="I424" s="11" cm="1">
        <f t="array" aca="1" ref="I424" ca="1">INDEX(INDIRECT($M424),
       MATCH(TRIM($C424), TRIM(INDIRECT($N424)), 0),
       MATCH(TRIM(I$2), TRIM(INDIRECT($O424)), 0))</f>
        <v>0</v>
      </c>
      <c r="J424" s="9" cm="1">
        <f t="array" aca="1" ref="J424" ca="1">INDEX(INDIRECT($M424),
       MATCH(TRIM($C424), TRIM(INDIRECT($N424)), 0),
       MATCH(TRIM(J$2), TRIM(INDIRECT($O424)), 0))</f>
        <v>22</v>
      </c>
      <c r="K424" s="11" cm="1">
        <f t="array" aca="1" ref="K424" ca="1">INDEX(INDIRECT($M424),
       MATCH(TRIM($C424), TRIM(INDIRECT($N424)), 0),
       MATCH(TRIM(K$2), TRIM(INDIRECT($O424)), 0))</f>
        <v>6.3872894300000009</v>
      </c>
      <c r="L424" s="11" cm="1">
        <f t="array" aca="1" ref="L424" ca="1">INDEX(INDIRECT($M424),
       MATCH(TRIM($C424), TRIM(INDIRECT($N424)), 0),
       MATCH(TRIM(L$2), TRIM(INDIRECT($O424)), 0))</f>
        <v>6.3872894300000009</v>
      </c>
      <c r="M424" s="5" t="str">
        <f t="shared" si="18"/>
        <v>'2021'!$N$3:$V$80</v>
      </c>
      <c r="N424" s="5" t="str">
        <f t="shared" si="19"/>
        <v>'2021'!$M$2:$M$80</v>
      </c>
      <c r="O424" s="5" t="str">
        <f t="shared" si="20"/>
        <v>'2021'!$N$2:$W$2</v>
      </c>
    </row>
    <row r="425" spans="1:15" x14ac:dyDescent="0.3">
      <c r="A425">
        <v>45</v>
      </c>
      <c r="B425" s="9">
        <v>2021</v>
      </c>
      <c r="C425" t="s">
        <v>44</v>
      </c>
      <c r="D425" s="11" cm="1">
        <f t="array" aca="1" ref="D425" ca="1">INDEX(INDIRECT($M425),
       MATCH(TRIM($C425), TRIM(INDIRECT($N425)), 0),
       MATCH(TRIM(D$2), TRIM(INDIRECT($O425)), 0))</f>
        <v>2</v>
      </c>
      <c r="E425" s="9" t="e" cm="1">
        <f t="array" aca="1" ref="E425" ca="1">INDEX(INDIRECT($M425),
       MATCH(TRIM($C425), TRIM(INDIRECT($N425)), 0),
       MATCH(TRIM(E$2), TRIM(INDIRECT($O425)), 0))</f>
        <v>#N/A</v>
      </c>
      <c r="F425" s="11" cm="1">
        <f t="array" aca="1" ref="F425" ca="1">INDEX(INDIRECT($M425),
       MATCH(TRIM($C425), TRIM(INDIRECT($N425)), 0),
       MATCH(TRIM(F$2), TRIM(INDIRECT($O425)), 0))</f>
        <v>91.756730000000005</v>
      </c>
      <c r="G425" s="11" cm="1">
        <f t="array" aca="1" ref="G425" ca="1">INDEX(INDIRECT($M425),
       MATCH(TRIM($C425), TRIM(INDIRECT($N425)), 0),
       MATCH(TRIM(G$2), TRIM(INDIRECT($O425)), 0))</f>
        <v>0</v>
      </c>
      <c r="H425" s="9" t="e" cm="1">
        <f t="array" aca="1" ref="H425" ca="1">INDEX(INDIRECT($M425),
       MATCH(TRIM($C425), TRIM(INDIRECT($N425)), 0),
       MATCH(TRIM(H$2), TRIM(INDIRECT($O425)), 0))</f>
        <v>#N/A</v>
      </c>
      <c r="I425" s="11" cm="1">
        <f t="array" aca="1" ref="I425" ca="1">INDEX(INDIRECT($M425),
       MATCH(TRIM($C425), TRIM(INDIRECT($N425)), 0),
       MATCH(TRIM(I$2), TRIM(INDIRECT($O425)), 0))</f>
        <v>0</v>
      </c>
      <c r="J425" s="9" cm="1">
        <f t="array" aca="1" ref="J425" ca="1">INDEX(INDIRECT($M425),
       MATCH(TRIM($C425), TRIM(INDIRECT($N425)), 0),
       MATCH(TRIM(J$2), TRIM(INDIRECT($O425)), 0))</f>
        <v>2</v>
      </c>
      <c r="K425" s="11" cm="1">
        <f t="array" aca="1" ref="K425" ca="1">INDEX(INDIRECT($M425),
       MATCH(TRIM($C425), TRIM(INDIRECT($N425)), 0),
       MATCH(TRIM(K$2), TRIM(INDIRECT($O425)), 0))</f>
        <v>11.02604199</v>
      </c>
      <c r="L425" s="11" cm="1">
        <f t="array" aca="1" ref="L425" ca="1">INDEX(INDIRECT($M425),
       MATCH(TRIM($C425), TRIM(INDIRECT($N425)), 0),
       MATCH(TRIM(L$2), TRIM(INDIRECT($O425)), 0))</f>
        <v>102.78277199</v>
      </c>
      <c r="M425" s="5" t="str">
        <f t="shared" si="18"/>
        <v>'2021'!$N$3:$V$80</v>
      </c>
      <c r="N425" s="5" t="str">
        <f t="shared" si="19"/>
        <v>'2021'!$M$2:$M$80</v>
      </c>
      <c r="O425" s="5" t="str">
        <f t="shared" si="20"/>
        <v>'2021'!$N$2:$W$2</v>
      </c>
    </row>
    <row r="426" spans="1:15" x14ac:dyDescent="0.3">
      <c r="A426">
        <v>46</v>
      </c>
      <c r="B426" s="9">
        <v>2021</v>
      </c>
      <c r="C426" t="s">
        <v>45</v>
      </c>
      <c r="D426" s="11" cm="1">
        <f t="array" aca="1" ref="D426" ca="1">INDEX(INDIRECT($M426),
       MATCH(TRIM($C426), TRIM(INDIRECT($N426)), 0),
       MATCH(TRIM(D$2), TRIM(INDIRECT($O426)), 0))</f>
        <v>1</v>
      </c>
      <c r="E426" s="9" t="e" cm="1">
        <f t="array" aca="1" ref="E426" ca="1">INDEX(INDIRECT($M426),
       MATCH(TRIM($C426), TRIM(INDIRECT($N426)), 0),
       MATCH(TRIM(E$2), TRIM(INDIRECT($O426)), 0))</f>
        <v>#N/A</v>
      </c>
      <c r="F426" s="11" cm="1">
        <f t="array" aca="1" ref="F426" ca="1">INDEX(INDIRECT($M426),
       MATCH(TRIM($C426), TRIM(INDIRECT($N426)), 0),
       MATCH(TRIM(F$2), TRIM(INDIRECT($O426)), 0))</f>
        <v>2</v>
      </c>
      <c r="G426" s="11" cm="1">
        <f t="array" aca="1" ref="G426" ca="1">INDEX(INDIRECT($M426),
       MATCH(TRIM($C426), TRIM(INDIRECT($N426)), 0),
       MATCH(TRIM(G$2), TRIM(INDIRECT($O426)), 0))</f>
        <v>1</v>
      </c>
      <c r="H426" s="9" t="e" cm="1">
        <f t="array" aca="1" ref="H426" ca="1">INDEX(INDIRECT($M426),
       MATCH(TRIM($C426), TRIM(INDIRECT($N426)), 0),
       MATCH(TRIM(H$2), TRIM(INDIRECT($O426)), 0))</f>
        <v>#N/A</v>
      </c>
      <c r="I426" s="11" cm="1">
        <f t="array" aca="1" ref="I426" ca="1">INDEX(INDIRECT($M426),
       MATCH(TRIM($C426), TRIM(INDIRECT($N426)), 0),
       MATCH(TRIM(I$2), TRIM(INDIRECT($O426)), 0))</f>
        <v>-15.073753</v>
      </c>
      <c r="J426" s="9" cm="1">
        <f t="array" aca="1" ref="J426" ca="1">INDEX(INDIRECT($M426),
       MATCH(TRIM($C426), TRIM(INDIRECT($N426)), 0),
       MATCH(TRIM(J$2), TRIM(INDIRECT($O426)), 0))</f>
        <v>1</v>
      </c>
      <c r="K426" s="11" cm="1">
        <f t="array" aca="1" ref="K426" ca="1">INDEX(INDIRECT($M426),
       MATCH(TRIM($C426), TRIM(INDIRECT($N426)), 0),
       MATCH(TRIM(K$2), TRIM(INDIRECT($O426)), 0))</f>
        <v>0.36755784999999996</v>
      </c>
      <c r="L426" s="11" cm="1">
        <f t="array" aca="1" ref="L426" ca="1">INDEX(INDIRECT($M426),
       MATCH(TRIM($C426), TRIM(INDIRECT($N426)), 0),
       MATCH(TRIM(L$2), TRIM(INDIRECT($O426)), 0))</f>
        <v>-12.706195149999999</v>
      </c>
      <c r="M426" s="5" t="str">
        <f t="shared" si="18"/>
        <v>'2021'!$N$3:$V$80</v>
      </c>
      <c r="N426" s="5" t="str">
        <f t="shared" si="19"/>
        <v>'2021'!$M$2:$M$80</v>
      </c>
      <c r="O426" s="5" t="str">
        <f t="shared" si="20"/>
        <v>'2021'!$N$2:$W$2</v>
      </c>
    </row>
    <row r="427" spans="1:15" x14ac:dyDescent="0.3">
      <c r="A427">
        <v>47</v>
      </c>
      <c r="B427" s="9">
        <v>2021</v>
      </c>
      <c r="C427" t="s">
        <v>46</v>
      </c>
      <c r="D427" s="11" cm="1">
        <f t="array" aca="1" ref="D427" ca="1">INDEX(INDIRECT($M427),
       MATCH(TRIM($C427), TRIM(INDIRECT($N427)), 0),
       MATCH(TRIM(D$2), TRIM(INDIRECT($O427)), 0))</f>
        <v>4</v>
      </c>
      <c r="E427" s="9" t="e" cm="1">
        <f t="array" aca="1" ref="E427" ca="1">INDEX(INDIRECT($M427),
       MATCH(TRIM($C427), TRIM(INDIRECT($N427)), 0),
       MATCH(TRIM(E$2), TRIM(INDIRECT($O427)), 0))</f>
        <v>#N/A</v>
      </c>
      <c r="F427" s="11" cm="1">
        <f t="array" aca="1" ref="F427" ca="1">INDEX(INDIRECT($M427),
       MATCH(TRIM($C427), TRIM(INDIRECT($N427)), 0),
       MATCH(TRIM(F$2), TRIM(INDIRECT($O427)), 0))</f>
        <v>42.757703999999997</v>
      </c>
      <c r="G427" s="11" cm="1">
        <f t="array" aca="1" ref="G427" ca="1">INDEX(INDIRECT($M427),
       MATCH(TRIM($C427), TRIM(INDIRECT($N427)), 0),
       MATCH(TRIM(G$2), TRIM(INDIRECT($O427)), 0))</f>
        <v>0</v>
      </c>
      <c r="H427" s="9" t="e" cm="1">
        <f t="array" aca="1" ref="H427" ca="1">INDEX(INDIRECT($M427),
       MATCH(TRIM($C427), TRIM(INDIRECT($N427)), 0),
       MATCH(TRIM(H$2), TRIM(INDIRECT($O427)), 0))</f>
        <v>#N/A</v>
      </c>
      <c r="I427" s="11" cm="1">
        <f t="array" aca="1" ref="I427" ca="1">INDEX(INDIRECT($M427),
       MATCH(TRIM($C427), TRIM(INDIRECT($N427)), 0),
       MATCH(TRIM(I$2), TRIM(INDIRECT($O427)), 0))</f>
        <v>0</v>
      </c>
      <c r="J427" s="9" cm="1">
        <f t="array" aca="1" ref="J427" ca="1">INDEX(INDIRECT($M427),
       MATCH(TRIM($C427), TRIM(INDIRECT($N427)), 0),
       MATCH(TRIM(J$2), TRIM(INDIRECT($O427)), 0))</f>
        <v>4</v>
      </c>
      <c r="K427" s="11" cm="1">
        <f t="array" aca="1" ref="K427" ca="1">INDEX(INDIRECT($M427),
       MATCH(TRIM($C427), TRIM(INDIRECT($N427)), 0),
       MATCH(TRIM(K$2), TRIM(INDIRECT($O427)), 0))</f>
        <v>4.9546165799999997</v>
      </c>
      <c r="L427" s="11" cm="1">
        <f t="array" aca="1" ref="L427" ca="1">INDEX(INDIRECT($M427),
       MATCH(TRIM($C427), TRIM(INDIRECT($N427)), 0),
       MATCH(TRIM(L$2), TRIM(INDIRECT($O427)), 0))</f>
        <v>47.712320579999997</v>
      </c>
      <c r="M427" s="5" t="str">
        <f t="shared" si="18"/>
        <v>'2021'!$N$3:$V$80</v>
      </c>
      <c r="N427" s="5" t="str">
        <f t="shared" si="19"/>
        <v>'2021'!$M$2:$M$80</v>
      </c>
      <c r="O427" s="5" t="str">
        <f t="shared" si="20"/>
        <v>'2021'!$N$2:$W$2</v>
      </c>
    </row>
    <row r="428" spans="1:15" x14ac:dyDescent="0.3">
      <c r="A428">
        <v>48</v>
      </c>
      <c r="B428" s="9">
        <v>2021</v>
      </c>
      <c r="C428" t="s">
        <v>47</v>
      </c>
      <c r="D428" s="11" cm="1">
        <f t="array" aca="1" ref="D428" ca="1">INDEX(INDIRECT($M428),
       MATCH(TRIM($C428), TRIM(INDIRECT($N428)), 0),
       MATCH(TRIM(D$2), TRIM(INDIRECT($O428)), 0))</f>
        <v>7</v>
      </c>
      <c r="E428" s="9" t="e" cm="1">
        <f t="array" aca="1" ref="E428" ca="1">INDEX(INDIRECT($M428),
       MATCH(TRIM($C428), TRIM(INDIRECT($N428)), 0),
       MATCH(TRIM(E$2), TRIM(INDIRECT($O428)), 0))</f>
        <v>#N/A</v>
      </c>
      <c r="F428" s="11" cm="1">
        <f t="array" aca="1" ref="F428" ca="1">INDEX(INDIRECT($M428),
       MATCH(TRIM($C428), TRIM(INDIRECT($N428)), 0),
       MATCH(TRIM(F$2), TRIM(INDIRECT($O428)), 0))</f>
        <v>48.501919000000001</v>
      </c>
      <c r="G428" s="11" cm="1">
        <f t="array" aca="1" ref="G428" ca="1">INDEX(INDIRECT($M428),
       MATCH(TRIM($C428), TRIM(INDIRECT($N428)), 0),
       MATCH(TRIM(G$2), TRIM(INDIRECT($O428)), 0))</f>
        <v>0</v>
      </c>
      <c r="H428" s="9" t="e" cm="1">
        <f t="array" aca="1" ref="H428" ca="1">INDEX(INDIRECT($M428),
       MATCH(TRIM($C428), TRIM(INDIRECT($N428)), 0),
       MATCH(TRIM(H$2), TRIM(INDIRECT($O428)), 0))</f>
        <v>#N/A</v>
      </c>
      <c r="I428" s="11" cm="1">
        <f t="array" aca="1" ref="I428" ca="1">INDEX(INDIRECT($M428),
       MATCH(TRIM($C428), TRIM(INDIRECT($N428)), 0),
       MATCH(TRIM(I$2), TRIM(INDIRECT($O428)), 0))</f>
        <v>0</v>
      </c>
      <c r="J428" s="9" cm="1">
        <f t="array" aca="1" ref="J428" ca="1">INDEX(INDIRECT($M428),
       MATCH(TRIM($C428), TRIM(INDIRECT($N428)), 0),
       MATCH(TRIM(J$2), TRIM(INDIRECT($O428)), 0))</f>
        <v>7</v>
      </c>
      <c r="K428" s="11" cm="1">
        <f t="array" aca="1" ref="K428" ca="1">INDEX(INDIRECT($M428),
       MATCH(TRIM($C428), TRIM(INDIRECT($N428)), 0),
       MATCH(TRIM(K$2), TRIM(INDIRECT($O428)), 0))</f>
        <v>6.7657854000000004</v>
      </c>
      <c r="L428" s="11" cm="1">
        <f t="array" aca="1" ref="L428" ca="1">INDEX(INDIRECT($M428),
       MATCH(TRIM($C428), TRIM(INDIRECT($N428)), 0),
       MATCH(TRIM(L$2), TRIM(INDIRECT($O428)), 0))</f>
        <v>55.2677044</v>
      </c>
      <c r="M428" s="5" t="str">
        <f t="shared" si="18"/>
        <v>'2021'!$N$3:$V$80</v>
      </c>
      <c r="N428" s="5" t="str">
        <f t="shared" si="19"/>
        <v>'2021'!$M$2:$M$80</v>
      </c>
      <c r="O428" s="5" t="str">
        <f t="shared" si="20"/>
        <v>'2021'!$N$2:$W$2</v>
      </c>
    </row>
    <row r="429" spans="1:15" x14ac:dyDescent="0.3">
      <c r="A429">
        <v>49</v>
      </c>
      <c r="B429" s="9">
        <v>2021</v>
      </c>
      <c r="C429" t="s">
        <v>48</v>
      </c>
      <c r="D429" s="11" cm="1">
        <f t="array" aca="1" ref="D429" ca="1">INDEX(INDIRECT($M429),
       MATCH(TRIM($C429), TRIM(INDIRECT($N429)), 0),
       MATCH(TRIM(D$2), TRIM(INDIRECT($O429)), 0))</f>
        <v>1</v>
      </c>
      <c r="E429" s="9" t="e" cm="1">
        <f t="array" aca="1" ref="E429" ca="1">INDEX(INDIRECT($M429),
       MATCH(TRIM($C429), TRIM(INDIRECT($N429)), 0),
       MATCH(TRIM(E$2), TRIM(INDIRECT($O429)), 0))</f>
        <v>#N/A</v>
      </c>
      <c r="F429" s="11" cm="1">
        <f t="array" aca="1" ref="F429" ca="1">INDEX(INDIRECT($M429),
       MATCH(TRIM($C429), TRIM(INDIRECT($N429)), 0),
       MATCH(TRIM(F$2), TRIM(INDIRECT($O429)), 0))</f>
        <v>152.865802</v>
      </c>
      <c r="G429" s="11" cm="1">
        <f t="array" aca="1" ref="G429" ca="1">INDEX(INDIRECT($M429),
       MATCH(TRIM($C429), TRIM(INDIRECT($N429)), 0),
       MATCH(TRIM(G$2), TRIM(INDIRECT($O429)), 0))</f>
        <v>0</v>
      </c>
      <c r="H429" s="9" t="e" cm="1">
        <f t="array" aca="1" ref="H429" ca="1">INDEX(INDIRECT($M429),
       MATCH(TRIM($C429), TRIM(INDIRECT($N429)), 0),
       MATCH(TRIM(H$2), TRIM(INDIRECT($O429)), 0))</f>
        <v>#N/A</v>
      </c>
      <c r="I429" s="11" cm="1">
        <f t="array" aca="1" ref="I429" ca="1">INDEX(INDIRECT($M429),
       MATCH(TRIM($C429), TRIM(INDIRECT($N429)), 0),
       MATCH(TRIM(I$2), TRIM(INDIRECT($O429)), 0))</f>
        <v>0</v>
      </c>
      <c r="J429" s="9" cm="1">
        <f t="array" aca="1" ref="J429" ca="1">INDEX(INDIRECT($M429),
       MATCH(TRIM($C429), TRIM(INDIRECT($N429)), 0),
       MATCH(TRIM(J$2), TRIM(INDIRECT($O429)), 0))</f>
        <v>1</v>
      </c>
      <c r="K429" s="11" cm="1">
        <f t="array" aca="1" ref="K429" ca="1">INDEX(INDIRECT($M429),
       MATCH(TRIM($C429), TRIM(INDIRECT($N429)), 0),
       MATCH(TRIM(K$2), TRIM(INDIRECT($O429)), 0))</f>
        <v>0.52840443000000004</v>
      </c>
      <c r="L429" s="11" cm="1">
        <f t="array" aca="1" ref="L429" ca="1">INDEX(INDIRECT($M429),
       MATCH(TRIM($C429), TRIM(INDIRECT($N429)), 0),
       MATCH(TRIM(L$2), TRIM(INDIRECT($O429)), 0))</f>
        <v>153.39420643</v>
      </c>
      <c r="M429" s="5" t="str">
        <f t="shared" si="18"/>
        <v>'2021'!$N$3:$V$80</v>
      </c>
      <c r="N429" s="5" t="str">
        <f t="shared" si="19"/>
        <v>'2021'!$M$2:$M$80</v>
      </c>
      <c r="O429" s="5" t="str">
        <f t="shared" si="20"/>
        <v>'2021'!$N$2:$W$2</v>
      </c>
    </row>
    <row r="430" spans="1:15" x14ac:dyDescent="0.3">
      <c r="A430">
        <v>50</v>
      </c>
      <c r="B430" s="9">
        <v>2021</v>
      </c>
      <c r="C430" t="s">
        <v>49</v>
      </c>
      <c r="D430" s="11" t="e" cm="1">
        <f t="array" aca="1" ref="D430" ca="1">INDEX(INDIRECT($M430),
       MATCH(TRIM($C430), TRIM(INDIRECT($N430)), 0),
       MATCH(TRIM(D$2), TRIM(INDIRECT($O430)), 0))</f>
        <v>#N/A</v>
      </c>
      <c r="E430" s="9" t="e" cm="1">
        <f t="array" aca="1" ref="E430" ca="1">INDEX(INDIRECT($M430),
       MATCH(TRIM($C430), TRIM(INDIRECT($N430)), 0),
       MATCH(TRIM(E$2), TRIM(INDIRECT($O430)), 0))</f>
        <v>#N/A</v>
      </c>
      <c r="F430" s="11" t="e" cm="1">
        <f t="array" aca="1" ref="F430" ca="1">INDEX(INDIRECT($M430),
       MATCH(TRIM($C430), TRIM(INDIRECT($N430)), 0),
       MATCH(TRIM(F$2), TRIM(INDIRECT($O430)), 0))</f>
        <v>#N/A</v>
      </c>
      <c r="G430" s="11" t="e" cm="1">
        <f t="array" aca="1" ref="G430" ca="1">INDEX(INDIRECT($M430),
       MATCH(TRIM($C430), TRIM(INDIRECT($N430)), 0),
       MATCH(TRIM(G$2), TRIM(INDIRECT($O430)), 0))</f>
        <v>#N/A</v>
      </c>
      <c r="H430" s="9" t="e" cm="1">
        <f t="array" aca="1" ref="H430" ca="1">INDEX(INDIRECT($M430),
       MATCH(TRIM($C430), TRIM(INDIRECT($N430)), 0),
       MATCH(TRIM(H$2), TRIM(INDIRECT($O430)), 0))</f>
        <v>#N/A</v>
      </c>
      <c r="I430" s="11" t="e" cm="1">
        <f t="array" aca="1" ref="I430" ca="1">INDEX(INDIRECT($M430),
       MATCH(TRIM($C430), TRIM(INDIRECT($N430)), 0),
       MATCH(TRIM(I$2), TRIM(INDIRECT($O430)), 0))</f>
        <v>#N/A</v>
      </c>
      <c r="J430" s="9" t="e" cm="1">
        <f t="array" aca="1" ref="J430" ca="1">INDEX(INDIRECT($M430),
       MATCH(TRIM($C430), TRIM(INDIRECT($N430)), 0),
       MATCH(TRIM(J$2), TRIM(INDIRECT($O430)), 0))</f>
        <v>#N/A</v>
      </c>
      <c r="K430" s="11" t="e" cm="1">
        <f t="array" aca="1" ref="K430" ca="1">INDEX(INDIRECT($M430),
       MATCH(TRIM($C430), TRIM(INDIRECT($N430)), 0),
       MATCH(TRIM(K$2), TRIM(INDIRECT($O430)), 0))</f>
        <v>#N/A</v>
      </c>
      <c r="L430" s="11" t="e" cm="1">
        <f t="array" aca="1" ref="L430" ca="1">INDEX(INDIRECT($M430),
       MATCH(TRIM($C430), TRIM(INDIRECT($N430)), 0),
       MATCH(TRIM(L$2), TRIM(INDIRECT($O430)), 0))</f>
        <v>#N/A</v>
      </c>
      <c r="M430" s="5" t="str">
        <f t="shared" si="18"/>
        <v>'2021'!$N$3:$V$80</v>
      </c>
      <c r="N430" s="5" t="str">
        <f t="shared" si="19"/>
        <v>'2021'!$M$2:$M$80</v>
      </c>
      <c r="O430" s="5" t="str">
        <f t="shared" si="20"/>
        <v>'2021'!$N$2:$W$2</v>
      </c>
    </row>
    <row r="431" spans="1:15" x14ac:dyDescent="0.3">
      <c r="A431">
        <v>51</v>
      </c>
      <c r="B431" s="9">
        <v>2021</v>
      </c>
      <c r="C431" t="s">
        <v>50</v>
      </c>
      <c r="D431" s="11" cm="1">
        <f t="array" aca="1" ref="D431" ca="1">INDEX(INDIRECT($M431),
       MATCH(TRIM($C431), TRIM(INDIRECT($N431)), 0),
       MATCH(TRIM(D$2), TRIM(INDIRECT($O431)), 0))</f>
        <v>8</v>
      </c>
      <c r="E431" s="9" t="e" cm="1">
        <f t="array" aca="1" ref="E431" ca="1">INDEX(INDIRECT($M431),
       MATCH(TRIM($C431), TRIM(INDIRECT($N431)), 0),
       MATCH(TRIM(E$2), TRIM(INDIRECT($O431)), 0))</f>
        <v>#N/A</v>
      </c>
      <c r="F431" s="11" cm="1">
        <f t="array" aca="1" ref="F431" ca="1">INDEX(INDIRECT($M431),
       MATCH(TRIM($C431), TRIM(INDIRECT($N431)), 0),
       MATCH(TRIM(F$2), TRIM(INDIRECT($O431)), 0))</f>
        <v>454.88170000000002</v>
      </c>
      <c r="G431" s="11" cm="1">
        <f t="array" aca="1" ref="G431" ca="1">INDEX(INDIRECT($M431),
       MATCH(TRIM($C431), TRIM(INDIRECT($N431)), 0),
       MATCH(TRIM(G$2), TRIM(INDIRECT($O431)), 0))</f>
        <v>0</v>
      </c>
      <c r="H431" s="9" t="e" cm="1">
        <f t="array" aca="1" ref="H431" ca="1">INDEX(INDIRECT($M431),
       MATCH(TRIM($C431), TRIM(INDIRECT($N431)), 0),
       MATCH(TRIM(H$2), TRIM(INDIRECT($O431)), 0))</f>
        <v>#N/A</v>
      </c>
      <c r="I431" s="11" cm="1">
        <f t="array" aca="1" ref="I431" ca="1">INDEX(INDIRECT($M431),
       MATCH(TRIM($C431), TRIM(INDIRECT($N431)), 0),
       MATCH(TRIM(I$2), TRIM(INDIRECT($O431)), 0))</f>
        <v>0</v>
      </c>
      <c r="J431" s="9" cm="1">
        <f t="array" aca="1" ref="J431" ca="1">INDEX(INDIRECT($M431),
       MATCH(TRIM($C431), TRIM(INDIRECT($N431)), 0),
       MATCH(TRIM(J$2), TRIM(INDIRECT($O431)), 0))</f>
        <v>2</v>
      </c>
      <c r="K431" s="11" cm="1">
        <f t="array" aca="1" ref="K431" ca="1">INDEX(INDIRECT($M431),
       MATCH(TRIM($C431), TRIM(INDIRECT($N431)), 0),
       MATCH(TRIM(K$2), TRIM(INDIRECT($O431)), 0))</f>
        <v>0.21798200000000001</v>
      </c>
      <c r="L431" s="11" cm="1">
        <f t="array" aca="1" ref="L431" ca="1">INDEX(INDIRECT($M431),
       MATCH(TRIM($C431), TRIM(INDIRECT($N431)), 0),
       MATCH(TRIM(L$2), TRIM(INDIRECT($O431)), 0))</f>
        <v>455.09968200000003</v>
      </c>
      <c r="M431" s="5" t="str">
        <f t="shared" si="18"/>
        <v>'2021'!$N$3:$V$80</v>
      </c>
      <c r="N431" s="5" t="str">
        <f t="shared" si="19"/>
        <v>'2021'!$M$2:$M$80</v>
      </c>
      <c r="O431" s="5" t="str">
        <f t="shared" si="20"/>
        <v>'2021'!$N$2:$W$2</v>
      </c>
    </row>
    <row r="432" spans="1:15" x14ac:dyDescent="0.3">
      <c r="A432">
        <v>52</v>
      </c>
      <c r="B432" s="9">
        <v>2021</v>
      </c>
      <c r="C432" t="s">
        <v>51</v>
      </c>
      <c r="D432" s="11" cm="1">
        <f t="array" aca="1" ref="D432" ca="1">INDEX(INDIRECT($M432),
       MATCH(TRIM($C432), TRIM(INDIRECT($N432)), 0),
       MATCH(TRIM(D$2), TRIM(INDIRECT($O432)), 0))</f>
        <v>0</v>
      </c>
      <c r="E432" s="9" t="e" cm="1">
        <f t="array" aca="1" ref="E432" ca="1">INDEX(INDIRECT($M432),
       MATCH(TRIM($C432), TRIM(INDIRECT($N432)), 0),
       MATCH(TRIM(E$2), TRIM(INDIRECT($O432)), 0))</f>
        <v>#N/A</v>
      </c>
      <c r="F432" s="11" cm="1">
        <f t="array" aca="1" ref="F432" ca="1">INDEX(INDIRECT($M432),
       MATCH(TRIM($C432), TRIM(INDIRECT($N432)), 0),
       MATCH(TRIM(F$2), TRIM(INDIRECT($O432)), 0))</f>
        <v>0</v>
      </c>
      <c r="G432" s="11" cm="1">
        <f t="array" aca="1" ref="G432" ca="1">INDEX(INDIRECT($M432),
       MATCH(TRIM($C432), TRIM(INDIRECT($N432)), 0),
       MATCH(TRIM(G$2), TRIM(INDIRECT($O432)), 0))</f>
        <v>0</v>
      </c>
      <c r="H432" s="9" t="e" cm="1">
        <f t="array" aca="1" ref="H432" ca="1">INDEX(INDIRECT($M432),
       MATCH(TRIM($C432), TRIM(INDIRECT($N432)), 0),
       MATCH(TRIM(H$2), TRIM(INDIRECT($O432)), 0))</f>
        <v>#N/A</v>
      </c>
      <c r="I432" s="11" cm="1">
        <f t="array" aca="1" ref="I432" ca="1">INDEX(INDIRECT($M432),
       MATCH(TRIM($C432), TRIM(INDIRECT($N432)), 0),
       MATCH(TRIM(I$2), TRIM(INDIRECT($O432)), 0))</f>
        <v>0</v>
      </c>
      <c r="J432" s="9" cm="1">
        <f t="array" aca="1" ref="J432" ca="1">INDEX(INDIRECT($M432),
       MATCH(TRIM($C432), TRIM(INDIRECT($N432)), 0),
       MATCH(TRIM(J$2), TRIM(INDIRECT($O432)), 0))</f>
        <v>1</v>
      </c>
      <c r="K432" s="11" cm="1">
        <f t="array" aca="1" ref="K432" ca="1">INDEX(INDIRECT($M432),
       MATCH(TRIM($C432), TRIM(INDIRECT($N432)), 0),
       MATCH(TRIM(K$2), TRIM(INDIRECT($O432)), 0))</f>
        <v>5.9961869800000001</v>
      </c>
      <c r="L432" s="11" cm="1">
        <f t="array" aca="1" ref="L432" ca="1">INDEX(INDIRECT($M432),
       MATCH(TRIM($C432), TRIM(INDIRECT($N432)), 0),
       MATCH(TRIM(L$2), TRIM(INDIRECT($O432)), 0))</f>
        <v>5.9961869800000001</v>
      </c>
      <c r="M432" s="5" t="str">
        <f t="shared" si="18"/>
        <v>'2021'!$N$3:$V$80</v>
      </c>
      <c r="N432" s="5" t="str">
        <f t="shared" si="19"/>
        <v>'2021'!$M$2:$M$80</v>
      </c>
      <c r="O432" s="5" t="str">
        <f t="shared" si="20"/>
        <v>'2021'!$N$2:$W$2</v>
      </c>
    </row>
    <row r="433" spans="1:15" x14ac:dyDescent="0.3">
      <c r="A433">
        <v>53</v>
      </c>
      <c r="B433" s="9">
        <v>2021</v>
      </c>
      <c r="C433" t="s">
        <v>52</v>
      </c>
      <c r="D433" s="11" t="e" cm="1">
        <f t="array" aca="1" ref="D433" ca="1">INDEX(INDIRECT($M433),
       MATCH(TRIM($C433), TRIM(INDIRECT($N433)), 0),
       MATCH(TRIM(D$2), TRIM(INDIRECT($O433)), 0))</f>
        <v>#N/A</v>
      </c>
      <c r="E433" s="9" t="e" cm="1">
        <f t="array" aca="1" ref="E433" ca="1">INDEX(INDIRECT($M433),
       MATCH(TRIM($C433), TRIM(INDIRECT($N433)), 0),
       MATCH(TRIM(E$2), TRIM(INDIRECT($O433)), 0))</f>
        <v>#N/A</v>
      </c>
      <c r="F433" s="11" t="e" cm="1">
        <f t="array" aca="1" ref="F433" ca="1">INDEX(INDIRECT($M433),
       MATCH(TRIM($C433), TRIM(INDIRECT($N433)), 0),
       MATCH(TRIM(F$2), TRIM(INDIRECT($O433)), 0))</f>
        <v>#N/A</v>
      </c>
      <c r="G433" s="11" t="e" cm="1">
        <f t="array" aca="1" ref="G433" ca="1">INDEX(INDIRECT($M433),
       MATCH(TRIM($C433), TRIM(INDIRECT($N433)), 0),
       MATCH(TRIM(G$2), TRIM(INDIRECT($O433)), 0))</f>
        <v>#N/A</v>
      </c>
      <c r="H433" s="9" t="e" cm="1">
        <f t="array" aca="1" ref="H433" ca="1">INDEX(INDIRECT($M433),
       MATCH(TRIM($C433), TRIM(INDIRECT($N433)), 0),
       MATCH(TRIM(H$2), TRIM(INDIRECT($O433)), 0))</f>
        <v>#N/A</v>
      </c>
      <c r="I433" s="11" t="e" cm="1">
        <f t="array" aca="1" ref="I433" ca="1">INDEX(INDIRECT($M433),
       MATCH(TRIM($C433), TRIM(INDIRECT($N433)), 0),
       MATCH(TRIM(I$2), TRIM(INDIRECT($O433)), 0))</f>
        <v>#N/A</v>
      </c>
      <c r="J433" s="9" t="e" cm="1">
        <f t="array" aca="1" ref="J433" ca="1">INDEX(INDIRECT($M433),
       MATCH(TRIM($C433), TRIM(INDIRECT($N433)), 0),
       MATCH(TRIM(J$2), TRIM(INDIRECT($O433)), 0))</f>
        <v>#N/A</v>
      </c>
      <c r="K433" s="11" t="e" cm="1">
        <f t="array" aca="1" ref="K433" ca="1">INDEX(INDIRECT($M433),
       MATCH(TRIM($C433), TRIM(INDIRECT($N433)), 0),
       MATCH(TRIM(K$2), TRIM(INDIRECT($O433)), 0))</f>
        <v>#N/A</v>
      </c>
      <c r="L433" s="11" t="e" cm="1">
        <f t="array" aca="1" ref="L433" ca="1">INDEX(INDIRECT($M433),
       MATCH(TRIM($C433), TRIM(INDIRECT($N433)), 0),
       MATCH(TRIM(L$2), TRIM(INDIRECT($O433)), 0))</f>
        <v>#N/A</v>
      </c>
      <c r="M433" s="5" t="str">
        <f t="shared" si="18"/>
        <v>'2021'!$N$3:$V$80</v>
      </c>
      <c r="N433" s="5" t="str">
        <f t="shared" si="19"/>
        <v>'2021'!$M$2:$M$80</v>
      </c>
      <c r="O433" s="5" t="str">
        <f t="shared" si="20"/>
        <v>'2021'!$N$2:$W$2</v>
      </c>
    </row>
    <row r="434" spans="1:15" x14ac:dyDescent="0.3">
      <c r="A434">
        <v>54</v>
      </c>
      <c r="B434" s="9">
        <v>2021</v>
      </c>
      <c r="C434" t="s">
        <v>53</v>
      </c>
      <c r="D434" s="11" cm="1">
        <f t="array" aca="1" ref="D434" ca="1">INDEX(INDIRECT($M434),
       MATCH(TRIM($C434), TRIM(INDIRECT($N434)), 0),
       MATCH(TRIM(D$2), TRIM(INDIRECT($O434)), 0))</f>
        <v>1</v>
      </c>
      <c r="E434" s="9" t="e" cm="1">
        <f t="array" aca="1" ref="E434" ca="1">INDEX(INDIRECT($M434),
       MATCH(TRIM($C434), TRIM(INDIRECT($N434)), 0),
       MATCH(TRIM(E$2), TRIM(INDIRECT($O434)), 0))</f>
        <v>#N/A</v>
      </c>
      <c r="F434" s="11" cm="1">
        <f t="array" aca="1" ref="F434" ca="1">INDEX(INDIRECT($M434),
       MATCH(TRIM($C434), TRIM(INDIRECT($N434)), 0),
       MATCH(TRIM(F$2), TRIM(INDIRECT($O434)), 0))</f>
        <v>3.93</v>
      </c>
      <c r="G434" s="11" cm="1">
        <f t="array" aca="1" ref="G434" ca="1">INDEX(INDIRECT($M434),
       MATCH(TRIM($C434), TRIM(INDIRECT($N434)), 0),
       MATCH(TRIM(G$2), TRIM(INDIRECT($O434)), 0))</f>
        <v>0</v>
      </c>
      <c r="H434" s="9" t="e" cm="1">
        <f t="array" aca="1" ref="H434" ca="1">INDEX(INDIRECT($M434),
       MATCH(TRIM($C434), TRIM(INDIRECT($N434)), 0),
       MATCH(TRIM(H$2), TRIM(INDIRECT($O434)), 0))</f>
        <v>#N/A</v>
      </c>
      <c r="I434" s="11" cm="1">
        <f t="array" aca="1" ref="I434" ca="1">INDEX(INDIRECT($M434),
       MATCH(TRIM($C434), TRIM(INDIRECT($N434)), 0),
       MATCH(TRIM(I$2), TRIM(INDIRECT($O434)), 0))</f>
        <v>0</v>
      </c>
      <c r="J434" s="9" cm="1">
        <f t="array" aca="1" ref="J434" ca="1">INDEX(INDIRECT($M434),
       MATCH(TRIM($C434), TRIM(INDIRECT($N434)), 0),
       MATCH(TRIM(J$2), TRIM(INDIRECT($O434)), 0))</f>
        <v>1</v>
      </c>
      <c r="K434" s="11" cm="1">
        <f t="array" aca="1" ref="K434" ca="1">INDEX(INDIRECT($M434),
       MATCH(TRIM($C434), TRIM(INDIRECT($N434)), 0),
       MATCH(TRIM(K$2), TRIM(INDIRECT($O434)), 0))</f>
        <v>7.5666534099999998</v>
      </c>
      <c r="L434" s="11" cm="1">
        <f t="array" aca="1" ref="L434" ca="1">INDEX(INDIRECT($M434),
       MATCH(TRIM($C434), TRIM(INDIRECT($N434)), 0),
       MATCH(TRIM(L$2), TRIM(INDIRECT($O434)), 0))</f>
        <v>11.49665341</v>
      </c>
      <c r="M434" s="5" t="str">
        <f t="shared" si="18"/>
        <v>'2021'!$N$3:$V$80</v>
      </c>
      <c r="N434" s="5" t="str">
        <f t="shared" si="19"/>
        <v>'2021'!$M$2:$M$80</v>
      </c>
      <c r="O434" s="5" t="str">
        <f t="shared" si="20"/>
        <v>'2021'!$N$2:$W$2</v>
      </c>
    </row>
    <row r="435" spans="1:15" x14ac:dyDescent="0.3">
      <c r="A435">
        <v>55</v>
      </c>
      <c r="B435" s="9">
        <v>2021</v>
      </c>
      <c r="C435" t="s">
        <v>54</v>
      </c>
      <c r="D435" s="11" cm="1">
        <f t="array" aca="1" ref="D435" ca="1">INDEX(INDIRECT($M435),
       MATCH(TRIM($C435), TRIM(INDIRECT($N435)), 0),
       MATCH(TRIM(D$2), TRIM(INDIRECT($O435)), 0))</f>
        <v>1</v>
      </c>
      <c r="E435" s="9" t="e" cm="1">
        <f t="array" aca="1" ref="E435" ca="1">INDEX(INDIRECT($M435),
       MATCH(TRIM($C435), TRIM(INDIRECT($N435)), 0),
       MATCH(TRIM(E$2), TRIM(INDIRECT($O435)), 0))</f>
        <v>#N/A</v>
      </c>
      <c r="F435" s="11" cm="1">
        <f t="array" aca="1" ref="F435" ca="1">INDEX(INDIRECT($M435),
       MATCH(TRIM($C435), TRIM(INDIRECT($N435)), 0),
       MATCH(TRIM(F$2), TRIM(INDIRECT($O435)), 0))</f>
        <v>54.6</v>
      </c>
      <c r="G435" s="11" cm="1">
        <f t="array" aca="1" ref="G435" ca="1">INDEX(INDIRECT($M435),
       MATCH(TRIM($C435), TRIM(INDIRECT($N435)), 0),
       MATCH(TRIM(G$2), TRIM(INDIRECT($O435)), 0))</f>
        <v>0</v>
      </c>
      <c r="H435" s="9" t="e" cm="1">
        <f t="array" aca="1" ref="H435" ca="1">INDEX(INDIRECT($M435),
       MATCH(TRIM($C435), TRIM(INDIRECT($N435)), 0),
       MATCH(TRIM(H$2), TRIM(INDIRECT($O435)), 0))</f>
        <v>#N/A</v>
      </c>
      <c r="I435" s="11" cm="1">
        <f t="array" aca="1" ref="I435" ca="1">INDEX(INDIRECT($M435),
       MATCH(TRIM($C435), TRIM(INDIRECT($N435)), 0),
       MATCH(TRIM(I$2), TRIM(INDIRECT($O435)), 0))</f>
        <v>0</v>
      </c>
      <c r="J435" s="9" cm="1">
        <f t="array" aca="1" ref="J435" ca="1">INDEX(INDIRECT($M435),
       MATCH(TRIM($C435), TRIM(INDIRECT($N435)), 0),
       MATCH(TRIM(J$2), TRIM(INDIRECT($O435)), 0))</f>
        <v>3</v>
      </c>
      <c r="K435" s="11" cm="1">
        <f t="array" aca="1" ref="K435" ca="1">INDEX(INDIRECT($M435),
       MATCH(TRIM($C435), TRIM(INDIRECT($N435)), 0),
       MATCH(TRIM(K$2), TRIM(INDIRECT($O435)), 0))</f>
        <v>1.47991867</v>
      </c>
      <c r="L435" s="11" cm="1">
        <f t="array" aca="1" ref="L435" ca="1">INDEX(INDIRECT($M435),
       MATCH(TRIM($C435), TRIM(INDIRECT($N435)), 0),
       MATCH(TRIM(L$2), TRIM(INDIRECT($O435)), 0))</f>
        <v>56.079918669999998</v>
      </c>
      <c r="M435" s="5" t="str">
        <f t="shared" si="18"/>
        <v>'2021'!$N$3:$V$80</v>
      </c>
      <c r="N435" s="5" t="str">
        <f t="shared" si="19"/>
        <v>'2021'!$M$2:$M$80</v>
      </c>
      <c r="O435" s="5" t="str">
        <f t="shared" si="20"/>
        <v>'2021'!$N$2:$W$2</v>
      </c>
    </row>
    <row r="436" spans="1:15" x14ac:dyDescent="0.3">
      <c r="A436">
        <v>56</v>
      </c>
      <c r="B436" s="9">
        <v>2021</v>
      </c>
      <c r="C436" t="s">
        <v>55</v>
      </c>
      <c r="D436" s="11" t="e" cm="1">
        <f t="array" aca="1" ref="D436" ca="1">INDEX(INDIRECT($M436),
       MATCH(TRIM($C436), TRIM(INDIRECT($N436)), 0),
       MATCH(TRIM(D$2), TRIM(INDIRECT($O436)), 0))</f>
        <v>#N/A</v>
      </c>
      <c r="E436" s="9" t="e" cm="1">
        <f t="array" aca="1" ref="E436" ca="1">INDEX(INDIRECT($M436),
       MATCH(TRIM($C436), TRIM(INDIRECT($N436)), 0),
       MATCH(TRIM(E$2), TRIM(INDIRECT($O436)), 0))</f>
        <v>#N/A</v>
      </c>
      <c r="F436" s="11" t="e" cm="1">
        <f t="array" aca="1" ref="F436" ca="1">INDEX(INDIRECT($M436),
       MATCH(TRIM($C436), TRIM(INDIRECT($N436)), 0),
       MATCH(TRIM(F$2), TRIM(INDIRECT($O436)), 0))</f>
        <v>#N/A</v>
      </c>
      <c r="G436" s="11" t="e" cm="1">
        <f t="array" aca="1" ref="G436" ca="1">INDEX(INDIRECT($M436),
       MATCH(TRIM($C436), TRIM(INDIRECT($N436)), 0),
       MATCH(TRIM(G$2), TRIM(INDIRECT($O436)), 0))</f>
        <v>#N/A</v>
      </c>
      <c r="H436" s="9" t="e" cm="1">
        <f t="array" aca="1" ref="H436" ca="1">INDEX(INDIRECT($M436),
       MATCH(TRIM($C436), TRIM(INDIRECT($N436)), 0),
       MATCH(TRIM(H$2), TRIM(INDIRECT($O436)), 0))</f>
        <v>#N/A</v>
      </c>
      <c r="I436" s="11" t="e" cm="1">
        <f t="array" aca="1" ref="I436" ca="1">INDEX(INDIRECT($M436),
       MATCH(TRIM($C436), TRIM(INDIRECT($N436)), 0),
       MATCH(TRIM(I$2), TRIM(INDIRECT($O436)), 0))</f>
        <v>#N/A</v>
      </c>
      <c r="J436" s="9" t="e" cm="1">
        <f t="array" aca="1" ref="J436" ca="1">INDEX(INDIRECT($M436),
       MATCH(TRIM($C436), TRIM(INDIRECT($N436)), 0),
       MATCH(TRIM(J$2), TRIM(INDIRECT($O436)), 0))</f>
        <v>#N/A</v>
      </c>
      <c r="K436" s="11" t="e" cm="1">
        <f t="array" aca="1" ref="K436" ca="1">INDEX(INDIRECT($M436),
       MATCH(TRIM($C436), TRIM(INDIRECT($N436)), 0),
       MATCH(TRIM(K$2), TRIM(INDIRECT($O436)), 0))</f>
        <v>#N/A</v>
      </c>
      <c r="L436" s="11" t="e" cm="1">
        <f t="array" aca="1" ref="L436" ca="1">INDEX(INDIRECT($M436),
       MATCH(TRIM($C436), TRIM(INDIRECT($N436)), 0),
       MATCH(TRIM(L$2), TRIM(INDIRECT($O436)), 0))</f>
        <v>#N/A</v>
      </c>
      <c r="M436" s="5" t="str">
        <f t="shared" si="18"/>
        <v>'2021'!$N$3:$V$80</v>
      </c>
      <c r="N436" s="5" t="str">
        <f t="shared" si="19"/>
        <v>'2021'!$M$2:$M$80</v>
      </c>
      <c r="O436" s="5" t="str">
        <f t="shared" si="20"/>
        <v>'2021'!$N$2:$W$2</v>
      </c>
    </row>
    <row r="437" spans="1:15" x14ac:dyDescent="0.3">
      <c r="A437">
        <v>57</v>
      </c>
      <c r="B437" s="9">
        <v>2021</v>
      </c>
      <c r="C437" t="s">
        <v>56</v>
      </c>
      <c r="D437" s="11" t="e" cm="1">
        <f t="array" aca="1" ref="D437" ca="1">INDEX(INDIRECT($M437),
       MATCH(TRIM($C437), TRIM(INDIRECT($N437)), 0),
       MATCH(TRIM(D$2), TRIM(INDIRECT($O437)), 0))</f>
        <v>#N/A</v>
      </c>
      <c r="E437" s="9" t="e" cm="1">
        <f t="array" aca="1" ref="E437" ca="1">INDEX(INDIRECT($M437),
       MATCH(TRIM($C437), TRIM(INDIRECT($N437)), 0),
       MATCH(TRIM(E$2), TRIM(INDIRECT($O437)), 0))</f>
        <v>#N/A</v>
      </c>
      <c r="F437" s="11" t="e" cm="1">
        <f t="array" aca="1" ref="F437" ca="1">INDEX(INDIRECT($M437),
       MATCH(TRIM($C437), TRIM(INDIRECT($N437)), 0),
       MATCH(TRIM(F$2), TRIM(INDIRECT($O437)), 0))</f>
        <v>#N/A</v>
      </c>
      <c r="G437" s="11" t="e" cm="1">
        <f t="array" aca="1" ref="G437" ca="1">INDEX(INDIRECT($M437),
       MATCH(TRIM($C437), TRIM(INDIRECT($N437)), 0),
       MATCH(TRIM(G$2), TRIM(INDIRECT($O437)), 0))</f>
        <v>#N/A</v>
      </c>
      <c r="H437" s="9" t="e" cm="1">
        <f t="array" aca="1" ref="H437" ca="1">INDEX(INDIRECT($M437),
       MATCH(TRIM($C437), TRIM(INDIRECT($N437)), 0),
       MATCH(TRIM(H$2), TRIM(INDIRECT($O437)), 0))</f>
        <v>#N/A</v>
      </c>
      <c r="I437" s="11" t="e" cm="1">
        <f t="array" aca="1" ref="I437" ca="1">INDEX(INDIRECT($M437),
       MATCH(TRIM($C437), TRIM(INDIRECT($N437)), 0),
       MATCH(TRIM(I$2), TRIM(INDIRECT($O437)), 0))</f>
        <v>#N/A</v>
      </c>
      <c r="J437" s="9" t="e" cm="1">
        <f t="array" aca="1" ref="J437" ca="1">INDEX(INDIRECT($M437),
       MATCH(TRIM($C437), TRIM(INDIRECT($N437)), 0),
       MATCH(TRIM(J$2), TRIM(INDIRECT($O437)), 0))</f>
        <v>#N/A</v>
      </c>
      <c r="K437" s="11" t="e" cm="1">
        <f t="array" aca="1" ref="K437" ca="1">INDEX(INDIRECT($M437),
       MATCH(TRIM($C437), TRIM(INDIRECT($N437)), 0),
       MATCH(TRIM(K$2), TRIM(INDIRECT($O437)), 0))</f>
        <v>#N/A</v>
      </c>
      <c r="L437" s="11" t="e" cm="1">
        <f t="array" aca="1" ref="L437" ca="1">INDEX(INDIRECT($M437),
       MATCH(TRIM($C437), TRIM(INDIRECT($N437)), 0),
       MATCH(TRIM(L$2), TRIM(INDIRECT($O437)), 0))</f>
        <v>#N/A</v>
      </c>
      <c r="M437" s="5" t="str">
        <f t="shared" si="18"/>
        <v>'2021'!$N$3:$V$80</v>
      </c>
      <c r="N437" s="5" t="str">
        <f t="shared" si="19"/>
        <v>'2021'!$M$2:$M$80</v>
      </c>
      <c r="O437" s="5" t="str">
        <f t="shared" si="20"/>
        <v>'2021'!$N$2:$W$2</v>
      </c>
    </row>
    <row r="438" spans="1:15" x14ac:dyDescent="0.3">
      <c r="A438">
        <v>58</v>
      </c>
      <c r="B438" s="9">
        <v>2021</v>
      </c>
      <c r="C438" t="s">
        <v>57</v>
      </c>
      <c r="D438" s="11" cm="1">
        <f t="array" aca="1" ref="D438" ca="1">INDEX(INDIRECT($M438),
       MATCH(TRIM($C438), TRIM(INDIRECT($N438)), 0),
       MATCH(TRIM(D$2), TRIM(INDIRECT($O438)), 0))</f>
        <v>1</v>
      </c>
      <c r="E438" s="9" t="e" cm="1">
        <f t="array" aca="1" ref="E438" ca="1">INDEX(INDIRECT($M438),
       MATCH(TRIM($C438), TRIM(INDIRECT($N438)), 0),
       MATCH(TRIM(E$2), TRIM(INDIRECT($O438)), 0))</f>
        <v>#N/A</v>
      </c>
      <c r="F438" s="11" cm="1">
        <f t="array" aca="1" ref="F438" ca="1">INDEX(INDIRECT($M438),
       MATCH(TRIM($C438), TRIM(INDIRECT($N438)), 0),
       MATCH(TRIM(F$2), TRIM(INDIRECT($O438)), 0))</f>
        <v>7.6454800000000001</v>
      </c>
      <c r="G438" s="11" cm="1">
        <f t="array" aca="1" ref="G438" ca="1">INDEX(INDIRECT($M438),
       MATCH(TRIM($C438), TRIM(INDIRECT($N438)), 0),
       MATCH(TRIM(G$2), TRIM(INDIRECT($O438)), 0))</f>
        <v>0</v>
      </c>
      <c r="H438" s="9" t="e" cm="1">
        <f t="array" aca="1" ref="H438" ca="1">INDEX(INDIRECT($M438),
       MATCH(TRIM($C438), TRIM(INDIRECT($N438)), 0),
       MATCH(TRIM(H$2), TRIM(INDIRECT($O438)), 0))</f>
        <v>#N/A</v>
      </c>
      <c r="I438" s="11" cm="1">
        <f t="array" aca="1" ref="I438" ca="1">INDEX(INDIRECT($M438),
       MATCH(TRIM($C438), TRIM(INDIRECT($N438)), 0),
       MATCH(TRIM(I$2), TRIM(INDIRECT($O438)), 0))</f>
        <v>0</v>
      </c>
      <c r="J438" s="9" cm="1">
        <f t="array" aca="1" ref="J438" ca="1">INDEX(INDIRECT($M438),
       MATCH(TRIM($C438), TRIM(INDIRECT($N438)), 0),
       MATCH(TRIM(J$2), TRIM(INDIRECT($O438)), 0))</f>
        <v>0</v>
      </c>
      <c r="K438" s="11" cm="1">
        <f t="array" aca="1" ref="K438" ca="1">INDEX(INDIRECT($M438),
       MATCH(TRIM($C438), TRIM(INDIRECT($N438)), 0),
       MATCH(TRIM(K$2), TRIM(INDIRECT($O438)), 0))</f>
        <v>0</v>
      </c>
      <c r="L438" s="11" cm="1">
        <f t="array" aca="1" ref="L438" ca="1">INDEX(INDIRECT($M438),
       MATCH(TRIM($C438), TRIM(INDIRECT($N438)), 0),
       MATCH(TRIM(L$2), TRIM(INDIRECT($O438)), 0))</f>
        <v>7.6454800000000001</v>
      </c>
      <c r="M438" s="5" t="str">
        <f t="shared" si="18"/>
        <v>'2021'!$N$3:$V$80</v>
      </c>
      <c r="N438" s="5" t="str">
        <f t="shared" si="19"/>
        <v>'2021'!$M$2:$M$80</v>
      </c>
      <c r="O438" s="5" t="str">
        <f t="shared" si="20"/>
        <v>'2021'!$N$2:$W$2</v>
      </c>
    </row>
    <row r="439" spans="1:15" x14ac:dyDescent="0.3">
      <c r="A439">
        <v>59</v>
      </c>
      <c r="B439" s="9">
        <v>2021</v>
      </c>
      <c r="C439" t="s">
        <v>58</v>
      </c>
      <c r="D439" s="11" cm="1">
        <f t="array" aca="1" ref="D439" ca="1">INDEX(INDIRECT($M439),
       MATCH(TRIM($C439), TRIM(INDIRECT($N439)), 0),
       MATCH(TRIM(D$2), TRIM(INDIRECT($O439)), 0))</f>
        <v>0</v>
      </c>
      <c r="E439" s="9" t="e" cm="1">
        <f t="array" aca="1" ref="E439" ca="1">INDEX(INDIRECT($M439),
       MATCH(TRIM($C439), TRIM(INDIRECT($N439)), 0),
       MATCH(TRIM(E$2), TRIM(INDIRECT($O439)), 0))</f>
        <v>#N/A</v>
      </c>
      <c r="F439" s="11" cm="1">
        <f t="array" aca="1" ref="F439" ca="1">INDEX(INDIRECT($M439),
       MATCH(TRIM($C439), TRIM(INDIRECT($N439)), 0),
       MATCH(TRIM(F$2), TRIM(INDIRECT($O439)), 0))</f>
        <v>0</v>
      </c>
      <c r="G439" s="11" cm="1">
        <f t="array" aca="1" ref="G439" ca="1">INDEX(INDIRECT($M439),
       MATCH(TRIM($C439), TRIM(INDIRECT($N439)), 0),
       MATCH(TRIM(G$2), TRIM(INDIRECT($O439)), 0))</f>
        <v>0</v>
      </c>
      <c r="H439" s="9" t="e" cm="1">
        <f t="array" aca="1" ref="H439" ca="1">INDEX(INDIRECT($M439),
       MATCH(TRIM($C439), TRIM(INDIRECT($N439)), 0),
       MATCH(TRIM(H$2), TRIM(INDIRECT($O439)), 0))</f>
        <v>#N/A</v>
      </c>
      <c r="I439" s="11" cm="1">
        <f t="array" aca="1" ref="I439" ca="1">INDEX(INDIRECT($M439),
       MATCH(TRIM($C439), TRIM(INDIRECT($N439)), 0),
       MATCH(TRIM(I$2), TRIM(INDIRECT($O439)), 0))</f>
        <v>0</v>
      </c>
      <c r="J439" s="9" cm="1">
        <f t="array" aca="1" ref="J439" ca="1">INDEX(INDIRECT($M439),
       MATCH(TRIM($C439), TRIM(INDIRECT($N439)), 0),
       MATCH(TRIM(J$2), TRIM(INDIRECT($O439)), 0))</f>
        <v>1</v>
      </c>
      <c r="K439" s="11" cm="1">
        <f t="array" aca="1" ref="K439" ca="1">INDEX(INDIRECT($M439),
       MATCH(TRIM($C439), TRIM(INDIRECT($N439)), 0),
       MATCH(TRIM(K$2), TRIM(INDIRECT($O439)), 0))</f>
        <v>0.86333419999999994</v>
      </c>
      <c r="L439" s="11" cm="1">
        <f t="array" aca="1" ref="L439" ca="1">INDEX(INDIRECT($M439),
       MATCH(TRIM($C439), TRIM(INDIRECT($N439)), 0),
       MATCH(TRIM(L$2), TRIM(INDIRECT($O439)), 0))</f>
        <v>0.86333419999999994</v>
      </c>
      <c r="M439" s="5" t="str">
        <f t="shared" si="18"/>
        <v>'2021'!$N$3:$V$80</v>
      </c>
      <c r="N439" s="5" t="str">
        <f t="shared" si="19"/>
        <v>'2021'!$M$2:$M$80</v>
      </c>
      <c r="O439" s="5" t="str">
        <f t="shared" si="20"/>
        <v>'2021'!$N$2:$W$2</v>
      </c>
    </row>
    <row r="440" spans="1:15" x14ac:dyDescent="0.3">
      <c r="A440">
        <v>60</v>
      </c>
      <c r="B440" s="9">
        <v>2021</v>
      </c>
      <c r="C440" t="s">
        <v>59</v>
      </c>
      <c r="D440" s="11" cm="1">
        <f t="array" aca="1" ref="D440" ca="1">INDEX(INDIRECT($M440),
       MATCH(TRIM($C440), TRIM(INDIRECT($N440)), 0),
       MATCH(TRIM(D$2), TRIM(INDIRECT($O440)), 0))</f>
        <v>0</v>
      </c>
      <c r="E440" s="9" t="e" cm="1">
        <f t="array" aca="1" ref="E440" ca="1">INDEX(INDIRECT($M440),
       MATCH(TRIM($C440), TRIM(INDIRECT($N440)), 0),
       MATCH(TRIM(E$2), TRIM(INDIRECT($O440)), 0))</f>
        <v>#N/A</v>
      </c>
      <c r="F440" s="11" cm="1">
        <f t="array" aca="1" ref="F440" ca="1">INDEX(INDIRECT($M440),
       MATCH(TRIM($C440), TRIM(INDIRECT($N440)), 0),
       MATCH(TRIM(F$2), TRIM(INDIRECT($O440)), 0))</f>
        <v>0</v>
      </c>
      <c r="G440" s="11" cm="1">
        <f t="array" aca="1" ref="G440" ca="1">INDEX(INDIRECT($M440),
       MATCH(TRIM($C440), TRIM(INDIRECT($N440)), 0),
       MATCH(TRIM(G$2), TRIM(INDIRECT($O440)), 0))</f>
        <v>0</v>
      </c>
      <c r="H440" s="9" t="e" cm="1">
        <f t="array" aca="1" ref="H440" ca="1">INDEX(INDIRECT($M440),
       MATCH(TRIM($C440), TRIM(INDIRECT($N440)), 0),
       MATCH(TRIM(H$2), TRIM(INDIRECT($O440)), 0))</f>
        <v>#N/A</v>
      </c>
      <c r="I440" s="11" cm="1">
        <f t="array" aca="1" ref="I440" ca="1">INDEX(INDIRECT($M440),
       MATCH(TRIM($C440), TRIM(INDIRECT($N440)), 0),
       MATCH(TRIM(I$2), TRIM(INDIRECT($O440)), 0))</f>
        <v>0</v>
      </c>
      <c r="J440" s="9" cm="1">
        <f t="array" aca="1" ref="J440" ca="1">INDEX(INDIRECT($M440),
       MATCH(TRIM($C440), TRIM(INDIRECT($N440)), 0),
       MATCH(TRIM(J$2), TRIM(INDIRECT($O440)), 0))</f>
        <v>2</v>
      </c>
      <c r="K440" s="11" cm="1">
        <f t="array" aca="1" ref="K440" ca="1">INDEX(INDIRECT($M440),
       MATCH(TRIM($C440), TRIM(INDIRECT($N440)), 0),
       MATCH(TRIM(K$2), TRIM(INDIRECT($O440)), 0))</f>
        <v>0.54577154000000005</v>
      </c>
      <c r="L440" s="11" cm="1">
        <f t="array" aca="1" ref="L440" ca="1">INDEX(INDIRECT($M440),
       MATCH(TRIM($C440), TRIM(INDIRECT($N440)), 0),
       MATCH(TRIM(L$2), TRIM(INDIRECT($O440)), 0))</f>
        <v>0.54577154000000005</v>
      </c>
      <c r="M440" s="5" t="str">
        <f t="shared" si="18"/>
        <v>'2021'!$N$3:$V$80</v>
      </c>
      <c r="N440" s="5" t="str">
        <f t="shared" si="19"/>
        <v>'2021'!$M$2:$M$80</v>
      </c>
      <c r="O440" s="5" t="str">
        <f t="shared" si="20"/>
        <v>'2021'!$N$2:$W$2</v>
      </c>
    </row>
    <row r="441" spans="1:15" x14ac:dyDescent="0.3">
      <c r="A441">
        <v>61</v>
      </c>
      <c r="B441" s="9">
        <v>2021</v>
      </c>
      <c r="C441" t="s">
        <v>60</v>
      </c>
      <c r="D441" s="11" cm="1">
        <f t="array" aca="1" ref="D441" ca="1">INDEX(INDIRECT($M441),
       MATCH(TRIM($C441), TRIM(INDIRECT($N441)), 0),
       MATCH(TRIM(D$2), TRIM(INDIRECT($O441)), 0))</f>
        <v>0</v>
      </c>
      <c r="E441" s="9" t="e" cm="1">
        <f t="array" aca="1" ref="E441" ca="1">INDEX(INDIRECT($M441),
       MATCH(TRIM($C441), TRIM(INDIRECT($N441)), 0),
       MATCH(TRIM(E$2), TRIM(INDIRECT($O441)), 0))</f>
        <v>#N/A</v>
      </c>
      <c r="F441" s="11" cm="1">
        <f t="array" aca="1" ref="F441" ca="1">INDEX(INDIRECT($M441),
       MATCH(TRIM($C441), TRIM(INDIRECT($N441)), 0),
       MATCH(TRIM(F$2), TRIM(INDIRECT($O441)), 0))</f>
        <v>0</v>
      </c>
      <c r="G441" s="11" cm="1">
        <f t="array" aca="1" ref="G441" ca="1">INDEX(INDIRECT($M441),
       MATCH(TRIM($C441), TRIM(INDIRECT($N441)), 0),
       MATCH(TRIM(G$2), TRIM(INDIRECT($O441)), 0))</f>
        <v>0</v>
      </c>
      <c r="H441" s="9" t="e" cm="1">
        <f t="array" aca="1" ref="H441" ca="1">INDEX(INDIRECT($M441),
       MATCH(TRIM($C441), TRIM(INDIRECT($N441)), 0),
       MATCH(TRIM(H$2), TRIM(INDIRECT($O441)), 0))</f>
        <v>#N/A</v>
      </c>
      <c r="I441" s="11" cm="1">
        <f t="array" aca="1" ref="I441" ca="1">INDEX(INDIRECT($M441),
       MATCH(TRIM($C441), TRIM(INDIRECT($N441)), 0),
       MATCH(TRIM(I$2), TRIM(INDIRECT($O441)), 0))</f>
        <v>0</v>
      </c>
      <c r="J441" s="9" cm="1">
        <f t="array" aca="1" ref="J441" ca="1">INDEX(INDIRECT($M441),
       MATCH(TRIM($C441), TRIM(INDIRECT($N441)), 0),
       MATCH(TRIM(J$2), TRIM(INDIRECT($O441)), 0))</f>
        <v>2</v>
      </c>
      <c r="K441" s="11" cm="1">
        <f t="array" aca="1" ref="K441" ca="1">INDEX(INDIRECT($M441),
       MATCH(TRIM($C441), TRIM(INDIRECT($N441)), 0),
       MATCH(TRIM(K$2), TRIM(INDIRECT($O441)), 0))</f>
        <v>0.12017741</v>
      </c>
      <c r="L441" s="11" cm="1">
        <f t="array" aca="1" ref="L441" ca="1">INDEX(INDIRECT($M441),
       MATCH(TRIM($C441), TRIM(INDIRECT($N441)), 0),
       MATCH(TRIM(L$2), TRIM(INDIRECT($O441)), 0))</f>
        <v>0.12017741</v>
      </c>
      <c r="M441" s="5" t="str">
        <f t="shared" si="18"/>
        <v>'2021'!$N$3:$V$80</v>
      </c>
      <c r="N441" s="5" t="str">
        <f t="shared" si="19"/>
        <v>'2021'!$M$2:$M$80</v>
      </c>
      <c r="O441" s="5" t="str">
        <f t="shared" si="20"/>
        <v>'2021'!$N$2:$W$2</v>
      </c>
    </row>
    <row r="442" spans="1:15" x14ac:dyDescent="0.3">
      <c r="A442">
        <v>62</v>
      </c>
      <c r="B442" s="9">
        <v>2021</v>
      </c>
      <c r="C442" t="s">
        <v>61</v>
      </c>
      <c r="D442" s="11" cm="1">
        <f t="array" aca="1" ref="D442" ca="1">INDEX(INDIRECT($M442),
       MATCH(TRIM($C442), TRIM(INDIRECT($N442)), 0),
       MATCH(TRIM(D$2), TRIM(INDIRECT($O442)), 0))</f>
        <v>0</v>
      </c>
      <c r="E442" s="9" t="e" cm="1">
        <f t="array" aca="1" ref="E442" ca="1">INDEX(INDIRECT($M442),
       MATCH(TRIM($C442), TRIM(INDIRECT($N442)), 0),
       MATCH(TRIM(E$2), TRIM(INDIRECT($O442)), 0))</f>
        <v>#N/A</v>
      </c>
      <c r="F442" s="11" cm="1">
        <f t="array" aca="1" ref="F442" ca="1">INDEX(INDIRECT($M442),
       MATCH(TRIM($C442), TRIM(INDIRECT($N442)), 0),
       MATCH(TRIM(F$2), TRIM(INDIRECT($O442)), 0))</f>
        <v>0</v>
      </c>
      <c r="G442" s="11" cm="1">
        <f t="array" aca="1" ref="G442" ca="1">INDEX(INDIRECT($M442),
       MATCH(TRIM($C442), TRIM(INDIRECT($N442)), 0),
       MATCH(TRIM(G$2), TRIM(INDIRECT($O442)), 0))</f>
        <v>1</v>
      </c>
      <c r="H442" s="9" t="e" cm="1">
        <f t="array" aca="1" ref="H442" ca="1">INDEX(INDIRECT($M442),
       MATCH(TRIM($C442), TRIM(INDIRECT($N442)), 0),
       MATCH(TRIM(H$2), TRIM(INDIRECT($O442)), 0))</f>
        <v>#N/A</v>
      </c>
      <c r="I442" s="11" cm="1">
        <f t="array" aca="1" ref="I442" ca="1">INDEX(INDIRECT($M442),
       MATCH(TRIM($C442), TRIM(INDIRECT($N442)), 0),
       MATCH(TRIM(I$2), TRIM(INDIRECT($O442)), 0))</f>
        <v>1.2</v>
      </c>
      <c r="J442" s="9" cm="1">
        <f t="array" aca="1" ref="J442" ca="1">INDEX(INDIRECT($M442),
       MATCH(TRIM($C442), TRIM(INDIRECT($N442)), 0),
       MATCH(TRIM(J$2), TRIM(INDIRECT($O442)), 0))</f>
        <v>1</v>
      </c>
      <c r="K442" s="11" cm="1">
        <f t="array" aca="1" ref="K442" ca="1">INDEX(INDIRECT($M442),
       MATCH(TRIM($C442), TRIM(INDIRECT($N442)), 0),
       MATCH(TRIM(K$2), TRIM(INDIRECT($O442)), 0))</f>
        <v>0.40919639000000002</v>
      </c>
      <c r="L442" s="11" cm="1">
        <f t="array" aca="1" ref="L442" ca="1">INDEX(INDIRECT($M442),
       MATCH(TRIM($C442), TRIM(INDIRECT($N442)), 0),
       MATCH(TRIM(L$2), TRIM(INDIRECT($O442)), 0))</f>
        <v>1.6091963899999999</v>
      </c>
      <c r="M442" s="5" t="str">
        <f t="shared" si="18"/>
        <v>'2021'!$N$3:$V$80</v>
      </c>
      <c r="N442" s="5" t="str">
        <f t="shared" si="19"/>
        <v>'2021'!$M$2:$M$80</v>
      </c>
      <c r="O442" s="5" t="str">
        <f t="shared" si="20"/>
        <v>'2021'!$N$2:$W$2</v>
      </c>
    </row>
    <row r="443" spans="1:15" x14ac:dyDescent="0.3">
      <c r="A443">
        <v>63</v>
      </c>
      <c r="B443" s="9">
        <v>2021</v>
      </c>
      <c r="C443" t="s">
        <v>62</v>
      </c>
      <c r="D443" s="11" cm="1">
        <f t="array" aca="1" ref="D443" ca="1">INDEX(INDIRECT($M443),
       MATCH(TRIM($C443), TRIM(INDIRECT($N443)), 0),
       MATCH(TRIM(D$2), TRIM(INDIRECT($O443)), 0))</f>
        <v>1738</v>
      </c>
      <c r="E443" s="9" cm="1">
        <f t="array" aca="1" ref="E443" ca="1">INDEX(INDIRECT($M443),
       MATCH(TRIM($C443), TRIM(INDIRECT($N443)), 0),
       MATCH(TRIM(E$2), TRIM(INDIRECT($O443)), 0))</f>
        <v>0</v>
      </c>
      <c r="F443" s="11" cm="1">
        <f t="array" aca="1" ref="F443" ca="1">INDEX(INDIRECT($M443),
       MATCH(TRIM($C443), TRIM(INDIRECT($N443)), 0),
       MATCH(TRIM(F$2), TRIM(INDIRECT($O443)), 0))</f>
        <v>15245.403180789999</v>
      </c>
      <c r="G443" s="11" cm="1">
        <f t="array" aca="1" ref="G443" ca="1">INDEX(INDIRECT($M443),
       MATCH(TRIM($C443), TRIM(INDIRECT($N443)), 0),
       MATCH(TRIM(G$2), TRIM(INDIRECT($O443)), 0))</f>
        <v>985</v>
      </c>
      <c r="H443" s="9" cm="1">
        <f t="array" aca="1" ref="H443" ca="1">INDEX(INDIRECT($M443),
       MATCH(TRIM($C443), TRIM(INDIRECT($N443)), 0),
       MATCH(TRIM(H$2), TRIM(INDIRECT($O443)), 0))</f>
        <v>0</v>
      </c>
      <c r="I443" s="11" cm="1">
        <f t="array" aca="1" ref="I443" ca="1">INDEX(INDIRECT($M443),
       MATCH(TRIM($C443), TRIM(INDIRECT($N443)), 0),
       MATCH(TRIM(I$2), TRIM(INDIRECT($O443)), 0))</f>
        <v>9014.7724186093728</v>
      </c>
      <c r="J443" s="9" cm="1">
        <f t="array" aca="1" ref="J443" ca="1">INDEX(INDIRECT($M443),
       MATCH(TRIM($C443), TRIM(INDIRECT($N443)), 0),
       MATCH(TRIM(J$2), TRIM(INDIRECT($O443)), 0))</f>
        <v>3797</v>
      </c>
      <c r="K443" s="11" cm="1">
        <f t="array" aca="1" ref="K443" ca="1">INDEX(INDIRECT($M443),
       MATCH(TRIM($C443), TRIM(INDIRECT($N443)), 0),
       MATCH(TRIM(K$2), TRIM(INDIRECT($O443)), 0))</f>
        <v>6893.1635084717382</v>
      </c>
      <c r="L443" s="11" cm="1">
        <f t="array" aca="1" ref="L443" ca="1">INDEX(INDIRECT($M443),
       MATCH(TRIM($C443), TRIM(INDIRECT($N443)), 0),
       MATCH(TRIM(L$2), TRIM(INDIRECT($O443)), 0))</f>
        <v>31153.339107871103</v>
      </c>
      <c r="M443" s="5" t="str">
        <f t="shared" si="18"/>
        <v>'2021'!$N$3:$V$80</v>
      </c>
      <c r="N443" s="5" t="str">
        <f t="shared" si="19"/>
        <v>'2021'!$M$2:$M$80</v>
      </c>
      <c r="O443" s="5" t="str">
        <f t="shared" si="20"/>
        <v>'2021'!$N$2:$W$2</v>
      </c>
    </row>
    <row r="444" spans="1:15" x14ac:dyDescent="0.3">
      <c r="A444">
        <v>1</v>
      </c>
      <c r="B444" s="9">
        <v>2022</v>
      </c>
      <c r="C444" t="s">
        <v>0</v>
      </c>
      <c r="D444" s="11" cm="1">
        <f t="array" aca="1" ref="D444" ca="1">INDEX(INDIRECT($M444),
       MATCH(TRIM($C444), TRIM(INDIRECT($N444)), 0),
       MATCH(TRIM(D$2), TRIM(INDIRECT($O444)), 0))</f>
        <v>893</v>
      </c>
      <c r="E444" s="9" t="e" cm="1">
        <f t="array" aca="1" ref="E444" ca="1">INDEX(INDIRECT($M444),
       MATCH(TRIM($C444), TRIM(INDIRECT($N444)), 0),
       MATCH(TRIM(E$2), TRIM(INDIRECT($O444)), 0))</f>
        <v>#N/A</v>
      </c>
      <c r="F444" s="11" cm="1">
        <f t="array" aca="1" ref="F444" ca="1">INDEX(INDIRECT($M444),
       MATCH(TRIM($C444), TRIM(INDIRECT($N444)), 0),
       MATCH(TRIM(F$2), TRIM(INDIRECT($O444)), 0))</f>
        <v>601.07350723000002</v>
      </c>
      <c r="G444" s="11" cm="1">
        <f t="array" aca="1" ref="G444" ca="1">INDEX(INDIRECT($M444),
       MATCH(TRIM($C444), TRIM(INDIRECT($N444)), 0),
       MATCH(TRIM(G$2), TRIM(INDIRECT($O444)), 0))</f>
        <v>192</v>
      </c>
      <c r="H444" s="9" t="e" cm="1">
        <f t="array" aca="1" ref="H444" ca="1">INDEX(INDIRECT($M444),
       MATCH(TRIM($C444), TRIM(INDIRECT($N444)), 0),
       MATCH(TRIM(H$2), TRIM(INDIRECT($O444)), 0))</f>
        <v>#N/A</v>
      </c>
      <c r="I444" s="11" cm="1">
        <f t="array" aca="1" ref="I444" ca="1">INDEX(INDIRECT($M444),
       MATCH(TRIM($C444), TRIM(INDIRECT($N444)), 0),
       MATCH(TRIM(I$2), TRIM(INDIRECT($O444)), 0))</f>
        <v>1600.7169918457032</v>
      </c>
      <c r="J444" s="9" cm="1">
        <f t="array" aca="1" ref="J444" ca="1">INDEX(INDIRECT($M444),
       MATCH(TRIM($C444), TRIM(INDIRECT($N444)), 0),
       MATCH(TRIM(J$2), TRIM(INDIRECT($O444)), 0))</f>
        <v>2411</v>
      </c>
      <c r="K444" s="11" cm="1">
        <f t="array" aca="1" ref="K444" ca="1">INDEX(INDIRECT($M444),
       MATCH(TRIM($C444), TRIM(INDIRECT($N444)), 0),
       MATCH(TRIM(K$2), TRIM(INDIRECT($O444)), 0))</f>
        <v>1738.6137775100003</v>
      </c>
      <c r="L444" s="11" cm="1">
        <f t="array" aca="1" ref="L444" ca="1">INDEX(INDIRECT($M444),
       MATCH(TRIM($C444), TRIM(INDIRECT($N444)), 0),
       MATCH(TRIM(L$2), TRIM(INDIRECT($O444)), 0))</f>
        <v>3940.4042765857039</v>
      </c>
      <c r="M444" s="5" t="str">
        <f t="shared" si="18"/>
        <v>'2022'!$N$3:$V$80</v>
      </c>
      <c r="N444" s="5" t="str">
        <f t="shared" si="19"/>
        <v>'2022'!$M$2:$M$80</v>
      </c>
      <c r="O444" s="5" t="str">
        <f t="shared" si="20"/>
        <v>'2022'!$N$2:$W$2</v>
      </c>
    </row>
    <row r="445" spans="1:15" x14ac:dyDescent="0.3">
      <c r="A445">
        <v>2</v>
      </c>
      <c r="B445" s="9">
        <v>2022</v>
      </c>
      <c r="C445" t="s">
        <v>1</v>
      </c>
      <c r="D445" s="11" cm="1">
        <f t="array" aca="1" ref="D445" ca="1">INDEX(INDIRECT($M445),
       MATCH(TRIM($C445), TRIM(INDIRECT($N445)), 0),
       MATCH(TRIM(D$2), TRIM(INDIRECT($O445)), 0))</f>
        <v>68</v>
      </c>
      <c r="E445" s="9" t="e" cm="1">
        <f t="array" aca="1" ref="E445" ca="1">INDEX(INDIRECT($M445),
       MATCH(TRIM($C445), TRIM(INDIRECT($N445)), 0),
       MATCH(TRIM(E$2), TRIM(INDIRECT($O445)), 0))</f>
        <v>#N/A</v>
      </c>
      <c r="F445" s="11" cm="1">
        <f t="array" aca="1" ref="F445" ca="1">INDEX(INDIRECT($M445),
       MATCH(TRIM($C445), TRIM(INDIRECT($N445)), 0),
       MATCH(TRIM(F$2), TRIM(INDIRECT($O445)), 0))</f>
        <v>1909.081449</v>
      </c>
      <c r="G445" s="11" cm="1">
        <f t="array" aca="1" ref="G445" ca="1">INDEX(INDIRECT($M445),
       MATCH(TRIM($C445), TRIM(INDIRECT($N445)), 0),
       MATCH(TRIM(G$2), TRIM(INDIRECT($O445)), 0))</f>
        <v>26</v>
      </c>
      <c r="H445" s="9" t="e" cm="1">
        <f t="array" aca="1" ref="H445" ca="1">INDEX(INDIRECT($M445),
       MATCH(TRIM($C445), TRIM(INDIRECT($N445)), 0),
       MATCH(TRIM(H$2), TRIM(INDIRECT($O445)), 0))</f>
        <v>#N/A</v>
      </c>
      <c r="I445" s="11" cm="1">
        <f t="array" aca="1" ref="I445" ca="1">INDEX(INDIRECT($M445),
       MATCH(TRIM($C445), TRIM(INDIRECT($N445)), 0),
       MATCH(TRIM(I$2), TRIM(INDIRECT($O445)), 0))</f>
        <v>37.106929999999998</v>
      </c>
      <c r="J445" s="9" cm="1">
        <f t="array" aca="1" ref="J445" ca="1">INDEX(INDIRECT($M445),
       MATCH(TRIM($C445), TRIM(INDIRECT($N445)), 0),
       MATCH(TRIM(J$2), TRIM(INDIRECT($O445)), 0))</f>
        <v>186</v>
      </c>
      <c r="K445" s="11" cm="1">
        <f t="array" aca="1" ref="K445" ca="1">INDEX(INDIRECT($M445),
       MATCH(TRIM($C445), TRIM(INDIRECT($N445)), 0),
       MATCH(TRIM(K$2), TRIM(INDIRECT($O445)), 0))</f>
        <v>1196.4831572700007</v>
      </c>
      <c r="L445" s="11" cm="1">
        <f t="array" aca="1" ref="L445" ca="1">INDEX(INDIRECT($M445),
       MATCH(TRIM($C445), TRIM(INDIRECT($N445)), 0),
       MATCH(TRIM(L$2), TRIM(INDIRECT($O445)), 0))</f>
        <v>3142.6715362700006</v>
      </c>
      <c r="M445" s="5" t="str">
        <f t="shared" si="18"/>
        <v>'2022'!$N$3:$V$80</v>
      </c>
      <c r="N445" s="5" t="str">
        <f t="shared" si="19"/>
        <v>'2022'!$M$2:$M$80</v>
      </c>
      <c r="O445" s="5" t="str">
        <f t="shared" si="20"/>
        <v>'2022'!$N$2:$W$2</v>
      </c>
    </row>
    <row r="446" spans="1:15" x14ac:dyDescent="0.3">
      <c r="A446">
        <v>3</v>
      </c>
      <c r="B446" s="9">
        <v>2022</v>
      </c>
      <c r="C446" t="s">
        <v>2</v>
      </c>
      <c r="D446" s="11" cm="1">
        <f t="array" aca="1" ref="D446" ca="1">INDEX(INDIRECT($M446),
       MATCH(TRIM($C446), TRIM(INDIRECT($N446)), 0),
       MATCH(TRIM(D$2), TRIM(INDIRECT($O446)), 0))</f>
        <v>51</v>
      </c>
      <c r="E446" s="9" t="e" cm="1">
        <f t="array" aca="1" ref="E446" ca="1">INDEX(INDIRECT($M446),
       MATCH(TRIM($C446), TRIM(INDIRECT($N446)), 0),
       MATCH(TRIM(E$2), TRIM(INDIRECT($O446)), 0))</f>
        <v>#N/A</v>
      </c>
      <c r="F446" s="11" cm="1">
        <f t="array" aca="1" ref="F446" ca="1">INDEX(INDIRECT($M446),
       MATCH(TRIM($C446), TRIM(INDIRECT($N446)), 0),
       MATCH(TRIM(F$2), TRIM(INDIRECT($O446)), 0))</f>
        <v>485.188061</v>
      </c>
      <c r="G446" s="11" cm="1">
        <f t="array" aca="1" ref="G446" ca="1">INDEX(INDIRECT($M446),
       MATCH(TRIM($C446), TRIM(INDIRECT($N446)), 0),
       MATCH(TRIM(G$2), TRIM(INDIRECT($O446)), 0))</f>
        <v>90</v>
      </c>
      <c r="H446" s="9" t="e" cm="1">
        <f t="array" aca="1" ref="H446" ca="1">INDEX(INDIRECT($M446),
       MATCH(TRIM($C446), TRIM(INDIRECT($N446)), 0),
       MATCH(TRIM(H$2), TRIM(INDIRECT($O446)), 0))</f>
        <v>#N/A</v>
      </c>
      <c r="I446" s="11" cm="1">
        <f t="array" aca="1" ref="I446" ca="1">INDEX(INDIRECT($M446),
       MATCH(TRIM($C446), TRIM(INDIRECT($N446)), 0),
       MATCH(TRIM(I$2), TRIM(INDIRECT($O446)), 0))</f>
        <v>593.53859133374999</v>
      </c>
      <c r="J446" s="9" cm="1">
        <f t="array" aca="1" ref="J446" ca="1">INDEX(INDIRECT($M446),
       MATCH(TRIM($C446), TRIM(INDIRECT($N446)), 0),
       MATCH(TRIM(J$2), TRIM(INDIRECT($O446)), 0))</f>
        <v>66</v>
      </c>
      <c r="K446" s="11" cm="1">
        <f t="array" aca="1" ref="K446" ca="1">INDEX(INDIRECT($M446),
       MATCH(TRIM($C446), TRIM(INDIRECT($N446)), 0),
       MATCH(TRIM(K$2), TRIM(INDIRECT($O446)), 0))</f>
        <v>173.36632086999998</v>
      </c>
      <c r="L446" s="11" cm="1">
        <f t="array" aca="1" ref="L446" ca="1">INDEX(INDIRECT($M446),
       MATCH(TRIM($C446), TRIM(INDIRECT($N446)), 0),
       MATCH(TRIM(L$2), TRIM(INDIRECT($O446)), 0))</f>
        <v>1252.09297320375</v>
      </c>
      <c r="M446" s="5" t="str">
        <f t="shared" si="18"/>
        <v>'2022'!$N$3:$V$80</v>
      </c>
      <c r="N446" s="5" t="str">
        <f t="shared" si="19"/>
        <v>'2022'!$M$2:$M$80</v>
      </c>
      <c r="O446" s="5" t="str">
        <f t="shared" si="20"/>
        <v>'2022'!$N$2:$W$2</v>
      </c>
    </row>
    <row r="447" spans="1:15" x14ac:dyDescent="0.3">
      <c r="A447">
        <v>4</v>
      </c>
      <c r="B447" s="9">
        <v>2022</v>
      </c>
      <c r="C447" t="s">
        <v>3</v>
      </c>
      <c r="D447" s="11" cm="1">
        <f t="array" aca="1" ref="D447" ca="1">INDEX(INDIRECT($M447),
       MATCH(TRIM($C447), TRIM(INDIRECT($N447)), 0),
       MATCH(TRIM(D$2), TRIM(INDIRECT($O447)), 0))</f>
        <v>147</v>
      </c>
      <c r="E447" s="9" t="e" cm="1">
        <f t="array" aca="1" ref="E447" ca="1">INDEX(INDIRECT($M447),
       MATCH(TRIM($C447), TRIM(INDIRECT($N447)), 0),
       MATCH(TRIM(E$2), TRIM(INDIRECT($O447)), 0))</f>
        <v>#N/A</v>
      </c>
      <c r="F447" s="11" cm="1">
        <f t="array" aca="1" ref="F447" ca="1">INDEX(INDIRECT($M447),
       MATCH(TRIM($C447), TRIM(INDIRECT($N447)), 0),
       MATCH(TRIM(F$2), TRIM(INDIRECT($O447)), 0))</f>
        <v>503.08780029000002</v>
      </c>
      <c r="G447" s="11" cm="1">
        <f t="array" aca="1" ref="G447" ca="1">INDEX(INDIRECT($M447),
       MATCH(TRIM($C447), TRIM(INDIRECT($N447)), 0),
       MATCH(TRIM(G$2), TRIM(INDIRECT($O447)), 0))</f>
        <v>123</v>
      </c>
      <c r="H447" s="9" t="e" cm="1">
        <f t="array" aca="1" ref="H447" ca="1">INDEX(INDIRECT($M447),
       MATCH(TRIM($C447), TRIM(INDIRECT($N447)), 0),
       MATCH(TRIM(H$2), TRIM(INDIRECT($O447)), 0))</f>
        <v>#N/A</v>
      </c>
      <c r="I447" s="11" cm="1">
        <f t="array" aca="1" ref="I447" ca="1">INDEX(INDIRECT($M447),
       MATCH(TRIM($C447), TRIM(INDIRECT($N447)), 0),
       MATCH(TRIM(I$2), TRIM(INDIRECT($O447)), 0))</f>
        <v>1685.6250685375062</v>
      </c>
      <c r="J447" s="9" cm="1">
        <f t="array" aca="1" ref="J447" ca="1">INDEX(INDIRECT($M447),
       MATCH(TRIM($C447), TRIM(INDIRECT($N447)), 0),
       MATCH(TRIM(J$2), TRIM(INDIRECT($O447)), 0))</f>
        <v>60</v>
      </c>
      <c r="K447" s="11" cm="1">
        <f t="array" aca="1" ref="K447" ca="1">INDEX(INDIRECT($M447),
       MATCH(TRIM($C447), TRIM(INDIRECT($N447)), 0),
       MATCH(TRIM(K$2), TRIM(INDIRECT($O447)), 0))</f>
        <v>55.18678786000001</v>
      </c>
      <c r="L447" s="11" cm="1">
        <f t="array" aca="1" ref="L447" ca="1">INDEX(INDIRECT($M447),
       MATCH(TRIM($C447), TRIM(INDIRECT($N447)), 0),
       MATCH(TRIM(L$2), TRIM(INDIRECT($O447)), 0))</f>
        <v>2243.8996566875062</v>
      </c>
      <c r="M447" s="5" t="str">
        <f t="shared" si="18"/>
        <v>'2022'!$N$3:$V$80</v>
      </c>
      <c r="N447" s="5" t="str">
        <f t="shared" si="19"/>
        <v>'2022'!$M$2:$M$80</v>
      </c>
      <c r="O447" s="5" t="str">
        <f t="shared" si="20"/>
        <v>'2022'!$N$2:$W$2</v>
      </c>
    </row>
    <row r="448" spans="1:15" x14ac:dyDescent="0.3">
      <c r="A448">
        <v>5</v>
      </c>
      <c r="B448" s="9">
        <v>2022</v>
      </c>
      <c r="C448" t="s">
        <v>4</v>
      </c>
      <c r="D448" s="11" cm="1">
        <f t="array" aca="1" ref="D448" ca="1">INDEX(INDIRECT($M448),
       MATCH(TRIM($C448), TRIM(INDIRECT($N448)), 0),
       MATCH(TRIM(D$2), TRIM(INDIRECT($O448)), 0))</f>
        <v>91</v>
      </c>
      <c r="E448" s="9" t="e" cm="1">
        <f t="array" aca="1" ref="E448" ca="1">INDEX(INDIRECT($M448),
       MATCH(TRIM($C448), TRIM(INDIRECT($N448)), 0),
       MATCH(TRIM(E$2), TRIM(INDIRECT($O448)), 0))</f>
        <v>#N/A</v>
      </c>
      <c r="F448" s="11" cm="1">
        <f t="array" aca="1" ref="F448" ca="1">INDEX(INDIRECT($M448),
       MATCH(TRIM($C448), TRIM(INDIRECT($N448)), 0),
       MATCH(TRIM(F$2), TRIM(INDIRECT($O448)), 0))</f>
        <v>1139.0042105</v>
      </c>
      <c r="G448" s="11" cm="1">
        <f t="array" aca="1" ref="G448" ca="1">INDEX(INDIRECT($M448),
       MATCH(TRIM($C448), TRIM(INDIRECT($N448)), 0),
       MATCH(TRIM(G$2), TRIM(INDIRECT($O448)), 0))</f>
        <v>41</v>
      </c>
      <c r="H448" s="9" t="e" cm="1">
        <f t="array" aca="1" ref="H448" ca="1">INDEX(INDIRECT($M448),
       MATCH(TRIM($C448), TRIM(INDIRECT($N448)), 0),
       MATCH(TRIM(H$2), TRIM(INDIRECT($O448)), 0))</f>
        <v>#N/A</v>
      </c>
      <c r="I448" s="11" cm="1">
        <f t="array" aca="1" ref="I448" ca="1">INDEX(INDIRECT($M448),
       MATCH(TRIM($C448), TRIM(INDIRECT($N448)), 0),
       MATCH(TRIM(I$2), TRIM(INDIRECT($O448)), 0))</f>
        <v>792.73843621875005</v>
      </c>
      <c r="J448" s="9" cm="1">
        <f t="array" aca="1" ref="J448" ca="1">INDEX(INDIRECT($M448),
       MATCH(TRIM($C448), TRIM(INDIRECT($N448)), 0),
       MATCH(TRIM(J$2), TRIM(INDIRECT($O448)), 0))</f>
        <v>26</v>
      </c>
      <c r="K448" s="11" cm="1">
        <f t="array" aca="1" ref="K448" ca="1">INDEX(INDIRECT($M448),
       MATCH(TRIM($C448), TRIM(INDIRECT($N448)), 0),
       MATCH(TRIM(K$2), TRIM(INDIRECT($O448)), 0))</f>
        <v>31.483740909999998</v>
      </c>
      <c r="L448" s="11" cm="1">
        <f t="array" aca="1" ref="L448" ca="1">INDEX(INDIRECT($M448),
       MATCH(TRIM($C448), TRIM(INDIRECT($N448)), 0),
       MATCH(TRIM(L$2), TRIM(INDIRECT($O448)), 0))</f>
        <v>1963.2263876287502</v>
      </c>
      <c r="M448" s="5" t="str">
        <f t="shared" si="18"/>
        <v>'2022'!$N$3:$V$80</v>
      </c>
      <c r="N448" s="5" t="str">
        <f t="shared" si="19"/>
        <v>'2022'!$M$2:$M$80</v>
      </c>
      <c r="O448" s="5" t="str">
        <f t="shared" si="20"/>
        <v>'2022'!$N$2:$W$2</v>
      </c>
    </row>
    <row r="449" spans="1:15" x14ac:dyDescent="0.3">
      <c r="A449">
        <v>6</v>
      </c>
      <c r="B449" s="9">
        <v>2022</v>
      </c>
      <c r="C449" t="s">
        <v>5</v>
      </c>
      <c r="D449" s="11" cm="1">
        <f t="array" aca="1" ref="D449" ca="1">INDEX(INDIRECT($M449),
       MATCH(TRIM($C449), TRIM(INDIRECT($N449)), 0),
       MATCH(TRIM(D$2), TRIM(INDIRECT($O449)), 0))</f>
        <v>18</v>
      </c>
      <c r="E449" s="9" t="e" cm="1">
        <f t="array" aca="1" ref="E449" ca="1">INDEX(INDIRECT($M449),
       MATCH(TRIM($C449), TRIM(INDIRECT($N449)), 0),
       MATCH(TRIM(E$2), TRIM(INDIRECT($O449)), 0))</f>
        <v>#N/A</v>
      </c>
      <c r="F449" s="11" cm="1">
        <f t="array" aca="1" ref="F449" ca="1">INDEX(INDIRECT($M449),
       MATCH(TRIM($C449), TRIM(INDIRECT($N449)), 0),
       MATCH(TRIM(F$2), TRIM(INDIRECT($O449)), 0))</f>
        <v>537.80097499999999</v>
      </c>
      <c r="G449" s="11" cm="1">
        <f t="array" aca="1" ref="G449" ca="1">INDEX(INDIRECT($M449),
       MATCH(TRIM($C449), TRIM(INDIRECT($N449)), 0),
       MATCH(TRIM(G$2), TRIM(INDIRECT($O449)), 0))</f>
        <v>19</v>
      </c>
      <c r="H449" s="9" t="e" cm="1">
        <f t="array" aca="1" ref="H449" ca="1">INDEX(INDIRECT($M449),
       MATCH(TRIM($C449), TRIM(INDIRECT($N449)), 0),
       MATCH(TRIM(H$2), TRIM(INDIRECT($O449)), 0))</f>
        <v>#N/A</v>
      </c>
      <c r="I449" s="11" cm="1">
        <f t="array" aca="1" ref="I449" ca="1">INDEX(INDIRECT($M449),
       MATCH(TRIM($C449), TRIM(INDIRECT($N449)), 0),
       MATCH(TRIM(I$2), TRIM(INDIRECT($O449)), 0))</f>
        <v>155.03333268750001</v>
      </c>
      <c r="J449" s="9" cm="1">
        <f t="array" aca="1" ref="J449" ca="1">INDEX(INDIRECT($M449),
       MATCH(TRIM($C449), TRIM(INDIRECT($N449)), 0),
       MATCH(TRIM(J$2), TRIM(INDIRECT($O449)), 0))</f>
        <v>7</v>
      </c>
      <c r="K449" s="11" cm="1">
        <f t="array" aca="1" ref="K449" ca="1">INDEX(INDIRECT($M449),
       MATCH(TRIM($C449), TRIM(INDIRECT($N449)), 0),
       MATCH(TRIM(K$2), TRIM(INDIRECT($O449)), 0))</f>
        <v>5.4872517599999995</v>
      </c>
      <c r="L449" s="11" cm="1">
        <f t="array" aca="1" ref="L449" ca="1">INDEX(INDIRECT($M449),
       MATCH(TRIM($C449), TRIM(INDIRECT($N449)), 0),
       MATCH(TRIM(L$2), TRIM(INDIRECT($O449)), 0))</f>
        <v>698.32155944750002</v>
      </c>
      <c r="M449" s="5" t="str">
        <f t="shared" si="18"/>
        <v>'2022'!$N$3:$V$80</v>
      </c>
      <c r="N449" s="5" t="str">
        <f t="shared" si="19"/>
        <v>'2022'!$M$2:$M$80</v>
      </c>
      <c r="O449" s="5" t="str">
        <f t="shared" si="20"/>
        <v>'2022'!$N$2:$W$2</v>
      </c>
    </row>
    <row r="450" spans="1:15" x14ac:dyDescent="0.3">
      <c r="A450">
        <v>7</v>
      </c>
      <c r="B450" s="9">
        <v>2022</v>
      </c>
      <c r="C450" t="s">
        <v>6</v>
      </c>
      <c r="D450" s="11" cm="1">
        <f t="array" aca="1" ref="D450" ca="1">INDEX(INDIRECT($M450),
       MATCH(TRIM($C450), TRIM(INDIRECT($N450)), 0),
       MATCH(TRIM(D$2), TRIM(INDIRECT($O450)), 0))</f>
        <v>36</v>
      </c>
      <c r="E450" s="9" t="e" cm="1">
        <f t="array" aca="1" ref="E450" ca="1">INDEX(INDIRECT($M450),
       MATCH(TRIM($C450), TRIM(INDIRECT($N450)), 0),
       MATCH(TRIM(E$2), TRIM(INDIRECT($O450)), 0))</f>
        <v>#N/A</v>
      </c>
      <c r="F450" s="11" cm="1">
        <f t="array" aca="1" ref="F450" ca="1">INDEX(INDIRECT($M450),
       MATCH(TRIM($C450), TRIM(INDIRECT($N450)), 0),
       MATCH(TRIM(F$2), TRIM(INDIRECT($O450)), 0))</f>
        <v>438.96041700000001</v>
      </c>
      <c r="G450" s="11" cm="1">
        <f t="array" aca="1" ref="G450" ca="1">INDEX(INDIRECT($M450),
       MATCH(TRIM($C450), TRIM(INDIRECT($N450)), 0),
       MATCH(TRIM(G$2), TRIM(INDIRECT($O450)), 0))</f>
        <v>45</v>
      </c>
      <c r="H450" s="9" t="e" cm="1">
        <f t="array" aca="1" ref="H450" ca="1">INDEX(INDIRECT($M450),
       MATCH(TRIM($C450), TRIM(INDIRECT($N450)), 0),
       MATCH(TRIM(H$2), TRIM(INDIRECT($O450)), 0))</f>
        <v>#N/A</v>
      </c>
      <c r="I450" s="11" cm="1">
        <f t="array" aca="1" ref="I450" ca="1">INDEX(INDIRECT($M450),
       MATCH(TRIM($C450), TRIM(INDIRECT($N450)), 0),
       MATCH(TRIM(I$2), TRIM(INDIRECT($O450)), 0))</f>
        <v>678.16328099999998</v>
      </c>
      <c r="J450" s="9" cm="1">
        <f t="array" aca="1" ref="J450" ca="1">INDEX(INDIRECT($M450),
       MATCH(TRIM($C450), TRIM(INDIRECT($N450)), 0),
       MATCH(TRIM(J$2), TRIM(INDIRECT($O450)), 0))</f>
        <v>30</v>
      </c>
      <c r="K450" s="11" cm="1">
        <f t="array" aca="1" ref="K450" ca="1">INDEX(INDIRECT($M450),
       MATCH(TRIM($C450), TRIM(INDIRECT($N450)), 0),
       MATCH(TRIM(K$2), TRIM(INDIRECT($O450)), 0))</f>
        <v>97.50466775999999</v>
      </c>
      <c r="L450" s="11" cm="1">
        <f t="array" aca="1" ref="L450" ca="1">INDEX(INDIRECT($M450),
       MATCH(TRIM($C450), TRIM(INDIRECT($N450)), 0),
       MATCH(TRIM(L$2), TRIM(INDIRECT($O450)), 0))</f>
        <v>1214.62836576</v>
      </c>
      <c r="M450" s="5" t="str">
        <f t="shared" si="18"/>
        <v>'2022'!$N$3:$V$80</v>
      </c>
      <c r="N450" s="5" t="str">
        <f t="shared" si="19"/>
        <v>'2022'!$M$2:$M$80</v>
      </c>
      <c r="O450" s="5" t="str">
        <f t="shared" si="20"/>
        <v>'2022'!$N$2:$W$2</v>
      </c>
    </row>
    <row r="451" spans="1:15" x14ac:dyDescent="0.3">
      <c r="A451">
        <v>8</v>
      </c>
      <c r="B451" s="9">
        <v>2022</v>
      </c>
      <c r="C451" t="s">
        <v>7</v>
      </c>
      <c r="D451" s="11" cm="1">
        <f t="array" aca="1" ref="D451" ca="1">INDEX(INDIRECT($M451),
       MATCH(TRIM($C451), TRIM(INDIRECT($N451)), 0),
       MATCH(TRIM(D$2), TRIM(INDIRECT($O451)), 0))</f>
        <v>17</v>
      </c>
      <c r="E451" s="9" t="e" cm="1">
        <f t="array" aca="1" ref="E451" ca="1">INDEX(INDIRECT($M451),
       MATCH(TRIM($C451), TRIM(INDIRECT($N451)), 0),
       MATCH(TRIM(E$2), TRIM(INDIRECT($O451)), 0))</f>
        <v>#N/A</v>
      </c>
      <c r="F451" s="11" cm="1">
        <f t="array" aca="1" ref="F451" ca="1">INDEX(INDIRECT($M451),
       MATCH(TRIM($C451), TRIM(INDIRECT($N451)), 0),
       MATCH(TRIM(F$2), TRIM(INDIRECT($O451)), 0))</f>
        <v>282.13172500000002</v>
      </c>
      <c r="G451" s="11" cm="1">
        <f t="array" aca="1" ref="G451" ca="1">INDEX(INDIRECT($M451),
       MATCH(TRIM($C451), TRIM(INDIRECT($N451)), 0),
       MATCH(TRIM(G$2), TRIM(INDIRECT($O451)), 0))</f>
        <v>7</v>
      </c>
      <c r="H451" s="9" t="e" cm="1">
        <f t="array" aca="1" ref="H451" ca="1">INDEX(INDIRECT($M451),
       MATCH(TRIM($C451), TRIM(INDIRECT($N451)), 0),
       MATCH(TRIM(H$2), TRIM(INDIRECT($O451)), 0))</f>
        <v>#N/A</v>
      </c>
      <c r="I451" s="11" cm="1">
        <f t="array" aca="1" ref="I451" ca="1">INDEX(INDIRECT($M451),
       MATCH(TRIM($C451), TRIM(INDIRECT($N451)), 0),
       MATCH(TRIM(I$2), TRIM(INDIRECT($O451)), 0))</f>
        <v>50.223269837890626</v>
      </c>
      <c r="J451" s="9" cm="1">
        <f t="array" aca="1" ref="J451" ca="1">INDEX(INDIRECT($M451),
       MATCH(TRIM($C451), TRIM(INDIRECT($N451)), 0),
       MATCH(TRIM(J$2), TRIM(INDIRECT($O451)), 0))</f>
        <v>22</v>
      </c>
      <c r="K451" s="11" cm="1">
        <f t="array" aca="1" ref="K451" ca="1">INDEX(INDIRECT($M451),
       MATCH(TRIM($C451), TRIM(INDIRECT($N451)), 0),
       MATCH(TRIM(K$2), TRIM(INDIRECT($O451)), 0))</f>
        <v>621.87116701000002</v>
      </c>
      <c r="L451" s="11" cm="1">
        <f t="array" aca="1" ref="L451" ca="1">INDEX(INDIRECT($M451),
       MATCH(TRIM($C451), TRIM(INDIRECT($N451)), 0),
       MATCH(TRIM(L$2), TRIM(INDIRECT($O451)), 0))</f>
        <v>954.22616184789069</v>
      </c>
      <c r="M451" s="5" t="str">
        <f t="shared" si="18"/>
        <v>'2022'!$N$3:$V$80</v>
      </c>
      <c r="N451" s="5" t="str">
        <f t="shared" si="19"/>
        <v>'2022'!$M$2:$M$80</v>
      </c>
      <c r="O451" s="5" t="str">
        <f t="shared" si="20"/>
        <v>'2022'!$N$2:$W$2</v>
      </c>
    </row>
    <row r="452" spans="1:15" x14ac:dyDescent="0.3">
      <c r="A452">
        <v>9</v>
      </c>
      <c r="B452" s="9">
        <v>2022</v>
      </c>
      <c r="C452" t="s">
        <v>8</v>
      </c>
      <c r="D452" s="11" cm="1">
        <f t="array" aca="1" ref="D452" ca="1">INDEX(INDIRECT($M452),
       MATCH(TRIM($C452), TRIM(INDIRECT($N452)), 0),
       MATCH(TRIM(D$2), TRIM(INDIRECT($O452)), 0))</f>
        <v>19</v>
      </c>
      <c r="E452" s="9" t="e" cm="1">
        <f t="array" aca="1" ref="E452" ca="1">INDEX(INDIRECT($M452),
       MATCH(TRIM($C452), TRIM(INDIRECT($N452)), 0),
       MATCH(TRIM(E$2), TRIM(INDIRECT($O452)), 0))</f>
        <v>#N/A</v>
      </c>
      <c r="F452" s="11" cm="1">
        <f t="array" aca="1" ref="F452" ca="1">INDEX(INDIRECT($M452),
       MATCH(TRIM($C452), TRIM(INDIRECT($N452)), 0),
       MATCH(TRIM(F$2), TRIM(INDIRECT($O452)), 0))</f>
        <v>176.86115599999999</v>
      </c>
      <c r="G452" s="11" cm="1">
        <f t="array" aca="1" ref="G452" ca="1">INDEX(INDIRECT($M452),
       MATCH(TRIM($C452), TRIM(INDIRECT($N452)), 0),
       MATCH(TRIM(G$2), TRIM(INDIRECT($O452)), 0))</f>
        <v>38</v>
      </c>
      <c r="H452" s="9" t="e" cm="1">
        <f t="array" aca="1" ref="H452" ca="1">INDEX(INDIRECT($M452),
       MATCH(TRIM($C452), TRIM(INDIRECT($N452)), 0),
       MATCH(TRIM(H$2), TRIM(INDIRECT($O452)), 0))</f>
        <v>#N/A</v>
      </c>
      <c r="I452" s="11" cm="1">
        <f t="array" aca="1" ref="I452" ca="1">INDEX(INDIRECT($M452),
       MATCH(TRIM($C452), TRIM(INDIRECT($N452)), 0),
       MATCH(TRIM(I$2), TRIM(INDIRECT($O452)), 0))</f>
        <v>350.59159262499998</v>
      </c>
      <c r="J452" s="9" cm="1">
        <f t="array" aca="1" ref="J452" ca="1">INDEX(INDIRECT($M452),
       MATCH(TRIM($C452), TRIM(INDIRECT($N452)), 0),
       MATCH(TRIM(J$2), TRIM(INDIRECT($O452)), 0))</f>
        <v>3</v>
      </c>
      <c r="K452" s="11" cm="1">
        <f t="array" aca="1" ref="K452" ca="1">INDEX(INDIRECT($M452),
       MATCH(TRIM($C452), TRIM(INDIRECT($N452)), 0),
       MATCH(TRIM(K$2), TRIM(INDIRECT($O452)), 0))</f>
        <v>0.75803962999999985</v>
      </c>
      <c r="L452" s="11" cm="1">
        <f t="array" aca="1" ref="L452" ca="1">INDEX(INDIRECT($M452),
       MATCH(TRIM($C452), TRIM(INDIRECT($N452)), 0),
       MATCH(TRIM(L$2), TRIM(INDIRECT($O452)), 0))</f>
        <v>528.2107882549999</v>
      </c>
      <c r="M452" s="5" t="str">
        <f t="shared" ref="M452:M515" si="21">_xlfn.CONCAT("'",$B452,"'","!","$N$3:$V$80")</f>
        <v>'2022'!$N$3:$V$80</v>
      </c>
      <c r="N452" s="5" t="str">
        <f t="shared" ref="N452:N515" si="22">_xlfn.CONCAT("'",$B452,"'","!","$M$2:$M$80")</f>
        <v>'2022'!$M$2:$M$80</v>
      </c>
      <c r="O452" s="5" t="str">
        <f t="shared" ref="O452:O515" si="23">_xlfn.CONCAT("'",$B452,"'","!","$N$2:$W$2")</f>
        <v>'2022'!$N$2:$W$2</v>
      </c>
    </row>
    <row r="453" spans="1:15" x14ac:dyDescent="0.3">
      <c r="A453">
        <v>10</v>
      </c>
      <c r="B453" s="9">
        <v>2022</v>
      </c>
      <c r="C453" t="s">
        <v>9</v>
      </c>
      <c r="D453" s="11" cm="1">
        <f t="array" aca="1" ref="D453" ca="1">INDEX(INDIRECT($M453),
       MATCH(TRIM($C453), TRIM(INDIRECT($N453)), 0),
       MATCH(TRIM(D$2), TRIM(INDIRECT($O453)), 0))</f>
        <v>61</v>
      </c>
      <c r="E453" s="9" t="e" cm="1">
        <f t="array" aca="1" ref="E453" ca="1">INDEX(INDIRECT($M453),
       MATCH(TRIM($C453), TRIM(INDIRECT($N453)), 0),
       MATCH(TRIM(E$2), TRIM(INDIRECT($O453)), 0))</f>
        <v>#N/A</v>
      </c>
      <c r="F453" s="11" cm="1">
        <f t="array" aca="1" ref="F453" ca="1">INDEX(INDIRECT($M453),
       MATCH(TRIM($C453), TRIM(INDIRECT($N453)), 0),
       MATCH(TRIM(F$2), TRIM(INDIRECT($O453)), 0))</f>
        <v>468.88969850000001</v>
      </c>
      <c r="G453" s="11" cm="1">
        <f t="array" aca="1" ref="G453" ca="1">INDEX(INDIRECT($M453),
       MATCH(TRIM($C453), TRIM(INDIRECT($N453)), 0),
       MATCH(TRIM(G$2), TRIM(INDIRECT($O453)), 0))</f>
        <v>83</v>
      </c>
      <c r="H453" s="9" t="e" cm="1">
        <f t="array" aca="1" ref="H453" ca="1">INDEX(INDIRECT($M453),
       MATCH(TRIM($C453), TRIM(INDIRECT($N453)), 0),
       MATCH(TRIM(H$2), TRIM(INDIRECT($O453)), 0))</f>
        <v>#N/A</v>
      </c>
      <c r="I453" s="11" cm="1">
        <f t="array" aca="1" ref="I453" ca="1">INDEX(INDIRECT($M453),
       MATCH(TRIM($C453), TRIM(INDIRECT($N453)), 0),
       MATCH(TRIM(I$2), TRIM(INDIRECT($O453)), 0))</f>
        <v>315.14766142578122</v>
      </c>
      <c r="J453" s="9" cm="1">
        <f t="array" aca="1" ref="J453" ca="1">INDEX(INDIRECT($M453),
       MATCH(TRIM($C453), TRIM(INDIRECT($N453)), 0),
       MATCH(TRIM(J$2), TRIM(INDIRECT($O453)), 0))</f>
        <v>58</v>
      </c>
      <c r="K453" s="11" cm="1">
        <f t="array" aca="1" ref="K453" ca="1">INDEX(INDIRECT($M453),
       MATCH(TRIM($C453), TRIM(INDIRECT($N453)), 0),
       MATCH(TRIM(K$2), TRIM(INDIRECT($O453)), 0))</f>
        <v>62.341596810000013</v>
      </c>
      <c r="L453" s="11" cm="1">
        <f t="array" aca="1" ref="L453" ca="1">INDEX(INDIRECT($M453),
       MATCH(TRIM($C453), TRIM(INDIRECT($N453)), 0),
       MATCH(TRIM(L$2), TRIM(INDIRECT($O453)), 0))</f>
        <v>846.37895673578123</v>
      </c>
      <c r="M453" s="5" t="str">
        <f t="shared" si="21"/>
        <v>'2022'!$N$3:$V$80</v>
      </c>
      <c r="N453" s="5" t="str">
        <f t="shared" si="22"/>
        <v>'2022'!$M$2:$M$80</v>
      </c>
      <c r="O453" s="5" t="str">
        <f t="shared" si="23"/>
        <v>'2022'!$N$2:$W$2</v>
      </c>
    </row>
    <row r="454" spans="1:15" x14ac:dyDescent="0.3">
      <c r="A454">
        <v>11</v>
      </c>
      <c r="B454" s="9">
        <v>2022</v>
      </c>
      <c r="C454" t="s">
        <v>10</v>
      </c>
      <c r="D454" s="11" cm="1">
        <f t="array" aca="1" ref="D454" ca="1">INDEX(INDIRECT($M454),
       MATCH(TRIM($C454), TRIM(INDIRECT($N454)), 0),
       MATCH(TRIM(D$2), TRIM(INDIRECT($O454)), 0))</f>
        <v>17</v>
      </c>
      <c r="E454" s="9" t="e" cm="1">
        <f t="array" aca="1" ref="E454" ca="1">INDEX(INDIRECT($M454),
       MATCH(TRIM($C454), TRIM(INDIRECT($N454)), 0),
       MATCH(TRIM(E$2), TRIM(INDIRECT($O454)), 0))</f>
        <v>#N/A</v>
      </c>
      <c r="F454" s="11" cm="1">
        <f t="array" aca="1" ref="F454" ca="1">INDEX(INDIRECT($M454),
       MATCH(TRIM($C454), TRIM(INDIRECT($N454)), 0),
       MATCH(TRIM(F$2), TRIM(INDIRECT($O454)), 0))</f>
        <v>59.436506999999999</v>
      </c>
      <c r="G454" s="11" cm="1">
        <f t="array" aca="1" ref="G454" ca="1">INDEX(INDIRECT($M454),
       MATCH(TRIM($C454), TRIM(INDIRECT($N454)), 0),
       MATCH(TRIM(G$2), TRIM(INDIRECT($O454)), 0))</f>
        <v>33</v>
      </c>
      <c r="H454" s="9" t="e" cm="1">
        <f t="array" aca="1" ref="H454" ca="1">INDEX(INDIRECT($M454),
       MATCH(TRIM($C454), TRIM(INDIRECT($N454)), 0),
       MATCH(TRIM(H$2), TRIM(INDIRECT($O454)), 0))</f>
        <v>#N/A</v>
      </c>
      <c r="I454" s="11" cm="1">
        <f t="array" aca="1" ref="I454" ca="1">INDEX(INDIRECT($M454),
       MATCH(TRIM($C454), TRIM(INDIRECT($N454)), 0),
       MATCH(TRIM(I$2), TRIM(INDIRECT($O454)), 0))</f>
        <v>306.00791696875001</v>
      </c>
      <c r="J454" s="9" cm="1">
        <f t="array" aca="1" ref="J454" ca="1">INDEX(INDIRECT($M454),
       MATCH(TRIM($C454), TRIM(INDIRECT($N454)), 0),
       MATCH(TRIM(J$2), TRIM(INDIRECT($O454)), 0))</f>
        <v>21</v>
      </c>
      <c r="K454" s="11" cm="1">
        <f t="array" aca="1" ref="K454" ca="1">INDEX(INDIRECT($M454),
       MATCH(TRIM($C454), TRIM(INDIRECT($N454)), 0),
       MATCH(TRIM(K$2), TRIM(INDIRECT($O454)), 0))</f>
        <v>5.1632977999999996</v>
      </c>
      <c r="L454" s="11" cm="1">
        <f t="array" aca="1" ref="L454" ca="1">INDEX(INDIRECT($M454),
       MATCH(TRIM($C454), TRIM(INDIRECT($N454)), 0),
       MATCH(TRIM(L$2), TRIM(INDIRECT($O454)), 0))</f>
        <v>370.60772176875003</v>
      </c>
      <c r="M454" s="5" t="str">
        <f t="shared" si="21"/>
        <v>'2022'!$N$3:$V$80</v>
      </c>
      <c r="N454" s="5" t="str">
        <f t="shared" si="22"/>
        <v>'2022'!$M$2:$M$80</v>
      </c>
      <c r="O454" s="5" t="str">
        <f t="shared" si="23"/>
        <v>'2022'!$N$2:$W$2</v>
      </c>
    </row>
    <row r="455" spans="1:15" x14ac:dyDescent="0.3">
      <c r="A455">
        <v>12</v>
      </c>
      <c r="B455" s="9">
        <v>2022</v>
      </c>
      <c r="C455" t="s">
        <v>11</v>
      </c>
      <c r="D455" s="11" cm="1">
        <f t="array" aca="1" ref="D455" ca="1">INDEX(INDIRECT($M455),
       MATCH(TRIM($C455), TRIM(INDIRECT($N455)), 0),
       MATCH(TRIM(D$2), TRIM(INDIRECT($O455)), 0))</f>
        <v>5</v>
      </c>
      <c r="E455" s="9" t="e" cm="1">
        <f t="array" aca="1" ref="E455" ca="1">INDEX(INDIRECT($M455),
       MATCH(TRIM($C455), TRIM(INDIRECT($N455)), 0),
       MATCH(TRIM(E$2), TRIM(INDIRECT($O455)), 0))</f>
        <v>#N/A</v>
      </c>
      <c r="F455" s="11" cm="1">
        <f t="array" aca="1" ref="F455" ca="1">INDEX(INDIRECT($M455),
       MATCH(TRIM($C455), TRIM(INDIRECT($N455)), 0),
       MATCH(TRIM(F$2), TRIM(INDIRECT($O455)), 0))</f>
        <v>323</v>
      </c>
      <c r="G455" s="11" cm="1">
        <f t="array" aca="1" ref="G455" ca="1">INDEX(INDIRECT($M455),
       MATCH(TRIM($C455), TRIM(INDIRECT($N455)), 0),
       MATCH(TRIM(G$2), TRIM(INDIRECT($O455)), 0))</f>
        <v>11</v>
      </c>
      <c r="H455" s="9" t="e" cm="1">
        <f t="array" aca="1" ref="H455" ca="1">INDEX(INDIRECT($M455),
       MATCH(TRIM($C455), TRIM(INDIRECT($N455)), 0),
       MATCH(TRIM(H$2), TRIM(INDIRECT($O455)), 0))</f>
        <v>#N/A</v>
      </c>
      <c r="I455" s="11" cm="1">
        <f t="array" aca="1" ref="I455" ca="1">INDEX(INDIRECT($M455),
       MATCH(TRIM($C455), TRIM(INDIRECT($N455)), 0),
       MATCH(TRIM(I$2), TRIM(INDIRECT($O455)), 0))</f>
        <v>1212.1587360000001</v>
      </c>
      <c r="J455" s="9" cm="1">
        <f t="array" aca="1" ref="J455" ca="1">INDEX(INDIRECT($M455),
       MATCH(TRIM($C455), TRIM(INDIRECT($N455)), 0),
       MATCH(TRIM(J$2), TRIM(INDIRECT($O455)), 0))</f>
        <v>7</v>
      </c>
      <c r="K455" s="11" cm="1">
        <f t="array" aca="1" ref="K455" ca="1">INDEX(INDIRECT($M455),
       MATCH(TRIM($C455), TRIM(INDIRECT($N455)), 0),
       MATCH(TRIM(K$2), TRIM(INDIRECT($O455)), 0))</f>
        <v>10.465306</v>
      </c>
      <c r="L455" s="11" cm="1">
        <f t="array" aca="1" ref="L455" ca="1">INDEX(INDIRECT($M455),
       MATCH(TRIM($C455), TRIM(INDIRECT($N455)), 0),
       MATCH(TRIM(L$2), TRIM(INDIRECT($O455)), 0))</f>
        <v>1545.6240420000001</v>
      </c>
      <c r="M455" s="5" t="str">
        <f t="shared" si="21"/>
        <v>'2022'!$N$3:$V$80</v>
      </c>
      <c r="N455" s="5" t="str">
        <f t="shared" si="22"/>
        <v>'2022'!$M$2:$M$80</v>
      </c>
      <c r="O455" s="5" t="str">
        <f t="shared" si="23"/>
        <v>'2022'!$N$2:$W$2</v>
      </c>
    </row>
    <row r="456" spans="1:15" x14ac:dyDescent="0.3">
      <c r="A456">
        <v>13</v>
      </c>
      <c r="B456" s="9">
        <v>2022</v>
      </c>
      <c r="C456" t="s">
        <v>12</v>
      </c>
      <c r="D456" s="11" cm="1">
        <f t="array" aca="1" ref="D456" ca="1">INDEX(INDIRECT($M456),
       MATCH(TRIM($C456), TRIM(INDIRECT($N456)), 0),
       MATCH(TRIM(D$2), TRIM(INDIRECT($O456)), 0))</f>
        <v>28</v>
      </c>
      <c r="E456" s="9" t="e" cm="1">
        <f t="array" aca="1" ref="E456" ca="1">INDEX(INDIRECT($M456),
       MATCH(TRIM($C456), TRIM(INDIRECT($N456)), 0),
       MATCH(TRIM(E$2), TRIM(INDIRECT($O456)), 0))</f>
        <v>#N/A</v>
      </c>
      <c r="F456" s="11" cm="1">
        <f t="array" aca="1" ref="F456" ca="1">INDEX(INDIRECT($M456),
       MATCH(TRIM($C456), TRIM(INDIRECT($N456)), 0),
       MATCH(TRIM(F$2), TRIM(INDIRECT($O456)), 0))</f>
        <v>225.47303500000001</v>
      </c>
      <c r="G456" s="11" cm="1">
        <f t="array" aca="1" ref="G456" ca="1">INDEX(INDIRECT($M456),
       MATCH(TRIM($C456), TRIM(INDIRECT($N456)), 0),
       MATCH(TRIM(G$2), TRIM(INDIRECT($O456)), 0))</f>
        <v>3</v>
      </c>
      <c r="H456" s="9" t="e" cm="1">
        <f t="array" aca="1" ref="H456" ca="1">INDEX(INDIRECT($M456),
       MATCH(TRIM($C456), TRIM(INDIRECT($N456)), 0),
       MATCH(TRIM(H$2), TRIM(INDIRECT($O456)), 0))</f>
        <v>#N/A</v>
      </c>
      <c r="I456" s="11" cm="1">
        <f t="array" aca="1" ref="I456" ca="1">INDEX(INDIRECT($M456),
       MATCH(TRIM($C456), TRIM(INDIRECT($N456)), 0),
       MATCH(TRIM(I$2), TRIM(INDIRECT($O456)), 0))</f>
        <v>18.444907000000001</v>
      </c>
      <c r="J456" s="9" cm="1">
        <f t="array" aca="1" ref="J456" ca="1">INDEX(INDIRECT($M456),
       MATCH(TRIM($C456), TRIM(INDIRECT($N456)), 0),
       MATCH(TRIM(J$2), TRIM(INDIRECT($O456)), 0))</f>
        <v>4</v>
      </c>
      <c r="K456" s="11" cm="1">
        <f t="array" aca="1" ref="K456" ca="1">INDEX(INDIRECT($M456),
       MATCH(TRIM($C456), TRIM(INDIRECT($N456)), 0),
       MATCH(TRIM(K$2), TRIM(INDIRECT($O456)), 0))</f>
        <v>0.60570908000000001</v>
      </c>
      <c r="L456" s="11" cm="1">
        <f t="array" aca="1" ref="L456" ca="1">INDEX(INDIRECT($M456),
       MATCH(TRIM($C456), TRIM(INDIRECT($N456)), 0),
       MATCH(TRIM(L$2), TRIM(INDIRECT($O456)), 0))</f>
        <v>244.52365108000001</v>
      </c>
      <c r="M456" s="5" t="str">
        <f t="shared" si="21"/>
        <v>'2022'!$N$3:$V$80</v>
      </c>
      <c r="N456" s="5" t="str">
        <f t="shared" si="22"/>
        <v>'2022'!$M$2:$M$80</v>
      </c>
      <c r="O456" s="5" t="str">
        <f t="shared" si="23"/>
        <v>'2022'!$N$2:$W$2</v>
      </c>
    </row>
    <row r="457" spans="1:15" x14ac:dyDescent="0.3">
      <c r="A457">
        <v>14</v>
      </c>
      <c r="B457" s="9">
        <v>2022</v>
      </c>
      <c r="C457" t="s">
        <v>13</v>
      </c>
      <c r="D457" s="11" cm="1">
        <f t="array" aca="1" ref="D457" ca="1">INDEX(INDIRECT($M457),
       MATCH(TRIM($C457), TRIM(INDIRECT($N457)), 0),
       MATCH(TRIM(D$2), TRIM(INDIRECT($O457)), 0))</f>
        <v>47</v>
      </c>
      <c r="E457" s="9" t="e" cm="1">
        <f t="array" aca="1" ref="E457" ca="1">INDEX(INDIRECT($M457),
       MATCH(TRIM($C457), TRIM(INDIRECT($N457)), 0),
       MATCH(TRIM(E$2), TRIM(INDIRECT($O457)), 0))</f>
        <v>#N/A</v>
      </c>
      <c r="F457" s="11" cm="1">
        <f t="array" aca="1" ref="F457" ca="1">INDEX(INDIRECT($M457),
       MATCH(TRIM($C457), TRIM(INDIRECT($N457)), 0),
       MATCH(TRIM(F$2), TRIM(INDIRECT($O457)), 0))</f>
        <v>69.87921953</v>
      </c>
      <c r="G457" s="11" cm="1">
        <f t="array" aca="1" ref="G457" ca="1">INDEX(INDIRECT($M457),
       MATCH(TRIM($C457), TRIM(INDIRECT($N457)), 0),
       MATCH(TRIM(G$2), TRIM(INDIRECT($O457)), 0))</f>
        <v>35</v>
      </c>
      <c r="H457" s="9" t="e" cm="1">
        <f t="array" aca="1" ref="H457" ca="1">INDEX(INDIRECT($M457),
       MATCH(TRIM($C457), TRIM(INDIRECT($N457)), 0),
       MATCH(TRIM(H$2), TRIM(INDIRECT($O457)), 0))</f>
        <v>#N/A</v>
      </c>
      <c r="I457" s="11" cm="1">
        <f t="array" aca="1" ref="I457" ca="1">INDEX(INDIRECT($M457),
       MATCH(TRIM($C457), TRIM(INDIRECT($N457)), 0),
       MATCH(TRIM(I$2), TRIM(INDIRECT($O457)), 0))</f>
        <v>5.7854757890624997</v>
      </c>
      <c r="J457" s="9" cm="1">
        <f t="array" aca="1" ref="J457" ca="1">INDEX(INDIRECT($M457),
       MATCH(TRIM($C457), TRIM(INDIRECT($N457)), 0),
       MATCH(TRIM(J$2), TRIM(INDIRECT($O457)), 0))</f>
        <v>49</v>
      </c>
      <c r="K457" s="11" cm="1">
        <f t="array" aca="1" ref="K457" ca="1">INDEX(INDIRECT($M457),
       MATCH(TRIM($C457), TRIM(INDIRECT($N457)), 0),
       MATCH(TRIM(K$2), TRIM(INDIRECT($O457)), 0))</f>
        <v>58.329016939999995</v>
      </c>
      <c r="L457" s="11" cm="1">
        <f t="array" aca="1" ref="L457" ca="1">INDEX(INDIRECT($M457),
       MATCH(TRIM($C457), TRIM(INDIRECT($N457)), 0),
       MATCH(TRIM(L$2), TRIM(INDIRECT($O457)), 0))</f>
        <v>133.99371225906251</v>
      </c>
      <c r="M457" s="5" t="str">
        <f t="shared" si="21"/>
        <v>'2022'!$N$3:$V$80</v>
      </c>
      <c r="N457" s="5" t="str">
        <f t="shared" si="22"/>
        <v>'2022'!$M$2:$M$80</v>
      </c>
      <c r="O457" s="5" t="str">
        <f t="shared" si="23"/>
        <v>'2022'!$N$2:$W$2</v>
      </c>
    </row>
    <row r="458" spans="1:15" x14ac:dyDescent="0.3">
      <c r="A458">
        <v>15</v>
      </c>
      <c r="B458" s="9">
        <v>2022</v>
      </c>
      <c r="C458" t="s">
        <v>14</v>
      </c>
      <c r="D458" s="11" cm="1">
        <f t="array" aca="1" ref="D458" ca="1">INDEX(INDIRECT($M458),
       MATCH(TRIM($C458), TRIM(INDIRECT($N458)), 0),
       MATCH(TRIM(D$2), TRIM(INDIRECT($O458)), 0))</f>
        <v>21</v>
      </c>
      <c r="E458" s="9" t="e" cm="1">
        <f t="array" aca="1" ref="E458" ca="1">INDEX(INDIRECT($M458),
       MATCH(TRIM($C458), TRIM(INDIRECT($N458)), 0),
       MATCH(TRIM(E$2), TRIM(INDIRECT($O458)), 0))</f>
        <v>#N/A</v>
      </c>
      <c r="F458" s="11" cm="1">
        <f t="array" aca="1" ref="F458" ca="1">INDEX(INDIRECT($M458),
       MATCH(TRIM($C458), TRIM(INDIRECT($N458)), 0),
       MATCH(TRIM(F$2), TRIM(INDIRECT($O458)), 0))</f>
        <v>316.76547399999998</v>
      </c>
      <c r="G458" s="11" cm="1">
        <f t="array" aca="1" ref="G458" ca="1">INDEX(INDIRECT($M458),
       MATCH(TRIM($C458), TRIM(INDIRECT($N458)), 0),
       MATCH(TRIM(G$2), TRIM(INDIRECT($O458)), 0))</f>
        <v>58</v>
      </c>
      <c r="H458" s="9" t="e" cm="1">
        <f t="array" aca="1" ref="H458" ca="1">INDEX(INDIRECT($M458),
       MATCH(TRIM($C458), TRIM(INDIRECT($N458)), 0),
       MATCH(TRIM(H$2), TRIM(INDIRECT($O458)), 0))</f>
        <v>#N/A</v>
      </c>
      <c r="I458" s="11" cm="1">
        <f t="array" aca="1" ref="I458" ca="1">INDEX(INDIRECT($M458),
       MATCH(TRIM($C458), TRIM(INDIRECT($N458)), 0),
       MATCH(TRIM(I$2), TRIM(INDIRECT($O458)), 0))</f>
        <v>387.34681565624999</v>
      </c>
      <c r="J458" s="9" cm="1">
        <f t="array" aca="1" ref="J458" ca="1">INDEX(INDIRECT($M458),
       MATCH(TRIM($C458), TRIM(INDIRECT($N458)), 0),
       MATCH(TRIM(J$2), TRIM(INDIRECT($O458)), 0))</f>
        <v>19</v>
      </c>
      <c r="K458" s="11" cm="1">
        <f t="array" aca="1" ref="K458" ca="1">INDEX(INDIRECT($M458),
       MATCH(TRIM($C458), TRIM(INDIRECT($N458)), 0),
       MATCH(TRIM(K$2), TRIM(INDIRECT($O458)), 0))</f>
        <v>41.98736971000001</v>
      </c>
      <c r="L458" s="11" cm="1">
        <f t="array" aca="1" ref="L458" ca="1">INDEX(INDIRECT($M458),
       MATCH(TRIM($C458), TRIM(INDIRECT($N458)), 0),
       MATCH(TRIM(L$2), TRIM(INDIRECT($O458)), 0))</f>
        <v>746.09965936624997</v>
      </c>
      <c r="M458" s="5" t="str">
        <f t="shared" si="21"/>
        <v>'2022'!$N$3:$V$80</v>
      </c>
      <c r="N458" s="5" t="str">
        <f t="shared" si="22"/>
        <v>'2022'!$M$2:$M$80</v>
      </c>
      <c r="O458" s="5" t="str">
        <f t="shared" si="23"/>
        <v>'2022'!$N$2:$W$2</v>
      </c>
    </row>
    <row r="459" spans="1:15" x14ac:dyDescent="0.3">
      <c r="A459">
        <v>16</v>
      </c>
      <c r="B459" s="9">
        <v>2022</v>
      </c>
      <c r="C459" t="s">
        <v>15</v>
      </c>
      <c r="D459" s="11" cm="1">
        <f t="array" aca="1" ref="D459" ca="1">INDEX(INDIRECT($M459),
       MATCH(TRIM($C459), TRIM(INDIRECT($N459)), 0),
       MATCH(TRIM(D$2), TRIM(INDIRECT($O459)), 0))</f>
        <v>33</v>
      </c>
      <c r="E459" s="9" t="e" cm="1">
        <f t="array" aca="1" ref="E459" ca="1">INDEX(INDIRECT($M459),
       MATCH(TRIM($C459), TRIM(INDIRECT($N459)), 0),
       MATCH(TRIM(E$2), TRIM(INDIRECT($O459)), 0))</f>
        <v>#N/A</v>
      </c>
      <c r="F459" s="11" cm="1">
        <f t="array" aca="1" ref="F459" ca="1">INDEX(INDIRECT($M459),
       MATCH(TRIM($C459), TRIM(INDIRECT($N459)), 0),
       MATCH(TRIM(F$2), TRIM(INDIRECT($O459)), 0))</f>
        <v>121.02974389999999</v>
      </c>
      <c r="G459" s="11" cm="1">
        <f t="array" aca="1" ref="G459" ca="1">INDEX(INDIRECT($M459),
       MATCH(TRIM($C459), TRIM(INDIRECT($N459)), 0),
       MATCH(TRIM(G$2), TRIM(INDIRECT($O459)), 0))</f>
        <v>21</v>
      </c>
      <c r="H459" s="9" t="e" cm="1">
        <f t="array" aca="1" ref="H459" ca="1">INDEX(INDIRECT($M459),
       MATCH(TRIM($C459), TRIM(INDIRECT($N459)), 0),
       MATCH(TRIM(H$2), TRIM(INDIRECT($O459)), 0))</f>
        <v>#N/A</v>
      </c>
      <c r="I459" s="11" cm="1">
        <f t="array" aca="1" ref="I459" ca="1">INDEX(INDIRECT($M459),
       MATCH(TRIM($C459), TRIM(INDIRECT($N459)), 0),
       MATCH(TRIM(I$2), TRIM(INDIRECT($O459)), 0))</f>
        <v>93.194827949996949</v>
      </c>
      <c r="J459" s="9" cm="1">
        <f t="array" aca="1" ref="J459" ca="1">INDEX(INDIRECT($M459),
       MATCH(TRIM($C459), TRIM(INDIRECT($N459)), 0),
       MATCH(TRIM(J$2), TRIM(INDIRECT($O459)), 0))</f>
        <v>4</v>
      </c>
      <c r="K459" s="11" cm="1">
        <f t="array" aca="1" ref="K459" ca="1">INDEX(INDIRECT($M459),
       MATCH(TRIM($C459), TRIM(INDIRECT($N459)), 0),
       MATCH(TRIM(K$2), TRIM(INDIRECT($O459)), 0))</f>
        <v>11.668916629999998</v>
      </c>
      <c r="L459" s="11" cm="1">
        <f t="array" aca="1" ref="L459" ca="1">INDEX(INDIRECT($M459),
       MATCH(TRIM($C459), TRIM(INDIRECT($N459)), 0),
       MATCH(TRIM(L$2), TRIM(INDIRECT($O459)), 0))</f>
        <v>225.89348847999696</v>
      </c>
      <c r="M459" s="5" t="str">
        <f t="shared" si="21"/>
        <v>'2022'!$N$3:$V$80</v>
      </c>
      <c r="N459" s="5" t="str">
        <f t="shared" si="22"/>
        <v>'2022'!$M$2:$M$80</v>
      </c>
      <c r="O459" s="5" t="str">
        <f t="shared" si="23"/>
        <v>'2022'!$N$2:$W$2</v>
      </c>
    </row>
    <row r="460" spans="1:15" x14ac:dyDescent="0.3">
      <c r="A460">
        <v>17</v>
      </c>
      <c r="B460" s="9">
        <v>2022</v>
      </c>
      <c r="C460" t="s">
        <v>16</v>
      </c>
      <c r="D460" s="11" cm="1">
        <f t="array" aca="1" ref="D460" ca="1">INDEX(INDIRECT($M460),
       MATCH(TRIM($C460), TRIM(INDIRECT($N460)), 0),
       MATCH(TRIM(D$2), TRIM(INDIRECT($O460)), 0))</f>
        <v>9</v>
      </c>
      <c r="E460" s="9" t="e" cm="1">
        <f t="array" aca="1" ref="E460" ca="1">INDEX(INDIRECT($M460),
       MATCH(TRIM($C460), TRIM(INDIRECT($N460)), 0),
       MATCH(TRIM(E$2), TRIM(INDIRECT($O460)), 0))</f>
        <v>#N/A</v>
      </c>
      <c r="F460" s="11" cm="1">
        <f t="array" aca="1" ref="F460" ca="1">INDEX(INDIRECT($M460),
       MATCH(TRIM($C460), TRIM(INDIRECT($N460)), 0),
       MATCH(TRIM(F$2), TRIM(INDIRECT($O460)), 0))</f>
        <v>40.677</v>
      </c>
      <c r="G460" s="11" cm="1">
        <f t="array" aca="1" ref="G460" ca="1">INDEX(INDIRECT($M460),
       MATCH(TRIM($C460), TRIM(INDIRECT($N460)), 0),
       MATCH(TRIM(G$2), TRIM(INDIRECT($O460)), 0))</f>
        <v>4</v>
      </c>
      <c r="H460" s="9" t="e" cm="1">
        <f t="array" aca="1" ref="H460" ca="1">INDEX(INDIRECT($M460),
       MATCH(TRIM($C460), TRIM(INDIRECT($N460)), 0),
       MATCH(TRIM(H$2), TRIM(INDIRECT($O460)), 0))</f>
        <v>#N/A</v>
      </c>
      <c r="I460" s="11" cm="1">
        <f t="array" aca="1" ref="I460" ca="1">INDEX(INDIRECT($M460),
       MATCH(TRIM($C460), TRIM(INDIRECT($N460)), 0),
       MATCH(TRIM(I$2), TRIM(INDIRECT($O460)), 0))</f>
        <v>181.04540900000001</v>
      </c>
      <c r="J460" s="9" cm="1">
        <f t="array" aca="1" ref="J460" ca="1">INDEX(INDIRECT($M460),
       MATCH(TRIM($C460), TRIM(INDIRECT($N460)), 0),
       MATCH(TRIM(J$2), TRIM(INDIRECT($O460)), 0))</f>
        <v>1</v>
      </c>
      <c r="K460" s="11" cm="1">
        <f t="array" aca="1" ref="K460" ca="1">INDEX(INDIRECT($M460),
       MATCH(TRIM($C460), TRIM(INDIRECT($N460)), 0),
       MATCH(TRIM(K$2), TRIM(INDIRECT($O460)), 0))</f>
        <v>3.8094000000000003E-2</v>
      </c>
      <c r="L460" s="11" cm="1">
        <f t="array" aca="1" ref="L460" ca="1">INDEX(INDIRECT($M460),
       MATCH(TRIM($C460), TRIM(INDIRECT($N460)), 0),
       MATCH(TRIM(L$2), TRIM(INDIRECT($O460)), 0))</f>
        <v>221.760503</v>
      </c>
      <c r="M460" s="5" t="str">
        <f t="shared" si="21"/>
        <v>'2022'!$N$3:$V$80</v>
      </c>
      <c r="N460" s="5" t="str">
        <f t="shared" si="22"/>
        <v>'2022'!$M$2:$M$80</v>
      </c>
      <c r="O460" s="5" t="str">
        <f t="shared" si="23"/>
        <v>'2022'!$N$2:$W$2</v>
      </c>
    </row>
    <row r="461" spans="1:15" x14ac:dyDescent="0.3">
      <c r="A461">
        <v>18</v>
      </c>
      <c r="B461" s="9">
        <v>2022</v>
      </c>
      <c r="C461" t="s">
        <v>17</v>
      </c>
      <c r="D461" s="11" cm="1">
        <f t="array" aca="1" ref="D461" ca="1">INDEX(INDIRECT($M461),
       MATCH(TRIM($C461), TRIM(INDIRECT($N461)), 0),
       MATCH(TRIM(D$2), TRIM(INDIRECT($O461)), 0))</f>
        <v>7</v>
      </c>
      <c r="E461" s="9" t="e" cm="1">
        <f t="array" aca="1" ref="E461" ca="1">INDEX(INDIRECT($M461),
       MATCH(TRIM($C461), TRIM(INDIRECT($N461)), 0),
       MATCH(TRIM(E$2), TRIM(INDIRECT($O461)), 0))</f>
        <v>#N/A</v>
      </c>
      <c r="F461" s="11" cm="1">
        <f t="array" aca="1" ref="F461" ca="1">INDEX(INDIRECT($M461),
       MATCH(TRIM($C461), TRIM(INDIRECT($N461)), 0),
       MATCH(TRIM(F$2), TRIM(INDIRECT($O461)), 0))</f>
        <v>69.328000000000003</v>
      </c>
      <c r="G461" s="11" cm="1">
        <f t="array" aca="1" ref="G461" ca="1">INDEX(INDIRECT($M461),
       MATCH(TRIM($C461), TRIM(INDIRECT($N461)), 0),
       MATCH(TRIM(G$2), TRIM(INDIRECT($O461)), 0))</f>
        <v>5</v>
      </c>
      <c r="H461" s="9" t="e" cm="1">
        <f t="array" aca="1" ref="H461" ca="1">INDEX(INDIRECT($M461),
       MATCH(TRIM($C461), TRIM(INDIRECT($N461)), 0),
       MATCH(TRIM(H$2), TRIM(INDIRECT($O461)), 0))</f>
        <v>#N/A</v>
      </c>
      <c r="I461" s="11" cm="1">
        <f t="array" aca="1" ref="I461" ca="1">INDEX(INDIRECT($M461),
       MATCH(TRIM($C461), TRIM(INDIRECT($N461)), 0),
       MATCH(TRIM(I$2), TRIM(INDIRECT($O461)), 0))</f>
        <v>27.400683999999998</v>
      </c>
      <c r="J461" s="9" cm="1">
        <f t="array" aca="1" ref="J461" ca="1">INDEX(INDIRECT($M461),
       MATCH(TRIM($C461), TRIM(INDIRECT($N461)), 0),
       MATCH(TRIM(J$2), TRIM(INDIRECT($O461)), 0))</f>
        <v>4</v>
      </c>
      <c r="K461" s="11" cm="1">
        <f t="array" aca="1" ref="K461" ca="1">INDEX(INDIRECT($M461),
       MATCH(TRIM($C461), TRIM(INDIRECT($N461)), 0),
       MATCH(TRIM(K$2), TRIM(INDIRECT($O461)), 0))</f>
        <v>0.77907537999999998</v>
      </c>
      <c r="L461" s="11" cm="1">
        <f t="array" aca="1" ref="L461" ca="1">INDEX(INDIRECT($M461),
       MATCH(TRIM($C461), TRIM(INDIRECT($N461)), 0),
       MATCH(TRIM(L$2), TRIM(INDIRECT($O461)), 0))</f>
        <v>97.507759379999996</v>
      </c>
      <c r="M461" s="5" t="str">
        <f t="shared" si="21"/>
        <v>'2022'!$N$3:$V$80</v>
      </c>
      <c r="N461" s="5" t="str">
        <f t="shared" si="22"/>
        <v>'2022'!$M$2:$M$80</v>
      </c>
      <c r="O461" s="5" t="str">
        <f t="shared" si="23"/>
        <v>'2022'!$N$2:$W$2</v>
      </c>
    </row>
    <row r="462" spans="1:15" x14ac:dyDescent="0.3">
      <c r="A462">
        <v>19</v>
      </c>
      <c r="B462" s="9">
        <v>2022</v>
      </c>
      <c r="C462" t="s">
        <v>18</v>
      </c>
      <c r="D462" s="11" cm="1">
        <f t="array" aca="1" ref="D462" ca="1">INDEX(INDIRECT($M462),
       MATCH(TRIM($C462), TRIM(INDIRECT($N462)), 0),
       MATCH(TRIM(D$2), TRIM(INDIRECT($O462)), 0))</f>
        <v>8</v>
      </c>
      <c r="E462" s="9" t="e" cm="1">
        <f t="array" aca="1" ref="E462" ca="1">INDEX(INDIRECT($M462),
       MATCH(TRIM($C462), TRIM(INDIRECT($N462)), 0),
       MATCH(TRIM(E$2), TRIM(INDIRECT($O462)), 0))</f>
        <v>#N/A</v>
      </c>
      <c r="F462" s="11" cm="1">
        <f t="array" aca="1" ref="F462" ca="1">INDEX(INDIRECT($M462),
       MATCH(TRIM($C462), TRIM(INDIRECT($N462)), 0),
       MATCH(TRIM(F$2), TRIM(INDIRECT($O462)), 0))</f>
        <v>406.87009699999999</v>
      </c>
      <c r="G462" s="11" cm="1">
        <f t="array" aca="1" ref="G462" ca="1">INDEX(INDIRECT($M462),
       MATCH(TRIM($C462), TRIM(INDIRECT($N462)), 0),
       MATCH(TRIM(G$2), TRIM(INDIRECT($O462)), 0))</f>
        <v>20</v>
      </c>
      <c r="H462" s="9" t="e" cm="1">
        <f t="array" aca="1" ref="H462" ca="1">INDEX(INDIRECT($M462),
       MATCH(TRIM($C462), TRIM(INDIRECT($N462)), 0),
       MATCH(TRIM(H$2), TRIM(INDIRECT($O462)), 0))</f>
        <v>#N/A</v>
      </c>
      <c r="I462" s="11" cm="1">
        <f t="array" aca="1" ref="I462" ca="1">INDEX(INDIRECT($M462),
       MATCH(TRIM($C462), TRIM(INDIRECT($N462)), 0),
       MATCH(TRIM(I$2), TRIM(INDIRECT($O462)), 0))</f>
        <v>288.58700700000003</v>
      </c>
      <c r="J462" s="9" cm="1">
        <f t="array" aca="1" ref="J462" ca="1">INDEX(INDIRECT($M462),
       MATCH(TRIM($C462), TRIM(INDIRECT($N462)), 0),
       MATCH(TRIM(J$2), TRIM(INDIRECT($O462)), 0))</f>
        <v>3</v>
      </c>
      <c r="K462" s="11" cm="1">
        <f t="array" aca="1" ref="K462" ca="1">INDEX(INDIRECT($M462),
       MATCH(TRIM($C462), TRIM(INDIRECT($N462)), 0),
       MATCH(TRIM(K$2), TRIM(INDIRECT($O462)), 0))</f>
        <v>5.2129759500000006</v>
      </c>
      <c r="L462" s="11" cm="1">
        <f t="array" aca="1" ref="L462" ca="1">INDEX(INDIRECT($M462),
       MATCH(TRIM($C462), TRIM(INDIRECT($N462)), 0),
       MATCH(TRIM(L$2), TRIM(INDIRECT($O462)), 0))</f>
        <v>700.67007995000006</v>
      </c>
      <c r="M462" s="5" t="str">
        <f t="shared" si="21"/>
        <v>'2022'!$N$3:$V$80</v>
      </c>
      <c r="N462" s="5" t="str">
        <f t="shared" si="22"/>
        <v>'2022'!$M$2:$M$80</v>
      </c>
      <c r="O462" s="5" t="str">
        <f t="shared" si="23"/>
        <v>'2022'!$N$2:$W$2</v>
      </c>
    </row>
    <row r="463" spans="1:15" x14ac:dyDescent="0.3">
      <c r="A463">
        <v>20</v>
      </c>
      <c r="B463" s="9">
        <v>2022</v>
      </c>
      <c r="C463" t="s">
        <v>19</v>
      </c>
      <c r="D463" s="11" cm="1">
        <f t="array" aca="1" ref="D463" ca="1">INDEX(INDIRECT($M463),
       MATCH(TRIM($C463), TRIM(INDIRECT($N463)), 0),
       MATCH(TRIM(D$2), TRIM(INDIRECT($O463)), 0))</f>
        <v>6</v>
      </c>
      <c r="E463" s="9" t="e" cm="1">
        <f t="array" aca="1" ref="E463" ca="1">INDEX(INDIRECT($M463),
       MATCH(TRIM($C463), TRIM(INDIRECT($N463)), 0),
       MATCH(TRIM(E$2), TRIM(INDIRECT($O463)), 0))</f>
        <v>#N/A</v>
      </c>
      <c r="F463" s="11" cm="1">
        <f t="array" aca="1" ref="F463" ca="1">INDEX(INDIRECT($M463),
       MATCH(TRIM($C463), TRIM(INDIRECT($N463)), 0),
       MATCH(TRIM(F$2), TRIM(INDIRECT($O463)), 0))</f>
        <v>197.31041099999999</v>
      </c>
      <c r="G463" s="11" cm="1">
        <f t="array" aca="1" ref="G463" ca="1">INDEX(INDIRECT($M463),
       MATCH(TRIM($C463), TRIM(INDIRECT($N463)), 0),
       MATCH(TRIM(G$2), TRIM(INDIRECT($O463)), 0))</f>
        <v>2</v>
      </c>
      <c r="H463" s="9" t="e" cm="1">
        <f t="array" aca="1" ref="H463" ca="1">INDEX(INDIRECT($M463),
       MATCH(TRIM($C463), TRIM(INDIRECT($N463)), 0),
       MATCH(TRIM(H$2), TRIM(INDIRECT($O463)), 0))</f>
        <v>#N/A</v>
      </c>
      <c r="I463" s="11" cm="1">
        <f t="array" aca="1" ref="I463" ca="1">INDEX(INDIRECT($M463),
       MATCH(TRIM($C463), TRIM(INDIRECT($N463)), 0),
       MATCH(TRIM(I$2), TRIM(INDIRECT($O463)), 0))</f>
        <v>2.1363E-2</v>
      </c>
      <c r="J463" s="9" cm="1">
        <f t="array" aca="1" ref="J463" ca="1">INDEX(INDIRECT($M463),
       MATCH(TRIM($C463), TRIM(INDIRECT($N463)), 0),
       MATCH(TRIM(J$2), TRIM(INDIRECT($O463)), 0))</f>
        <v>2</v>
      </c>
      <c r="K463" s="11" cm="1">
        <f t="array" aca="1" ref="K463" ca="1">INDEX(INDIRECT($M463),
       MATCH(TRIM($C463), TRIM(INDIRECT($N463)), 0),
       MATCH(TRIM(K$2), TRIM(INDIRECT($O463)), 0))</f>
        <v>0.165321</v>
      </c>
      <c r="L463" s="11" cm="1">
        <f t="array" aca="1" ref="L463" ca="1">INDEX(INDIRECT($M463),
       MATCH(TRIM($C463), TRIM(INDIRECT($N463)), 0),
       MATCH(TRIM(L$2), TRIM(INDIRECT($O463)), 0))</f>
        <v>197.497095</v>
      </c>
      <c r="M463" s="5" t="str">
        <f t="shared" si="21"/>
        <v>'2022'!$N$3:$V$80</v>
      </c>
      <c r="N463" s="5" t="str">
        <f t="shared" si="22"/>
        <v>'2022'!$M$2:$M$80</v>
      </c>
      <c r="O463" s="5" t="str">
        <f t="shared" si="23"/>
        <v>'2022'!$N$2:$W$2</v>
      </c>
    </row>
    <row r="464" spans="1:15" x14ac:dyDescent="0.3">
      <c r="A464">
        <v>21</v>
      </c>
      <c r="B464" s="9">
        <v>2022</v>
      </c>
      <c r="C464" t="s">
        <v>20</v>
      </c>
      <c r="D464" s="11" cm="1">
        <f t="array" aca="1" ref="D464" ca="1">INDEX(INDIRECT($M464),
       MATCH(TRIM($C464), TRIM(INDIRECT($N464)), 0),
       MATCH(TRIM(D$2), TRIM(INDIRECT($O464)), 0))</f>
        <v>19</v>
      </c>
      <c r="E464" s="9" t="e" cm="1">
        <f t="array" aca="1" ref="E464" ca="1">INDEX(INDIRECT($M464),
       MATCH(TRIM($C464), TRIM(INDIRECT($N464)), 0),
       MATCH(TRIM(E$2), TRIM(INDIRECT($O464)), 0))</f>
        <v>#N/A</v>
      </c>
      <c r="F464" s="11" cm="1">
        <f t="array" aca="1" ref="F464" ca="1">INDEX(INDIRECT($M464),
       MATCH(TRIM($C464), TRIM(INDIRECT($N464)), 0),
       MATCH(TRIM(F$2), TRIM(INDIRECT($O464)), 0))</f>
        <v>490.50514099999998</v>
      </c>
      <c r="G464" s="11" cm="1">
        <f t="array" aca="1" ref="G464" ca="1">INDEX(INDIRECT($M464),
       MATCH(TRIM($C464), TRIM(INDIRECT($N464)), 0),
       MATCH(TRIM(G$2), TRIM(INDIRECT($O464)), 0))</f>
        <v>2</v>
      </c>
      <c r="H464" s="9" t="e" cm="1">
        <f t="array" aca="1" ref="H464" ca="1">INDEX(INDIRECT($M464),
       MATCH(TRIM($C464), TRIM(INDIRECT($N464)), 0),
       MATCH(TRIM(H$2), TRIM(INDIRECT($O464)), 0))</f>
        <v>#N/A</v>
      </c>
      <c r="I464" s="11" cm="1">
        <f t="array" aca="1" ref="I464" ca="1">INDEX(INDIRECT($M464),
       MATCH(TRIM($C464), TRIM(INDIRECT($N464)), 0),
       MATCH(TRIM(I$2), TRIM(INDIRECT($O464)), 0))</f>
        <v>400</v>
      </c>
      <c r="J464" s="9" cm="1">
        <f t="array" aca="1" ref="J464" ca="1">INDEX(INDIRECT($M464),
       MATCH(TRIM($C464), TRIM(INDIRECT($N464)), 0),
       MATCH(TRIM(J$2), TRIM(INDIRECT($O464)), 0))</f>
        <v>2</v>
      </c>
      <c r="K464" s="11" cm="1">
        <f t="array" aca="1" ref="K464" ca="1">INDEX(INDIRECT($M464),
       MATCH(TRIM($C464), TRIM(INDIRECT($N464)), 0),
       MATCH(TRIM(K$2), TRIM(INDIRECT($O464)), 0))</f>
        <v>0.16963855999999999</v>
      </c>
      <c r="L464" s="11" cm="1">
        <f t="array" aca="1" ref="L464" ca="1">INDEX(INDIRECT($M464),
       MATCH(TRIM($C464), TRIM(INDIRECT($N464)), 0),
       MATCH(TRIM(L$2), TRIM(INDIRECT($O464)), 0))</f>
        <v>890.67477955999993</v>
      </c>
      <c r="M464" s="5" t="str">
        <f t="shared" si="21"/>
        <v>'2022'!$N$3:$V$80</v>
      </c>
      <c r="N464" s="5" t="str">
        <f t="shared" si="22"/>
        <v>'2022'!$M$2:$M$80</v>
      </c>
      <c r="O464" s="5" t="str">
        <f t="shared" si="23"/>
        <v>'2022'!$N$2:$W$2</v>
      </c>
    </row>
    <row r="465" spans="1:15" x14ac:dyDescent="0.3">
      <c r="A465">
        <v>22</v>
      </c>
      <c r="B465" s="9">
        <v>2022</v>
      </c>
      <c r="C465" t="s">
        <v>21</v>
      </c>
      <c r="D465" s="11" cm="1">
        <f t="array" aca="1" ref="D465" ca="1">INDEX(INDIRECT($M465),
       MATCH(TRIM($C465), TRIM(INDIRECT($N465)), 0),
       MATCH(TRIM(D$2), TRIM(INDIRECT($O465)), 0))</f>
        <v>9</v>
      </c>
      <c r="E465" s="9" t="e" cm="1">
        <f t="array" aca="1" ref="E465" ca="1">INDEX(INDIRECT($M465),
       MATCH(TRIM($C465), TRIM(INDIRECT($N465)), 0),
       MATCH(TRIM(E$2), TRIM(INDIRECT($O465)), 0))</f>
        <v>#N/A</v>
      </c>
      <c r="F465" s="11" cm="1">
        <f t="array" aca="1" ref="F465" ca="1">INDEX(INDIRECT($M465),
       MATCH(TRIM($C465), TRIM(INDIRECT($N465)), 0),
       MATCH(TRIM(F$2), TRIM(INDIRECT($O465)), 0))</f>
        <v>2181.1699149999999</v>
      </c>
      <c r="G465" s="11" cm="1">
        <f t="array" aca="1" ref="G465" ca="1">INDEX(INDIRECT($M465),
       MATCH(TRIM($C465), TRIM(INDIRECT($N465)), 0),
       MATCH(TRIM(G$2), TRIM(INDIRECT($O465)), 0))</f>
        <v>0</v>
      </c>
      <c r="H465" s="9" t="e" cm="1">
        <f t="array" aca="1" ref="H465" ca="1">INDEX(INDIRECT($M465),
       MATCH(TRIM($C465), TRIM(INDIRECT($N465)), 0),
       MATCH(TRIM(H$2), TRIM(INDIRECT($O465)), 0))</f>
        <v>#N/A</v>
      </c>
      <c r="I465" s="11" cm="1">
        <f t="array" aca="1" ref="I465" ca="1">INDEX(INDIRECT($M465),
       MATCH(TRIM($C465), TRIM(INDIRECT($N465)), 0),
       MATCH(TRIM(I$2), TRIM(INDIRECT($O465)), 0))</f>
        <v>0</v>
      </c>
      <c r="J465" s="9" cm="1">
        <f t="array" aca="1" ref="J465" ca="1">INDEX(INDIRECT($M465),
       MATCH(TRIM($C465), TRIM(INDIRECT($N465)), 0),
       MATCH(TRIM(J$2), TRIM(INDIRECT($O465)), 0))</f>
        <v>6</v>
      </c>
      <c r="K465" s="11" cm="1">
        <f t="array" aca="1" ref="K465" ca="1">INDEX(INDIRECT($M465),
       MATCH(TRIM($C465), TRIM(INDIRECT($N465)), 0),
       MATCH(TRIM(K$2), TRIM(INDIRECT($O465)), 0))</f>
        <v>186.99053985000003</v>
      </c>
      <c r="L465" s="11" cm="1">
        <f t="array" aca="1" ref="L465" ca="1">INDEX(INDIRECT($M465),
       MATCH(TRIM($C465), TRIM(INDIRECT($N465)), 0),
       MATCH(TRIM(L$2), TRIM(INDIRECT($O465)), 0))</f>
        <v>2368.16045485</v>
      </c>
      <c r="M465" s="5" t="str">
        <f t="shared" si="21"/>
        <v>'2022'!$N$3:$V$80</v>
      </c>
      <c r="N465" s="5" t="str">
        <f t="shared" si="22"/>
        <v>'2022'!$M$2:$M$80</v>
      </c>
      <c r="O465" s="5" t="str">
        <f t="shared" si="23"/>
        <v>'2022'!$N$2:$W$2</v>
      </c>
    </row>
    <row r="466" spans="1:15" x14ac:dyDescent="0.3">
      <c r="A466">
        <v>23</v>
      </c>
      <c r="B466" s="9">
        <v>2022</v>
      </c>
      <c r="C466" t="s">
        <v>22</v>
      </c>
      <c r="D466" s="11" cm="1">
        <f t="array" aca="1" ref="D466" ca="1">INDEX(INDIRECT($M466),
       MATCH(TRIM($C466), TRIM(INDIRECT($N466)), 0),
       MATCH(TRIM(D$2), TRIM(INDIRECT($O466)), 0))</f>
        <v>0</v>
      </c>
      <c r="E466" s="9" t="e" cm="1">
        <f t="array" aca="1" ref="E466" ca="1">INDEX(INDIRECT($M466),
       MATCH(TRIM($C466), TRIM(INDIRECT($N466)), 0),
       MATCH(TRIM(E$2), TRIM(INDIRECT($O466)), 0))</f>
        <v>#N/A</v>
      </c>
      <c r="F466" s="11" cm="1">
        <f t="array" aca="1" ref="F466" ca="1">INDEX(INDIRECT($M466),
       MATCH(TRIM($C466), TRIM(INDIRECT($N466)), 0),
       MATCH(TRIM(F$2), TRIM(INDIRECT($O466)), 0))</f>
        <v>0</v>
      </c>
      <c r="G466" s="11" cm="1">
        <f t="array" aca="1" ref="G466" ca="1">INDEX(INDIRECT($M466),
       MATCH(TRIM($C466), TRIM(INDIRECT($N466)), 0),
       MATCH(TRIM(G$2), TRIM(INDIRECT($O466)), 0))</f>
        <v>0</v>
      </c>
      <c r="H466" s="9" t="e" cm="1">
        <f t="array" aca="1" ref="H466" ca="1">INDEX(INDIRECT($M466),
       MATCH(TRIM($C466), TRIM(INDIRECT($N466)), 0),
       MATCH(TRIM(H$2), TRIM(INDIRECT($O466)), 0))</f>
        <v>#N/A</v>
      </c>
      <c r="I466" s="11" cm="1">
        <f t="array" aca="1" ref="I466" ca="1">INDEX(INDIRECT($M466),
       MATCH(TRIM($C466), TRIM(INDIRECT($N466)), 0),
       MATCH(TRIM(I$2), TRIM(INDIRECT($O466)), 0))</f>
        <v>0</v>
      </c>
      <c r="J466" s="9" cm="1">
        <f t="array" aca="1" ref="J466" ca="1">INDEX(INDIRECT($M466),
       MATCH(TRIM($C466), TRIM(INDIRECT($N466)), 0),
       MATCH(TRIM(J$2), TRIM(INDIRECT($O466)), 0))</f>
        <v>2</v>
      </c>
      <c r="K466" s="11" cm="1">
        <f t="array" aca="1" ref="K466" ca="1">INDEX(INDIRECT($M466),
       MATCH(TRIM($C466), TRIM(INDIRECT($N466)), 0),
       MATCH(TRIM(K$2), TRIM(INDIRECT($O466)), 0))</f>
        <v>1.82677172</v>
      </c>
      <c r="L466" s="11" cm="1">
        <f t="array" aca="1" ref="L466" ca="1">INDEX(INDIRECT($M466),
       MATCH(TRIM($C466), TRIM(INDIRECT($N466)), 0),
       MATCH(TRIM(L$2), TRIM(INDIRECT($O466)), 0))</f>
        <v>1.82677172</v>
      </c>
      <c r="M466" s="5" t="str">
        <f t="shared" si="21"/>
        <v>'2022'!$N$3:$V$80</v>
      </c>
      <c r="N466" s="5" t="str">
        <f t="shared" si="22"/>
        <v>'2022'!$M$2:$M$80</v>
      </c>
      <c r="O466" s="5" t="str">
        <f t="shared" si="23"/>
        <v>'2022'!$N$2:$W$2</v>
      </c>
    </row>
    <row r="467" spans="1:15" x14ac:dyDescent="0.3">
      <c r="A467">
        <v>24</v>
      </c>
      <c r="B467" s="9">
        <v>2022</v>
      </c>
      <c r="C467" t="s">
        <v>23</v>
      </c>
      <c r="D467" s="11" cm="1">
        <f t="array" aca="1" ref="D467" ca="1">INDEX(INDIRECT($M467),
       MATCH(TRIM($C467), TRIM(INDIRECT($N467)), 0),
       MATCH(TRIM(D$2), TRIM(INDIRECT($O467)), 0))</f>
        <v>1</v>
      </c>
      <c r="E467" s="9" t="e" cm="1">
        <f t="array" aca="1" ref="E467" ca="1">INDEX(INDIRECT($M467),
       MATCH(TRIM($C467), TRIM(INDIRECT($N467)), 0),
       MATCH(TRIM(E$2), TRIM(INDIRECT($O467)), 0))</f>
        <v>#N/A</v>
      </c>
      <c r="F467" s="11" cm="1">
        <f t="array" aca="1" ref="F467" ca="1">INDEX(INDIRECT($M467),
       MATCH(TRIM($C467), TRIM(INDIRECT($N467)), 0),
       MATCH(TRIM(F$2), TRIM(INDIRECT($O467)), 0))</f>
        <v>0.76524000000000003</v>
      </c>
      <c r="G467" s="11" cm="1">
        <f t="array" aca="1" ref="G467" ca="1">INDEX(INDIRECT($M467),
       MATCH(TRIM($C467), TRIM(INDIRECT($N467)), 0),
       MATCH(TRIM(G$2), TRIM(INDIRECT($O467)), 0))</f>
        <v>0</v>
      </c>
      <c r="H467" s="9" t="e" cm="1">
        <f t="array" aca="1" ref="H467" ca="1">INDEX(INDIRECT($M467),
       MATCH(TRIM($C467), TRIM(INDIRECT($N467)), 0),
       MATCH(TRIM(H$2), TRIM(INDIRECT($O467)), 0))</f>
        <v>#N/A</v>
      </c>
      <c r="I467" s="11" cm="1">
        <f t="array" aca="1" ref="I467" ca="1">INDEX(INDIRECT($M467),
       MATCH(TRIM($C467), TRIM(INDIRECT($N467)), 0),
       MATCH(TRIM(I$2), TRIM(INDIRECT($O467)), 0))</f>
        <v>0</v>
      </c>
      <c r="J467" s="9" cm="1">
        <f t="array" aca="1" ref="J467" ca="1">INDEX(INDIRECT($M467),
       MATCH(TRIM($C467), TRIM(INDIRECT($N467)), 0),
       MATCH(TRIM(J$2), TRIM(INDIRECT($O467)), 0))</f>
        <v>55</v>
      </c>
      <c r="K467" s="11" cm="1">
        <f t="array" aca="1" ref="K467" ca="1">INDEX(INDIRECT($M467),
       MATCH(TRIM($C467), TRIM(INDIRECT($N467)), 0),
       MATCH(TRIM(K$2), TRIM(INDIRECT($O467)), 0))</f>
        <v>7.9231420500000009</v>
      </c>
      <c r="L467" s="11" cm="1">
        <f t="array" aca="1" ref="L467" ca="1">INDEX(INDIRECT($M467),
       MATCH(TRIM($C467), TRIM(INDIRECT($N467)), 0),
       MATCH(TRIM(L$2), TRIM(INDIRECT($O467)), 0))</f>
        <v>8.6883820500000013</v>
      </c>
      <c r="M467" s="5" t="str">
        <f t="shared" si="21"/>
        <v>'2022'!$N$3:$V$80</v>
      </c>
      <c r="N467" s="5" t="str">
        <f t="shared" si="22"/>
        <v>'2022'!$M$2:$M$80</v>
      </c>
      <c r="O467" s="5" t="str">
        <f t="shared" si="23"/>
        <v>'2022'!$N$2:$W$2</v>
      </c>
    </row>
    <row r="468" spans="1:15" x14ac:dyDescent="0.3">
      <c r="A468">
        <v>25</v>
      </c>
      <c r="B468" s="9">
        <v>2022</v>
      </c>
      <c r="C468" t="s">
        <v>24</v>
      </c>
      <c r="D468" s="11" cm="1">
        <f t="array" aca="1" ref="D468" ca="1">INDEX(INDIRECT($M468),
       MATCH(TRIM($C468), TRIM(INDIRECT($N468)), 0),
       MATCH(TRIM(D$2), TRIM(INDIRECT($O468)), 0))</f>
        <v>5</v>
      </c>
      <c r="E468" s="9" t="e" cm="1">
        <f t="array" aca="1" ref="E468" ca="1">INDEX(INDIRECT($M468),
       MATCH(TRIM($C468), TRIM(INDIRECT($N468)), 0),
       MATCH(TRIM(E$2), TRIM(INDIRECT($O468)), 0))</f>
        <v>#N/A</v>
      </c>
      <c r="F468" s="11" cm="1">
        <f t="array" aca="1" ref="F468" ca="1">INDEX(INDIRECT($M468),
       MATCH(TRIM($C468), TRIM(INDIRECT($N468)), 0),
       MATCH(TRIM(F$2), TRIM(INDIRECT($O468)), 0))</f>
        <v>68.242999999999995</v>
      </c>
      <c r="G468" s="11" cm="1">
        <f t="array" aca="1" ref="G468" ca="1">INDEX(INDIRECT($M468),
       MATCH(TRIM($C468), TRIM(INDIRECT($N468)), 0),
       MATCH(TRIM(G$2), TRIM(INDIRECT($O468)), 0))</f>
        <v>3</v>
      </c>
      <c r="H468" s="9" t="e" cm="1">
        <f t="array" aca="1" ref="H468" ca="1">INDEX(INDIRECT($M468),
       MATCH(TRIM($C468), TRIM(INDIRECT($N468)), 0),
       MATCH(TRIM(H$2), TRIM(INDIRECT($O468)), 0))</f>
        <v>#N/A</v>
      </c>
      <c r="I468" s="11" cm="1">
        <f t="array" aca="1" ref="I468" ca="1">INDEX(INDIRECT($M468),
       MATCH(TRIM($C468), TRIM(INDIRECT($N468)), 0),
       MATCH(TRIM(I$2), TRIM(INDIRECT($O468)), 0))</f>
        <v>1.7</v>
      </c>
      <c r="J468" s="9" cm="1">
        <f t="array" aca="1" ref="J468" ca="1">INDEX(INDIRECT($M468),
       MATCH(TRIM($C468), TRIM(INDIRECT($N468)), 0),
       MATCH(TRIM(J$2), TRIM(INDIRECT($O468)), 0))</f>
        <v>19</v>
      </c>
      <c r="K468" s="11" cm="1">
        <f t="array" aca="1" ref="K468" ca="1">INDEX(INDIRECT($M468),
       MATCH(TRIM($C468), TRIM(INDIRECT($N468)), 0),
       MATCH(TRIM(K$2), TRIM(INDIRECT($O468)), 0))</f>
        <v>9.302652430000002</v>
      </c>
      <c r="L468" s="11" cm="1">
        <f t="array" aca="1" ref="L468" ca="1">INDEX(INDIRECT($M468),
       MATCH(TRIM($C468), TRIM(INDIRECT($N468)), 0),
       MATCH(TRIM(L$2), TRIM(INDIRECT($O468)), 0))</f>
        <v>79.245652430000007</v>
      </c>
      <c r="M468" s="5" t="str">
        <f t="shared" si="21"/>
        <v>'2022'!$N$3:$V$80</v>
      </c>
      <c r="N468" s="5" t="str">
        <f t="shared" si="22"/>
        <v>'2022'!$M$2:$M$80</v>
      </c>
      <c r="O468" s="5" t="str">
        <f t="shared" si="23"/>
        <v>'2022'!$N$2:$W$2</v>
      </c>
    </row>
    <row r="469" spans="1:15" x14ac:dyDescent="0.3">
      <c r="A469">
        <v>26</v>
      </c>
      <c r="B469" s="9">
        <v>2022</v>
      </c>
      <c r="C469" t="s">
        <v>25</v>
      </c>
      <c r="D469" s="11" cm="1">
        <f t="array" aca="1" ref="D469" ca="1">INDEX(INDIRECT($M469),
       MATCH(TRIM($C469), TRIM(INDIRECT($N469)), 0),
       MATCH(TRIM(D$2), TRIM(INDIRECT($O469)), 0))</f>
        <v>2</v>
      </c>
      <c r="E469" s="9" t="e" cm="1">
        <f t="array" aca="1" ref="E469" ca="1">INDEX(INDIRECT($M469),
       MATCH(TRIM($C469), TRIM(INDIRECT($N469)), 0),
       MATCH(TRIM(E$2), TRIM(INDIRECT($O469)), 0))</f>
        <v>#N/A</v>
      </c>
      <c r="F469" s="11" cm="1">
        <f t="array" aca="1" ref="F469" ca="1">INDEX(INDIRECT($M469),
       MATCH(TRIM($C469), TRIM(INDIRECT($N469)), 0),
       MATCH(TRIM(F$2), TRIM(INDIRECT($O469)), 0))</f>
        <v>16.063357</v>
      </c>
      <c r="G469" s="11" cm="1">
        <f t="array" aca="1" ref="G469" ca="1">INDEX(INDIRECT($M469),
       MATCH(TRIM($C469), TRIM(INDIRECT($N469)), 0),
       MATCH(TRIM(G$2), TRIM(INDIRECT($O469)), 0))</f>
        <v>1</v>
      </c>
      <c r="H469" s="9" t="e" cm="1">
        <f t="array" aca="1" ref="H469" ca="1">INDEX(INDIRECT($M469),
       MATCH(TRIM($C469), TRIM(INDIRECT($N469)), 0),
       MATCH(TRIM(H$2), TRIM(INDIRECT($O469)), 0))</f>
        <v>#N/A</v>
      </c>
      <c r="I469" s="11" cm="1">
        <f t="array" aca="1" ref="I469" ca="1">INDEX(INDIRECT($M469),
       MATCH(TRIM($C469), TRIM(INDIRECT($N469)), 0),
       MATCH(TRIM(I$2), TRIM(INDIRECT($O469)), 0))</f>
        <v>0.21495</v>
      </c>
      <c r="J469" s="9" cm="1">
        <f t="array" aca="1" ref="J469" ca="1">INDEX(INDIRECT($M469),
       MATCH(TRIM($C469), TRIM(INDIRECT($N469)), 0),
       MATCH(TRIM(J$2), TRIM(INDIRECT($O469)), 0))</f>
        <v>5</v>
      </c>
      <c r="K469" s="11" cm="1">
        <f t="array" aca="1" ref="K469" ca="1">INDEX(INDIRECT($M469),
       MATCH(TRIM($C469), TRIM(INDIRECT($N469)), 0),
       MATCH(TRIM(K$2), TRIM(INDIRECT($O469)), 0))</f>
        <v>8.5102270200000003</v>
      </c>
      <c r="L469" s="11" cm="1">
        <f t="array" aca="1" ref="L469" ca="1">INDEX(INDIRECT($M469),
       MATCH(TRIM($C469), TRIM(INDIRECT($N469)), 0),
       MATCH(TRIM(L$2), TRIM(INDIRECT($O469)), 0))</f>
        <v>24.78853402</v>
      </c>
      <c r="M469" s="5" t="str">
        <f t="shared" si="21"/>
        <v>'2022'!$N$3:$V$80</v>
      </c>
      <c r="N469" s="5" t="str">
        <f t="shared" si="22"/>
        <v>'2022'!$M$2:$M$80</v>
      </c>
      <c r="O469" s="5" t="str">
        <f t="shared" si="23"/>
        <v>'2022'!$N$2:$W$2</v>
      </c>
    </row>
    <row r="470" spans="1:15" x14ac:dyDescent="0.3">
      <c r="A470">
        <v>27</v>
      </c>
      <c r="B470" s="9">
        <v>2022</v>
      </c>
      <c r="C470" t="s">
        <v>26</v>
      </c>
      <c r="D470" s="11" cm="1">
        <f t="array" aca="1" ref="D470" ca="1">INDEX(INDIRECT($M470),
       MATCH(TRIM($C470), TRIM(INDIRECT($N470)), 0),
       MATCH(TRIM(D$2), TRIM(INDIRECT($O470)), 0))</f>
        <v>4</v>
      </c>
      <c r="E470" s="9" t="e" cm="1">
        <f t="array" aca="1" ref="E470" ca="1">INDEX(INDIRECT($M470),
       MATCH(TRIM($C470), TRIM(INDIRECT($N470)), 0),
       MATCH(TRIM(E$2), TRIM(INDIRECT($O470)), 0))</f>
        <v>#N/A</v>
      </c>
      <c r="F470" s="11" cm="1">
        <f t="array" aca="1" ref="F470" ca="1">INDEX(INDIRECT($M470),
       MATCH(TRIM($C470), TRIM(INDIRECT($N470)), 0),
       MATCH(TRIM(F$2), TRIM(INDIRECT($O470)), 0))</f>
        <v>102.23526699999999</v>
      </c>
      <c r="G470" s="11" cm="1">
        <f t="array" aca="1" ref="G470" ca="1">INDEX(INDIRECT($M470),
       MATCH(TRIM($C470), TRIM(INDIRECT($N470)), 0),
       MATCH(TRIM(G$2), TRIM(INDIRECT($O470)), 0))</f>
        <v>12</v>
      </c>
      <c r="H470" s="9" t="e" cm="1">
        <f t="array" aca="1" ref="H470" ca="1">INDEX(INDIRECT($M470),
       MATCH(TRIM($C470), TRIM(INDIRECT($N470)), 0),
       MATCH(TRIM(H$2), TRIM(INDIRECT($O470)), 0))</f>
        <v>#N/A</v>
      </c>
      <c r="I470" s="11" cm="1">
        <f t="array" aca="1" ref="I470" ca="1">INDEX(INDIRECT($M470),
       MATCH(TRIM($C470), TRIM(INDIRECT($N470)), 0),
       MATCH(TRIM(I$2), TRIM(INDIRECT($O470)), 0))</f>
        <v>53.58914805859375</v>
      </c>
      <c r="J470" s="9" cm="1">
        <f t="array" aca="1" ref="J470" ca="1">INDEX(INDIRECT($M470),
       MATCH(TRIM($C470), TRIM(INDIRECT($N470)), 0),
       MATCH(TRIM(J$2), TRIM(INDIRECT($O470)), 0))</f>
        <v>1</v>
      </c>
      <c r="K470" s="11" cm="1">
        <f t="array" aca="1" ref="K470" ca="1">INDEX(INDIRECT($M470),
       MATCH(TRIM($C470), TRIM(INDIRECT($N470)), 0),
       MATCH(TRIM(K$2), TRIM(INDIRECT($O470)), 0))</f>
        <v>0.12923793</v>
      </c>
      <c r="L470" s="11" cm="1">
        <f t="array" aca="1" ref="L470" ca="1">INDEX(INDIRECT($M470),
       MATCH(TRIM($C470), TRIM(INDIRECT($N470)), 0),
       MATCH(TRIM(L$2), TRIM(INDIRECT($O470)), 0))</f>
        <v>155.95365298859372</v>
      </c>
      <c r="M470" s="5" t="str">
        <f t="shared" si="21"/>
        <v>'2022'!$N$3:$V$80</v>
      </c>
      <c r="N470" s="5" t="str">
        <f t="shared" si="22"/>
        <v>'2022'!$M$2:$M$80</v>
      </c>
      <c r="O470" s="5" t="str">
        <f t="shared" si="23"/>
        <v>'2022'!$N$2:$W$2</v>
      </c>
    </row>
    <row r="471" spans="1:15" x14ac:dyDescent="0.3">
      <c r="A471">
        <v>28</v>
      </c>
      <c r="B471" s="9">
        <v>2022</v>
      </c>
      <c r="C471" t="s">
        <v>27</v>
      </c>
      <c r="D471" s="11" cm="1">
        <f t="array" aca="1" ref="D471" ca="1">INDEX(INDIRECT($M471),
       MATCH(TRIM($C471), TRIM(INDIRECT($N471)), 0),
       MATCH(TRIM(D$2), TRIM(INDIRECT($O471)), 0))</f>
        <v>5</v>
      </c>
      <c r="E471" s="9" t="e" cm="1">
        <f t="array" aca="1" ref="E471" ca="1">INDEX(INDIRECT($M471),
       MATCH(TRIM($C471), TRIM(INDIRECT($N471)), 0),
       MATCH(TRIM(E$2), TRIM(INDIRECT($O471)), 0))</f>
        <v>#N/A</v>
      </c>
      <c r="F471" s="11" cm="1">
        <f t="array" aca="1" ref="F471" ca="1">INDEX(INDIRECT($M471),
       MATCH(TRIM($C471), TRIM(INDIRECT($N471)), 0),
       MATCH(TRIM(F$2), TRIM(INDIRECT($O471)), 0))</f>
        <v>16.513836000000001</v>
      </c>
      <c r="G471" s="11" cm="1">
        <f t="array" aca="1" ref="G471" ca="1">INDEX(INDIRECT($M471),
       MATCH(TRIM($C471), TRIM(INDIRECT($N471)), 0),
       MATCH(TRIM(G$2), TRIM(INDIRECT($O471)), 0))</f>
        <v>1</v>
      </c>
      <c r="H471" s="9" t="e" cm="1">
        <f t="array" aca="1" ref="H471" ca="1">INDEX(INDIRECT($M471),
       MATCH(TRIM($C471), TRIM(INDIRECT($N471)), 0),
       MATCH(TRIM(H$2), TRIM(INDIRECT($O471)), 0))</f>
        <v>#N/A</v>
      </c>
      <c r="I471" s="11" cm="1">
        <f t="array" aca="1" ref="I471" ca="1">INDEX(INDIRECT($M471),
       MATCH(TRIM($C471), TRIM(INDIRECT($N471)), 0),
       MATCH(TRIM(I$2), TRIM(INDIRECT($O471)), 0))</f>
        <v>2.02</v>
      </c>
      <c r="J471" s="9" cm="1">
        <f t="array" aca="1" ref="J471" ca="1">INDEX(INDIRECT($M471),
       MATCH(TRIM($C471), TRIM(INDIRECT($N471)), 0),
       MATCH(TRIM(J$2), TRIM(INDIRECT($O471)), 0))</f>
        <v>5</v>
      </c>
      <c r="K471" s="11" cm="1">
        <f t="array" aca="1" ref="K471" ca="1">INDEX(INDIRECT($M471),
       MATCH(TRIM($C471), TRIM(INDIRECT($N471)), 0),
       MATCH(TRIM(K$2), TRIM(INDIRECT($O471)), 0))</f>
        <v>48.836924200000006</v>
      </c>
      <c r="L471" s="11" cm="1">
        <f t="array" aca="1" ref="L471" ca="1">INDEX(INDIRECT($M471),
       MATCH(TRIM($C471), TRIM(INDIRECT($N471)), 0),
       MATCH(TRIM(L$2), TRIM(INDIRECT($O471)), 0))</f>
        <v>67.370760200000007</v>
      </c>
      <c r="M471" s="5" t="str">
        <f t="shared" si="21"/>
        <v>'2022'!$N$3:$V$80</v>
      </c>
      <c r="N471" s="5" t="str">
        <f t="shared" si="22"/>
        <v>'2022'!$M$2:$M$80</v>
      </c>
      <c r="O471" s="5" t="str">
        <f t="shared" si="23"/>
        <v>'2022'!$N$2:$W$2</v>
      </c>
    </row>
    <row r="472" spans="1:15" x14ac:dyDescent="0.3">
      <c r="A472">
        <v>29</v>
      </c>
      <c r="B472" s="9">
        <v>2022</v>
      </c>
      <c r="C472" t="s">
        <v>28</v>
      </c>
      <c r="D472" s="11" cm="1">
        <f t="array" aca="1" ref="D472" ca="1">INDEX(INDIRECT($M472),
       MATCH(TRIM($C472), TRIM(INDIRECT($N472)), 0),
       MATCH(TRIM(D$2), TRIM(INDIRECT($O472)), 0))</f>
        <v>4</v>
      </c>
      <c r="E472" s="9" t="e" cm="1">
        <f t="array" aca="1" ref="E472" ca="1">INDEX(INDIRECT($M472),
       MATCH(TRIM($C472), TRIM(INDIRECT($N472)), 0),
       MATCH(TRIM(E$2), TRIM(INDIRECT($O472)), 0))</f>
        <v>#N/A</v>
      </c>
      <c r="F472" s="11" cm="1">
        <f t="array" aca="1" ref="F472" ca="1">INDEX(INDIRECT($M472),
       MATCH(TRIM($C472), TRIM(INDIRECT($N472)), 0),
       MATCH(TRIM(F$2), TRIM(INDIRECT($O472)), 0))</f>
        <v>73.423299999999998</v>
      </c>
      <c r="G472" s="11" cm="1">
        <f t="array" aca="1" ref="G472" ca="1">INDEX(INDIRECT($M472),
       MATCH(TRIM($C472), TRIM(INDIRECT($N472)), 0),
       MATCH(TRIM(G$2), TRIM(INDIRECT($O472)), 0))</f>
        <v>2</v>
      </c>
      <c r="H472" s="9" t="e" cm="1">
        <f t="array" aca="1" ref="H472" ca="1">INDEX(INDIRECT($M472),
       MATCH(TRIM($C472), TRIM(INDIRECT($N472)), 0),
       MATCH(TRIM(H$2), TRIM(INDIRECT($O472)), 0))</f>
        <v>#N/A</v>
      </c>
      <c r="I472" s="11" cm="1">
        <f t="array" aca="1" ref="I472" ca="1">INDEX(INDIRECT($M472),
       MATCH(TRIM($C472), TRIM(INDIRECT($N472)), 0),
       MATCH(TRIM(I$2), TRIM(INDIRECT($O472)), 0))</f>
        <v>13.5</v>
      </c>
      <c r="J472" s="9" cm="1">
        <f t="array" aca="1" ref="J472" ca="1">INDEX(INDIRECT($M472),
       MATCH(TRIM($C472), TRIM(INDIRECT($N472)), 0),
       MATCH(TRIM(J$2), TRIM(INDIRECT($O472)), 0))</f>
        <v>1</v>
      </c>
      <c r="K472" s="11" cm="1">
        <f t="array" aca="1" ref="K472" ca="1">INDEX(INDIRECT($M472),
       MATCH(TRIM($C472), TRIM(INDIRECT($N472)), 0),
       MATCH(TRIM(K$2), TRIM(INDIRECT($O472)), 0))</f>
        <v>3.5427000000000001E-4</v>
      </c>
      <c r="L472" s="11" cm="1">
        <f t="array" aca="1" ref="L472" ca="1">INDEX(INDIRECT($M472),
       MATCH(TRIM($C472), TRIM(INDIRECT($N472)), 0),
       MATCH(TRIM(L$2), TRIM(INDIRECT($O472)), 0))</f>
        <v>86.92365427</v>
      </c>
      <c r="M472" s="5" t="str">
        <f t="shared" si="21"/>
        <v>'2022'!$N$3:$V$80</v>
      </c>
      <c r="N472" s="5" t="str">
        <f t="shared" si="22"/>
        <v>'2022'!$M$2:$M$80</v>
      </c>
      <c r="O472" s="5" t="str">
        <f t="shared" si="23"/>
        <v>'2022'!$N$2:$W$2</v>
      </c>
    </row>
    <row r="473" spans="1:15" x14ac:dyDescent="0.3">
      <c r="A473">
        <v>30</v>
      </c>
      <c r="B473" s="9">
        <v>2022</v>
      </c>
      <c r="C473" t="s">
        <v>29</v>
      </c>
      <c r="D473" s="11" cm="1">
        <f t="array" aca="1" ref="D473" ca="1">INDEX(INDIRECT($M473),
       MATCH(TRIM($C473), TRIM(INDIRECT($N473)), 0),
       MATCH(TRIM(D$2), TRIM(INDIRECT($O473)), 0))</f>
        <v>1</v>
      </c>
      <c r="E473" s="9" t="e" cm="1">
        <f t="array" aca="1" ref="E473" ca="1">INDEX(INDIRECT($M473),
       MATCH(TRIM($C473), TRIM(INDIRECT($N473)), 0),
       MATCH(TRIM(E$2), TRIM(INDIRECT($O473)), 0))</f>
        <v>#N/A</v>
      </c>
      <c r="F473" s="11" cm="1">
        <f t="array" aca="1" ref="F473" ca="1">INDEX(INDIRECT($M473),
       MATCH(TRIM($C473), TRIM(INDIRECT($N473)), 0),
       MATCH(TRIM(F$2), TRIM(INDIRECT($O473)), 0))</f>
        <v>6</v>
      </c>
      <c r="G473" s="11" cm="1">
        <f t="array" aca="1" ref="G473" ca="1">INDEX(INDIRECT($M473),
       MATCH(TRIM($C473), TRIM(INDIRECT($N473)), 0),
       MATCH(TRIM(G$2), TRIM(INDIRECT($O473)), 0))</f>
        <v>0</v>
      </c>
      <c r="H473" s="9" t="e" cm="1">
        <f t="array" aca="1" ref="H473" ca="1">INDEX(INDIRECT($M473),
       MATCH(TRIM($C473), TRIM(INDIRECT($N473)), 0),
       MATCH(TRIM(H$2), TRIM(INDIRECT($O473)), 0))</f>
        <v>#N/A</v>
      </c>
      <c r="I473" s="11" cm="1">
        <f t="array" aca="1" ref="I473" ca="1">INDEX(INDIRECT($M473),
       MATCH(TRIM($C473), TRIM(INDIRECT($N473)), 0),
       MATCH(TRIM(I$2), TRIM(INDIRECT($O473)), 0))</f>
        <v>0</v>
      </c>
      <c r="J473" s="9" cm="1">
        <f t="array" aca="1" ref="J473" ca="1">INDEX(INDIRECT($M473),
       MATCH(TRIM($C473), TRIM(INDIRECT($N473)), 0),
       MATCH(TRIM(J$2), TRIM(INDIRECT($O473)), 0))</f>
        <v>12</v>
      </c>
      <c r="K473" s="11" cm="1">
        <f t="array" aca="1" ref="K473" ca="1">INDEX(INDIRECT($M473),
       MATCH(TRIM($C473), TRIM(INDIRECT($N473)), 0),
       MATCH(TRIM(K$2), TRIM(INDIRECT($O473)), 0))</f>
        <v>81.564930669999995</v>
      </c>
      <c r="L473" s="11" cm="1">
        <f t="array" aca="1" ref="L473" ca="1">INDEX(INDIRECT($M473),
       MATCH(TRIM($C473), TRIM(INDIRECT($N473)), 0),
       MATCH(TRIM(L$2), TRIM(INDIRECT($O473)), 0))</f>
        <v>87.564930669999995</v>
      </c>
      <c r="M473" s="5" t="str">
        <f t="shared" si="21"/>
        <v>'2022'!$N$3:$V$80</v>
      </c>
      <c r="N473" s="5" t="str">
        <f t="shared" si="22"/>
        <v>'2022'!$M$2:$M$80</v>
      </c>
      <c r="O473" s="5" t="str">
        <f t="shared" si="23"/>
        <v>'2022'!$N$2:$W$2</v>
      </c>
    </row>
    <row r="474" spans="1:15" x14ac:dyDescent="0.3">
      <c r="A474">
        <v>31</v>
      </c>
      <c r="B474" s="9">
        <v>2022</v>
      </c>
      <c r="C474" t="s">
        <v>30</v>
      </c>
      <c r="D474" s="11" cm="1">
        <f t="array" aca="1" ref="D474" ca="1">INDEX(INDIRECT($M474),
       MATCH(TRIM($C474), TRIM(INDIRECT($N474)), 0),
       MATCH(TRIM(D$2), TRIM(INDIRECT($O474)), 0))</f>
        <v>1</v>
      </c>
      <c r="E474" s="9" t="e" cm="1">
        <f t="array" aca="1" ref="E474" ca="1">INDEX(INDIRECT($M474),
       MATCH(TRIM($C474), TRIM(INDIRECT($N474)), 0),
       MATCH(TRIM(E$2), TRIM(INDIRECT($O474)), 0))</f>
        <v>#N/A</v>
      </c>
      <c r="F474" s="11" cm="1">
        <f t="array" aca="1" ref="F474" ca="1">INDEX(INDIRECT($M474),
       MATCH(TRIM($C474), TRIM(INDIRECT($N474)), 0),
       MATCH(TRIM(F$2), TRIM(INDIRECT($O474)), 0))</f>
        <v>18.350000000000001</v>
      </c>
      <c r="G474" s="11" cm="1">
        <f t="array" aca="1" ref="G474" ca="1">INDEX(INDIRECT($M474),
       MATCH(TRIM($C474), TRIM(INDIRECT($N474)), 0),
       MATCH(TRIM(G$2), TRIM(INDIRECT($O474)), 0))</f>
        <v>1</v>
      </c>
      <c r="H474" s="9" t="e" cm="1">
        <f t="array" aca="1" ref="H474" ca="1">INDEX(INDIRECT($M474),
       MATCH(TRIM($C474), TRIM(INDIRECT($N474)), 0),
       MATCH(TRIM(H$2), TRIM(INDIRECT($O474)), 0))</f>
        <v>#N/A</v>
      </c>
      <c r="I474" s="11" cm="1">
        <f t="array" aca="1" ref="I474" ca="1">INDEX(INDIRECT($M474),
       MATCH(TRIM($C474), TRIM(INDIRECT($N474)), 0),
       MATCH(TRIM(I$2), TRIM(INDIRECT($O474)), 0))</f>
        <v>-79.295119999999997</v>
      </c>
      <c r="J474" s="9" cm="1">
        <f t="array" aca="1" ref="J474" ca="1">INDEX(INDIRECT($M474),
       MATCH(TRIM($C474), TRIM(INDIRECT($N474)), 0),
       MATCH(TRIM(J$2), TRIM(INDIRECT($O474)), 0))</f>
        <v>0</v>
      </c>
      <c r="K474" s="11" cm="1">
        <f t="array" aca="1" ref="K474" ca="1">INDEX(INDIRECT($M474),
       MATCH(TRIM($C474), TRIM(INDIRECT($N474)), 0),
       MATCH(TRIM(K$2), TRIM(INDIRECT($O474)), 0))</f>
        <v>0</v>
      </c>
      <c r="L474" s="11" cm="1">
        <f t="array" aca="1" ref="L474" ca="1">INDEX(INDIRECT($M474),
       MATCH(TRIM($C474), TRIM(INDIRECT($N474)), 0),
       MATCH(TRIM(L$2), TRIM(INDIRECT($O474)), 0))</f>
        <v>-60.945119999999996</v>
      </c>
      <c r="M474" s="5" t="str">
        <f t="shared" si="21"/>
        <v>'2022'!$N$3:$V$80</v>
      </c>
      <c r="N474" s="5" t="str">
        <f t="shared" si="22"/>
        <v>'2022'!$M$2:$M$80</v>
      </c>
      <c r="O474" s="5" t="str">
        <f t="shared" si="23"/>
        <v>'2022'!$N$2:$W$2</v>
      </c>
    </row>
    <row r="475" spans="1:15" x14ac:dyDescent="0.3">
      <c r="A475">
        <v>32</v>
      </c>
      <c r="B475" s="9">
        <v>2022</v>
      </c>
      <c r="C475" t="s">
        <v>31</v>
      </c>
      <c r="D475" s="11" cm="1">
        <f t="array" aca="1" ref="D475" ca="1">INDEX(INDIRECT($M475),
       MATCH(TRIM($C475), TRIM(INDIRECT($N475)), 0),
       MATCH(TRIM(D$2), TRIM(INDIRECT($O475)), 0))</f>
        <v>2</v>
      </c>
      <c r="E475" s="9" t="e" cm="1">
        <f t="array" aca="1" ref="E475" ca="1">INDEX(INDIRECT($M475),
       MATCH(TRIM($C475), TRIM(INDIRECT($N475)), 0),
       MATCH(TRIM(E$2), TRIM(INDIRECT($O475)), 0))</f>
        <v>#N/A</v>
      </c>
      <c r="F475" s="11" cm="1">
        <f t="array" aca="1" ref="F475" ca="1">INDEX(INDIRECT($M475),
       MATCH(TRIM($C475), TRIM(INDIRECT($N475)), 0),
       MATCH(TRIM(F$2), TRIM(INDIRECT($O475)), 0))</f>
        <v>110.032701</v>
      </c>
      <c r="G475" s="11" cm="1">
        <f t="array" aca="1" ref="G475" ca="1">INDEX(INDIRECT($M475),
       MATCH(TRIM($C475), TRIM(INDIRECT($N475)), 0),
       MATCH(TRIM(G$2), TRIM(INDIRECT($O475)), 0))</f>
        <v>1</v>
      </c>
      <c r="H475" s="9" t="e" cm="1">
        <f t="array" aca="1" ref="H475" ca="1">INDEX(INDIRECT($M475),
       MATCH(TRIM($C475), TRIM(INDIRECT($N475)), 0),
       MATCH(TRIM(H$2), TRIM(INDIRECT($O475)), 0))</f>
        <v>#N/A</v>
      </c>
      <c r="I475" s="11" cm="1">
        <f t="array" aca="1" ref="I475" ca="1">INDEX(INDIRECT($M475),
       MATCH(TRIM($C475), TRIM(INDIRECT($N475)), 0),
       MATCH(TRIM(I$2), TRIM(INDIRECT($O475)), 0))</f>
        <v>1.8</v>
      </c>
      <c r="J475" s="9" cm="1">
        <f t="array" aca="1" ref="J475" ca="1">INDEX(INDIRECT($M475),
       MATCH(TRIM($C475), TRIM(INDIRECT($N475)), 0),
       MATCH(TRIM(J$2), TRIM(INDIRECT($O475)), 0))</f>
        <v>1</v>
      </c>
      <c r="K475" s="11" cm="1">
        <f t="array" aca="1" ref="K475" ca="1">INDEX(INDIRECT($M475),
       MATCH(TRIM($C475), TRIM(INDIRECT($N475)), 0),
       MATCH(TRIM(K$2), TRIM(INDIRECT($O475)), 0))</f>
        <v>4.5428163000000001</v>
      </c>
      <c r="L475" s="11" cm="1">
        <f t="array" aca="1" ref="L475" ca="1">INDEX(INDIRECT($M475),
       MATCH(TRIM($C475), TRIM(INDIRECT($N475)), 0),
       MATCH(TRIM(L$2), TRIM(INDIRECT($O475)), 0))</f>
        <v>116.3755173</v>
      </c>
      <c r="M475" s="5" t="str">
        <f t="shared" si="21"/>
        <v>'2022'!$N$3:$V$80</v>
      </c>
      <c r="N475" s="5" t="str">
        <f t="shared" si="22"/>
        <v>'2022'!$M$2:$M$80</v>
      </c>
      <c r="O475" s="5" t="str">
        <f t="shared" si="23"/>
        <v>'2022'!$N$2:$W$2</v>
      </c>
    </row>
    <row r="476" spans="1:15" x14ac:dyDescent="0.3">
      <c r="A476">
        <v>33</v>
      </c>
      <c r="B476" s="9">
        <v>2022</v>
      </c>
      <c r="C476" t="s">
        <v>32</v>
      </c>
      <c r="D476" s="11" cm="1">
        <f t="array" aca="1" ref="D476" ca="1">INDEX(INDIRECT($M476),
       MATCH(TRIM($C476), TRIM(INDIRECT($N476)), 0),
       MATCH(TRIM(D$2), TRIM(INDIRECT($O476)), 0))</f>
        <v>1</v>
      </c>
      <c r="E476" s="9" t="e" cm="1">
        <f t="array" aca="1" ref="E476" ca="1">INDEX(INDIRECT($M476),
       MATCH(TRIM($C476), TRIM(INDIRECT($N476)), 0),
       MATCH(TRIM(E$2), TRIM(INDIRECT($O476)), 0))</f>
        <v>#N/A</v>
      </c>
      <c r="F476" s="11" cm="1">
        <f t="array" aca="1" ref="F476" ca="1">INDEX(INDIRECT($M476),
       MATCH(TRIM($C476), TRIM(INDIRECT($N476)), 0),
       MATCH(TRIM(F$2), TRIM(INDIRECT($O476)), 0))</f>
        <v>3</v>
      </c>
      <c r="G476" s="11" cm="1">
        <f t="array" aca="1" ref="G476" ca="1">INDEX(INDIRECT($M476),
       MATCH(TRIM($C476), TRIM(INDIRECT($N476)), 0),
       MATCH(TRIM(G$2), TRIM(INDIRECT($O476)), 0))</f>
        <v>1</v>
      </c>
      <c r="H476" s="9" t="e" cm="1">
        <f t="array" aca="1" ref="H476" ca="1">INDEX(INDIRECT($M476),
       MATCH(TRIM($C476), TRIM(INDIRECT($N476)), 0),
       MATCH(TRIM(H$2), TRIM(INDIRECT($O476)), 0))</f>
        <v>#N/A</v>
      </c>
      <c r="I476" s="11" cm="1">
        <f t="array" aca="1" ref="I476" ca="1">INDEX(INDIRECT($M476),
       MATCH(TRIM($C476), TRIM(INDIRECT($N476)), 0),
       MATCH(TRIM(I$2), TRIM(INDIRECT($O476)), 0))</f>
        <v>3.0078000000000001E-2</v>
      </c>
      <c r="J476" s="9" cm="1">
        <f t="array" aca="1" ref="J476" ca="1">INDEX(INDIRECT($M476),
       MATCH(TRIM($C476), TRIM(INDIRECT($N476)), 0),
       MATCH(TRIM(J$2), TRIM(INDIRECT($O476)), 0))</f>
        <v>0</v>
      </c>
      <c r="K476" s="11" cm="1">
        <f t="array" aca="1" ref="K476" ca="1">INDEX(INDIRECT($M476),
       MATCH(TRIM($C476), TRIM(INDIRECT($N476)), 0),
       MATCH(TRIM(K$2), TRIM(INDIRECT($O476)), 0))</f>
        <v>0</v>
      </c>
      <c r="L476" s="11" cm="1">
        <f t="array" aca="1" ref="L476" ca="1">INDEX(INDIRECT($M476),
       MATCH(TRIM($C476), TRIM(INDIRECT($N476)), 0),
       MATCH(TRIM(L$2), TRIM(INDIRECT($O476)), 0))</f>
        <v>3.030078</v>
      </c>
      <c r="M476" s="5" t="str">
        <f t="shared" si="21"/>
        <v>'2022'!$N$3:$V$80</v>
      </c>
      <c r="N476" s="5" t="str">
        <f t="shared" si="22"/>
        <v>'2022'!$M$2:$M$80</v>
      </c>
      <c r="O476" s="5" t="str">
        <f t="shared" si="23"/>
        <v>'2022'!$N$2:$W$2</v>
      </c>
    </row>
    <row r="477" spans="1:15" x14ac:dyDescent="0.3">
      <c r="A477">
        <v>34</v>
      </c>
      <c r="B477" s="9">
        <v>2022</v>
      </c>
      <c r="C477" t="s">
        <v>33</v>
      </c>
      <c r="D477" s="11" cm="1">
        <f t="array" aca="1" ref="D477" ca="1">INDEX(INDIRECT($M477),
       MATCH(TRIM($C477), TRIM(INDIRECT($N477)), 0),
       MATCH(TRIM(D$2), TRIM(INDIRECT($O477)), 0))</f>
        <v>2</v>
      </c>
      <c r="E477" s="9" t="e" cm="1">
        <f t="array" aca="1" ref="E477" ca="1">INDEX(INDIRECT($M477),
       MATCH(TRIM($C477), TRIM(INDIRECT($N477)), 0),
       MATCH(TRIM(E$2), TRIM(INDIRECT($O477)), 0))</f>
        <v>#N/A</v>
      </c>
      <c r="F477" s="11" cm="1">
        <f t="array" aca="1" ref="F477" ca="1">INDEX(INDIRECT($M477),
       MATCH(TRIM($C477), TRIM(INDIRECT($N477)), 0),
       MATCH(TRIM(F$2), TRIM(INDIRECT($O477)), 0))</f>
        <v>4.3183340000000001</v>
      </c>
      <c r="G477" s="11" cm="1">
        <f t="array" aca="1" ref="G477" ca="1">INDEX(INDIRECT($M477),
       MATCH(TRIM($C477), TRIM(INDIRECT($N477)), 0),
       MATCH(TRIM(G$2), TRIM(INDIRECT($O477)), 0))</f>
        <v>2</v>
      </c>
      <c r="H477" s="9" t="e" cm="1">
        <f t="array" aca="1" ref="H477" ca="1">INDEX(INDIRECT($M477),
       MATCH(TRIM($C477), TRIM(INDIRECT($N477)), 0),
       MATCH(TRIM(H$2), TRIM(INDIRECT($O477)), 0))</f>
        <v>#N/A</v>
      </c>
      <c r="I477" s="11" cm="1">
        <f t="array" aca="1" ref="I477" ca="1">INDEX(INDIRECT($M477),
       MATCH(TRIM($C477), TRIM(INDIRECT($N477)), 0),
       MATCH(TRIM(I$2), TRIM(INDIRECT($O477)), 0))</f>
        <v>15.153307</v>
      </c>
      <c r="J477" s="9" cm="1">
        <f t="array" aca="1" ref="J477" ca="1">INDEX(INDIRECT($M477),
       MATCH(TRIM($C477), TRIM(INDIRECT($N477)), 0),
       MATCH(TRIM(J$2), TRIM(INDIRECT($O477)), 0))</f>
        <v>6</v>
      </c>
      <c r="K477" s="11" cm="1">
        <f t="array" aca="1" ref="K477" ca="1">INDEX(INDIRECT($M477),
       MATCH(TRIM($C477), TRIM(INDIRECT($N477)), 0),
       MATCH(TRIM(K$2), TRIM(INDIRECT($O477)), 0))</f>
        <v>14.738242250000001</v>
      </c>
      <c r="L477" s="11" cm="1">
        <f t="array" aca="1" ref="L477" ca="1">INDEX(INDIRECT($M477),
       MATCH(TRIM($C477), TRIM(INDIRECT($N477)), 0),
       MATCH(TRIM(L$2), TRIM(INDIRECT($O477)), 0))</f>
        <v>34.209883249999997</v>
      </c>
      <c r="M477" s="5" t="str">
        <f t="shared" si="21"/>
        <v>'2022'!$N$3:$V$80</v>
      </c>
      <c r="N477" s="5" t="str">
        <f t="shared" si="22"/>
        <v>'2022'!$M$2:$M$80</v>
      </c>
      <c r="O477" s="5" t="str">
        <f t="shared" si="23"/>
        <v>'2022'!$N$2:$W$2</v>
      </c>
    </row>
    <row r="478" spans="1:15" x14ac:dyDescent="0.3">
      <c r="A478">
        <v>35</v>
      </c>
      <c r="B478" s="9">
        <v>2022</v>
      </c>
      <c r="C478" t="s">
        <v>34</v>
      </c>
      <c r="D478" s="11" cm="1">
        <f t="array" aca="1" ref="D478" ca="1">INDEX(INDIRECT($M478),
       MATCH(TRIM($C478), TRIM(INDIRECT($N478)), 0),
       MATCH(TRIM(D$2), TRIM(INDIRECT($O478)), 0))</f>
        <v>0</v>
      </c>
      <c r="E478" s="9" t="e" cm="1">
        <f t="array" aca="1" ref="E478" ca="1">INDEX(INDIRECT($M478),
       MATCH(TRIM($C478), TRIM(INDIRECT($N478)), 0),
       MATCH(TRIM(E$2), TRIM(INDIRECT($O478)), 0))</f>
        <v>#N/A</v>
      </c>
      <c r="F478" s="11" cm="1">
        <f t="array" aca="1" ref="F478" ca="1">INDEX(INDIRECT($M478),
       MATCH(TRIM($C478), TRIM(INDIRECT($N478)), 0),
       MATCH(TRIM(F$2), TRIM(INDIRECT($O478)), 0))</f>
        <v>0</v>
      </c>
      <c r="G478" s="11" cm="1">
        <f t="array" aca="1" ref="G478" ca="1">INDEX(INDIRECT($M478),
       MATCH(TRIM($C478), TRIM(INDIRECT($N478)), 0),
       MATCH(TRIM(G$2), TRIM(INDIRECT($O478)), 0))</f>
        <v>0</v>
      </c>
      <c r="H478" s="9" t="e" cm="1">
        <f t="array" aca="1" ref="H478" ca="1">INDEX(INDIRECT($M478),
       MATCH(TRIM($C478), TRIM(INDIRECT($N478)), 0),
       MATCH(TRIM(H$2), TRIM(INDIRECT($O478)), 0))</f>
        <v>#N/A</v>
      </c>
      <c r="I478" s="11" cm="1">
        <f t="array" aca="1" ref="I478" ca="1">INDEX(INDIRECT($M478),
       MATCH(TRIM($C478), TRIM(INDIRECT($N478)), 0),
       MATCH(TRIM(I$2), TRIM(INDIRECT($O478)), 0))</f>
        <v>0</v>
      </c>
      <c r="J478" s="9" cm="1">
        <f t="array" aca="1" ref="J478" ca="1">INDEX(INDIRECT($M478),
       MATCH(TRIM($C478), TRIM(INDIRECT($N478)), 0),
       MATCH(TRIM(J$2), TRIM(INDIRECT($O478)), 0))</f>
        <v>2</v>
      </c>
      <c r="K478" s="11" cm="1">
        <f t="array" aca="1" ref="K478" ca="1">INDEX(INDIRECT($M478),
       MATCH(TRIM($C478), TRIM(INDIRECT($N478)), 0),
       MATCH(TRIM(K$2), TRIM(INDIRECT($O478)), 0))</f>
        <v>0.14466172999999999</v>
      </c>
      <c r="L478" s="11" cm="1">
        <f t="array" aca="1" ref="L478" ca="1">INDEX(INDIRECT($M478),
       MATCH(TRIM($C478), TRIM(INDIRECT($N478)), 0),
       MATCH(TRIM(L$2), TRIM(INDIRECT($O478)), 0))</f>
        <v>0.14466172999999999</v>
      </c>
      <c r="M478" s="5" t="str">
        <f t="shared" si="21"/>
        <v>'2022'!$N$3:$V$80</v>
      </c>
      <c r="N478" s="5" t="str">
        <f t="shared" si="22"/>
        <v>'2022'!$M$2:$M$80</v>
      </c>
      <c r="O478" s="5" t="str">
        <f t="shared" si="23"/>
        <v>'2022'!$N$2:$W$2</v>
      </c>
    </row>
    <row r="479" spans="1:15" x14ac:dyDescent="0.3">
      <c r="A479">
        <v>36</v>
      </c>
      <c r="B479" s="9">
        <v>2022</v>
      </c>
      <c r="C479" t="s">
        <v>35</v>
      </c>
      <c r="D479" s="11" cm="1">
        <f t="array" aca="1" ref="D479" ca="1">INDEX(INDIRECT($M479),
       MATCH(TRIM($C479), TRIM(INDIRECT($N479)), 0),
       MATCH(TRIM(D$2), TRIM(INDIRECT($O479)), 0))</f>
        <v>1</v>
      </c>
      <c r="E479" s="9" t="e" cm="1">
        <f t="array" aca="1" ref="E479" ca="1">INDEX(INDIRECT($M479),
       MATCH(TRIM($C479), TRIM(INDIRECT($N479)), 0),
       MATCH(TRIM(E$2), TRIM(INDIRECT($O479)), 0))</f>
        <v>#N/A</v>
      </c>
      <c r="F479" s="11" cm="1">
        <f t="array" aca="1" ref="F479" ca="1">INDEX(INDIRECT($M479),
       MATCH(TRIM($C479), TRIM(INDIRECT($N479)), 0),
       MATCH(TRIM(F$2), TRIM(INDIRECT($O479)), 0))</f>
        <v>0.01</v>
      </c>
      <c r="G479" s="11" cm="1">
        <f t="array" aca="1" ref="G479" ca="1">INDEX(INDIRECT($M479),
       MATCH(TRIM($C479), TRIM(INDIRECT($N479)), 0),
       MATCH(TRIM(G$2), TRIM(INDIRECT($O479)), 0))</f>
        <v>0</v>
      </c>
      <c r="H479" s="9" t="e" cm="1">
        <f t="array" aca="1" ref="H479" ca="1">INDEX(INDIRECT($M479),
       MATCH(TRIM($C479), TRIM(INDIRECT($N479)), 0),
       MATCH(TRIM(H$2), TRIM(INDIRECT($O479)), 0))</f>
        <v>#N/A</v>
      </c>
      <c r="I479" s="11" cm="1">
        <f t="array" aca="1" ref="I479" ca="1">INDEX(INDIRECT($M479),
       MATCH(TRIM($C479), TRIM(INDIRECT($N479)), 0),
       MATCH(TRIM(I$2), TRIM(INDIRECT($O479)), 0))</f>
        <v>0</v>
      </c>
      <c r="J479" s="9" cm="1">
        <f t="array" aca="1" ref="J479" ca="1">INDEX(INDIRECT($M479),
       MATCH(TRIM($C479), TRIM(INDIRECT($N479)), 0),
       MATCH(TRIM(J$2), TRIM(INDIRECT($O479)), 0))</f>
        <v>3</v>
      </c>
      <c r="K479" s="11" cm="1">
        <f t="array" aca="1" ref="K479" ca="1">INDEX(INDIRECT($M479),
       MATCH(TRIM($C479), TRIM(INDIRECT($N479)), 0),
       MATCH(TRIM(K$2), TRIM(INDIRECT($O479)), 0))</f>
        <v>0.28005339000000001</v>
      </c>
      <c r="L479" s="11" cm="1">
        <f t="array" aca="1" ref="L479" ca="1">INDEX(INDIRECT($M479),
       MATCH(TRIM($C479), TRIM(INDIRECT($N479)), 0),
       MATCH(TRIM(L$2), TRIM(INDIRECT($O479)), 0))</f>
        <v>0.29005339000000002</v>
      </c>
      <c r="M479" s="5" t="str">
        <f t="shared" si="21"/>
        <v>'2022'!$N$3:$V$80</v>
      </c>
      <c r="N479" s="5" t="str">
        <f t="shared" si="22"/>
        <v>'2022'!$M$2:$M$80</v>
      </c>
      <c r="O479" s="5" t="str">
        <f t="shared" si="23"/>
        <v>'2022'!$N$2:$W$2</v>
      </c>
    </row>
    <row r="480" spans="1:15" x14ac:dyDescent="0.3">
      <c r="A480">
        <v>37</v>
      </c>
      <c r="B480" s="9">
        <v>2022</v>
      </c>
      <c r="C480" t="s">
        <v>36</v>
      </c>
      <c r="D480" s="11" cm="1">
        <f t="array" aca="1" ref="D480" ca="1">INDEX(INDIRECT($M480),
       MATCH(TRIM($C480), TRIM(INDIRECT($N480)), 0),
       MATCH(TRIM(D$2), TRIM(INDIRECT($O480)), 0))</f>
        <v>6</v>
      </c>
      <c r="E480" s="9" t="e" cm="1">
        <f t="array" aca="1" ref="E480" ca="1">INDEX(INDIRECT($M480),
       MATCH(TRIM($C480), TRIM(INDIRECT($N480)), 0),
       MATCH(TRIM(E$2), TRIM(INDIRECT($O480)), 0))</f>
        <v>#N/A</v>
      </c>
      <c r="F480" s="11" cm="1">
        <f t="array" aca="1" ref="F480" ca="1">INDEX(INDIRECT($M480),
       MATCH(TRIM($C480), TRIM(INDIRECT($N480)), 0),
       MATCH(TRIM(F$2), TRIM(INDIRECT($O480)), 0))</f>
        <v>174.23413106000001</v>
      </c>
      <c r="G480" s="11" cm="1">
        <f t="array" aca="1" ref="G480" ca="1">INDEX(INDIRECT($M480),
       MATCH(TRIM($C480), TRIM(INDIRECT($N480)), 0),
       MATCH(TRIM(G$2), TRIM(INDIRECT($O480)), 0))</f>
        <v>2</v>
      </c>
      <c r="H480" s="9" t="e" cm="1">
        <f t="array" aca="1" ref="H480" ca="1">INDEX(INDIRECT($M480),
       MATCH(TRIM($C480), TRIM(INDIRECT($N480)), 0),
       MATCH(TRIM(H$2), TRIM(INDIRECT($O480)), 0))</f>
        <v>#N/A</v>
      </c>
      <c r="I480" s="11" cm="1">
        <f t="array" aca="1" ref="I480" ca="1">INDEX(INDIRECT($M480),
       MATCH(TRIM($C480), TRIM(INDIRECT($N480)), 0),
       MATCH(TRIM(I$2), TRIM(INDIRECT($O480)), 0))</f>
        <v>2.3423050000000001</v>
      </c>
      <c r="J480" s="9" cm="1">
        <f t="array" aca="1" ref="J480" ca="1">INDEX(INDIRECT($M480),
       MATCH(TRIM($C480), TRIM(INDIRECT($N480)), 0),
       MATCH(TRIM(J$2), TRIM(INDIRECT($O480)), 0))</f>
        <v>9</v>
      </c>
      <c r="K480" s="11" cm="1">
        <f t="array" aca="1" ref="K480" ca="1">INDEX(INDIRECT($M480),
       MATCH(TRIM($C480), TRIM(INDIRECT($N480)), 0),
       MATCH(TRIM(K$2), TRIM(INDIRECT($O480)), 0))</f>
        <v>9.3943826500000007</v>
      </c>
      <c r="L480" s="11" cm="1">
        <f t="array" aca="1" ref="L480" ca="1">INDEX(INDIRECT($M480),
       MATCH(TRIM($C480), TRIM(INDIRECT($N480)), 0),
       MATCH(TRIM(L$2), TRIM(INDIRECT($O480)), 0))</f>
        <v>185.97081871000003</v>
      </c>
      <c r="M480" s="5" t="str">
        <f t="shared" si="21"/>
        <v>'2022'!$N$3:$V$80</v>
      </c>
      <c r="N480" s="5" t="str">
        <f t="shared" si="22"/>
        <v>'2022'!$M$2:$M$80</v>
      </c>
      <c r="O480" s="5" t="str">
        <f t="shared" si="23"/>
        <v>'2022'!$N$2:$W$2</v>
      </c>
    </row>
    <row r="481" spans="1:15" x14ac:dyDescent="0.3">
      <c r="A481">
        <v>38</v>
      </c>
      <c r="B481" s="9">
        <v>2022</v>
      </c>
      <c r="C481" t="s">
        <v>37</v>
      </c>
      <c r="D481" s="11" cm="1">
        <f t="array" aca="1" ref="D481" ca="1">INDEX(INDIRECT($M481),
       MATCH(TRIM($C481), TRIM(INDIRECT($N481)), 0),
       MATCH(TRIM(D$2), TRIM(INDIRECT($O481)), 0))</f>
        <v>8</v>
      </c>
      <c r="E481" s="9" t="e" cm="1">
        <f t="array" aca="1" ref="E481" ca="1">INDEX(INDIRECT($M481),
       MATCH(TRIM($C481), TRIM(INDIRECT($N481)), 0),
       MATCH(TRIM(E$2), TRIM(INDIRECT($O481)), 0))</f>
        <v>#N/A</v>
      </c>
      <c r="F481" s="11" cm="1">
        <f t="array" aca="1" ref="F481" ca="1">INDEX(INDIRECT($M481),
       MATCH(TRIM($C481), TRIM(INDIRECT($N481)), 0),
       MATCH(TRIM(F$2), TRIM(INDIRECT($O481)), 0))</f>
        <v>219.819749</v>
      </c>
      <c r="G481" s="11" cm="1">
        <f t="array" aca="1" ref="G481" ca="1">INDEX(INDIRECT($M481),
       MATCH(TRIM($C481), TRIM(INDIRECT($N481)), 0),
       MATCH(TRIM(G$2), TRIM(INDIRECT($O481)), 0))</f>
        <v>5</v>
      </c>
      <c r="H481" s="9" t="e" cm="1">
        <f t="array" aca="1" ref="H481" ca="1">INDEX(INDIRECT($M481),
       MATCH(TRIM($C481), TRIM(INDIRECT($N481)), 0),
       MATCH(TRIM(H$2), TRIM(INDIRECT($O481)), 0))</f>
        <v>#N/A</v>
      </c>
      <c r="I481" s="11" cm="1">
        <f t="array" aca="1" ref="I481" ca="1">INDEX(INDIRECT($M481),
       MATCH(TRIM($C481), TRIM(INDIRECT($N481)), 0),
       MATCH(TRIM(I$2), TRIM(INDIRECT($O481)), 0))</f>
        <v>86.292689999999993</v>
      </c>
      <c r="J481" s="9" cm="1">
        <f t="array" aca="1" ref="J481" ca="1">INDEX(INDIRECT($M481),
       MATCH(TRIM($C481), TRIM(INDIRECT($N481)), 0),
       MATCH(TRIM(J$2), TRIM(INDIRECT($O481)), 0))</f>
        <v>2</v>
      </c>
      <c r="K481" s="11" cm="1">
        <f t="array" aca="1" ref="K481" ca="1">INDEX(INDIRECT($M481),
       MATCH(TRIM($C481), TRIM(INDIRECT($N481)), 0),
       MATCH(TRIM(K$2), TRIM(INDIRECT($O481)), 0))</f>
        <v>1.7528489199999999</v>
      </c>
      <c r="L481" s="11" cm="1">
        <f t="array" aca="1" ref="L481" ca="1">INDEX(INDIRECT($M481),
       MATCH(TRIM($C481), TRIM(INDIRECT($N481)), 0),
       MATCH(TRIM(L$2), TRIM(INDIRECT($O481)), 0))</f>
        <v>307.86528792000001</v>
      </c>
      <c r="M481" s="5" t="str">
        <f t="shared" si="21"/>
        <v>'2022'!$N$3:$V$80</v>
      </c>
      <c r="N481" s="5" t="str">
        <f t="shared" si="22"/>
        <v>'2022'!$M$2:$M$80</v>
      </c>
      <c r="O481" s="5" t="str">
        <f t="shared" si="23"/>
        <v>'2022'!$N$2:$W$2</v>
      </c>
    </row>
    <row r="482" spans="1:15" x14ac:dyDescent="0.3">
      <c r="A482">
        <v>39</v>
      </c>
      <c r="B482" s="9">
        <v>2022</v>
      </c>
      <c r="C482" t="s">
        <v>38</v>
      </c>
      <c r="D482" s="11" cm="1">
        <f t="array" aca="1" ref="D482" ca="1">INDEX(INDIRECT($M482),
       MATCH(TRIM($C482), TRIM(INDIRECT($N482)), 0),
       MATCH(TRIM(D$2), TRIM(INDIRECT($O482)), 0))</f>
        <v>2</v>
      </c>
      <c r="E482" s="9" t="e" cm="1">
        <f t="array" aca="1" ref="E482" ca="1">INDEX(INDIRECT($M482),
       MATCH(TRIM($C482), TRIM(INDIRECT($N482)), 0),
       MATCH(TRIM(E$2), TRIM(INDIRECT($O482)), 0))</f>
        <v>#N/A</v>
      </c>
      <c r="F482" s="11" cm="1">
        <f t="array" aca="1" ref="F482" ca="1">INDEX(INDIRECT($M482),
       MATCH(TRIM($C482), TRIM(INDIRECT($N482)), 0),
       MATCH(TRIM(F$2), TRIM(INDIRECT($O482)), 0))</f>
        <v>23</v>
      </c>
      <c r="G482" s="11" cm="1">
        <f t="array" aca="1" ref="G482" ca="1">INDEX(INDIRECT($M482),
       MATCH(TRIM($C482), TRIM(INDIRECT($N482)), 0),
       MATCH(TRIM(G$2), TRIM(INDIRECT($O482)), 0))</f>
        <v>1</v>
      </c>
      <c r="H482" s="9" t="e" cm="1">
        <f t="array" aca="1" ref="H482" ca="1">INDEX(INDIRECT($M482),
       MATCH(TRIM($C482), TRIM(INDIRECT($N482)), 0),
       MATCH(TRIM(H$2), TRIM(INDIRECT($O482)), 0))</f>
        <v>#N/A</v>
      </c>
      <c r="I482" s="11" cm="1">
        <f t="array" aca="1" ref="I482" ca="1">INDEX(INDIRECT($M482),
       MATCH(TRIM($C482), TRIM(INDIRECT($N482)), 0),
       MATCH(TRIM(I$2), TRIM(INDIRECT($O482)), 0))</f>
        <v>1.5</v>
      </c>
      <c r="J482" s="9" cm="1">
        <f t="array" aca="1" ref="J482" ca="1">INDEX(INDIRECT($M482),
       MATCH(TRIM($C482), TRIM(INDIRECT($N482)), 0),
       MATCH(TRIM(J$2), TRIM(INDIRECT($O482)), 0))</f>
        <v>2</v>
      </c>
      <c r="K482" s="11" cm="1">
        <f t="array" aca="1" ref="K482" ca="1">INDEX(INDIRECT($M482),
       MATCH(TRIM($C482), TRIM(INDIRECT($N482)), 0),
       MATCH(TRIM(K$2), TRIM(INDIRECT($O482)), 0))</f>
        <v>0.13692053000000001</v>
      </c>
      <c r="L482" s="11" cm="1">
        <f t="array" aca="1" ref="L482" ca="1">INDEX(INDIRECT($M482),
       MATCH(TRIM($C482), TRIM(INDIRECT($N482)), 0),
       MATCH(TRIM(L$2), TRIM(INDIRECT($O482)), 0))</f>
        <v>24.636920530000001</v>
      </c>
      <c r="M482" s="5" t="str">
        <f t="shared" si="21"/>
        <v>'2022'!$N$3:$V$80</v>
      </c>
      <c r="N482" s="5" t="str">
        <f t="shared" si="22"/>
        <v>'2022'!$M$2:$M$80</v>
      </c>
      <c r="O482" s="5" t="str">
        <f t="shared" si="23"/>
        <v>'2022'!$N$2:$W$2</v>
      </c>
    </row>
    <row r="483" spans="1:15" x14ac:dyDescent="0.3">
      <c r="A483">
        <v>40</v>
      </c>
      <c r="B483" s="9">
        <v>2022</v>
      </c>
      <c r="C483" t="s">
        <v>39</v>
      </c>
      <c r="D483" s="11" cm="1">
        <f t="array" aca="1" ref="D483" ca="1">INDEX(INDIRECT($M483),
       MATCH(TRIM($C483), TRIM(INDIRECT($N483)), 0),
       MATCH(TRIM(D$2), TRIM(INDIRECT($O483)), 0))</f>
        <v>7</v>
      </c>
      <c r="E483" s="9" t="e" cm="1">
        <f t="array" aca="1" ref="E483" ca="1">INDEX(INDIRECT($M483),
       MATCH(TRIM($C483), TRIM(INDIRECT($N483)), 0),
       MATCH(TRIM(E$2), TRIM(INDIRECT($O483)), 0))</f>
        <v>#N/A</v>
      </c>
      <c r="F483" s="11" cm="1">
        <f t="array" aca="1" ref="F483" ca="1">INDEX(INDIRECT($M483),
       MATCH(TRIM($C483), TRIM(INDIRECT($N483)), 0),
       MATCH(TRIM(F$2), TRIM(INDIRECT($O483)), 0))</f>
        <v>43.023629999999997</v>
      </c>
      <c r="G483" s="11" cm="1">
        <f t="array" aca="1" ref="G483" ca="1">INDEX(INDIRECT($M483),
       MATCH(TRIM($C483), TRIM(INDIRECT($N483)), 0),
       MATCH(TRIM(G$2), TRIM(INDIRECT($O483)), 0))</f>
        <v>4</v>
      </c>
      <c r="H483" s="9" t="e" cm="1">
        <f t="array" aca="1" ref="H483" ca="1">INDEX(INDIRECT($M483),
       MATCH(TRIM($C483), TRIM(INDIRECT($N483)), 0),
       MATCH(TRIM(H$2), TRIM(INDIRECT($O483)), 0))</f>
        <v>#N/A</v>
      </c>
      <c r="I483" s="11" cm="1">
        <f t="array" aca="1" ref="I483" ca="1">INDEX(INDIRECT($M483),
       MATCH(TRIM($C483), TRIM(INDIRECT($N483)), 0),
       MATCH(TRIM(I$2), TRIM(INDIRECT($O483)), 0))</f>
        <v>2.949579</v>
      </c>
      <c r="J483" s="9" cm="1">
        <f t="array" aca="1" ref="J483" ca="1">INDEX(INDIRECT($M483),
       MATCH(TRIM($C483), TRIM(INDIRECT($N483)), 0),
       MATCH(TRIM(J$2), TRIM(INDIRECT($O483)), 0))</f>
        <v>6</v>
      </c>
      <c r="K483" s="11" cm="1">
        <f t="array" aca="1" ref="K483" ca="1">INDEX(INDIRECT($M483),
       MATCH(TRIM($C483), TRIM(INDIRECT($N483)), 0),
       MATCH(TRIM(K$2), TRIM(INDIRECT($O483)), 0))</f>
        <v>11.624876270000001</v>
      </c>
      <c r="L483" s="11" cm="1">
        <f t="array" aca="1" ref="L483" ca="1">INDEX(INDIRECT($M483),
       MATCH(TRIM($C483), TRIM(INDIRECT($N483)), 0),
       MATCH(TRIM(L$2), TRIM(INDIRECT($O483)), 0))</f>
        <v>57.598085269999999</v>
      </c>
      <c r="M483" s="5" t="str">
        <f t="shared" si="21"/>
        <v>'2022'!$N$3:$V$80</v>
      </c>
      <c r="N483" s="5" t="str">
        <f t="shared" si="22"/>
        <v>'2022'!$M$2:$M$80</v>
      </c>
      <c r="O483" s="5" t="str">
        <f t="shared" si="23"/>
        <v>'2022'!$N$2:$W$2</v>
      </c>
    </row>
    <row r="484" spans="1:15" x14ac:dyDescent="0.3">
      <c r="A484">
        <v>41</v>
      </c>
      <c r="B484" s="9">
        <v>2022</v>
      </c>
      <c r="C484" t="s">
        <v>40</v>
      </c>
      <c r="D484" s="11" cm="1">
        <f t="array" aca="1" ref="D484" ca="1">INDEX(INDIRECT($M484),
       MATCH(TRIM($C484), TRIM(INDIRECT($N484)), 0),
       MATCH(TRIM(D$2), TRIM(INDIRECT($O484)), 0))</f>
        <v>1</v>
      </c>
      <c r="E484" s="9" t="e" cm="1">
        <f t="array" aca="1" ref="E484" ca="1">INDEX(INDIRECT($M484),
       MATCH(TRIM($C484), TRIM(INDIRECT($N484)), 0),
       MATCH(TRIM(E$2), TRIM(INDIRECT($O484)), 0))</f>
        <v>#N/A</v>
      </c>
      <c r="F484" s="11" cm="1">
        <f t="array" aca="1" ref="F484" ca="1">INDEX(INDIRECT($M484),
       MATCH(TRIM($C484), TRIM(INDIRECT($N484)), 0),
       MATCH(TRIM(F$2), TRIM(INDIRECT($O484)), 0))</f>
        <v>1.082803</v>
      </c>
      <c r="G484" s="11" cm="1">
        <f t="array" aca="1" ref="G484" ca="1">INDEX(INDIRECT($M484),
       MATCH(TRIM($C484), TRIM(INDIRECT($N484)), 0),
       MATCH(TRIM(G$2), TRIM(INDIRECT($O484)), 0))</f>
        <v>1</v>
      </c>
      <c r="H484" s="9" t="e" cm="1">
        <f t="array" aca="1" ref="H484" ca="1">INDEX(INDIRECT($M484),
       MATCH(TRIM($C484), TRIM(INDIRECT($N484)), 0),
       MATCH(TRIM(H$2), TRIM(INDIRECT($O484)), 0))</f>
        <v>#N/A</v>
      </c>
      <c r="I484" s="11" cm="1">
        <f t="array" aca="1" ref="I484" ca="1">INDEX(INDIRECT($M484),
       MATCH(TRIM($C484), TRIM(INDIRECT($N484)), 0),
       MATCH(TRIM(I$2), TRIM(INDIRECT($O484)), 0))</f>
        <v>-0.44500000000000001</v>
      </c>
      <c r="J484" s="9" cm="1">
        <f t="array" aca="1" ref="J484" ca="1">INDEX(INDIRECT($M484),
       MATCH(TRIM($C484), TRIM(INDIRECT($N484)), 0),
       MATCH(TRIM(J$2), TRIM(INDIRECT($O484)), 0))</f>
        <v>3</v>
      </c>
      <c r="K484" s="11" cm="1">
        <f t="array" aca="1" ref="K484" ca="1">INDEX(INDIRECT($M484),
       MATCH(TRIM($C484), TRIM(INDIRECT($N484)), 0),
       MATCH(TRIM(K$2), TRIM(INDIRECT($O484)), 0))</f>
        <v>2.2255980000000002</v>
      </c>
      <c r="L484" s="11" cm="1">
        <f t="array" aca="1" ref="L484" ca="1">INDEX(INDIRECT($M484),
       MATCH(TRIM($C484), TRIM(INDIRECT($N484)), 0),
       MATCH(TRIM(L$2), TRIM(INDIRECT($O484)), 0))</f>
        <v>2.8634010000000001</v>
      </c>
      <c r="M484" s="5" t="str">
        <f t="shared" si="21"/>
        <v>'2022'!$N$3:$V$80</v>
      </c>
      <c r="N484" s="5" t="str">
        <f t="shared" si="22"/>
        <v>'2022'!$M$2:$M$80</v>
      </c>
      <c r="O484" s="5" t="str">
        <f t="shared" si="23"/>
        <v>'2022'!$N$2:$W$2</v>
      </c>
    </row>
    <row r="485" spans="1:15" x14ac:dyDescent="0.3">
      <c r="A485">
        <v>42</v>
      </c>
      <c r="B485" s="9">
        <v>2022</v>
      </c>
      <c r="C485" t="s">
        <v>41</v>
      </c>
      <c r="D485" s="11" cm="1">
        <f t="array" aca="1" ref="D485" ca="1">INDEX(INDIRECT($M485),
       MATCH(TRIM($C485), TRIM(INDIRECT($N485)), 0),
       MATCH(TRIM(D$2), TRIM(INDIRECT($O485)), 0))</f>
        <v>1</v>
      </c>
      <c r="E485" s="9" t="e" cm="1">
        <f t="array" aca="1" ref="E485" ca="1">INDEX(INDIRECT($M485),
       MATCH(TRIM($C485), TRIM(INDIRECT($N485)), 0),
       MATCH(TRIM(E$2), TRIM(INDIRECT($O485)), 0))</f>
        <v>#N/A</v>
      </c>
      <c r="F485" s="11" cm="1">
        <f t="array" aca="1" ref="F485" ca="1">INDEX(INDIRECT($M485),
       MATCH(TRIM($C485), TRIM(INDIRECT($N485)), 0),
       MATCH(TRIM(F$2), TRIM(INDIRECT($O485)), 0))</f>
        <v>275</v>
      </c>
      <c r="G485" s="11" cm="1">
        <f t="array" aca="1" ref="G485" ca="1">INDEX(INDIRECT($M485),
       MATCH(TRIM($C485), TRIM(INDIRECT($N485)), 0),
       MATCH(TRIM(G$2), TRIM(INDIRECT($O485)), 0))</f>
        <v>0</v>
      </c>
      <c r="H485" s="9" t="e" cm="1">
        <f t="array" aca="1" ref="H485" ca="1">INDEX(INDIRECT($M485),
       MATCH(TRIM($C485), TRIM(INDIRECT($N485)), 0),
       MATCH(TRIM(H$2), TRIM(INDIRECT($O485)), 0))</f>
        <v>#N/A</v>
      </c>
      <c r="I485" s="11" cm="1">
        <f t="array" aca="1" ref="I485" ca="1">INDEX(INDIRECT($M485),
       MATCH(TRIM($C485), TRIM(INDIRECT($N485)), 0),
       MATCH(TRIM(I$2), TRIM(INDIRECT($O485)), 0))</f>
        <v>0</v>
      </c>
      <c r="J485" s="9" cm="1">
        <f t="array" aca="1" ref="J485" ca="1">INDEX(INDIRECT($M485),
       MATCH(TRIM($C485), TRIM(INDIRECT($N485)), 0),
       MATCH(TRIM(J$2), TRIM(INDIRECT($O485)), 0))</f>
        <v>2</v>
      </c>
      <c r="K485" s="11" cm="1">
        <f t="array" aca="1" ref="K485" ca="1">INDEX(INDIRECT($M485),
       MATCH(TRIM($C485), TRIM(INDIRECT($N485)), 0),
       MATCH(TRIM(K$2), TRIM(INDIRECT($O485)), 0))</f>
        <v>1.1280362500000001</v>
      </c>
      <c r="L485" s="11" cm="1">
        <f t="array" aca="1" ref="L485" ca="1">INDEX(INDIRECT($M485),
       MATCH(TRIM($C485), TRIM(INDIRECT($N485)), 0),
       MATCH(TRIM(L$2), TRIM(INDIRECT($O485)), 0))</f>
        <v>276.12803624999998</v>
      </c>
      <c r="M485" s="5" t="str">
        <f t="shared" si="21"/>
        <v>'2022'!$N$3:$V$80</v>
      </c>
      <c r="N485" s="5" t="str">
        <f t="shared" si="22"/>
        <v>'2022'!$M$2:$M$80</v>
      </c>
      <c r="O485" s="5" t="str">
        <f t="shared" si="23"/>
        <v>'2022'!$N$2:$W$2</v>
      </c>
    </row>
    <row r="486" spans="1:15" x14ac:dyDescent="0.3">
      <c r="A486">
        <v>43</v>
      </c>
      <c r="B486" s="9">
        <v>2022</v>
      </c>
      <c r="C486" t="s">
        <v>42</v>
      </c>
      <c r="D486" s="11" cm="1">
        <f t="array" aca="1" ref="D486" ca="1">INDEX(INDIRECT($M486),
       MATCH(TRIM($C486), TRIM(INDIRECT($N486)), 0),
       MATCH(TRIM(D$2), TRIM(INDIRECT($O486)), 0))</f>
        <v>1</v>
      </c>
      <c r="E486" s="9" t="e" cm="1">
        <f t="array" aca="1" ref="E486" ca="1">INDEX(INDIRECT($M486),
       MATCH(TRIM($C486), TRIM(INDIRECT($N486)), 0),
       MATCH(TRIM(E$2), TRIM(INDIRECT($O486)), 0))</f>
        <v>#N/A</v>
      </c>
      <c r="F486" s="11" cm="1">
        <f t="array" aca="1" ref="F486" ca="1">INDEX(INDIRECT($M486),
       MATCH(TRIM($C486), TRIM(INDIRECT($N486)), 0),
       MATCH(TRIM(F$2), TRIM(INDIRECT($O486)), 0))</f>
        <v>4.3020000000000003E-2</v>
      </c>
      <c r="G486" s="11" cm="1">
        <f t="array" aca="1" ref="G486" ca="1">INDEX(INDIRECT($M486),
       MATCH(TRIM($C486), TRIM(INDIRECT($N486)), 0),
       MATCH(TRIM(G$2), TRIM(INDIRECT($O486)), 0))</f>
        <v>3</v>
      </c>
      <c r="H486" s="9" t="e" cm="1">
        <f t="array" aca="1" ref="H486" ca="1">INDEX(INDIRECT($M486),
       MATCH(TRIM($C486), TRIM(INDIRECT($N486)), 0),
       MATCH(TRIM(H$2), TRIM(INDIRECT($O486)), 0))</f>
        <v>#N/A</v>
      </c>
      <c r="I486" s="11" cm="1">
        <f t="array" aca="1" ref="I486" ca="1">INDEX(INDIRECT($M486),
       MATCH(TRIM($C486), TRIM(INDIRECT($N486)), 0),
       MATCH(TRIM(I$2), TRIM(INDIRECT($O486)), 0))</f>
        <v>-9.3780588125000008</v>
      </c>
      <c r="J486" s="9" cm="1">
        <f t="array" aca="1" ref="J486" ca="1">INDEX(INDIRECT($M486),
       MATCH(TRIM($C486), TRIM(INDIRECT($N486)), 0),
       MATCH(TRIM(J$2), TRIM(INDIRECT($O486)), 0))</f>
        <v>17</v>
      </c>
      <c r="K486" s="11" cm="1">
        <f t="array" aca="1" ref="K486" ca="1">INDEX(INDIRECT($M486),
       MATCH(TRIM($C486), TRIM(INDIRECT($N486)), 0),
       MATCH(TRIM(K$2), TRIM(INDIRECT($O486)), 0))</f>
        <v>3.0204535799999994</v>
      </c>
      <c r="L486" s="11" cm="1">
        <f t="array" aca="1" ref="L486" ca="1">INDEX(INDIRECT($M486),
       MATCH(TRIM($C486), TRIM(INDIRECT($N486)), 0),
       MATCH(TRIM(L$2), TRIM(INDIRECT($O486)), 0))</f>
        <v>-6.3145852325000007</v>
      </c>
      <c r="M486" s="5" t="str">
        <f t="shared" si="21"/>
        <v>'2022'!$N$3:$V$80</v>
      </c>
      <c r="N486" s="5" t="str">
        <f t="shared" si="22"/>
        <v>'2022'!$M$2:$M$80</v>
      </c>
      <c r="O486" s="5" t="str">
        <f t="shared" si="23"/>
        <v>'2022'!$N$2:$W$2</v>
      </c>
    </row>
    <row r="487" spans="1:15" x14ac:dyDescent="0.3">
      <c r="A487">
        <v>44</v>
      </c>
      <c r="B487" s="9">
        <v>2022</v>
      </c>
      <c r="C487" t="s">
        <v>43</v>
      </c>
      <c r="D487" s="11" cm="1">
        <f t="array" aca="1" ref="D487" ca="1">INDEX(INDIRECT($M487),
       MATCH(TRIM($C487), TRIM(INDIRECT($N487)), 0),
       MATCH(TRIM(D$2), TRIM(INDIRECT($O487)), 0))</f>
        <v>1</v>
      </c>
      <c r="E487" s="9" t="e" cm="1">
        <f t="array" aca="1" ref="E487" ca="1">INDEX(INDIRECT($M487),
       MATCH(TRIM($C487), TRIM(INDIRECT($N487)), 0),
       MATCH(TRIM(E$2), TRIM(INDIRECT($O487)), 0))</f>
        <v>#N/A</v>
      </c>
      <c r="F487" s="11" cm="1">
        <f t="array" aca="1" ref="F487" ca="1">INDEX(INDIRECT($M487),
       MATCH(TRIM($C487), TRIM(INDIRECT($N487)), 0),
       MATCH(TRIM(F$2), TRIM(INDIRECT($O487)), 0))</f>
        <v>2</v>
      </c>
      <c r="G487" s="11" cm="1">
        <f t="array" aca="1" ref="G487" ca="1">INDEX(INDIRECT($M487),
       MATCH(TRIM($C487), TRIM(INDIRECT($N487)), 0),
       MATCH(TRIM(G$2), TRIM(INDIRECT($O487)), 0))</f>
        <v>0</v>
      </c>
      <c r="H487" s="9" t="e" cm="1">
        <f t="array" aca="1" ref="H487" ca="1">INDEX(INDIRECT($M487),
       MATCH(TRIM($C487), TRIM(INDIRECT($N487)), 0),
       MATCH(TRIM(H$2), TRIM(INDIRECT($O487)), 0))</f>
        <v>#N/A</v>
      </c>
      <c r="I487" s="11" cm="1">
        <f t="array" aca="1" ref="I487" ca="1">INDEX(INDIRECT($M487),
       MATCH(TRIM($C487), TRIM(INDIRECT($N487)), 0),
       MATCH(TRIM(I$2), TRIM(INDIRECT($O487)), 0))</f>
        <v>0</v>
      </c>
      <c r="J487" s="9" cm="1">
        <f t="array" aca="1" ref="J487" ca="1">INDEX(INDIRECT($M487),
       MATCH(TRIM($C487), TRIM(INDIRECT($N487)), 0),
       MATCH(TRIM(J$2), TRIM(INDIRECT($O487)), 0))</f>
        <v>11</v>
      </c>
      <c r="K487" s="11" cm="1">
        <f t="array" aca="1" ref="K487" ca="1">INDEX(INDIRECT($M487),
       MATCH(TRIM($C487), TRIM(INDIRECT($N487)), 0),
       MATCH(TRIM(K$2), TRIM(INDIRECT($O487)), 0))</f>
        <v>2.6680168899999996</v>
      </c>
      <c r="L487" s="11" cm="1">
        <f t="array" aca="1" ref="L487" ca="1">INDEX(INDIRECT($M487),
       MATCH(TRIM($C487), TRIM(INDIRECT($N487)), 0),
       MATCH(TRIM(L$2), TRIM(INDIRECT($O487)), 0))</f>
        <v>4.6680168899999996</v>
      </c>
      <c r="M487" s="5" t="str">
        <f t="shared" si="21"/>
        <v>'2022'!$N$3:$V$80</v>
      </c>
      <c r="N487" s="5" t="str">
        <f t="shared" si="22"/>
        <v>'2022'!$M$2:$M$80</v>
      </c>
      <c r="O487" s="5" t="str">
        <f t="shared" si="23"/>
        <v>'2022'!$N$2:$W$2</v>
      </c>
    </row>
    <row r="488" spans="1:15" x14ac:dyDescent="0.3">
      <c r="A488">
        <v>45</v>
      </c>
      <c r="B488" s="9">
        <v>2022</v>
      </c>
      <c r="C488" t="s">
        <v>44</v>
      </c>
      <c r="D488" s="11" cm="1">
        <f t="array" aca="1" ref="D488" ca="1">INDEX(INDIRECT($M488),
       MATCH(TRIM($C488), TRIM(INDIRECT($N488)), 0),
       MATCH(TRIM(D$2), TRIM(INDIRECT($O488)), 0))</f>
        <v>0</v>
      </c>
      <c r="E488" s="9" t="e" cm="1">
        <f t="array" aca="1" ref="E488" ca="1">INDEX(INDIRECT($M488),
       MATCH(TRIM($C488), TRIM(INDIRECT($N488)), 0),
       MATCH(TRIM(E$2), TRIM(INDIRECT($O488)), 0))</f>
        <v>#N/A</v>
      </c>
      <c r="F488" s="11" cm="1">
        <f t="array" aca="1" ref="F488" ca="1">INDEX(INDIRECT($M488),
       MATCH(TRIM($C488), TRIM(INDIRECT($N488)), 0),
       MATCH(TRIM(F$2), TRIM(INDIRECT($O488)), 0))</f>
        <v>0</v>
      </c>
      <c r="G488" s="11" cm="1">
        <f t="array" aca="1" ref="G488" ca="1">INDEX(INDIRECT($M488),
       MATCH(TRIM($C488), TRIM(INDIRECT($N488)), 0),
       MATCH(TRIM(G$2), TRIM(INDIRECT($O488)), 0))</f>
        <v>0</v>
      </c>
      <c r="H488" s="9" t="e" cm="1">
        <f t="array" aca="1" ref="H488" ca="1">INDEX(INDIRECT($M488),
       MATCH(TRIM($C488), TRIM(INDIRECT($N488)), 0),
       MATCH(TRIM(H$2), TRIM(INDIRECT($O488)), 0))</f>
        <v>#N/A</v>
      </c>
      <c r="I488" s="11" cm="1">
        <f t="array" aca="1" ref="I488" ca="1">INDEX(INDIRECT($M488),
       MATCH(TRIM($C488), TRIM(INDIRECT($N488)), 0),
       MATCH(TRIM(I$2), TRIM(INDIRECT($O488)), 0))</f>
        <v>0</v>
      </c>
      <c r="J488" s="9" cm="1">
        <f t="array" aca="1" ref="J488" ca="1">INDEX(INDIRECT($M488),
       MATCH(TRIM($C488), TRIM(INDIRECT($N488)), 0),
       MATCH(TRIM(J$2), TRIM(INDIRECT($O488)), 0))</f>
        <v>3</v>
      </c>
      <c r="K488" s="11" cm="1">
        <f t="array" aca="1" ref="K488" ca="1">INDEX(INDIRECT($M488),
       MATCH(TRIM($C488), TRIM(INDIRECT($N488)), 0),
       MATCH(TRIM(K$2), TRIM(INDIRECT($O488)), 0))</f>
        <v>0.46816140000000001</v>
      </c>
      <c r="L488" s="11" cm="1">
        <f t="array" aca="1" ref="L488" ca="1">INDEX(INDIRECT($M488),
       MATCH(TRIM($C488), TRIM(INDIRECT($N488)), 0),
       MATCH(TRIM(L$2), TRIM(INDIRECT($O488)), 0))</f>
        <v>0.46816140000000001</v>
      </c>
      <c r="M488" s="5" t="str">
        <f t="shared" si="21"/>
        <v>'2022'!$N$3:$V$80</v>
      </c>
      <c r="N488" s="5" t="str">
        <f t="shared" si="22"/>
        <v>'2022'!$M$2:$M$80</v>
      </c>
      <c r="O488" s="5" t="str">
        <f t="shared" si="23"/>
        <v>'2022'!$N$2:$W$2</v>
      </c>
    </row>
    <row r="489" spans="1:15" x14ac:dyDescent="0.3">
      <c r="A489">
        <v>46</v>
      </c>
      <c r="B489" s="9">
        <v>2022</v>
      </c>
      <c r="C489" t="s">
        <v>45</v>
      </c>
      <c r="D489" s="11" cm="1">
        <f t="array" aca="1" ref="D489" ca="1">INDEX(INDIRECT($M489),
       MATCH(TRIM($C489), TRIM(INDIRECT($N489)), 0),
       MATCH(TRIM(D$2), TRIM(INDIRECT($O489)), 0))</f>
        <v>0</v>
      </c>
      <c r="E489" s="9" t="e" cm="1">
        <f t="array" aca="1" ref="E489" ca="1">INDEX(INDIRECT($M489),
       MATCH(TRIM($C489), TRIM(INDIRECT($N489)), 0),
       MATCH(TRIM(E$2), TRIM(INDIRECT($O489)), 0))</f>
        <v>#N/A</v>
      </c>
      <c r="F489" s="11" cm="1">
        <f t="array" aca="1" ref="F489" ca="1">INDEX(INDIRECT($M489),
       MATCH(TRIM($C489), TRIM(INDIRECT($N489)), 0),
       MATCH(TRIM(F$2), TRIM(INDIRECT($O489)), 0))</f>
        <v>0</v>
      </c>
      <c r="G489" s="11" cm="1">
        <f t="array" aca="1" ref="G489" ca="1">INDEX(INDIRECT($M489),
       MATCH(TRIM($C489), TRIM(INDIRECT($N489)), 0),
       MATCH(TRIM(G$2), TRIM(INDIRECT($O489)), 0))</f>
        <v>0</v>
      </c>
      <c r="H489" s="9" t="e" cm="1">
        <f t="array" aca="1" ref="H489" ca="1">INDEX(INDIRECT($M489),
       MATCH(TRIM($C489), TRIM(INDIRECT($N489)), 0),
       MATCH(TRIM(H$2), TRIM(INDIRECT($O489)), 0))</f>
        <v>#N/A</v>
      </c>
      <c r="I489" s="11" cm="1">
        <f t="array" aca="1" ref="I489" ca="1">INDEX(INDIRECT($M489),
       MATCH(TRIM($C489), TRIM(INDIRECT($N489)), 0),
       MATCH(TRIM(I$2), TRIM(INDIRECT($O489)), 0))</f>
        <v>0</v>
      </c>
      <c r="J489" s="9" cm="1">
        <f t="array" aca="1" ref="J489" ca="1">INDEX(INDIRECT($M489),
       MATCH(TRIM($C489), TRIM(INDIRECT($N489)), 0),
       MATCH(TRIM(J$2), TRIM(INDIRECT($O489)), 0))</f>
        <v>4</v>
      </c>
      <c r="K489" s="11" cm="1">
        <f t="array" aca="1" ref="K489" ca="1">INDEX(INDIRECT($M489),
       MATCH(TRIM($C489), TRIM(INDIRECT($N489)), 0),
       MATCH(TRIM(K$2), TRIM(INDIRECT($O489)), 0))</f>
        <v>0.86432255000000002</v>
      </c>
      <c r="L489" s="11" cm="1">
        <f t="array" aca="1" ref="L489" ca="1">INDEX(INDIRECT($M489),
       MATCH(TRIM($C489), TRIM(INDIRECT($N489)), 0),
       MATCH(TRIM(L$2), TRIM(INDIRECT($O489)), 0))</f>
        <v>0.86432255000000002</v>
      </c>
      <c r="M489" s="5" t="str">
        <f t="shared" si="21"/>
        <v>'2022'!$N$3:$V$80</v>
      </c>
      <c r="N489" s="5" t="str">
        <f t="shared" si="22"/>
        <v>'2022'!$M$2:$M$80</v>
      </c>
      <c r="O489" s="5" t="str">
        <f t="shared" si="23"/>
        <v>'2022'!$N$2:$W$2</v>
      </c>
    </row>
    <row r="490" spans="1:15" x14ac:dyDescent="0.3">
      <c r="A490">
        <v>47</v>
      </c>
      <c r="B490" s="9">
        <v>2022</v>
      </c>
      <c r="C490" t="s">
        <v>46</v>
      </c>
      <c r="D490" s="11" t="e" cm="1">
        <f t="array" aca="1" ref="D490" ca="1">INDEX(INDIRECT($M490),
       MATCH(TRIM($C490), TRIM(INDIRECT($N490)), 0),
       MATCH(TRIM(D$2), TRIM(INDIRECT($O490)), 0))</f>
        <v>#N/A</v>
      </c>
      <c r="E490" s="9" t="e" cm="1">
        <f t="array" aca="1" ref="E490" ca="1">INDEX(INDIRECT($M490),
       MATCH(TRIM($C490), TRIM(INDIRECT($N490)), 0),
       MATCH(TRIM(E$2), TRIM(INDIRECT($O490)), 0))</f>
        <v>#N/A</v>
      </c>
      <c r="F490" s="11" t="e" cm="1">
        <f t="array" aca="1" ref="F490" ca="1">INDEX(INDIRECT($M490),
       MATCH(TRIM($C490), TRIM(INDIRECT($N490)), 0),
       MATCH(TRIM(F$2), TRIM(INDIRECT($O490)), 0))</f>
        <v>#N/A</v>
      </c>
      <c r="G490" s="11" t="e" cm="1">
        <f t="array" aca="1" ref="G490" ca="1">INDEX(INDIRECT($M490),
       MATCH(TRIM($C490), TRIM(INDIRECT($N490)), 0),
       MATCH(TRIM(G$2), TRIM(INDIRECT($O490)), 0))</f>
        <v>#N/A</v>
      </c>
      <c r="H490" s="9" t="e" cm="1">
        <f t="array" aca="1" ref="H490" ca="1">INDEX(INDIRECT($M490),
       MATCH(TRIM($C490), TRIM(INDIRECT($N490)), 0),
       MATCH(TRIM(H$2), TRIM(INDIRECT($O490)), 0))</f>
        <v>#N/A</v>
      </c>
      <c r="I490" s="11" t="e" cm="1">
        <f t="array" aca="1" ref="I490" ca="1">INDEX(INDIRECT($M490),
       MATCH(TRIM($C490), TRIM(INDIRECT($N490)), 0),
       MATCH(TRIM(I$2), TRIM(INDIRECT($O490)), 0))</f>
        <v>#N/A</v>
      </c>
      <c r="J490" s="9" t="e" cm="1">
        <f t="array" aca="1" ref="J490" ca="1">INDEX(INDIRECT($M490),
       MATCH(TRIM($C490), TRIM(INDIRECT($N490)), 0),
       MATCH(TRIM(J$2), TRIM(INDIRECT($O490)), 0))</f>
        <v>#N/A</v>
      </c>
      <c r="K490" s="11" t="e" cm="1">
        <f t="array" aca="1" ref="K490" ca="1">INDEX(INDIRECT($M490),
       MATCH(TRIM($C490), TRIM(INDIRECT($N490)), 0),
       MATCH(TRIM(K$2), TRIM(INDIRECT($O490)), 0))</f>
        <v>#N/A</v>
      </c>
      <c r="L490" s="11" t="e" cm="1">
        <f t="array" aca="1" ref="L490" ca="1">INDEX(INDIRECT($M490),
       MATCH(TRIM($C490), TRIM(INDIRECT($N490)), 0),
       MATCH(TRIM(L$2), TRIM(INDIRECT($O490)), 0))</f>
        <v>#N/A</v>
      </c>
      <c r="M490" s="5" t="str">
        <f t="shared" si="21"/>
        <v>'2022'!$N$3:$V$80</v>
      </c>
      <c r="N490" s="5" t="str">
        <f t="shared" si="22"/>
        <v>'2022'!$M$2:$M$80</v>
      </c>
      <c r="O490" s="5" t="str">
        <f t="shared" si="23"/>
        <v>'2022'!$N$2:$W$2</v>
      </c>
    </row>
    <row r="491" spans="1:15" x14ac:dyDescent="0.3">
      <c r="A491">
        <v>48</v>
      </c>
      <c r="B491" s="9">
        <v>2022</v>
      </c>
      <c r="C491" t="s">
        <v>47</v>
      </c>
      <c r="D491" s="11" cm="1">
        <f t="array" aca="1" ref="D491" ca="1">INDEX(INDIRECT($M491),
       MATCH(TRIM($C491), TRIM(INDIRECT($N491)), 0),
       MATCH(TRIM(D$2), TRIM(INDIRECT($O491)), 0))</f>
        <v>3</v>
      </c>
      <c r="E491" s="9" t="e" cm="1">
        <f t="array" aca="1" ref="E491" ca="1">INDEX(INDIRECT($M491),
       MATCH(TRIM($C491), TRIM(INDIRECT($N491)), 0),
       MATCH(TRIM(E$2), TRIM(INDIRECT($O491)), 0))</f>
        <v>#N/A</v>
      </c>
      <c r="F491" s="11" cm="1">
        <f t="array" aca="1" ref="F491" ca="1">INDEX(INDIRECT($M491),
       MATCH(TRIM($C491), TRIM(INDIRECT($N491)), 0),
       MATCH(TRIM(F$2), TRIM(INDIRECT($O491)), 0))</f>
        <v>6.6118750000000004</v>
      </c>
      <c r="G491" s="11" cm="1">
        <f t="array" aca="1" ref="G491" ca="1">INDEX(INDIRECT($M491),
       MATCH(TRIM($C491), TRIM(INDIRECT($N491)), 0),
       MATCH(TRIM(G$2), TRIM(INDIRECT($O491)), 0))</f>
        <v>0</v>
      </c>
      <c r="H491" s="9" t="e" cm="1">
        <f t="array" aca="1" ref="H491" ca="1">INDEX(INDIRECT($M491),
       MATCH(TRIM($C491), TRIM(INDIRECT($N491)), 0),
       MATCH(TRIM(H$2), TRIM(INDIRECT($O491)), 0))</f>
        <v>#N/A</v>
      </c>
      <c r="I491" s="11" cm="1">
        <f t="array" aca="1" ref="I491" ca="1">INDEX(INDIRECT($M491),
       MATCH(TRIM($C491), TRIM(INDIRECT($N491)), 0),
       MATCH(TRIM(I$2), TRIM(INDIRECT($O491)), 0))</f>
        <v>0</v>
      </c>
      <c r="J491" s="9" cm="1">
        <f t="array" aca="1" ref="J491" ca="1">INDEX(INDIRECT($M491),
       MATCH(TRIM($C491), TRIM(INDIRECT($N491)), 0),
       MATCH(TRIM(J$2), TRIM(INDIRECT($O491)), 0))</f>
        <v>6</v>
      </c>
      <c r="K491" s="11" cm="1">
        <f t="array" aca="1" ref="K491" ca="1">INDEX(INDIRECT($M491),
       MATCH(TRIM($C491), TRIM(INDIRECT($N491)), 0),
       MATCH(TRIM(K$2), TRIM(INDIRECT($O491)), 0))</f>
        <v>3.0967129399999997</v>
      </c>
      <c r="L491" s="11" cm="1">
        <f t="array" aca="1" ref="L491" ca="1">INDEX(INDIRECT($M491),
       MATCH(TRIM($C491), TRIM(INDIRECT($N491)), 0),
       MATCH(TRIM(L$2), TRIM(INDIRECT($O491)), 0))</f>
        <v>9.708587940000001</v>
      </c>
      <c r="M491" s="5" t="str">
        <f t="shared" si="21"/>
        <v>'2022'!$N$3:$V$80</v>
      </c>
      <c r="N491" s="5" t="str">
        <f t="shared" si="22"/>
        <v>'2022'!$M$2:$M$80</v>
      </c>
      <c r="O491" s="5" t="str">
        <f t="shared" si="23"/>
        <v>'2022'!$N$2:$W$2</v>
      </c>
    </row>
    <row r="492" spans="1:15" x14ac:dyDescent="0.3">
      <c r="A492">
        <v>49</v>
      </c>
      <c r="B492" s="9">
        <v>2022</v>
      </c>
      <c r="C492" t="s">
        <v>48</v>
      </c>
      <c r="D492" s="11" cm="1">
        <f t="array" aca="1" ref="D492" ca="1">INDEX(INDIRECT($M492),
       MATCH(TRIM($C492), TRIM(INDIRECT($N492)), 0),
       MATCH(TRIM(D$2), TRIM(INDIRECT($O492)), 0))</f>
        <v>0</v>
      </c>
      <c r="E492" s="9" t="e" cm="1">
        <f t="array" aca="1" ref="E492" ca="1">INDEX(INDIRECT($M492),
       MATCH(TRIM($C492), TRIM(INDIRECT($N492)), 0),
       MATCH(TRIM(E$2), TRIM(INDIRECT($O492)), 0))</f>
        <v>#N/A</v>
      </c>
      <c r="F492" s="11" cm="1">
        <f t="array" aca="1" ref="F492" ca="1">INDEX(INDIRECT($M492),
       MATCH(TRIM($C492), TRIM(INDIRECT($N492)), 0),
       MATCH(TRIM(F$2), TRIM(INDIRECT($O492)), 0))</f>
        <v>0</v>
      </c>
      <c r="G492" s="11" cm="1">
        <f t="array" aca="1" ref="G492" ca="1">INDEX(INDIRECT($M492),
       MATCH(TRIM($C492), TRIM(INDIRECT($N492)), 0),
       MATCH(TRIM(G$2), TRIM(INDIRECT($O492)), 0))</f>
        <v>0</v>
      </c>
      <c r="H492" s="9" t="e" cm="1">
        <f t="array" aca="1" ref="H492" ca="1">INDEX(INDIRECT($M492),
       MATCH(TRIM($C492), TRIM(INDIRECT($N492)), 0),
       MATCH(TRIM(H$2), TRIM(INDIRECT($O492)), 0))</f>
        <v>#N/A</v>
      </c>
      <c r="I492" s="11" cm="1">
        <f t="array" aca="1" ref="I492" ca="1">INDEX(INDIRECT($M492),
       MATCH(TRIM($C492), TRIM(INDIRECT($N492)), 0),
       MATCH(TRIM(I$2), TRIM(INDIRECT($O492)), 0))</f>
        <v>0</v>
      </c>
      <c r="J492" s="9" cm="1">
        <f t="array" aca="1" ref="J492" ca="1">INDEX(INDIRECT($M492),
       MATCH(TRIM($C492), TRIM(INDIRECT($N492)), 0),
       MATCH(TRIM(J$2), TRIM(INDIRECT($O492)), 0))</f>
        <v>3</v>
      </c>
      <c r="K492" s="11" cm="1">
        <f t="array" aca="1" ref="K492" ca="1">INDEX(INDIRECT($M492),
       MATCH(TRIM($C492), TRIM(INDIRECT($N492)), 0),
       MATCH(TRIM(K$2), TRIM(INDIRECT($O492)), 0))</f>
        <v>0.57247375</v>
      </c>
      <c r="L492" s="11" cm="1">
        <f t="array" aca="1" ref="L492" ca="1">INDEX(INDIRECT($M492),
       MATCH(TRIM($C492), TRIM(INDIRECT($N492)), 0),
       MATCH(TRIM(L$2), TRIM(INDIRECT($O492)), 0))</f>
        <v>0.57247375</v>
      </c>
      <c r="M492" s="5" t="str">
        <f t="shared" si="21"/>
        <v>'2022'!$N$3:$V$80</v>
      </c>
      <c r="N492" s="5" t="str">
        <f t="shared" si="22"/>
        <v>'2022'!$M$2:$M$80</v>
      </c>
      <c r="O492" s="5" t="str">
        <f t="shared" si="23"/>
        <v>'2022'!$N$2:$W$2</v>
      </c>
    </row>
    <row r="493" spans="1:15" x14ac:dyDescent="0.3">
      <c r="A493">
        <v>50</v>
      </c>
      <c r="B493" s="9">
        <v>2022</v>
      </c>
      <c r="C493" t="s">
        <v>49</v>
      </c>
      <c r="D493" s="11" t="e" cm="1">
        <f t="array" aca="1" ref="D493" ca="1">INDEX(INDIRECT($M493),
       MATCH(TRIM($C493), TRIM(INDIRECT($N493)), 0),
       MATCH(TRIM(D$2), TRIM(INDIRECT($O493)), 0))</f>
        <v>#N/A</v>
      </c>
      <c r="E493" s="9" t="e" cm="1">
        <f t="array" aca="1" ref="E493" ca="1">INDEX(INDIRECT($M493),
       MATCH(TRIM($C493), TRIM(INDIRECT($N493)), 0),
       MATCH(TRIM(E$2), TRIM(INDIRECT($O493)), 0))</f>
        <v>#N/A</v>
      </c>
      <c r="F493" s="11" t="e" cm="1">
        <f t="array" aca="1" ref="F493" ca="1">INDEX(INDIRECT($M493),
       MATCH(TRIM($C493), TRIM(INDIRECT($N493)), 0),
       MATCH(TRIM(F$2), TRIM(INDIRECT($O493)), 0))</f>
        <v>#N/A</v>
      </c>
      <c r="G493" s="11" t="e" cm="1">
        <f t="array" aca="1" ref="G493" ca="1">INDEX(INDIRECT($M493),
       MATCH(TRIM($C493), TRIM(INDIRECT($N493)), 0),
       MATCH(TRIM(G$2), TRIM(INDIRECT($O493)), 0))</f>
        <v>#N/A</v>
      </c>
      <c r="H493" s="9" t="e" cm="1">
        <f t="array" aca="1" ref="H493" ca="1">INDEX(INDIRECT($M493),
       MATCH(TRIM($C493), TRIM(INDIRECT($N493)), 0),
       MATCH(TRIM(H$2), TRIM(INDIRECT($O493)), 0))</f>
        <v>#N/A</v>
      </c>
      <c r="I493" s="11" t="e" cm="1">
        <f t="array" aca="1" ref="I493" ca="1">INDEX(INDIRECT($M493),
       MATCH(TRIM($C493), TRIM(INDIRECT($N493)), 0),
       MATCH(TRIM(I$2), TRIM(INDIRECT($O493)), 0))</f>
        <v>#N/A</v>
      </c>
      <c r="J493" s="9" t="e" cm="1">
        <f t="array" aca="1" ref="J493" ca="1">INDEX(INDIRECT($M493),
       MATCH(TRIM($C493), TRIM(INDIRECT($N493)), 0),
       MATCH(TRIM(J$2), TRIM(INDIRECT($O493)), 0))</f>
        <v>#N/A</v>
      </c>
      <c r="K493" s="11" t="e" cm="1">
        <f t="array" aca="1" ref="K493" ca="1">INDEX(INDIRECT($M493),
       MATCH(TRIM($C493), TRIM(INDIRECT($N493)), 0),
       MATCH(TRIM(K$2), TRIM(INDIRECT($O493)), 0))</f>
        <v>#N/A</v>
      </c>
      <c r="L493" s="11" t="e" cm="1">
        <f t="array" aca="1" ref="L493" ca="1">INDEX(INDIRECT($M493),
       MATCH(TRIM($C493), TRIM(INDIRECT($N493)), 0),
       MATCH(TRIM(L$2), TRIM(INDIRECT($O493)), 0))</f>
        <v>#N/A</v>
      </c>
      <c r="M493" s="5" t="str">
        <f t="shared" si="21"/>
        <v>'2022'!$N$3:$V$80</v>
      </c>
      <c r="N493" s="5" t="str">
        <f t="shared" si="22"/>
        <v>'2022'!$M$2:$M$80</v>
      </c>
      <c r="O493" s="5" t="str">
        <f t="shared" si="23"/>
        <v>'2022'!$N$2:$W$2</v>
      </c>
    </row>
    <row r="494" spans="1:15" x14ac:dyDescent="0.3">
      <c r="A494">
        <v>51</v>
      </c>
      <c r="B494" s="9">
        <v>2022</v>
      </c>
      <c r="C494" t="s">
        <v>50</v>
      </c>
      <c r="D494" s="11" cm="1">
        <f t="array" aca="1" ref="D494" ca="1">INDEX(INDIRECT($M494),
       MATCH(TRIM($C494), TRIM(INDIRECT($N494)), 0),
       MATCH(TRIM(D$2), TRIM(INDIRECT($O494)), 0))</f>
        <v>2</v>
      </c>
      <c r="E494" s="9" t="e" cm="1">
        <f t="array" aca="1" ref="E494" ca="1">INDEX(INDIRECT($M494),
       MATCH(TRIM($C494), TRIM(INDIRECT($N494)), 0),
       MATCH(TRIM(E$2), TRIM(INDIRECT($O494)), 0))</f>
        <v>#N/A</v>
      </c>
      <c r="F494" s="11" cm="1">
        <f t="array" aca="1" ref="F494" ca="1">INDEX(INDIRECT($M494),
       MATCH(TRIM($C494), TRIM(INDIRECT($N494)), 0),
       MATCH(TRIM(F$2), TRIM(INDIRECT($O494)), 0))</f>
        <v>5.6521730000000003</v>
      </c>
      <c r="G494" s="11" cm="1">
        <f t="array" aca="1" ref="G494" ca="1">INDEX(INDIRECT($M494),
       MATCH(TRIM($C494), TRIM(INDIRECT($N494)), 0),
       MATCH(TRIM(G$2), TRIM(INDIRECT($O494)), 0))</f>
        <v>2</v>
      </c>
      <c r="H494" s="9" t="e" cm="1">
        <f t="array" aca="1" ref="H494" ca="1">INDEX(INDIRECT($M494),
       MATCH(TRIM($C494), TRIM(INDIRECT($N494)), 0),
       MATCH(TRIM(H$2), TRIM(INDIRECT($O494)), 0))</f>
        <v>#N/A</v>
      </c>
      <c r="I494" s="11" cm="1">
        <f t="array" aca="1" ref="I494" ca="1">INDEX(INDIRECT($M494),
       MATCH(TRIM($C494), TRIM(INDIRECT($N494)), 0),
       MATCH(TRIM(I$2), TRIM(INDIRECT($O494)), 0))</f>
        <v>3.9393349999999998</v>
      </c>
      <c r="J494" s="9" cm="1">
        <f t="array" aca="1" ref="J494" ca="1">INDEX(INDIRECT($M494),
       MATCH(TRIM($C494), TRIM(INDIRECT($N494)), 0),
       MATCH(TRIM(J$2), TRIM(INDIRECT($O494)), 0))</f>
        <v>2</v>
      </c>
      <c r="K494" s="11" cm="1">
        <f t="array" aca="1" ref="K494" ca="1">INDEX(INDIRECT($M494),
       MATCH(TRIM($C494), TRIM(INDIRECT($N494)), 0),
       MATCH(TRIM(K$2), TRIM(INDIRECT($O494)), 0))</f>
        <v>1.2426292700000001</v>
      </c>
      <c r="L494" s="11" cm="1">
        <f t="array" aca="1" ref="L494" ca="1">INDEX(INDIRECT($M494),
       MATCH(TRIM($C494), TRIM(INDIRECT($N494)), 0),
       MATCH(TRIM(L$2), TRIM(INDIRECT($O494)), 0))</f>
        <v>10.834137270000001</v>
      </c>
      <c r="M494" s="5" t="str">
        <f t="shared" si="21"/>
        <v>'2022'!$N$3:$V$80</v>
      </c>
      <c r="N494" s="5" t="str">
        <f t="shared" si="22"/>
        <v>'2022'!$M$2:$M$80</v>
      </c>
      <c r="O494" s="5" t="str">
        <f t="shared" si="23"/>
        <v>'2022'!$N$2:$W$2</v>
      </c>
    </row>
    <row r="495" spans="1:15" x14ac:dyDescent="0.3">
      <c r="A495">
        <v>52</v>
      </c>
      <c r="B495" s="9">
        <v>2022</v>
      </c>
      <c r="C495" t="s">
        <v>51</v>
      </c>
      <c r="D495" s="11" cm="1">
        <f t="array" aca="1" ref="D495" ca="1">INDEX(INDIRECT($M495),
       MATCH(TRIM($C495), TRIM(INDIRECT($N495)), 0),
       MATCH(TRIM(D$2), TRIM(INDIRECT($O495)), 0))</f>
        <v>0</v>
      </c>
      <c r="E495" s="9" t="e" cm="1">
        <f t="array" aca="1" ref="E495" ca="1">INDEX(INDIRECT($M495),
       MATCH(TRIM($C495), TRIM(INDIRECT($N495)), 0),
       MATCH(TRIM(E$2), TRIM(INDIRECT($O495)), 0))</f>
        <v>#N/A</v>
      </c>
      <c r="F495" s="11" cm="1">
        <f t="array" aca="1" ref="F495" ca="1">INDEX(INDIRECT($M495),
       MATCH(TRIM($C495), TRIM(INDIRECT($N495)), 0),
       MATCH(TRIM(F$2), TRIM(INDIRECT($O495)), 0))</f>
        <v>0</v>
      </c>
      <c r="G495" s="11" cm="1">
        <f t="array" aca="1" ref="G495" ca="1">INDEX(INDIRECT($M495),
       MATCH(TRIM($C495), TRIM(INDIRECT($N495)), 0),
       MATCH(TRIM(G$2), TRIM(INDIRECT($O495)), 0))</f>
        <v>0</v>
      </c>
      <c r="H495" s="9" t="e" cm="1">
        <f t="array" aca="1" ref="H495" ca="1">INDEX(INDIRECT($M495),
       MATCH(TRIM($C495), TRIM(INDIRECT($N495)), 0),
       MATCH(TRIM(H$2), TRIM(INDIRECT($O495)), 0))</f>
        <v>#N/A</v>
      </c>
      <c r="I495" s="11" cm="1">
        <f t="array" aca="1" ref="I495" ca="1">INDEX(INDIRECT($M495),
       MATCH(TRIM($C495), TRIM(INDIRECT($N495)), 0),
       MATCH(TRIM(I$2), TRIM(INDIRECT($O495)), 0))</f>
        <v>0</v>
      </c>
      <c r="J495" s="9" cm="1">
        <f t="array" aca="1" ref="J495" ca="1">INDEX(INDIRECT($M495),
       MATCH(TRIM($C495), TRIM(INDIRECT($N495)), 0),
       MATCH(TRIM(J$2), TRIM(INDIRECT($O495)), 0))</f>
        <v>1</v>
      </c>
      <c r="K495" s="11" cm="1">
        <f t="array" aca="1" ref="K495" ca="1">INDEX(INDIRECT($M495),
       MATCH(TRIM($C495), TRIM(INDIRECT($N495)), 0),
       MATCH(TRIM(K$2), TRIM(INDIRECT($O495)), 0))</f>
        <v>1.7231723600000002</v>
      </c>
      <c r="L495" s="11" cm="1">
        <f t="array" aca="1" ref="L495" ca="1">INDEX(INDIRECT($M495),
       MATCH(TRIM($C495), TRIM(INDIRECT($N495)), 0),
       MATCH(TRIM(L$2), TRIM(INDIRECT($O495)), 0))</f>
        <v>1.7231723600000002</v>
      </c>
      <c r="M495" s="5" t="str">
        <f t="shared" si="21"/>
        <v>'2022'!$N$3:$V$80</v>
      </c>
      <c r="N495" s="5" t="str">
        <f t="shared" si="22"/>
        <v>'2022'!$M$2:$M$80</v>
      </c>
      <c r="O495" s="5" t="str">
        <f t="shared" si="23"/>
        <v>'2022'!$N$2:$W$2</v>
      </c>
    </row>
    <row r="496" spans="1:15" x14ac:dyDescent="0.3">
      <c r="A496">
        <v>53</v>
      </c>
      <c r="B496" s="9">
        <v>2022</v>
      </c>
      <c r="C496" t="s">
        <v>52</v>
      </c>
      <c r="D496" s="11" t="e" cm="1">
        <f t="array" aca="1" ref="D496" ca="1">INDEX(INDIRECT($M496),
       MATCH(TRIM($C496), TRIM(INDIRECT($N496)), 0),
       MATCH(TRIM(D$2), TRIM(INDIRECT($O496)), 0))</f>
        <v>#N/A</v>
      </c>
      <c r="E496" s="9" t="e" cm="1">
        <f t="array" aca="1" ref="E496" ca="1">INDEX(INDIRECT($M496),
       MATCH(TRIM($C496), TRIM(INDIRECT($N496)), 0),
       MATCH(TRIM(E$2), TRIM(INDIRECT($O496)), 0))</f>
        <v>#N/A</v>
      </c>
      <c r="F496" s="11" t="e" cm="1">
        <f t="array" aca="1" ref="F496" ca="1">INDEX(INDIRECT($M496),
       MATCH(TRIM($C496), TRIM(INDIRECT($N496)), 0),
       MATCH(TRIM(F$2), TRIM(INDIRECT($O496)), 0))</f>
        <v>#N/A</v>
      </c>
      <c r="G496" s="11" t="e" cm="1">
        <f t="array" aca="1" ref="G496" ca="1">INDEX(INDIRECT($M496),
       MATCH(TRIM($C496), TRIM(INDIRECT($N496)), 0),
       MATCH(TRIM(G$2), TRIM(INDIRECT($O496)), 0))</f>
        <v>#N/A</v>
      </c>
      <c r="H496" s="9" t="e" cm="1">
        <f t="array" aca="1" ref="H496" ca="1">INDEX(INDIRECT($M496),
       MATCH(TRIM($C496), TRIM(INDIRECT($N496)), 0),
       MATCH(TRIM(H$2), TRIM(INDIRECT($O496)), 0))</f>
        <v>#N/A</v>
      </c>
      <c r="I496" s="11" t="e" cm="1">
        <f t="array" aca="1" ref="I496" ca="1">INDEX(INDIRECT($M496),
       MATCH(TRIM($C496), TRIM(INDIRECT($N496)), 0),
       MATCH(TRIM(I$2), TRIM(INDIRECT($O496)), 0))</f>
        <v>#N/A</v>
      </c>
      <c r="J496" s="9" t="e" cm="1">
        <f t="array" aca="1" ref="J496" ca="1">INDEX(INDIRECT($M496),
       MATCH(TRIM($C496), TRIM(INDIRECT($N496)), 0),
       MATCH(TRIM(J$2), TRIM(INDIRECT($O496)), 0))</f>
        <v>#N/A</v>
      </c>
      <c r="K496" s="11" t="e" cm="1">
        <f t="array" aca="1" ref="K496" ca="1">INDEX(INDIRECT($M496),
       MATCH(TRIM($C496), TRIM(INDIRECT($N496)), 0),
       MATCH(TRIM(K$2), TRIM(INDIRECT($O496)), 0))</f>
        <v>#N/A</v>
      </c>
      <c r="L496" s="11" t="e" cm="1">
        <f t="array" aca="1" ref="L496" ca="1">INDEX(INDIRECT($M496),
       MATCH(TRIM($C496), TRIM(INDIRECT($N496)), 0),
       MATCH(TRIM(L$2), TRIM(INDIRECT($O496)), 0))</f>
        <v>#N/A</v>
      </c>
      <c r="M496" s="5" t="str">
        <f t="shared" si="21"/>
        <v>'2022'!$N$3:$V$80</v>
      </c>
      <c r="N496" s="5" t="str">
        <f t="shared" si="22"/>
        <v>'2022'!$M$2:$M$80</v>
      </c>
      <c r="O496" s="5" t="str">
        <f t="shared" si="23"/>
        <v>'2022'!$N$2:$W$2</v>
      </c>
    </row>
    <row r="497" spans="1:15" x14ac:dyDescent="0.3">
      <c r="A497">
        <v>54</v>
      </c>
      <c r="B497" s="9">
        <v>2022</v>
      </c>
      <c r="C497" t="s">
        <v>53</v>
      </c>
      <c r="D497" s="11" t="e" cm="1">
        <f t="array" aca="1" ref="D497" ca="1">INDEX(INDIRECT($M497),
       MATCH(TRIM($C497), TRIM(INDIRECT($N497)), 0),
       MATCH(TRIM(D$2), TRIM(INDIRECT($O497)), 0))</f>
        <v>#N/A</v>
      </c>
      <c r="E497" s="9" t="e" cm="1">
        <f t="array" aca="1" ref="E497" ca="1">INDEX(INDIRECT($M497),
       MATCH(TRIM($C497), TRIM(INDIRECT($N497)), 0),
       MATCH(TRIM(E$2), TRIM(INDIRECT($O497)), 0))</f>
        <v>#N/A</v>
      </c>
      <c r="F497" s="11" t="e" cm="1">
        <f t="array" aca="1" ref="F497" ca="1">INDEX(INDIRECT($M497),
       MATCH(TRIM($C497), TRIM(INDIRECT($N497)), 0),
       MATCH(TRIM(F$2), TRIM(INDIRECT($O497)), 0))</f>
        <v>#N/A</v>
      </c>
      <c r="G497" s="11" t="e" cm="1">
        <f t="array" aca="1" ref="G497" ca="1">INDEX(INDIRECT($M497),
       MATCH(TRIM($C497), TRIM(INDIRECT($N497)), 0),
       MATCH(TRIM(G$2), TRIM(INDIRECT($O497)), 0))</f>
        <v>#N/A</v>
      </c>
      <c r="H497" s="9" t="e" cm="1">
        <f t="array" aca="1" ref="H497" ca="1">INDEX(INDIRECT($M497),
       MATCH(TRIM($C497), TRIM(INDIRECT($N497)), 0),
       MATCH(TRIM(H$2), TRIM(INDIRECT($O497)), 0))</f>
        <v>#N/A</v>
      </c>
      <c r="I497" s="11" t="e" cm="1">
        <f t="array" aca="1" ref="I497" ca="1">INDEX(INDIRECT($M497),
       MATCH(TRIM($C497), TRIM(INDIRECT($N497)), 0),
       MATCH(TRIM(I$2), TRIM(INDIRECT($O497)), 0))</f>
        <v>#N/A</v>
      </c>
      <c r="J497" s="9" t="e" cm="1">
        <f t="array" aca="1" ref="J497" ca="1">INDEX(INDIRECT($M497),
       MATCH(TRIM($C497), TRIM(INDIRECT($N497)), 0),
       MATCH(TRIM(J$2), TRIM(INDIRECT($O497)), 0))</f>
        <v>#N/A</v>
      </c>
      <c r="K497" s="11" t="e" cm="1">
        <f t="array" aca="1" ref="K497" ca="1">INDEX(INDIRECT($M497),
       MATCH(TRIM($C497), TRIM(INDIRECT($N497)), 0),
       MATCH(TRIM(K$2), TRIM(INDIRECT($O497)), 0))</f>
        <v>#N/A</v>
      </c>
      <c r="L497" s="11" t="e" cm="1">
        <f t="array" aca="1" ref="L497" ca="1">INDEX(INDIRECT($M497),
       MATCH(TRIM($C497), TRIM(INDIRECT($N497)), 0),
       MATCH(TRIM(L$2), TRIM(INDIRECT($O497)), 0))</f>
        <v>#N/A</v>
      </c>
      <c r="M497" s="5" t="str">
        <f t="shared" si="21"/>
        <v>'2022'!$N$3:$V$80</v>
      </c>
      <c r="N497" s="5" t="str">
        <f t="shared" si="22"/>
        <v>'2022'!$M$2:$M$80</v>
      </c>
      <c r="O497" s="5" t="str">
        <f t="shared" si="23"/>
        <v>'2022'!$N$2:$W$2</v>
      </c>
    </row>
    <row r="498" spans="1:15" x14ac:dyDescent="0.3">
      <c r="A498">
        <v>55</v>
      </c>
      <c r="B498" s="9">
        <v>2022</v>
      </c>
      <c r="C498" t="s">
        <v>54</v>
      </c>
      <c r="D498" s="11" t="e" cm="1">
        <f t="array" aca="1" ref="D498" ca="1">INDEX(INDIRECT($M498),
       MATCH(TRIM($C498), TRIM(INDIRECT($N498)), 0),
       MATCH(TRIM(D$2), TRIM(INDIRECT($O498)), 0))</f>
        <v>#N/A</v>
      </c>
      <c r="E498" s="9" t="e" cm="1">
        <f t="array" aca="1" ref="E498" ca="1">INDEX(INDIRECT($M498),
       MATCH(TRIM($C498), TRIM(INDIRECT($N498)), 0),
       MATCH(TRIM(E$2), TRIM(INDIRECT($O498)), 0))</f>
        <v>#N/A</v>
      </c>
      <c r="F498" s="11" t="e" cm="1">
        <f t="array" aca="1" ref="F498" ca="1">INDEX(INDIRECT($M498),
       MATCH(TRIM($C498), TRIM(INDIRECT($N498)), 0),
       MATCH(TRIM(F$2), TRIM(INDIRECT($O498)), 0))</f>
        <v>#N/A</v>
      </c>
      <c r="G498" s="11" t="e" cm="1">
        <f t="array" aca="1" ref="G498" ca="1">INDEX(INDIRECT($M498),
       MATCH(TRIM($C498), TRIM(INDIRECT($N498)), 0),
       MATCH(TRIM(G$2), TRIM(INDIRECT($O498)), 0))</f>
        <v>#N/A</v>
      </c>
      <c r="H498" s="9" t="e" cm="1">
        <f t="array" aca="1" ref="H498" ca="1">INDEX(INDIRECT($M498),
       MATCH(TRIM($C498), TRIM(INDIRECT($N498)), 0),
       MATCH(TRIM(H$2), TRIM(INDIRECT($O498)), 0))</f>
        <v>#N/A</v>
      </c>
      <c r="I498" s="11" t="e" cm="1">
        <f t="array" aca="1" ref="I498" ca="1">INDEX(INDIRECT($M498),
       MATCH(TRIM($C498), TRIM(INDIRECT($N498)), 0),
       MATCH(TRIM(I$2), TRIM(INDIRECT($O498)), 0))</f>
        <v>#N/A</v>
      </c>
      <c r="J498" s="9" t="e" cm="1">
        <f t="array" aca="1" ref="J498" ca="1">INDEX(INDIRECT($M498),
       MATCH(TRIM($C498), TRIM(INDIRECT($N498)), 0),
       MATCH(TRIM(J$2), TRIM(INDIRECT($O498)), 0))</f>
        <v>#N/A</v>
      </c>
      <c r="K498" s="11" t="e" cm="1">
        <f t="array" aca="1" ref="K498" ca="1">INDEX(INDIRECT($M498),
       MATCH(TRIM($C498), TRIM(INDIRECT($N498)), 0),
       MATCH(TRIM(K$2), TRIM(INDIRECT($O498)), 0))</f>
        <v>#N/A</v>
      </c>
      <c r="L498" s="11" t="e" cm="1">
        <f t="array" aca="1" ref="L498" ca="1">INDEX(INDIRECT($M498),
       MATCH(TRIM($C498), TRIM(INDIRECT($N498)), 0),
       MATCH(TRIM(L$2), TRIM(INDIRECT($O498)), 0))</f>
        <v>#N/A</v>
      </c>
      <c r="M498" s="5" t="str">
        <f t="shared" si="21"/>
        <v>'2022'!$N$3:$V$80</v>
      </c>
      <c r="N498" s="5" t="str">
        <f t="shared" si="22"/>
        <v>'2022'!$M$2:$M$80</v>
      </c>
      <c r="O498" s="5" t="str">
        <f t="shared" si="23"/>
        <v>'2022'!$N$2:$W$2</v>
      </c>
    </row>
    <row r="499" spans="1:15" x14ac:dyDescent="0.3">
      <c r="A499">
        <v>56</v>
      </c>
      <c r="B499" s="9">
        <v>2022</v>
      </c>
      <c r="C499" t="s">
        <v>55</v>
      </c>
      <c r="D499" s="11" t="e" cm="1">
        <f t="array" aca="1" ref="D499" ca="1">INDEX(INDIRECT($M499),
       MATCH(TRIM($C499), TRIM(INDIRECT($N499)), 0),
       MATCH(TRIM(D$2), TRIM(INDIRECT($O499)), 0))</f>
        <v>#N/A</v>
      </c>
      <c r="E499" s="9" t="e" cm="1">
        <f t="array" aca="1" ref="E499" ca="1">INDEX(INDIRECT($M499),
       MATCH(TRIM($C499), TRIM(INDIRECT($N499)), 0),
       MATCH(TRIM(E$2), TRIM(INDIRECT($O499)), 0))</f>
        <v>#N/A</v>
      </c>
      <c r="F499" s="11" t="e" cm="1">
        <f t="array" aca="1" ref="F499" ca="1">INDEX(INDIRECT($M499),
       MATCH(TRIM($C499), TRIM(INDIRECT($N499)), 0),
       MATCH(TRIM(F$2), TRIM(INDIRECT($O499)), 0))</f>
        <v>#N/A</v>
      </c>
      <c r="G499" s="11" t="e" cm="1">
        <f t="array" aca="1" ref="G499" ca="1">INDEX(INDIRECT($M499),
       MATCH(TRIM($C499), TRIM(INDIRECT($N499)), 0),
       MATCH(TRIM(G$2), TRIM(INDIRECT($O499)), 0))</f>
        <v>#N/A</v>
      </c>
      <c r="H499" s="9" t="e" cm="1">
        <f t="array" aca="1" ref="H499" ca="1">INDEX(INDIRECT($M499),
       MATCH(TRIM($C499), TRIM(INDIRECT($N499)), 0),
       MATCH(TRIM(H$2), TRIM(INDIRECT($O499)), 0))</f>
        <v>#N/A</v>
      </c>
      <c r="I499" s="11" t="e" cm="1">
        <f t="array" aca="1" ref="I499" ca="1">INDEX(INDIRECT($M499),
       MATCH(TRIM($C499), TRIM(INDIRECT($N499)), 0),
       MATCH(TRIM(I$2), TRIM(INDIRECT($O499)), 0))</f>
        <v>#N/A</v>
      </c>
      <c r="J499" s="9" t="e" cm="1">
        <f t="array" aca="1" ref="J499" ca="1">INDEX(INDIRECT($M499),
       MATCH(TRIM($C499), TRIM(INDIRECT($N499)), 0),
       MATCH(TRIM(J$2), TRIM(INDIRECT($O499)), 0))</f>
        <v>#N/A</v>
      </c>
      <c r="K499" s="11" t="e" cm="1">
        <f t="array" aca="1" ref="K499" ca="1">INDEX(INDIRECT($M499),
       MATCH(TRIM($C499), TRIM(INDIRECT($N499)), 0),
       MATCH(TRIM(K$2), TRIM(INDIRECT($O499)), 0))</f>
        <v>#N/A</v>
      </c>
      <c r="L499" s="11" t="e" cm="1">
        <f t="array" aca="1" ref="L499" ca="1">INDEX(INDIRECT($M499),
       MATCH(TRIM($C499), TRIM(INDIRECT($N499)), 0),
       MATCH(TRIM(L$2), TRIM(INDIRECT($O499)), 0))</f>
        <v>#N/A</v>
      </c>
      <c r="M499" s="5" t="str">
        <f t="shared" si="21"/>
        <v>'2022'!$N$3:$V$80</v>
      </c>
      <c r="N499" s="5" t="str">
        <f t="shared" si="22"/>
        <v>'2022'!$M$2:$M$80</v>
      </c>
      <c r="O499" s="5" t="str">
        <f t="shared" si="23"/>
        <v>'2022'!$N$2:$W$2</v>
      </c>
    </row>
    <row r="500" spans="1:15" x14ac:dyDescent="0.3">
      <c r="A500">
        <v>57</v>
      </c>
      <c r="B500" s="9">
        <v>2022</v>
      </c>
      <c r="C500" t="s">
        <v>56</v>
      </c>
      <c r="D500" s="11" t="e" cm="1">
        <f t="array" aca="1" ref="D500" ca="1">INDEX(INDIRECT($M500),
       MATCH(TRIM($C500), TRIM(INDIRECT($N500)), 0),
       MATCH(TRIM(D$2), TRIM(INDIRECT($O500)), 0))</f>
        <v>#N/A</v>
      </c>
      <c r="E500" s="9" t="e" cm="1">
        <f t="array" aca="1" ref="E500" ca="1">INDEX(INDIRECT($M500),
       MATCH(TRIM($C500), TRIM(INDIRECT($N500)), 0),
       MATCH(TRIM(E$2), TRIM(INDIRECT($O500)), 0))</f>
        <v>#N/A</v>
      </c>
      <c r="F500" s="11" t="e" cm="1">
        <f t="array" aca="1" ref="F500" ca="1">INDEX(INDIRECT($M500),
       MATCH(TRIM($C500), TRIM(INDIRECT($N500)), 0),
       MATCH(TRIM(F$2), TRIM(INDIRECT($O500)), 0))</f>
        <v>#N/A</v>
      </c>
      <c r="G500" s="11" t="e" cm="1">
        <f t="array" aca="1" ref="G500" ca="1">INDEX(INDIRECT($M500),
       MATCH(TRIM($C500), TRIM(INDIRECT($N500)), 0),
       MATCH(TRIM(G$2), TRIM(INDIRECT($O500)), 0))</f>
        <v>#N/A</v>
      </c>
      <c r="H500" s="9" t="e" cm="1">
        <f t="array" aca="1" ref="H500" ca="1">INDEX(INDIRECT($M500),
       MATCH(TRIM($C500), TRIM(INDIRECT($N500)), 0),
       MATCH(TRIM(H$2), TRIM(INDIRECT($O500)), 0))</f>
        <v>#N/A</v>
      </c>
      <c r="I500" s="11" t="e" cm="1">
        <f t="array" aca="1" ref="I500" ca="1">INDEX(INDIRECT($M500),
       MATCH(TRIM($C500), TRIM(INDIRECT($N500)), 0),
       MATCH(TRIM(I$2), TRIM(INDIRECT($O500)), 0))</f>
        <v>#N/A</v>
      </c>
      <c r="J500" s="9" t="e" cm="1">
        <f t="array" aca="1" ref="J500" ca="1">INDEX(INDIRECT($M500),
       MATCH(TRIM($C500), TRIM(INDIRECT($N500)), 0),
       MATCH(TRIM(J$2), TRIM(INDIRECT($O500)), 0))</f>
        <v>#N/A</v>
      </c>
      <c r="K500" s="11" t="e" cm="1">
        <f t="array" aca="1" ref="K500" ca="1">INDEX(INDIRECT($M500),
       MATCH(TRIM($C500), TRIM(INDIRECT($N500)), 0),
       MATCH(TRIM(K$2), TRIM(INDIRECT($O500)), 0))</f>
        <v>#N/A</v>
      </c>
      <c r="L500" s="11" t="e" cm="1">
        <f t="array" aca="1" ref="L500" ca="1">INDEX(INDIRECT($M500),
       MATCH(TRIM($C500), TRIM(INDIRECT($N500)), 0),
       MATCH(TRIM(L$2), TRIM(INDIRECT($O500)), 0))</f>
        <v>#N/A</v>
      </c>
      <c r="M500" s="5" t="str">
        <f t="shared" si="21"/>
        <v>'2022'!$N$3:$V$80</v>
      </c>
      <c r="N500" s="5" t="str">
        <f t="shared" si="22"/>
        <v>'2022'!$M$2:$M$80</v>
      </c>
      <c r="O500" s="5" t="str">
        <f t="shared" si="23"/>
        <v>'2022'!$N$2:$W$2</v>
      </c>
    </row>
    <row r="501" spans="1:15" x14ac:dyDescent="0.3">
      <c r="A501">
        <v>58</v>
      </c>
      <c r="B501" s="9">
        <v>2022</v>
      </c>
      <c r="C501" t="s">
        <v>57</v>
      </c>
      <c r="D501" s="11" cm="1">
        <f t="array" aca="1" ref="D501" ca="1">INDEX(INDIRECT($M501),
       MATCH(TRIM($C501), TRIM(INDIRECT($N501)), 0),
       MATCH(TRIM(D$2), TRIM(INDIRECT($O501)), 0))</f>
        <v>0</v>
      </c>
      <c r="E501" s="9" t="e" cm="1">
        <f t="array" aca="1" ref="E501" ca="1">INDEX(INDIRECT($M501),
       MATCH(TRIM($C501), TRIM(INDIRECT($N501)), 0),
       MATCH(TRIM(E$2), TRIM(INDIRECT($O501)), 0))</f>
        <v>#N/A</v>
      </c>
      <c r="F501" s="11" cm="1">
        <f t="array" aca="1" ref="F501" ca="1">INDEX(INDIRECT($M501),
       MATCH(TRIM($C501), TRIM(INDIRECT($N501)), 0),
       MATCH(TRIM(F$2), TRIM(INDIRECT($O501)), 0))</f>
        <v>0</v>
      </c>
      <c r="G501" s="11" cm="1">
        <f t="array" aca="1" ref="G501" ca="1">INDEX(INDIRECT($M501),
       MATCH(TRIM($C501), TRIM(INDIRECT($N501)), 0),
       MATCH(TRIM(G$2), TRIM(INDIRECT($O501)), 0))</f>
        <v>1</v>
      </c>
      <c r="H501" s="9" t="e" cm="1">
        <f t="array" aca="1" ref="H501" ca="1">INDEX(INDIRECT($M501),
       MATCH(TRIM($C501), TRIM(INDIRECT($N501)), 0),
       MATCH(TRIM(H$2), TRIM(INDIRECT($O501)), 0))</f>
        <v>#N/A</v>
      </c>
      <c r="I501" s="11" cm="1">
        <f t="array" aca="1" ref="I501" ca="1">INDEX(INDIRECT($M501),
       MATCH(TRIM($C501), TRIM(INDIRECT($N501)), 0),
       MATCH(TRIM(I$2), TRIM(INDIRECT($O501)), 0))</f>
        <v>0.49057299999999998</v>
      </c>
      <c r="J501" s="9" cm="1">
        <f t="array" aca="1" ref="J501" ca="1">INDEX(INDIRECT($M501),
       MATCH(TRIM($C501), TRIM(INDIRECT($N501)), 0),
       MATCH(TRIM(J$2), TRIM(INDIRECT($O501)), 0))</f>
        <v>1</v>
      </c>
      <c r="K501" s="11" cm="1">
        <f t="array" aca="1" ref="K501" ca="1">INDEX(INDIRECT($M501),
       MATCH(TRIM($C501), TRIM(INDIRECT($N501)), 0),
       MATCH(TRIM(K$2), TRIM(INDIRECT($O501)), 0))</f>
        <v>0.12658227999999999</v>
      </c>
      <c r="L501" s="11" cm="1">
        <f t="array" aca="1" ref="L501" ca="1">INDEX(INDIRECT($M501),
       MATCH(TRIM($C501), TRIM(INDIRECT($N501)), 0),
       MATCH(TRIM(L$2), TRIM(INDIRECT($O501)), 0))</f>
        <v>0.61715527999999997</v>
      </c>
      <c r="M501" s="5" t="str">
        <f t="shared" si="21"/>
        <v>'2022'!$N$3:$V$80</v>
      </c>
      <c r="N501" s="5" t="str">
        <f t="shared" si="22"/>
        <v>'2022'!$M$2:$M$80</v>
      </c>
      <c r="O501" s="5" t="str">
        <f t="shared" si="23"/>
        <v>'2022'!$N$2:$W$2</v>
      </c>
    </row>
    <row r="502" spans="1:15" x14ac:dyDescent="0.3">
      <c r="A502">
        <v>59</v>
      </c>
      <c r="B502" s="9">
        <v>2022</v>
      </c>
      <c r="C502" t="s">
        <v>58</v>
      </c>
      <c r="D502" s="11" t="e" cm="1">
        <f t="array" aca="1" ref="D502" ca="1">INDEX(INDIRECT($M502),
       MATCH(TRIM($C502), TRIM(INDIRECT($N502)), 0),
       MATCH(TRIM(D$2), TRIM(INDIRECT($O502)), 0))</f>
        <v>#N/A</v>
      </c>
      <c r="E502" s="9" t="e" cm="1">
        <f t="array" aca="1" ref="E502" ca="1">INDEX(INDIRECT($M502),
       MATCH(TRIM($C502), TRIM(INDIRECT($N502)), 0),
       MATCH(TRIM(E$2), TRIM(INDIRECT($O502)), 0))</f>
        <v>#N/A</v>
      </c>
      <c r="F502" s="11" t="e" cm="1">
        <f t="array" aca="1" ref="F502" ca="1">INDEX(INDIRECT($M502),
       MATCH(TRIM($C502), TRIM(INDIRECT($N502)), 0),
       MATCH(TRIM(F$2), TRIM(INDIRECT($O502)), 0))</f>
        <v>#N/A</v>
      </c>
      <c r="G502" s="11" t="e" cm="1">
        <f t="array" aca="1" ref="G502" ca="1">INDEX(INDIRECT($M502),
       MATCH(TRIM($C502), TRIM(INDIRECT($N502)), 0),
       MATCH(TRIM(G$2), TRIM(INDIRECT($O502)), 0))</f>
        <v>#N/A</v>
      </c>
      <c r="H502" s="9" t="e" cm="1">
        <f t="array" aca="1" ref="H502" ca="1">INDEX(INDIRECT($M502),
       MATCH(TRIM($C502), TRIM(INDIRECT($N502)), 0),
       MATCH(TRIM(H$2), TRIM(INDIRECT($O502)), 0))</f>
        <v>#N/A</v>
      </c>
      <c r="I502" s="11" t="e" cm="1">
        <f t="array" aca="1" ref="I502" ca="1">INDEX(INDIRECT($M502),
       MATCH(TRIM($C502), TRIM(INDIRECT($N502)), 0),
       MATCH(TRIM(I$2), TRIM(INDIRECT($O502)), 0))</f>
        <v>#N/A</v>
      </c>
      <c r="J502" s="9" t="e" cm="1">
        <f t="array" aca="1" ref="J502" ca="1">INDEX(INDIRECT($M502),
       MATCH(TRIM($C502), TRIM(INDIRECT($N502)), 0),
       MATCH(TRIM(J$2), TRIM(INDIRECT($O502)), 0))</f>
        <v>#N/A</v>
      </c>
      <c r="K502" s="11" t="e" cm="1">
        <f t="array" aca="1" ref="K502" ca="1">INDEX(INDIRECT($M502),
       MATCH(TRIM($C502), TRIM(INDIRECT($N502)), 0),
       MATCH(TRIM(K$2), TRIM(INDIRECT($O502)), 0))</f>
        <v>#N/A</v>
      </c>
      <c r="L502" s="11" t="e" cm="1">
        <f t="array" aca="1" ref="L502" ca="1">INDEX(INDIRECT($M502),
       MATCH(TRIM($C502), TRIM(INDIRECT($N502)), 0),
       MATCH(TRIM(L$2), TRIM(INDIRECT($O502)), 0))</f>
        <v>#N/A</v>
      </c>
      <c r="M502" s="5" t="str">
        <f t="shared" si="21"/>
        <v>'2022'!$N$3:$V$80</v>
      </c>
      <c r="N502" s="5" t="str">
        <f t="shared" si="22"/>
        <v>'2022'!$M$2:$M$80</v>
      </c>
      <c r="O502" s="5" t="str">
        <f t="shared" si="23"/>
        <v>'2022'!$N$2:$W$2</v>
      </c>
    </row>
    <row r="503" spans="1:15" x14ac:dyDescent="0.3">
      <c r="A503">
        <v>60</v>
      </c>
      <c r="B503" s="9">
        <v>2022</v>
      </c>
      <c r="C503" t="s">
        <v>59</v>
      </c>
      <c r="D503" s="11" t="e" cm="1">
        <f t="array" aca="1" ref="D503" ca="1">INDEX(INDIRECT($M503),
       MATCH(TRIM($C503), TRIM(INDIRECT($N503)), 0),
       MATCH(TRIM(D$2), TRIM(INDIRECT($O503)), 0))</f>
        <v>#N/A</v>
      </c>
      <c r="E503" s="9" t="e" cm="1">
        <f t="array" aca="1" ref="E503" ca="1">INDEX(INDIRECT($M503),
       MATCH(TRIM($C503), TRIM(INDIRECT($N503)), 0),
       MATCH(TRIM(E$2), TRIM(INDIRECT($O503)), 0))</f>
        <v>#N/A</v>
      </c>
      <c r="F503" s="11" t="e" cm="1">
        <f t="array" aca="1" ref="F503" ca="1">INDEX(INDIRECT($M503),
       MATCH(TRIM($C503), TRIM(INDIRECT($N503)), 0),
       MATCH(TRIM(F$2), TRIM(INDIRECT($O503)), 0))</f>
        <v>#N/A</v>
      </c>
      <c r="G503" s="11" t="e" cm="1">
        <f t="array" aca="1" ref="G503" ca="1">INDEX(INDIRECT($M503),
       MATCH(TRIM($C503), TRIM(INDIRECT($N503)), 0),
       MATCH(TRIM(G$2), TRIM(INDIRECT($O503)), 0))</f>
        <v>#N/A</v>
      </c>
      <c r="H503" s="9" t="e" cm="1">
        <f t="array" aca="1" ref="H503" ca="1">INDEX(INDIRECT($M503),
       MATCH(TRIM($C503), TRIM(INDIRECT($N503)), 0),
       MATCH(TRIM(H$2), TRIM(INDIRECT($O503)), 0))</f>
        <v>#N/A</v>
      </c>
      <c r="I503" s="11" t="e" cm="1">
        <f t="array" aca="1" ref="I503" ca="1">INDEX(INDIRECT($M503),
       MATCH(TRIM($C503), TRIM(INDIRECT($N503)), 0),
       MATCH(TRIM(I$2), TRIM(INDIRECT($O503)), 0))</f>
        <v>#N/A</v>
      </c>
      <c r="J503" s="9" t="e" cm="1">
        <f t="array" aca="1" ref="J503" ca="1">INDEX(INDIRECT($M503),
       MATCH(TRIM($C503), TRIM(INDIRECT($N503)), 0),
       MATCH(TRIM(J$2), TRIM(INDIRECT($O503)), 0))</f>
        <v>#N/A</v>
      </c>
      <c r="K503" s="11" t="e" cm="1">
        <f t="array" aca="1" ref="K503" ca="1">INDEX(INDIRECT($M503),
       MATCH(TRIM($C503), TRIM(INDIRECT($N503)), 0),
       MATCH(TRIM(K$2), TRIM(INDIRECT($O503)), 0))</f>
        <v>#N/A</v>
      </c>
      <c r="L503" s="11" t="e" cm="1">
        <f t="array" aca="1" ref="L503" ca="1">INDEX(INDIRECT($M503),
       MATCH(TRIM($C503), TRIM(INDIRECT($N503)), 0),
       MATCH(TRIM(L$2), TRIM(INDIRECT($O503)), 0))</f>
        <v>#N/A</v>
      </c>
      <c r="M503" s="5" t="str">
        <f t="shared" si="21"/>
        <v>'2022'!$N$3:$V$80</v>
      </c>
      <c r="N503" s="5" t="str">
        <f t="shared" si="22"/>
        <v>'2022'!$M$2:$M$80</v>
      </c>
      <c r="O503" s="5" t="str">
        <f t="shared" si="23"/>
        <v>'2022'!$N$2:$W$2</v>
      </c>
    </row>
    <row r="504" spans="1:15" x14ac:dyDescent="0.3">
      <c r="A504">
        <v>61</v>
      </c>
      <c r="B504" s="9">
        <v>2022</v>
      </c>
      <c r="C504" t="s">
        <v>60</v>
      </c>
      <c r="D504" s="11" cm="1">
        <f t="array" aca="1" ref="D504" ca="1">INDEX(INDIRECT($M504),
       MATCH(TRIM($C504), TRIM(INDIRECT($N504)), 0),
       MATCH(TRIM(D$2), TRIM(INDIRECT($O504)), 0))</f>
        <v>0</v>
      </c>
      <c r="E504" s="9" t="e" cm="1">
        <f t="array" aca="1" ref="E504" ca="1">INDEX(INDIRECT($M504),
       MATCH(TRIM($C504), TRIM(INDIRECT($N504)), 0),
       MATCH(TRIM(E$2), TRIM(INDIRECT($O504)), 0))</f>
        <v>#N/A</v>
      </c>
      <c r="F504" s="11" cm="1">
        <f t="array" aca="1" ref="F504" ca="1">INDEX(INDIRECT($M504),
       MATCH(TRIM($C504), TRIM(INDIRECT($N504)), 0),
       MATCH(TRIM(F$2), TRIM(INDIRECT($O504)), 0))</f>
        <v>0</v>
      </c>
      <c r="G504" s="11" cm="1">
        <f t="array" aca="1" ref="G504" ca="1">INDEX(INDIRECT($M504),
       MATCH(TRIM($C504), TRIM(INDIRECT($N504)), 0),
       MATCH(TRIM(G$2), TRIM(INDIRECT($O504)), 0))</f>
        <v>0</v>
      </c>
      <c r="H504" s="9" t="e" cm="1">
        <f t="array" aca="1" ref="H504" ca="1">INDEX(INDIRECT($M504),
       MATCH(TRIM($C504), TRIM(INDIRECT($N504)), 0),
       MATCH(TRIM(H$2), TRIM(INDIRECT($O504)), 0))</f>
        <v>#N/A</v>
      </c>
      <c r="I504" s="11" cm="1">
        <f t="array" aca="1" ref="I504" ca="1">INDEX(INDIRECT($M504),
       MATCH(TRIM($C504), TRIM(INDIRECT($N504)), 0),
       MATCH(TRIM(I$2), TRIM(INDIRECT($O504)), 0))</f>
        <v>0</v>
      </c>
      <c r="J504" s="9" cm="1">
        <f t="array" aca="1" ref="J504" ca="1">INDEX(INDIRECT($M504),
       MATCH(TRIM($C504), TRIM(INDIRECT($N504)), 0),
       MATCH(TRIM(J$2), TRIM(INDIRECT($O504)), 0))</f>
        <v>3</v>
      </c>
      <c r="K504" s="11" cm="1">
        <f t="array" aca="1" ref="K504" ca="1">INDEX(INDIRECT($M504),
       MATCH(TRIM($C504), TRIM(INDIRECT($N504)), 0),
       MATCH(TRIM(K$2), TRIM(INDIRECT($O504)), 0))</f>
        <v>1.44189385</v>
      </c>
      <c r="L504" s="11" cm="1">
        <f t="array" aca="1" ref="L504" ca="1">INDEX(INDIRECT($M504),
       MATCH(TRIM($C504), TRIM(INDIRECT($N504)), 0),
       MATCH(TRIM(L$2), TRIM(INDIRECT($O504)), 0))</f>
        <v>1.44189385</v>
      </c>
      <c r="M504" s="5" t="str">
        <f t="shared" si="21"/>
        <v>'2022'!$N$3:$V$80</v>
      </c>
      <c r="N504" s="5" t="str">
        <f t="shared" si="22"/>
        <v>'2022'!$M$2:$M$80</v>
      </c>
      <c r="O504" s="5" t="str">
        <f t="shared" si="23"/>
        <v>'2022'!$N$2:$W$2</v>
      </c>
    </row>
    <row r="505" spans="1:15" x14ac:dyDescent="0.3">
      <c r="A505">
        <v>62</v>
      </c>
      <c r="B505" s="9">
        <v>2022</v>
      </c>
      <c r="C505" t="s">
        <v>61</v>
      </c>
      <c r="D505" s="11" cm="1">
        <f t="array" aca="1" ref="D505" ca="1">INDEX(INDIRECT($M505),
       MATCH(TRIM($C505), TRIM(INDIRECT($N505)), 0),
       MATCH(TRIM(D$2), TRIM(INDIRECT($O505)), 0))</f>
        <v>0</v>
      </c>
      <c r="E505" s="9" t="e" cm="1">
        <f t="array" aca="1" ref="E505" ca="1">INDEX(INDIRECT($M505),
       MATCH(TRIM($C505), TRIM(INDIRECT($N505)), 0),
       MATCH(TRIM(E$2), TRIM(INDIRECT($O505)), 0))</f>
        <v>#N/A</v>
      </c>
      <c r="F505" s="11" cm="1">
        <f t="array" aca="1" ref="F505" ca="1">INDEX(INDIRECT($M505),
       MATCH(TRIM($C505), TRIM(INDIRECT($N505)), 0),
       MATCH(TRIM(F$2), TRIM(INDIRECT($O505)), 0))</f>
        <v>0</v>
      </c>
      <c r="G505" s="11" cm="1">
        <f t="array" aca="1" ref="G505" ca="1">INDEX(INDIRECT($M505),
       MATCH(TRIM($C505), TRIM(INDIRECT($N505)), 0),
       MATCH(TRIM(G$2), TRIM(INDIRECT($O505)), 0))</f>
        <v>0</v>
      </c>
      <c r="H505" s="9" t="e" cm="1">
        <f t="array" aca="1" ref="H505" ca="1">INDEX(INDIRECT($M505),
       MATCH(TRIM($C505), TRIM(INDIRECT($N505)), 0),
       MATCH(TRIM(H$2), TRIM(INDIRECT($O505)), 0))</f>
        <v>#N/A</v>
      </c>
      <c r="I505" s="11" cm="1">
        <f t="array" aca="1" ref="I505" ca="1">INDEX(INDIRECT($M505),
       MATCH(TRIM($C505), TRIM(INDIRECT($N505)), 0),
       MATCH(TRIM(I$2), TRIM(INDIRECT($O505)), 0))</f>
        <v>0</v>
      </c>
      <c r="J505" s="9" cm="1">
        <f t="array" aca="1" ref="J505" ca="1">INDEX(INDIRECT($M505),
       MATCH(TRIM($C505), TRIM(INDIRECT($N505)), 0),
       MATCH(TRIM(J$2), TRIM(INDIRECT($O505)), 0))</f>
        <v>1</v>
      </c>
      <c r="K505" s="11" cm="1">
        <f t="array" aca="1" ref="K505" ca="1">INDEX(INDIRECT($M505),
       MATCH(TRIM($C505), TRIM(INDIRECT($N505)), 0),
       MATCH(TRIM(K$2), TRIM(INDIRECT($O505)), 0))</f>
        <v>0.10765653</v>
      </c>
      <c r="L505" s="11" cm="1">
        <f t="array" aca="1" ref="L505" ca="1">INDEX(INDIRECT($M505),
       MATCH(TRIM($C505), TRIM(INDIRECT($N505)), 0),
       MATCH(TRIM(L$2), TRIM(INDIRECT($O505)), 0))</f>
        <v>0.10765653</v>
      </c>
      <c r="M505" s="5" t="str">
        <f t="shared" si="21"/>
        <v>'2022'!$N$3:$V$80</v>
      </c>
      <c r="N505" s="5" t="str">
        <f t="shared" si="22"/>
        <v>'2022'!$M$2:$M$80</v>
      </c>
      <c r="O505" s="5" t="str">
        <f t="shared" si="23"/>
        <v>'2022'!$N$2:$W$2</v>
      </c>
    </row>
    <row r="506" spans="1:15" x14ac:dyDescent="0.3">
      <c r="A506">
        <v>63</v>
      </c>
      <c r="B506" s="9">
        <v>2022</v>
      </c>
      <c r="C506" t="s">
        <v>62</v>
      </c>
      <c r="D506" s="11" cm="1">
        <f t="array" aca="1" ref="D506" ca="1">INDEX(INDIRECT($M506),
       MATCH(TRIM($C506), TRIM(INDIRECT($N506)), 0),
       MATCH(TRIM(D$2), TRIM(INDIRECT($O506)), 0))</f>
        <v>2036</v>
      </c>
      <c r="E506" s="9" cm="1">
        <f t="array" aca="1" ref="E506" ca="1">INDEX(INDIRECT($M506),
       MATCH(TRIM($C506), TRIM(INDIRECT($N506)), 0),
       MATCH(TRIM(E$2), TRIM(INDIRECT($O506)), 0))</f>
        <v>0</v>
      </c>
      <c r="F506" s="11" cm="1">
        <f t="array" aca="1" ref="F506" ca="1">INDEX(INDIRECT($M506),
       MATCH(TRIM($C506), TRIM(INDIRECT($N506)), 0),
       MATCH(TRIM(F$2), TRIM(INDIRECT($O506)), 0))</f>
        <v>12446.218701750004</v>
      </c>
      <c r="G506" s="11" cm="1">
        <f t="array" aca="1" ref="G506" ca="1">INDEX(INDIRECT($M506),
       MATCH(TRIM($C506), TRIM(INDIRECT($N506)), 0),
       MATCH(TRIM(G$2), TRIM(INDIRECT($O506)), 0))</f>
        <v>1107</v>
      </c>
      <c r="H506" s="9" cm="1">
        <f t="array" aca="1" ref="H506" ca="1">INDEX(INDIRECT($M506),
       MATCH(TRIM($C506), TRIM(INDIRECT($N506)), 0),
       MATCH(TRIM(H$2), TRIM(INDIRECT($O506)), 0))</f>
        <v>0</v>
      </c>
      <c r="I506" s="11" cm="1">
        <f t="array" aca="1" ref="I506" ca="1">INDEX(INDIRECT($M506),
       MATCH(TRIM($C506), TRIM(INDIRECT($N506)), 0),
       MATCH(TRIM(I$2), TRIM(INDIRECT($O506)), 0))</f>
        <v>10117.813094850861</v>
      </c>
      <c r="J506" s="9" cm="1">
        <f t="array" aca="1" ref="J506" ca="1">INDEX(INDIRECT($M506),
       MATCH(TRIM($C506), TRIM(INDIRECT($N506)), 0),
       MATCH(TRIM(J$2), TRIM(INDIRECT($O506)), 0))</f>
        <v>3566</v>
      </c>
      <c r="K506" s="11" cm="1">
        <f t="array" aca="1" ref="K506" ca="1">INDEX(INDIRECT($M506),
       MATCH(TRIM($C506), TRIM(INDIRECT($N506)), 0),
       MATCH(TRIM(K$2), TRIM(INDIRECT($O506)), 0))</f>
        <v>5154.0985104100009</v>
      </c>
      <c r="L506" s="11" cm="1">
        <f t="array" aca="1" ref="L506" ca="1">INDEX(INDIRECT($M506),
       MATCH(TRIM($C506), TRIM(INDIRECT($N506)), 0),
       MATCH(TRIM(L$2), TRIM(INDIRECT($O506)), 0))</f>
        <v>27718.130307010862</v>
      </c>
      <c r="M506" s="5" t="str">
        <f t="shared" si="21"/>
        <v>'2022'!$N$3:$V$80</v>
      </c>
      <c r="N506" s="5" t="str">
        <f t="shared" si="22"/>
        <v>'2022'!$M$2:$M$80</v>
      </c>
      <c r="O506" s="5" t="str">
        <f t="shared" si="23"/>
        <v>'2022'!$N$2:$W$2</v>
      </c>
    </row>
    <row r="507" spans="1:15" x14ac:dyDescent="0.3">
      <c r="A507">
        <v>1</v>
      </c>
      <c r="B507" s="9">
        <v>2023</v>
      </c>
      <c r="C507" t="s">
        <v>0</v>
      </c>
      <c r="D507" s="11" cm="1">
        <f t="array" aca="1" ref="D507" ca="1">INDEX(INDIRECT($M507),
       MATCH(TRIM($C507), TRIM(INDIRECT($N507)), 0),
       MATCH(TRIM(D$2), TRIM(INDIRECT($O507)), 0))</f>
        <v>1202</v>
      </c>
      <c r="E507" s="9" t="e" cm="1">
        <f t="array" aca="1" ref="E507" ca="1">INDEX(INDIRECT($M507),
       MATCH(TRIM($C507), TRIM(INDIRECT($N507)), 0),
       MATCH(TRIM(E$2), TRIM(INDIRECT($O507)), 0))</f>
        <v>#N/A</v>
      </c>
      <c r="F507" s="11" cm="1">
        <f t="array" aca="1" ref="F507" ca="1">INDEX(INDIRECT($M507),
       MATCH(TRIM($C507), TRIM(INDIRECT($N507)), 0),
       MATCH(TRIM(F$2), TRIM(INDIRECT($O507)), 0))</f>
        <v>598.29865287999996</v>
      </c>
      <c r="G507" s="11" cm="1">
        <f t="array" aca="1" ref="G507" ca="1">INDEX(INDIRECT($M507),
       MATCH(TRIM($C507), TRIM(INDIRECT($N507)), 0),
       MATCH(TRIM(G$2), TRIM(INDIRECT($O507)), 0))</f>
        <v>296</v>
      </c>
      <c r="H507" s="9" t="e" cm="1">
        <f t="array" aca="1" ref="H507" ca="1">INDEX(INDIRECT($M507),
       MATCH(TRIM($C507), TRIM(INDIRECT($N507)), 0),
       MATCH(TRIM(H$2), TRIM(INDIRECT($O507)), 0))</f>
        <v>#N/A</v>
      </c>
      <c r="I507" s="11" cm="1">
        <f t="array" aca="1" ref="I507" ca="1">INDEX(INDIRECT($M507),
       MATCH(TRIM($C507), TRIM(INDIRECT($N507)), 0),
       MATCH(TRIM(I$2), TRIM(INDIRECT($O507)), 0))</f>
        <v>964.93054947077178</v>
      </c>
      <c r="J507" s="9" cm="1">
        <f t="array" aca="1" ref="J507" ca="1">INDEX(INDIRECT($M507),
       MATCH(TRIM($C507), TRIM(INDIRECT($N507)), 0),
       MATCH(TRIM(J$2), TRIM(INDIRECT($O507)), 0))</f>
        <v>2314</v>
      </c>
      <c r="K507" s="11" cm="1">
        <f t="array" aca="1" ref="K507" ca="1">INDEX(INDIRECT($M507),
       MATCH(TRIM($C507), TRIM(INDIRECT($N507)), 0),
       MATCH(TRIM(K$2), TRIM(INDIRECT($O507)), 0))</f>
        <v>4288.72168014</v>
      </c>
      <c r="L507" s="11" cm="1">
        <f t="array" aca="1" ref="L507" ca="1">INDEX(INDIRECT($M507),
       MATCH(TRIM($C507), TRIM(INDIRECT($N507)), 0),
       MATCH(TRIM(L$2), TRIM(INDIRECT($O507)), 0))</f>
        <v>5851.9508824907716</v>
      </c>
      <c r="M507" s="5" t="str">
        <f t="shared" si="21"/>
        <v>'2023'!$N$3:$V$80</v>
      </c>
      <c r="N507" s="5" t="str">
        <f t="shared" si="22"/>
        <v>'2023'!$M$2:$M$80</v>
      </c>
      <c r="O507" s="5" t="str">
        <f t="shared" si="23"/>
        <v>'2023'!$N$2:$W$2</v>
      </c>
    </row>
    <row r="508" spans="1:15" x14ac:dyDescent="0.3">
      <c r="A508">
        <v>2</v>
      </c>
      <c r="B508" s="9">
        <v>2023</v>
      </c>
      <c r="C508" t="s">
        <v>1</v>
      </c>
      <c r="D508" s="11" cm="1">
        <f t="array" aca="1" ref="D508" ca="1">INDEX(INDIRECT($M508),
       MATCH(TRIM($C508), TRIM(INDIRECT($N508)), 0),
       MATCH(TRIM(D$2), TRIM(INDIRECT($O508)), 0))</f>
        <v>136</v>
      </c>
      <c r="E508" s="9" t="e" cm="1">
        <f t="array" aca="1" ref="E508" ca="1">INDEX(INDIRECT($M508),
       MATCH(TRIM($C508), TRIM(INDIRECT($N508)), 0),
       MATCH(TRIM(E$2), TRIM(INDIRECT($O508)), 0))</f>
        <v>#N/A</v>
      </c>
      <c r="F508" s="11" cm="1">
        <f t="array" aca="1" ref="F508" ca="1">INDEX(INDIRECT($M508),
       MATCH(TRIM($C508), TRIM(INDIRECT($N508)), 0),
       MATCH(TRIM(F$2), TRIM(INDIRECT($O508)), 0))</f>
        <v>639.79754478000007</v>
      </c>
      <c r="G508" s="11" cm="1">
        <f t="array" aca="1" ref="G508" ca="1">INDEX(INDIRECT($M508),
       MATCH(TRIM($C508), TRIM(INDIRECT($N508)), 0),
       MATCH(TRIM(G$2), TRIM(INDIRECT($O508)), 0))</f>
        <v>50</v>
      </c>
      <c r="H508" s="9" t="e" cm="1">
        <f t="array" aca="1" ref="H508" ca="1">INDEX(INDIRECT($M508),
       MATCH(TRIM($C508), TRIM(INDIRECT($N508)), 0),
       MATCH(TRIM(H$2), TRIM(INDIRECT($O508)), 0))</f>
        <v>#N/A</v>
      </c>
      <c r="I508" s="11" cm="1">
        <f t="array" aca="1" ref="I508" ca="1">INDEX(INDIRECT($M508),
       MATCH(TRIM($C508), TRIM(INDIRECT($N508)), 0),
       MATCH(TRIM(I$2), TRIM(INDIRECT($O508)), 0))</f>
        <v>39.411848236247572</v>
      </c>
      <c r="J508" s="9" cm="1">
        <f t="array" aca="1" ref="J508" ca="1">INDEX(INDIRECT($M508),
       MATCH(TRIM($C508), TRIM(INDIRECT($N508)), 0),
       MATCH(TRIM(J$2), TRIM(INDIRECT($O508)), 0))</f>
        <v>197</v>
      </c>
      <c r="K508" s="11" cm="1">
        <f t="array" aca="1" ref="K508" ca="1">INDEX(INDIRECT($M508),
       MATCH(TRIM($C508), TRIM(INDIRECT($N508)), 0),
       MATCH(TRIM(K$2), TRIM(INDIRECT($O508)), 0))</f>
        <v>894.7207161299998</v>
      </c>
      <c r="L508" s="11" cm="1">
        <f t="array" aca="1" ref="L508" ca="1">INDEX(INDIRECT($M508),
       MATCH(TRIM($C508), TRIM(INDIRECT($N508)), 0),
       MATCH(TRIM(L$2), TRIM(INDIRECT($O508)), 0))</f>
        <v>1573.9301091462476</v>
      </c>
      <c r="M508" s="5" t="str">
        <f t="shared" si="21"/>
        <v>'2023'!$N$3:$V$80</v>
      </c>
      <c r="N508" s="5" t="str">
        <f t="shared" si="22"/>
        <v>'2023'!$M$2:$M$80</v>
      </c>
      <c r="O508" s="5" t="str">
        <f t="shared" si="23"/>
        <v>'2023'!$N$2:$W$2</v>
      </c>
    </row>
    <row r="509" spans="1:15" x14ac:dyDescent="0.3">
      <c r="A509">
        <v>3</v>
      </c>
      <c r="B509" s="9">
        <v>2023</v>
      </c>
      <c r="C509" t="s">
        <v>2</v>
      </c>
      <c r="D509" s="11" cm="1">
        <f t="array" aca="1" ref="D509" ca="1">INDEX(INDIRECT($M509),
       MATCH(TRIM($C509), TRIM(INDIRECT($N509)), 0),
       MATCH(TRIM(D$2), TRIM(INDIRECT($O509)), 0))</f>
        <v>85</v>
      </c>
      <c r="E509" s="9" t="e" cm="1">
        <f t="array" aca="1" ref="E509" ca="1">INDEX(INDIRECT($M509),
       MATCH(TRIM($C509), TRIM(INDIRECT($N509)), 0),
       MATCH(TRIM(E$2), TRIM(INDIRECT($O509)), 0))</f>
        <v>#N/A</v>
      </c>
      <c r="F509" s="11" cm="1">
        <f t="array" aca="1" ref="F509" ca="1">INDEX(INDIRECT($M509),
       MATCH(TRIM($C509), TRIM(INDIRECT($N509)), 0),
       MATCH(TRIM(F$2), TRIM(INDIRECT($O509)), 0))</f>
        <v>558.92710341000009</v>
      </c>
      <c r="G509" s="11" cm="1">
        <f t="array" aca="1" ref="G509" ca="1">INDEX(INDIRECT($M509),
       MATCH(TRIM($C509), TRIM(INDIRECT($N509)), 0),
       MATCH(TRIM(G$2), TRIM(INDIRECT($O509)), 0))</f>
        <v>64</v>
      </c>
      <c r="H509" s="9" t="e" cm="1">
        <f t="array" aca="1" ref="H509" ca="1">INDEX(INDIRECT($M509),
       MATCH(TRIM($C509), TRIM(INDIRECT($N509)), 0),
       MATCH(TRIM(H$2), TRIM(INDIRECT($O509)), 0))</f>
        <v>#N/A</v>
      </c>
      <c r="I509" s="11" cm="1">
        <f t="array" aca="1" ref="I509" ca="1">INDEX(INDIRECT($M509),
       MATCH(TRIM($C509), TRIM(INDIRECT($N509)), 0),
       MATCH(TRIM(I$2), TRIM(INDIRECT($O509)), 0))</f>
        <v>503.44160267187499</v>
      </c>
      <c r="J509" s="9" cm="1">
        <f t="array" aca="1" ref="J509" ca="1">INDEX(INDIRECT($M509),
       MATCH(TRIM($C509), TRIM(INDIRECT($N509)), 0),
       MATCH(TRIM(J$2), TRIM(INDIRECT($O509)), 0))</f>
        <v>83</v>
      </c>
      <c r="K509" s="11" cm="1">
        <f t="array" aca="1" ref="K509" ca="1">INDEX(INDIRECT($M509),
       MATCH(TRIM($C509), TRIM(INDIRECT($N509)), 0),
       MATCH(TRIM(K$2), TRIM(INDIRECT($O509)), 0))</f>
        <v>451.80774392000001</v>
      </c>
      <c r="L509" s="11" cm="1">
        <f t="array" aca="1" ref="L509" ca="1">INDEX(INDIRECT($M509),
       MATCH(TRIM($C509), TRIM(INDIRECT($N509)), 0),
       MATCH(TRIM(L$2), TRIM(INDIRECT($O509)), 0))</f>
        <v>1514.1764500018753</v>
      </c>
      <c r="M509" s="5" t="str">
        <f t="shared" si="21"/>
        <v>'2023'!$N$3:$V$80</v>
      </c>
      <c r="N509" s="5" t="str">
        <f t="shared" si="22"/>
        <v>'2023'!$M$2:$M$80</v>
      </c>
      <c r="O509" s="5" t="str">
        <f t="shared" si="23"/>
        <v>'2023'!$N$2:$W$2</v>
      </c>
    </row>
    <row r="510" spans="1:15" x14ac:dyDescent="0.3">
      <c r="A510">
        <v>4</v>
      </c>
      <c r="B510" s="9">
        <v>2023</v>
      </c>
      <c r="C510" t="s">
        <v>3</v>
      </c>
      <c r="D510" s="11" cm="1">
        <f t="array" aca="1" ref="D510" ca="1">INDEX(INDIRECT($M510),
       MATCH(TRIM($C510), TRIM(INDIRECT($N510)), 0),
       MATCH(TRIM(D$2), TRIM(INDIRECT($O510)), 0))</f>
        <v>384</v>
      </c>
      <c r="E510" s="9" t="e" cm="1">
        <f t="array" aca="1" ref="E510" ca="1">INDEX(INDIRECT($M510),
       MATCH(TRIM($C510), TRIM(INDIRECT($N510)), 0),
       MATCH(TRIM(E$2), TRIM(INDIRECT($O510)), 0))</f>
        <v>#N/A</v>
      </c>
      <c r="F510" s="11" cm="1">
        <f t="array" aca="1" ref="F510" ca="1">INDEX(INDIRECT($M510),
       MATCH(TRIM($C510), TRIM(INDIRECT($N510)), 0),
       MATCH(TRIM(F$2), TRIM(INDIRECT($O510)), 0))</f>
        <v>1089.29023411</v>
      </c>
      <c r="G510" s="11" cm="1">
        <f t="array" aca="1" ref="G510" ca="1">INDEX(INDIRECT($M510),
       MATCH(TRIM($C510), TRIM(INDIRECT($N510)), 0),
       MATCH(TRIM(G$2), TRIM(INDIRECT($O510)), 0))</f>
        <v>162</v>
      </c>
      <c r="H510" s="9" t="e" cm="1">
        <f t="array" aca="1" ref="H510" ca="1">INDEX(INDIRECT($M510),
       MATCH(TRIM($C510), TRIM(INDIRECT($N510)), 0),
       MATCH(TRIM(H$2), TRIM(INDIRECT($O510)), 0))</f>
        <v>#N/A</v>
      </c>
      <c r="I510" s="11" cm="1">
        <f t="array" aca="1" ref="I510" ca="1">INDEX(INDIRECT($M510),
       MATCH(TRIM($C510), TRIM(INDIRECT($N510)), 0),
       MATCH(TRIM(I$2), TRIM(INDIRECT($O510)), 0))</f>
        <v>634.91577192226566</v>
      </c>
      <c r="J510" s="9" cm="1">
        <f t="array" aca="1" ref="J510" ca="1">INDEX(INDIRECT($M510),
       MATCH(TRIM($C510), TRIM(INDIRECT($N510)), 0),
       MATCH(TRIM(J$2), TRIM(INDIRECT($O510)), 0))</f>
        <v>87</v>
      </c>
      <c r="K510" s="11" cm="1">
        <f t="array" aca="1" ref="K510" ca="1">INDEX(INDIRECT($M510),
       MATCH(TRIM($C510), TRIM(INDIRECT($N510)), 0),
       MATCH(TRIM(K$2), TRIM(INDIRECT($O510)), 0))</f>
        <v>45.538630769999997</v>
      </c>
      <c r="L510" s="11" cm="1">
        <f t="array" aca="1" ref="L510" ca="1">INDEX(INDIRECT($M510),
       MATCH(TRIM($C510), TRIM(INDIRECT($N510)), 0),
       MATCH(TRIM(L$2), TRIM(INDIRECT($O510)), 0))</f>
        <v>1769.7446368022656</v>
      </c>
      <c r="M510" s="5" t="str">
        <f t="shared" si="21"/>
        <v>'2023'!$N$3:$V$80</v>
      </c>
      <c r="N510" s="5" t="str">
        <f t="shared" si="22"/>
        <v>'2023'!$M$2:$M$80</v>
      </c>
      <c r="O510" s="5" t="str">
        <f t="shared" si="23"/>
        <v>'2023'!$N$2:$W$2</v>
      </c>
    </row>
    <row r="511" spans="1:15" x14ac:dyDescent="0.3">
      <c r="A511">
        <v>5</v>
      </c>
      <c r="B511" s="9">
        <v>2023</v>
      </c>
      <c r="C511" t="s">
        <v>4</v>
      </c>
      <c r="D511" s="11" cm="1">
        <f t="array" aca="1" ref="D511" ca="1">INDEX(INDIRECT($M511),
       MATCH(TRIM($C511), TRIM(INDIRECT($N511)), 0),
       MATCH(TRIM(D$2), TRIM(INDIRECT($O511)), 0))</f>
        <v>119</v>
      </c>
      <c r="E511" s="9" t="e" cm="1">
        <f t="array" aca="1" ref="E511" ca="1">INDEX(INDIRECT($M511),
       MATCH(TRIM($C511), TRIM(INDIRECT($N511)), 0),
       MATCH(TRIM(E$2), TRIM(INDIRECT($O511)), 0))</f>
        <v>#N/A</v>
      </c>
      <c r="F511" s="11" cm="1">
        <f t="array" aca="1" ref="F511" ca="1">INDEX(INDIRECT($M511),
       MATCH(TRIM($C511), TRIM(INDIRECT($N511)), 0),
       MATCH(TRIM(F$2), TRIM(INDIRECT($O511)), 0))</f>
        <v>1478.7001244400001</v>
      </c>
      <c r="G511" s="11" cm="1">
        <f t="array" aca="1" ref="G511" ca="1">INDEX(INDIRECT($M511),
       MATCH(TRIM($C511), TRIM(INDIRECT($N511)), 0),
       MATCH(TRIM(G$2), TRIM(INDIRECT($O511)), 0))</f>
        <v>51</v>
      </c>
      <c r="H511" s="9" t="e" cm="1">
        <f t="array" aca="1" ref="H511" ca="1">INDEX(INDIRECT($M511),
       MATCH(TRIM($C511), TRIM(INDIRECT($N511)), 0),
       MATCH(TRIM(H$2), TRIM(INDIRECT($O511)), 0))</f>
        <v>#N/A</v>
      </c>
      <c r="I511" s="11" cm="1">
        <f t="array" aca="1" ref="I511" ca="1">INDEX(INDIRECT($M511),
       MATCH(TRIM($C511), TRIM(INDIRECT($N511)), 0),
       MATCH(TRIM(I$2), TRIM(INDIRECT($O511)), 0))</f>
        <v>1654.8340725</v>
      </c>
      <c r="J511" s="9" cm="1">
        <f t="array" aca="1" ref="J511" ca="1">INDEX(INDIRECT($M511),
       MATCH(TRIM($C511), TRIM(INDIRECT($N511)), 0),
       MATCH(TRIM(J$2), TRIM(INDIRECT($O511)), 0))</f>
        <v>49</v>
      </c>
      <c r="K511" s="11" cm="1">
        <f t="array" aca="1" ref="K511" ca="1">INDEX(INDIRECT($M511),
       MATCH(TRIM($C511), TRIM(INDIRECT($N511)), 0),
       MATCH(TRIM(K$2), TRIM(INDIRECT($O511)), 0))</f>
        <v>128.77857574000001</v>
      </c>
      <c r="L511" s="11" cm="1">
        <f t="array" aca="1" ref="L511" ca="1">INDEX(INDIRECT($M511),
       MATCH(TRIM($C511), TRIM(INDIRECT($N511)), 0),
       MATCH(TRIM(L$2), TRIM(INDIRECT($O511)), 0))</f>
        <v>3262.3127726800003</v>
      </c>
      <c r="M511" s="5" t="str">
        <f t="shared" si="21"/>
        <v>'2023'!$N$3:$V$80</v>
      </c>
      <c r="N511" s="5" t="str">
        <f t="shared" si="22"/>
        <v>'2023'!$M$2:$M$80</v>
      </c>
      <c r="O511" s="5" t="str">
        <f t="shared" si="23"/>
        <v>'2023'!$N$2:$W$2</v>
      </c>
    </row>
    <row r="512" spans="1:15" x14ac:dyDescent="0.3">
      <c r="A512">
        <v>6</v>
      </c>
      <c r="B512" s="9">
        <v>2023</v>
      </c>
      <c r="C512" t="s">
        <v>5</v>
      </c>
      <c r="D512" s="11" cm="1">
        <f t="array" aca="1" ref="D512" ca="1">INDEX(INDIRECT($M512),
       MATCH(TRIM($C512), TRIM(INDIRECT($N512)), 0),
       MATCH(TRIM(D$2), TRIM(INDIRECT($O512)), 0))</f>
        <v>28</v>
      </c>
      <c r="E512" s="9" t="e" cm="1">
        <f t="array" aca="1" ref="E512" ca="1">INDEX(INDIRECT($M512),
       MATCH(TRIM($C512), TRIM(INDIRECT($N512)), 0),
       MATCH(TRIM(E$2), TRIM(INDIRECT($O512)), 0))</f>
        <v>#N/A</v>
      </c>
      <c r="F512" s="11" cm="1">
        <f t="array" aca="1" ref="F512" ca="1">INDEX(INDIRECT($M512),
       MATCH(TRIM($C512), TRIM(INDIRECT($N512)), 0),
       MATCH(TRIM(F$2), TRIM(INDIRECT($O512)), 0))</f>
        <v>252.98133200000001</v>
      </c>
      <c r="G512" s="11" cm="1">
        <f t="array" aca="1" ref="G512" ca="1">INDEX(INDIRECT($M512),
       MATCH(TRIM($C512), TRIM(INDIRECT($N512)), 0),
       MATCH(TRIM(G$2), TRIM(INDIRECT($O512)), 0))</f>
        <v>38</v>
      </c>
      <c r="H512" s="9" t="e" cm="1">
        <f t="array" aca="1" ref="H512" ca="1">INDEX(INDIRECT($M512),
       MATCH(TRIM($C512), TRIM(INDIRECT($N512)), 0),
       MATCH(TRIM(H$2), TRIM(INDIRECT($O512)), 0))</f>
        <v>#N/A</v>
      </c>
      <c r="I512" s="11" cm="1">
        <f t="array" aca="1" ref="I512" ca="1">INDEX(INDIRECT($M512),
       MATCH(TRIM($C512), TRIM(INDIRECT($N512)), 0),
       MATCH(TRIM(I$2), TRIM(INDIRECT($O512)), 0))</f>
        <v>403.33465612499998</v>
      </c>
      <c r="J512" s="9" cm="1">
        <f t="array" aca="1" ref="J512" ca="1">INDEX(INDIRECT($M512),
       MATCH(TRIM($C512), TRIM(INDIRECT($N512)), 0),
       MATCH(TRIM(J$2), TRIM(INDIRECT($O512)), 0))</f>
        <v>4</v>
      </c>
      <c r="K512" s="11" cm="1">
        <f t="array" aca="1" ref="K512" ca="1">INDEX(INDIRECT($M512),
       MATCH(TRIM($C512), TRIM(INDIRECT($N512)), 0),
       MATCH(TRIM(K$2), TRIM(INDIRECT($O512)), 0))</f>
        <v>0.53955489000000001</v>
      </c>
      <c r="L512" s="11" cm="1">
        <f t="array" aca="1" ref="L512" ca="1">INDEX(INDIRECT($M512),
       MATCH(TRIM($C512), TRIM(INDIRECT($N512)), 0),
       MATCH(TRIM(L$2), TRIM(INDIRECT($O512)), 0))</f>
        <v>656.85554301499997</v>
      </c>
      <c r="M512" s="5" t="str">
        <f t="shared" si="21"/>
        <v>'2023'!$N$3:$V$80</v>
      </c>
      <c r="N512" s="5" t="str">
        <f t="shared" si="22"/>
        <v>'2023'!$M$2:$M$80</v>
      </c>
      <c r="O512" s="5" t="str">
        <f t="shared" si="23"/>
        <v>'2023'!$N$2:$W$2</v>
      </c>
    </row>
    <row r="513" spans="1:15" x14ac:dyDescent="0.3">
      <c r="A513">
        <v>7</v>
      </c>
      <c r="B513" s="9">
        <v>2023</v>
      </c>
      <c r="C513" t="s">
        <v>6</v>
      </c>
      <c r="D513" s="11" cm="1">
        <f t="array" aca="1" ref="D513" ca="1">INDEX(INDIRECT($M513),
       MATCH(TRIM($C513), TRIM(INDIRECT($N513)), 0),
       MATCH(TRIM(D$2), TRIM(INDIRECT($O513)), 0))</f>
        <v>92</v>
      </c>
      <c r="E513" s="9" t="e" cm="1">
        <f t="array" aca="1" ref="E513" ca="1">INDEX(INDIRECT($M513),
       MATCH(TRIM($C513), TRIM(INDIRECT($N513)), 0),
       MATCH(TRIM(E$2), TRIM(INDIRECT($O513)), 0))</f>
        <v>#N/A</v>
      </c>
      <c r="F513" s="11" cm="1">
        <f t="array" aca="1" ref="F513" ca="1">INDEX(INDIRECT($M513),
       MATCH(TRIM($C513), TRIM(INDIRECT($N513)), 0),
       MATCH(TRIM(F$2), TRIM(INDIRECT($O513)), 0))</f>
        <v>1529.52937</v>
      </c>
      <c r="G513" s="11" cm="1">
        <f t="array" aca="1" ref="G513" ca="1">INDEX(INDIRECT($M513),
       MATCH(TRIM($C513), TRIM(INDIRECT($N513)), 0),
       MATCH(TRIM(G$2), TRIM(INDIRECT($O513)), 0))</f>
        <v>53</v>
      </c>
      <c r="H513" s="9" t="e" cm="1">
        <f t="array" aca="1" ref="H513" ca="1">INDEX(INDIRECT($M513),
       MATCH(TRIM($C513), TRIM(INDIRECT($N513)), 0),
       MATCH(TRIM(H$2), TRIM(INDIRECT($O513)), 0))</f>
        <v>#N/A</v>
      </c>
      <c r="I513" s="11" cm="1">
        <f t="array" aca="1" ref="I513" ca="1">INDEX(INDIRECT($M513),
       MATCH(TRIM($C513), TRIM(INDIRECT($N513)), 0),
       MATCH(TRIM(I$2), TRIM(INDIRECT($O513)), 0))</f>
        <v>1445.496435</v>
      </c>
      <c r="J513" s="9" cm="1">
        <f t="array" aca="1" ref="J513" ca="1">INDEX(INDIRECT($M513),
       MATCH(TRIM($C513), TRIM(INDIRECT($N513)), 0),
       MATCH(TRIM(J$2), TRIM(INDIRECT($O513)), 0))</f>
        <v>51</v>
      </c>
      <c r="K513" s="11" cm="1">
        <f t="array" aca="1" ref="K513" ca="1">INDEX(INDIRECT($M513),
       MATCH(TRIM($C513), TRIM(INDIRECT($N513)), 0),
       MATCH(TRIM(K$2), TRIM(INDIRECT($O513)), 0))</f>
        <v>40.612914420000003</v>
      </c>
      <c r="L513" s="11" cm="1">
        <f t="array" aca="1" ref="L513" ca="1">INDEX(INDIRECT($M513),
       MATCH(TRIM($C513), TRIM(INDIRECT($N513)), 0),
       MATCH(TRIM(L$2), TRIM(INDIRECT($O513)), 0))</f>
        <v>3015.6387194200001</v>
      </c>
      <c r="M513" s="5" t="str">
        <f t="shared" si="21"/>
        <v>'2023'!$N$3:$V$80</v>
      </c>
      <c r="N513" s="5" t="str">
        <f t="shared" si="22"/>
        <v>'2023'!$M$2:$M$80</v>
      </c>
      <c r="O513" s="5" t="str">
        <f t="shared" si="23"/>
        <v>'2023'!$N$2:$W$2</v>
      </c>
    </row>
    <row r="514" spans="1:15" x14ac:dyDescent="0.3">
      <c r="A514">
        <v>8</v>
      </c>
      <c r="B514" s="9">
        <v>2023</v>
      </c>
      <c r="C514" t="s">
        <v>7</v>
      </c>
      <c r="D514" s="11" cm="1">
        <f t="array" aca="1" ref="D514" ca="1">INDEX(INDIRECT($M514),
       MATCH(TRIM($C514), TRIM(INDIRECT($N514)), 0),
       MATCH(TRIM(D$2), TRIM(INDIRECT($O514)), 0))</f>
        <v>21</v>
      </c>
      <c r="E514" s="9" t="e" cm="1">
        <f t="array" aca="1" ref="E514" ca="1">INDEX(INDIRECT($M514),
       MATCH(TRIM($C514), TRIM(INDIRECT($N514)), 0),
       MATCH(TRIM(E$2), TRIM(INDIRECT($O514)), 0))</f>
        <v>#N/A</v>
      </c>
      <c r="F514" s="11" cm="1">
        <f t="array" aca="1" ref="F514" ca="1">INDEX(INDIRECT($M514),
       MATCH(TRIM($C514), TRIM(INDIRECT($N514)), 0),
       MATCH(TRIM(F$2), TRIM(INDIRECT($O514)), 0))</f>
        <v>848.00404700000001</v>
      </c>
      <c r="G514" s="11" cm="1">
        <f t="array" aca="1" ref="G514" ca="1">INDEX(INDIRECT($M514),
       MATCH(TRIM($C514), TRIM(INDIRECT($N514)), 0),
       MATCH(TRIM(G$2), TRIM(INDIRECT($O514)), 0))</f>
        <v>0</v>
      </c>
      <c r="H514" s="9" t="e" cm="1">
        <f t="array" aca="1" ref="H514" ca="1">INDEX(INDIRECT($M514),
       MATCH(TRIM($C514), TRIM(INDIRECT($N514)), 0),
       MATCH(TRIM(H$2), TRIM(INDIRECT($O514)), 0))</f>
        <v>#N/A</v>
      </c>
      <c r="I514" s="11" cm="1">
        <f t="array" aca="1" ref="I514" ca="1">INDEX(INDIRECT($M514),
       MATCH(TRIM($C514), TRIM(INDIRECT($N514)), 0),
       MATCH(TRIM(I$2), TRIM(INDIRECT($O514)), 0))</f>
        <v>0</v>
      </c>
      <c r="J514" s="9" cm="1">
        <f t="array" aca="1" ref="J514" ca="1">INDEX(INDIRECT($M514),
       MATCH(TRIM($C514), TRIM(INDIRECT($N514)), 0),
       MATCH(TRIM(J$2), TRIM(INDIRECT($O514)), 0))</f>
        <v>27</v>
      </c>
      <c r="K514" s="11" cm="1">
        <f t="array" aca="1" ref="K514" ca="1">INDEX(INDIRECT($M514),
       MATCH(TRIM($C514), TRIM(INDIRECT($N514)), 0),
       MATCH(TRIM(K$2), TRIM(INDIRECT($O514)), 0))</f>
        <v>191.56463693999999</v>
      </c>
      <c r="L514" s="11" cm="1">
        <f t="array" aca="1" ref="L514" ca="1">INDEX(INDIRECT($M514),
       MATCH(TRIM($C514), TRIM(INDIRECT($N514)), 0),
       MATCH(TRIM(L$2), TRIM(INDIRECT($O514)), 0))</f>
        <v>1039.56868394</v>
      </c>
      <c r="M514" s="5" t="str">
        <f t="shared" si="21"/>
        <v>'2023'!$N$3:$V$80</v>
      </c>
      <c r="N514" s="5" t="str">
        <f t="shared" si="22"/>
        <v>'2023'!$M$2:$M$80</v>
      </c>
      <c r="O514" s="5" t="str">
        <f t="shared" si="23"/>
        <v>'2023'!$N$2:$W$2</v>
      </c>
    </row>
    <row r="515" spans="1:15" x14ac:dyDescent="0.3">
      <c r="A515">
        <v>9</v>
      </c>
      <c r="B515" s="9">
        <v>2023</v>
      </c>
      <c r="C515" t="s">
        <v>8</v>
      </c>
      <c r="D515" s="11" cm="1">
        <f t="array" aca="1" ref="D515" ca="1">INDEX(INDIRECT($M515),
       MATCH(TRIM($C515), TRIM(INDIRECT($N515)), 0),
       MATCH(TRIM(D$2), TRIM(INDIRECT($O515)), 0))</f>
        <v>35</v>
      </c>
      <c r="E515" s="9" t="e" cm="1">
        <f t="array" aca="1" ref="E515" ca="1">INDEX(INDIRECT($M515),
       MATCH(TRIM($C515), TRIM(INDIRECT($N515)), 0),
       MATCH(TRIM(E$2), TRIM(INDIRECT($O515)), 0))</f>
        <v>#N/A</v>
      </c>
      <c r="F515" s="11" cm="1">
        <f t="array" aca="1" ref="F515" ca="1">INDEX(INDIRECT($M515),
       MATCH(TRIM($C515), TRIM(INDIRECT($N515)), 0),
       MATCH(TRIM(F$2), TRIM(INDIRECT($O515)), 0))</f>
        <v>470.67468922</v>
      </c>
      <c r="G515" s="11" cm="1">
        <f t="array" aca="1" ref="G515" ca="1">INDEX(INDIRECT($M515),
       MATCH(TRIM($C515), TRIM(INDIRECT($N515)), 0),
       MATCH(TRIM(G$2), TRIM(INDIRECT($O515)), 0))</f>
        <v>23</v>
      </c>
      <c r="H515" s="9" t="e" cm="1">
        <f t="array" aca="1" ref="H515" ca="1">INDEX(INDIRECT($M515),
       MATCH(TRIM($C515), TRIM(INDIRECT($N515)), 0),
       MATCH(TRIM(H$2), TRIM(INDIRECT($O515)), 0))</f>
        <v>#N/A</v>
      </c>
      <c r="I515" s="11" cm="1">
        <f t="array" aca="1" ref="I515" ca="1">INDEX(INDIRECT($M515),
       MATCH(TRIM($C515), TRIM(INDIRECT($N515)), 0),
       MATCH(TRIM(I$2), TRIM(INDIRECT($O515)), 0))</f>
        <v>231.0190056875</v>
      </c>
      <c r="J515" s="9" cm="1">
        <f t="array" aca="1" ref="J515" ca="1">INDEX(INDIRECT($M515),
       MATCH(TRIM($C515), TRIM(INDIRECT($N515)), 0),
       MATCH(TRIM(J$2), TRIM(INDIRECT($O515)), 0))</f>
        <v>5</v>
      </c>
      <c r="K515" s="11" cm="1">
        <f t="array" aca="1" ref="K515" ca="1">INDEX(INDIRECT($M515),
       MATCH(TRIM($C515), TRIM(INDIRECT($N515)), 0),
       MATCH(TRIM(K$2), TRIM(INDIRECT($O515)), 0))</f>
        <v>13.861131760000001</v>
      </c>
      <c r="L515" s="11" cm="1">
        <f t="array" aca="1" ref="L515" ca="1">INDEX(INDIRECT($M515),
       MATCH(TRIM($C515), TRIM(INDIRECT($N515)), 0),
       MATCH(TRIM(L$2), TRIM(INDIRECT($O515)), 0))</f>
        <v>715.55482666750004</v>
      </c>
      <c r="M515" s="5" t="str">
        <f t="shared" si="21"/>
        <v>'2023'!$N$3:$V$80</v>
      </c>
      <c r="N515" s="5" t="str">
        <f t="shared" si="22"/>
        <v>'2023'!$M$2:$M$80</v>
      </c>
      <c r="O515" s="5" t="str">
        <f t="shared" si="23"/>
        <v>'2023'!$N$2:$W$2</v>
      </c>
    </row>
    <row r="516" spans="1:15" x14ac:dyDescent="0.3">
      <c r="A516">
        <v>10</v>
      </c>
      <c r="B516" s="9">
        <v>2023</v>
      </c>
      <c r="C516" t="s">
        <v>9</v>
      </c>
      <c r="D516" s="11" cm="1">
        <f t="array" aca="1" ref="D516" ca="1">INDEX(INDIRECT($M516),
       MATCH(TRIM($C516), TRIM(INDIRECT($N516)), 0),
       MATCH(TRIM(D$2), TRIM(INDIRECT($O516)), 0))</f>
        <v>118</v>
      </c>
      <c r="E516" s="9" t="e" cm="1">
        <f t="array" aca="1" ref="E516" ca="1">INDEX(INDIRECT($M516),
       MATCH(TRIM($C516), TRIM(INDIRECT($N516)), 0),
       MATCH(TRIM(E$2), TRIM(INDIRECT($O516)), 0))</f>
        <v>#N/A</v>
      </c>
      <c r="F516" s="11" cm="1">
        <f t="array" aca="1" ref="F516" ca="1">INDEX(INDIRECT($M516),
       MATCH(TRIM($C516), TRIM(INDIRECT($N516)), 0),
       MATCH(TRIM(F$2), TRIM(INDIRECT($O516)), 0))</f>
        <v>602.76692869999988</v>
      </c>
      <c r="G516" s="11" cm="1">
        <f t="array" aca="1" ref="G516" ca="1">INDEX(INDIRECT($M516),
       MATCH(TRIM($C516), TRIM(INDIRECT($N516)), 0),
       MATCH(TRIM(G$2), TRIM(INDIRECT($O516)), 0))</f>
        <v>81</v>
      </c>
      <c r="H516" s="9" t="e" cm="1">
        <f t="array" aca="1" ref="H516" ca="1">INDEX(INDIRECT($M516),
       MATCH(TRIM($C516), TRIM(INDIRECT($N516)), 0),
       MATCH(TRIM(H$2), TRIM(INDIRECT($O516)), 0))</f>
        <v>#N/A</v>
      </c>
      <c r="I516" s="11" cm="1">
        <f t="array" aca="1" ref="I516" ca="1">INDEX(INDIRECT($M516),
       MATCH(TRIM($C516), TRIM(INDIRECT($N516)), 0),
       MATCH(TRIM(I$2), TRIM(INDIRECT($O516)), 0))</f>
        <v>117.88781366015625</v>
      </c>
      <c r="J516" s="9" cm="1">
        <f t="array" aca="1" ref="J516" ca="1">INDEX(INDIRECT($M516),
       MATCH(TRIM($C516), TRIM(INDIRECT($N516)), 0),
       MATCH(TRIM(J$2), TRIM(INDIRECT($O516)), 0))</f>
        <v>40</v>
      </c>
      <c r="K516" s="11" cm="1">
        <f t="array" aca="1" ref="K516" ca="1">INDEX(INDIRECT($M516),
       MATCH(TRIM($C516), TRIM(INDIRECT($N516)), 0),
       MATCH(TRIM(K$2), TRIM(INDIRECT($O516)), 0))</f>
        <v>32.671865599999997</v>
      </c>
      <c r="L516" s="11" cm="1">
        <f t="array" aca="1" ref="L516" ca="1">INDEX(INDIRECT($M516),
       MATCH(TRIM($C516), TRIM(INDIRECT($N516)), 0),
       MATCH(TRIM(L$2), TRIM(INDIRECT($O516)), 0))</f>
        <v>753.32660796015614</v>
      </c>
      <c r="M516" s="5" t="str">
        <f t="shared" ref="M516:M579" si="24">_xlfn.CONCAT("'",$B516,"'","!","$N$3:$V$80")</f>
        <v>'2023'!$N$3:$V$80</v>
      </c>
      <c r="N516" s="5" t="str">
        <f t="shared" ref="N516:N579" si="25">_xlfn.CONCAT("'",$B516,"'","!","$M$2:$M$80")</f>
        <v>'2023'!$M$2:$M$80</v>
      </c>
      <c r="O516" s="5" t="str">
        <f t="shared" ref="O516:O579" si="26">_xlfn.CONCAT("'",$B516,"'","!","$N$2:$W$2")</f>
        <v>'2023'!$N$2:$W$2</v>
      </c>
    </row>
    <row r="517" spans="1:15" x14ac:dyDescent="0.3">
      <c r="A517">
        <v>11</v>
      </c>
      <c r="B517" s="9">
        <v>2023</v>
      </c>
      <c r="C517" t="s">
        <v>10</v>
      </c>
      <c r="D517" s="11" cm="1">
        <f t="array" aca="1" ref="D517" ca="1">INDEX(INDIRECT($M517),
       MATCH(TRIM($C517), TRIM(INDIRECT($N517)), 0),
       MATCH(TRIM(D$2), TRIM(INDIRECT($O517)), 0))</f>
        <v>83</v>
      </c>
      <c r="E517" s="9" t="e" cm="1">
        <f t="array" aca="1" ref="E517" ca="1">INDEX(INDIRECT($M517),
       MATCH(TRIM($C517), TRIM(INDIRECT($N517)), 0),
       MATCH(TRIM(E$2), TRIM(INDIRECT($O517)), 0))</f>
        <v>#N/A</v>
      </c>
      <c r="F517" s="11" cm="1">
        <f t="array" aca="1" ref="F517" ca="1">INDEX(INDIRECT($M517),
       MATCH(TRIM($C517), TRIM(INDIRECT($N517)), 0),
       MATCH(TRIM(F$2), TRIM(INDIRECT($O517)), 0))</f>
        <v>1059.872805</v>
      </c>
      <c r="G517" s="11" cm="1">
        <f t="array" aca="1" ref="G517" ca="1">INDEX(INDIRECT($M517),
       MATCH(TRIM($C517), TRIM(INDIRECT($N517)), 0),
       MATCH(TRIM(G$2), TRIM(INDIRECT($O517)), 0))</f>
        <v>29</v>
      </c>
      <c r="H517" s="9" t="e" cm="1">
        <f t="array" aca="1" ref="H517" ca="1">INDEX(INDIRECT($M517),
       MATCH(TRIM($C517), TRIM(INDIRECT($N517)), 0),
       MATCH(TRIM(H$2), TRIM(INDIRECT($O517)), 0))</f>
        <v>#N/A</v>
      </c>
      <c r="I517" s="11" cm="1">
        <f t="array" aca="1" ref="I517" ca="1">INDEX(INDIRECT($M517),
       MATCH(TRIM($C517), TRIM(INDIRECT($N517)), 0),
       MATCH(TRIM(I$2), TRIM(INDIRECT($O517)), 0))</f>
        <v>142.80319600000001</v>
      </c>
      <c r="J517" s="9" cm="1">
        <f t="array" aca="1" ref="J517" ca="1">INDEX(INDIRECT($M517),
       MATCH(TRIM($C517), TRIM(INDIRECT($N517)), 0),
       MATCH(TRIM(J$2), TRIM(INDIRECT($O517)), 0))</f>
        <v>23</v>
      </c>
      <c r="K517" s="11" cm="1">
        <f t="array" aca="1" ref="K517" ca="1">INDEX(INDIRECT($M517),
       MATCH(TRIM($C517), TRIM(INDIRECT($N517)), 0),
       MATCH(TRIM(K$2), TRIM(INDIRECT($O517)), 0))</f>
        <v>14.052826810000001</v>
      </c>
      <c r="L517" s="11" cm="1">
        <f t="array" aca="1" ref="L517" ca="1">INDEX(INDIRECT($M517),
       MATCH(TRIM($C517), TRIM(INDIRECT($N517)), 0),
       MATCH(TRIM(L$2), TRIM(INDIRECT($O517)), 0))</f>
        <v>1216.72882781</v>
      </c>
      <c r="M517" s="5" t="str">
        <f t="shared" si="24"/>
        <v>'2023'!$N$3:$V$80</v>
      </c>
      <c r="N517" s="5" t="str">
        <f t="shared" si="25"/>
        <v>'2023'!$M$2:$M$80</v>
      </c>
      <c r="O517" s="5" t="str">
        <f t="shared" si="26"/>
        <v>'2023'!$N$2:$W$2</v>
      </c>
    </row>
    <row r="518" spans="1:15" x14ac:dyDescent="0.3">
      <c r="A518">
        <v>12</v>
      </c>
      <c r="B518" s="9">
        <v>2023</v>
      </c>
      <c r="C518" t="s">
        <v>11</v>
      </c>
      <c r="D518" s="11" cm="1">
        <f t="array" aca="1" ref="D518" ca="1">INDEX(INDIRECT($M518),
       MATCH(TRIM($C518), TRIM(INDIRECT($N518)), 0),
       MATCH(TRIM(D$2), TRIM(INDIRECT($O518)), 0))</f>
        <v>40</v>
      </c>
      <c r="E518" s="9" t="e" cm="1">
        <f t="array" aca="1" ref="E518" ca="1">INDEX(INDIRECT($M518),
       MATCH(TRIM($C518), TRIM(INDIRECT($N518)), 0),
       MATCH(TRIM(E$2), TRIM(INDIRECT($O518)), 0))</f>
        <v>#N/A</v>
      </c>
      <c r="F518" s="11" cm="1">
        <f t="array" aca="1" ref="F518" ca="1">INDEX(INDIRECT($M518),
       MATCH(TRIM($C518), TRIM(INDIRECT($N518)), 0),
       MATCH(TRIM(F$2), TRIM(INDIRECT($O518)), 0))</f>
        <v>257.17745533999999</v>
      </c>
      <c r="G518" s="11" cm="1">
        <f t="array" aca="1" ref="G518" ca="1">INDEX(INDIRECT($M518),
       MATCH(TRIM($C518), TRIM(INDIRECT($N518)), 0),
       MATCH(TRIM(G$2), TRIM(INDIRECT($O518)), 0))</f>
        <v>17</v>
      </c>
      <c r="H518" s="9" t="e" cm="1">
        <f t="array" aca="1" ref="H518" ca="1">INDEX(INDIRECT($M518),
       MATCH(TRIM($C518), TRIM(INDIRECT($N518)), 0),
       MATCH(TRIM(H$2), TRIM(INDIRECT($O518)), 0))</f>
        <v>#N/A</v>
      </c>
      <c r="I518" s="11" cm="1">
        <f t="array" aca="1" ref="I518" ca="1">INDEX(INDIRECT($M518),
       MATCH(TRIM($C518), TRIM(INDIRECT($N518)), 0),
       MATCH(TRIM(I$2), TRIM(INDIRECT($O518)), 0))</f>
        <v>70.787850187499998</v>
      </c>
      <c r="J518" s="9" cm="1">
        <f t="array" aca="1" ref="J518" ca="1">INDEX(INDIRECT($M518),
       MATCH(TRIM($C518), TRIM(INDIRECT($N518)), 0),
       MATCH(TRIM(J$2), TRIM(INDIRECT($O518)), 0))</f>
        <v>9</v>
      </c>
      <c r="K518" s="11" cm="1">
        <f t="array" aca="1" ref="K518" ca="1">INDEX(INDIRECT($M518),
       MATCH(TRIM($C518), TRIM(INDIRECT($N518)), 0),
       MATCH(TRIM(K$2), TRIM(INDIRECT($O518)), 0))</f>
        <v>11.204015650000001</v>
      </c>
      <c r="L518" s="11" cm="1">
        <f t="array" aca="1" ref="L518" ca="1">INDEX(INDIRECT($M518),
       MATCH(TRIM($C518), TRIM(INDIRECT($N518)), 0),
       MATCH(TRIM(L$2), TRIM(INDIRECT($O518)), 0))</f>
        <v>339.16932117749997</v>
      </c>
      <c r="M518" s="5" t="str">
        <f t="shared" si="24"/>
        <v>'2023'!$N$3:$V$80</v>
      </c>
      <c r="N518" s="5" t="str">
        <f t="shared" si="25"/>
        <v>'2023'!$M$2:$M$80</v>
      </c>
      <c r="O518" s="5" t="str">
        <f t="shared" si="26"/>
        <v>'2023'!$N$2:$W$2</v>
      </c>
    </row>
    <row r="519" spans="1:15" x14ac:dyDescent="0.3">
      <c r="A519">
        <v>13</v>
      </c>
      <c r="B519" s="9">
        <v>2023</v>
      </c>
      <c r="C519" t="s">
        <v>12</v>
      </c>
      <c r="D519" s="11" cm="1">
        <f t="array" aca="1" ref="D519" ca="1">INDEX(INDIRECT($M519),
       MATCH(TRIM($C519), TRIM(INDIRECT($N519)), 0),
       MATCH(TRIM(D$2), TRIM(INDIRECT($O519)), 0))</f>
        <v>29</v>
      </c>
      <c r="E519" s="9" t="e" cm="1">
        <f t="array" aca="1" ref="E519" ca="1">INDEX(INDIRECT($M519),
       MATCH(TRIM($C519), TRIM(INDIRECT($N519)), 0),
       MATCH(TRIM(E$2), TRIM(INDIRECT($O519)), 0))</f>
        <v>#N/A</v>
      </c>
      <c r="F519" s="11" cm="1">
        <f t="array" aca="1" ref="F519" ca="1">INDEX(INDIRECT($M519),
       MATCH(TRIM($C519), TRIM(INDIRECT($N519)), 0),
       MATCH(TRIM(F$2), TRIM(INDIRECT($O519)), 0))</f>
        <v>282.04234300000002</v>
      </c>
      <c r="G519" s="11" cm="1">
        <f t="array" aca="1" ref="G519" ca="1">INDEX(INDIRECT($M519),
       MATCH(TRIM($C519), TRIM(INDIRECT($N519)), 0),
       MATCH(TRIM(G$2), TRIM(INDIRECT($O519)), 0))</f>
        <v>8</v>
      </c>
      <c r="H519" s="9" t="e" cm="1">
        <f t="array" aca="1" ref="H519" ca="1">INDEX(INDIRECT($M519),
       MATCH(TRIM($C519), TRIM(INDIRECT($N519)), 0),
       MATCH(TRIM(H$2), TRIM(INDIRECT($O519)), 0))</f>
        <v>#N/A</v>
      </c>
      <c r="I519" s="11" cm="1">
        <f t="array" aca="1" ref="I519" ca="1">INDEX(INDIRECT($M519),
       MATCH(TRIM($C519), TRIM(INDIRECT($N519)), 0),
       MATCH(TRIM(I$2), TRIM(INDIRECT($O519)), 0))</f>
        <v>19.416948000000001</v>
      </c>
      <c r="J519" s="9" cm="1">
        <f t="array" aca="1" ref="J519" ca="1">INDEX(INDIRECT($M519),
       MATCH(TRIM($C519), TRIM(INDIRECT($N519)), 0),
       MATCH(TRIM(J$2), TRIM(INDIRECT($O519)), 0))</f>
        <v>6</v>
      </c>
      <c r="K519" s="11" cm="1">
        <f t="array" aca="1" ref="K519" ca="1">INDEX(INDIRECT($M519),
       MATCH(TRIM($C519), TRIM(INDIRECT($N519)), 0),
       MATCH(TRIM(K$2), TRIM(INDIRECT($O519)), 0))</f>
        <v>1.2142913200000001</v>
      </c>
      <c r="L519" s="11" cm="1">
        <f t="array" aca="1" ref="L519" ca="1">INDEX(INDIRECT($M519),
       MATCH(TRIM($C519), TRIM(INDIRECT($N519)), 0),
       MATCH(TRIM(L$2), TRIM(INDIRECT($O519)), 0))</f>
        <v>302.67358231999998</v>
      </c>
      <c r="M519" s="5" t="str">
        <f t="shared" si="24"/>
        <v>'2023'!$N$3:$V$80</v>
      </c>
      <c r="N519" s="5" t="str">
        <f t="shared" si="25"/>
        <v>'2023'!$M$2:$M$80</v>
      </c>
      <c r="O519" s="5" t="str">
        <f t="shared" si="26"/>
        <v>'2023'!$N$2:$W$2</v>
      </c>
    </row>
    <row r="520" spans="1:15" x14ac:dyDescent="0.3">
      <c r="A520">
        <v>14</v>
      </c>
      <c r="B520" s="9">
        <v>2023</v>
      </c>
      <c r="C520" t="s">
        <v>13</v>
      </c>
      <c r="D520" s="11" cm="1">
        <f t="array" aca="1" ref="D520" ca="1">INDEX(INDIRECT($M520),
       MATCH(TRIM($C520), TRIM(INDIRECT($N520)), 0),
       MATCH(TRIM(D$2), TRIM(INDIRECT($O520)), 0))</f>
        <v>104</v>
      </c>
      <c r="E520" s="9" t="e" cm="1">
        <f t="array" aca="1" ref="E520" ca="1">INDEX(INDIRECT($M520),
       MATCH(TRIM($C520), TRIM(INDIRECT($N520)), 0),
       MATCH(TRIM(E$2), TRIM(INDIRECT($O520)), 0))</f>
        <v>#N/A</v>
      </c>
      <c r="F520" s="11" cm="1">
        <f t="array" aca="1" ref="F520" ca="1">INDEX(INDIRECT($M520),
       MATCH(TRIM($C520), TRIM(INDIRECT($N520)), 0),
       MATCH(TRIM(F$2), TRIM(INDIRECT($O520)), 0))</f>
        <v>151.19409156</v>
      </c>
      <c r="G520" s="11" cm="1">
        <f t="array" aca="1" ref="G520" ca="1">INDEX(INDIRECT($M520),
       MATCH(TRIM($C520), TRIM(INDIRECT($N520)), 0),
       MATCH(TRIM(G$2), TRIM(INDIRECT($O520)), 0))</f>
        <v>43</v>
      </c>
      <c r="H520" s="9" t="e" cm="1">
        <f t="array" aca="1" ref="H520" ca="1">INDEX(INDIRECT($M520),
       MATCH(TRIM($C520), TRIM(INDIRECT($N520)), 0),
       MATCH(TRIM(H$2), TRIM(INDIRECT($O520)), 0))</f>
        <v>#N/A</v>
      </c>
      <c r="I520" s="11" cm="1">
        <f t="array" aca="1" ref="I520" ca="1">INDEX(INDIRECT($M520),
       MATCH(TRIM($C520), TRIM(INDIRECT($N520)), 0),
       MATCH(TRIM(I$2), TRIM(INDIRECT($O520)), 0))</f>
        <v>20.301149310546876</v>
      </c>
      <c r="J520" s="9" cm="1">
        <f t="array" aca="1" ref="J520" ca="1">INDEX(INDIRECT($M520),
       MATCH(TRIM($C520), TRIM(INDIRECT($N520)), 0),
       MATCH(TRIM(J$2), TRIM(INDIRECT($O520)), 0))</f>
        <v>35</v>
      </c>
      <c r="K520" s="11" cm="1">
        <f t="array" aca="1" ref="K520" ca="1">INDEX(INDIRECT($M520),
       MATCH(TRIM($C520), TRIM(INDIRECT($N520)), 0),
       MATCH(TRIM(K$2), TRIM(INDIRECT($O520)), 0))</f>
        <v>10.666547449999999</v>
      </c>
      <c r="L520" s="11" cm="1">
        <f t="array" aca="1" ref="L520" ca="1">INDEX(INDIRECT($M520),
       MATCH(TRIM($C520), TRIM(INDIRECT($N520)), 0),
       MATCH(TRIM(L$2), TRIM(INDIRECT($O520)), 0))</f>
        <v>182.16178832054686</v>
      </c>
      <c r="M520" s="5" t="str">
        <f t="shared" si="24"/>
        <v>'2023'!$N$3:$V$80</v>
      </c>
      <c r="N520" s="5" t="str">
        <f t="shared" si="25"/>
        <v>'2023'!$M$2:$M$80</v>
      </c>
      <c r="O520" s="5" t="str">
        <f t="shared" si="26"/>
        <v>'2023'!$N$2:$W$2</v>
      </c>
    </row>
    <row r="521" spans="1:15" x14ac:dyDescent="0.3">
      <c r="A521">
        <v>15</v>
      </c>
      <c r="B521" s="9">
        <v>2023</v>
      </c>
      <c r="C521" t="s">
        <v>14</v>
      </c>
      <c r="D521" s="11" cm="1">
        <f t="array" aca="1" ref="D521" ca="1">INDEX(INDIRECT($M521),
       MATCH(TRIM($C521), TRIM(INDIRECT($N521)), 0),
       MATCH(TRIM(D$2), TRIM(INDIRECT($O521)), 0))</f>
        <v>50</v>
      </c>
      <c r="E521" s="9" t="e" cm="1">
        <f t="array" aca="1" ref="E521" ca="1">INDEX(INDIRECT($M521),
       MATCH(TRIM($C521), TRIM(INDIRECT($N521)), 0),
       MATCH(TRIM(E$2), TRIM(INDIRECT($O521)), 0))</f>
        <v>#N/A</v>
      </c>
      <c r="F521" s="11" cm="1">
        <f t="array" aca="1" ref="F521" ca="1">INDEX(INDIRECT($M521),
       MATCH(TRIM($C521), TRIM(INDIRECT($N521)), 0),
       MATCH(TRIM(F$2), TRIM(INDIRECT($O521)), 0))</f>
        <v>651.710735</v>
      </c>
      <c r="G521" s="11" cm="1">
        <f t="array" aca="1" ref="G521" ca="1">INDEX(INDIRECT($M521),
       MATCH(TRIM($C521), TRIM(INDIRECT($N521)), 0),
       MATCH(TRIM(G$2), TRIM(INDIRECT($O521)), 0))</f>
        <v>48</v>
      </c>
      <c r="H521" s="9" t="e" cm="1">
        <f t="array" aca="1" ref="H521" ca="1">INDEX(INDIRECT($M521),
       MATCH(TRIM($C521), TRIM(INDIRECT($N521)), 0),
       MATCH(TRIM(H$2), TRIM(INDIRECT($O521)), 0))</f>
        <v>#N/A</v>
      </c>
      <c r="I521" s="11" cm="1">
        <f t="array" aca="1" ref="I521" ca="1">INDEX(INDIRECT($M521),
       MATCH(TRIM($C521), TRIM(INDIRECT($N521)), 0),
       MATCH(TRIM(I$2), TRIM(INDIRECT($O521)), 0))</f>
        <v>258.05543112499998</v>
      </c>
      <c r="J521" s="9" cm="1">
        <f t="array" aca="1" ref="J521" ca="1">INDEX(INDIRECT($M521),
       MATCH(TRIM($C521), TRIM(INDIRECT($N521)), 0),
       MATCH(TRIM(J$2), TRIM(INDIRECT($O521)), 0))</f>
        <v>24</v>
      </c>
      <c r="K521" s="11" cm="1">
        <f t="array" aca="1" ref="K521" ca="1">INDEX(INDIRECT($M521),
       MATCH(TRIM($C521), TRIM(INDIRECT($N521)), 0),
       MATCH(TRIM(K$2), TRIM(INDIRECT($O521)), 0))</f>
        <v>18.769365310000001</v>
      </c>
      <c r="L521" s="11" cm="1">
        <f t="array" aca="1" ref="L521" ca="1">INDEX(INDIRECT($M521),
       MATCH(TRIM($C521), TRIM(INDIRECT($N521)), 0),
       MATCH(TRIM(L$2), TRIM(INDIRECT($O521)), 0))</f>
        <v>928.53553143499994</v>
      </c>
      <c r="M521" s="5" t="str">
        <f t="shared" si="24"/>
        <v>'2023'!$N$3:$V$80</v>
      </c>
      <c r="N521" s="5" t="str">
        <f t="shared" si="25"/>
        <v>'2023'!$M$2:$M$80</v>
      </c>
      <c r="O521" s="5" t="str">
        <f t="shared" si="26"/>
        <v>'2023'!$N$2:$W$2</v>
      </c>
    </row>
    <row r="522" spans="1:15" x14ac:dyDescent="0.3">
      <c r="A522">
        <v>16</v>
      </c>
      <c r="B522" s="9">
        <v>2023</v>
      </c>
      <c r="C522" t="s">
        <v>15</v>
      </c>
      <c r="D522" s="11" cm="1">
        <f t="array" aca="1" ref="D522" ca="1">INDEX(INDIRECT($M522),
       MATCH(TRIM($C522), TRIM(INDIRECT($N522)), 0),
       MATCH(TRIM(D$2), TRIM(INDIRECT($O522)), 0))</f>
        <v>50</v>
      </c>
      <c r="E522" s="9" t="e" cm="1">
        <f t="array" aca="1" ref="E522" ca="1">INDEX(INDIRECT($M522),
       MATCH(TRIM($C522), TRIM(INDIRECT($N522)), 0),
       MATCH(TRIM(E$2), TRIM(INDIRECT($O522)), 0))</f>
        <v>#N/A</v>
      </c>
      <c r="F522" s="11" cm="1">
        <f t="array" aca="1" ref="F522" ca="1">INDEX(INDIRECT($M522),
       MATCH(TRIM($C522), TRIM(INDIRECT($N522)), 0),
       MATCH(TRIM(F$2), TRIM(INDIRECT($O522)), 0))</f>
        <v>747.87381839999978</v>
      </c>
      <c r="G522" s="11" cm="1">
        <f t="array" aca="1" ref="G522" ca="1">INDEX(INDIRECT($M522),
       MATCH(TRIM($C522), TRIM(INDIRECT($N522)), 0),
       MATCH(TRIM(G$2), TRIM(INDIRECT($O522)), 0))</f>
        <v>38</v>
      </c>
      <c r="H522" s="9" t="e" cm="1">
        <f t="array" aca="1" ref="H522" ca="1">INDEX(INDIRECT($M522),
       MATCH(TRIM($C522), TRIM(INDIRECT($N522)), 0),
       MATCH(TRIM(H$2), TRIM(INDIRECT($O522)), 0))</f>
        <v>#N/A</v>
      </c>
      <c r="I522" s="11" cm="1">
        <f t="array" aca="1" ref="I522" ca="1">INDEX(INDIRECT($M522),
       MATCH(TRIM($C522), TRIM(INDIRECT($N522)), 0),
       MATCH(TRIM(I$2), TRIM(INDIRECT($O522)), 0))</f>
        <v>6.9606372500000004</v>
      </c>
      <c r="J522" s="9" cm="1">
        <f t="array" aca="1" ref="J522" ca="1">INDEX(INDIRECT($M522),
       MATCH(TRIM($C522), TRIM(INDIRECT($N522)), 0),
       MATCH(TRIM(J$2), TRIM(INDIRECT($O522)), 0))</f>
        <v>6</v>
      </c>
      <c r="K522" s="11" cm="1">
        <f t="array" aca="1" ref="K522" ca="1">INDEX(INDIRECT($M522),
       MATCH(TRIM($C522), TRIM(INDIRECT($N522)), 0),
       MATCH(TRIM(K$2), TRIM(INDIRECT($O522)), 0))</f>
        <v>2.7422609100000002</v>
      </c>
      <c r="L522" s="11" cm="1">
        <f t="array" aca="1" ref="L522" ca="1">INDEX(INDIRECT($M522),
       MATCH(TRIM($C522), TRIM(INDIRECT($N522)), 0),
       MATCH(TRIM(L$2), TRIM(INDIRECT($O522)), 0))</f>
        <v>757.5767165599998</v>
      </c>
      <c r="M522" s="5" t="str">
        <f t="shared" si="24"/>
        <v>'2023'!$N$3:$V$80</v>
      </c>
      <c r="N522" s="5" t="str">
        <f t="shared" si="25"/>
        <v>'2023'!$M$2:$M$80</v>
      </c>
      <c r="O522" s="5" t="str">
        <f t="shared" si="26"/>
        <v>'2023'!$N$2:$W$2</v>
      </c>
    </row>
    <row r="523" spans="1:15" x14ac:dyDescent="0.3">
      <c r="A523">
        <v>17</v>
      </c>
      <c r="B523" s="9">
        <v>2023</v>
      </c>
      <c r="C523" t="s">
        <v>16</v>
      </c>
      <c r="D523" s="11" cm="1">
        <f t="array" aca="1" ref="D523" ca="1">INDEX(INDIRECT($M523),
       MATCH(TRIM($C523), TRIM(INDIRECT($N523)), 0),
       MATCH(TRIM(D$2), TRIM(INDIRECT($O523)), 0))</f>
        <v>6</v>
      </c>
      <c r="E523" s="9" t="e" cm="1">
        <f t="array" aca="1" ref="E523" ca="1">INDEX(INDIRECT($M523),
       MATCH(TRIM($C523), TRIM(INDIRECT($N523)), 0),
       MATCH(TRIM(E$2), TRIM(INDIRECT($O523)), 0))</f>
        <v>#N/A</v>
      </c>
      <c r="F523" s="11" cm="1">
        <f t="array" aca="1" ref="F523" ca="1">INDEX(INDIRECT($M523),
       MATCH(TRIM($C523), TRIM(INDIRECT($N523)), 0),
       MATCH(TRIM(F$2), TRIM(INDIRECT($O523)), 0))</f>
        <v>15.235497000000001</v>
      </c>
      <c r="G523" s="11" cm="1">
        <f t="array" aca="1" ref="G523" ca="1">INDEX(INDIRECT($M523),
       MATCH(TRIM($C523), TRIM(INDIRECT($N523)), 0),
       MATCH(TRIM(G$2), TRIM(INDIRECT($O523)), 0))</f>
        <v>3</v>
      </c>
      <c r="H523" s="9" t="e" cm="1">
        <f t="array" aca="1" ref="H523" ca="1">INDEX(INDIRECT($M523),
       MATCH(TRIM($C523), TRIM(INDIRECT($N523)), 0),
       MATCH(TRIM(H$2), TRIM(INDIRECT($O523)), 0))</f>
        <v>#N/A</v>
      </c>
      <c r="I523" s="11" cm="1">
        <f t="array" aca="1" ref="I523" ca="1">INDEX(INDIRECT($M523),
       MATCH(TRIM($C523), TRIM(INDIRECT($N523)), 0),
       MATCH(TRIM(I$2), TRIM(INDIRECT($O523)), 0))</f>
        <v>20.204751999999999</v>
      </c>
      <c r="J523" s="9" cm="1">
        <f t="array" aca="1" ref="J523" ca="1">INDEX(INDIRECT($M523),
       MATCH(TRIM($C523), TRIM(INDIRECT($N523)), 0),
       MATCH(TRIM(J$2), TRIM(INDIRECT($O523)), 0))</f>
        <v>2</v>
      </c>
      <c r="K523" s="11" cm="1">
        <f t="array" aca="1" ref="K523" ca="1">INDEX(INDIRECT($M523),
       MATCH(TRIM($C523), TRIM(INDIRECT($N523)), 0),
       MATCH(TRIM(K$2), TRIM(INDIRECT($O523)), 0))</f>
        <v>9.6236940000000007E-2</v>
      </c>
      <c r="L523" s="11" cm="1">
        <f t="array" aca="1" ref="L523" ca="1">INDEX(INDIRECT($M523),
       MATCH(TRIM($C523), TRIM(INDIRECT($N523)), 0),
       MATCH(TRIM(L$2), TRIM(INDIRECT($O523)), 0))</f>
        <v>35.536485939999999</v>
      </c>
      <c r="M523" s="5" t="str">
        <f t="shared" si="24"/>
        <v>'2023'!$N$3:$V$80</v>
      </c>
      <c r="N523" s="5" t="str">
        <f t="shared" si="25"/>
        <v>'2023'!$M$2:$M$80</v>
      </c>
      <c r="O523" s="5" t="str">
        <f t="shared" si="26"/>
        <v>'2023'!$N$2:$W$2</v>
      </c>
    </row>
    <row r="524" spans="1:15" x14ac:dyDescent="0.3">
      <c r="A524">
        <v>18</v>
      </c>
      <c r="B524" s="9">
        <v>2023</v>
      </c>
      <c r="C524" t="s">
        <v>17</v>
      </c>
      <c r="D524" s="11" cm="1">
        <f t="array" aca="1" ref="D524" ca="1">INDEX(INDIRECT($M524),
       MATCH(TRIM($C524), TRIM(INDIRECT($N524)), 0),
       MATCH(TRIM(D$2), TRIM(INDIRECT($O524)), 0))</f>
        <v>19</v>
      </c>
      <c r="E524" s="9" t="e" cm="1">
        <f t="array" aca="1" ref="E524" ca="1">INDEX(INDIRECT($M524),
       MATCH(TRIM($C524), TRIM(INDIRECT($N524)), 0),
       MATCH(TRIM(E$2), TRIM(INDIRECT($O524)), 0))</f>
        <v>#N/A</v>
      </c>
      <c r="F524" s="11" cm="1">
        <f t="array" aca="1" ref="F524" ca="1">INDEX(INDIRECT($M524),
       MATCH(TRIM($C524), TRIM(INDIRECT($N524)), 0),
       MATCH(TRIM(F$2), TRIM(INDIRECT($O524)), 0))</f>
        <v>254.31640300000001</v>
      </c>
      <c r="G524" s="11" cm="1">
        <f t="array" aca="1" ref="G524" ca="1">INDEX(INDIRECT($M524),
       MATCH(TRIM($C524), TRIM(INDIRECT($N524)), 0),
       MATCH(TRIM(G$2), TRIM(INDIRECT($O524)), 0))</f>
        <v>2</v>
      </c>
      <c r="H524" s="9" t="e" cm="1">
        <f t="array" aca="1" ref="H524" ca="1">INDEX(INDIRECT($M524),
       MATCH(TRIM($C524), TRIM(INDIRECT($N524)), 0),
       MATCH(TRIM(H$2), TRIM(INDIRECT($O524)), 0))</f>
        <v>#N/A</v>
      </c>
      <c r="I524" s="11" cm="1">
        <f t="array" aca="1" ref="I524" ca="1">INDEX(INDIRECT($M524),
       MATCH(TRIM($C524), TRIM(INDIRECT($N524)), 0),
       MATCH(TRIM(I$2), TRIM(INDIRECT($O524)), 0))</f>
        <v>47.1</v>
      </c>
      <c r="J524" s="9" cm="1">
        <f t="array" aca="1" ref="J524" ca="1">INDEX(INDIRECT($M524),
       MATCH(TRIM($C524), TRIM(INDIRECT($N524)), 0),
       MATCH(TRIM(J$2), TRIM(INDIRECT($O524)), 0))</f>
        <v>9</v>
      </c>
      <c r="K524" s="11" cm="1">
        <f t="array" aca="1" ref="K524" ca="1">INDEX(INDIRECT($M524),
       MATCH(TRIM($C524), TRIM(INDIRECT($N524)), 0),
       MATCH(TRIM(K$2), TRIM(INDIRECT($O524)), 0))</f>
        <v>12.44274356</v>
      </c>
      <c r="L524" s="11" cm="1">
        <f t="array" aca="1" ref="L524" ca="1">INDEX(INDIRECT($M524),
       MATCH(TRIM($C524), TRIM(INDIRECT($N524)), 0),
       MATCH(TRIM(L$2), TRIM(INDIRECT($O524)), 0))</f>
        <v>313.85914656</v>
      </c>
      <c r="M524" s="5" t="str">
        <f t="shared" si="24"/>
        <v>'2023'!$N$3:$V$80</v>
      </c>
      <c r="N524" s="5" t="str">
        <f t="shared" si="25"/>
        <v>'2023'!$M$2:$M$80</v>
      </c>
      <c r="O524" s="5" t="str">
        <f t="shared" si="26"/>
        <v>'2023'!$N$2:$W$2</v>
      </c>
    </row>
    <row r="525" spans="1:15" x14ac:dyDescent="0.3">
      <c r="A525">
        <v>19</v>
      </c>
      <c r="B525" s="9">
        <v>2023</v>
      </c>
      <c r="C525" t="s">
        <v>18</v>
      </c>
      <c r="D525" s="11" cm="1">
        <f t="array" aca="1" ref="D525" ca="1">INDEX(INDIRECT($M525),
       MATCH(TRIM($C525), TRIM(INDIRECT($N525)), 0),
       MATCH(TRIM(D$2), TRIM(INDIRECT($O525)), 0))</f>
        <v>8</v>
      </c>
      <c r="E525" s="9" t="e" cm="1">
        <f t="array" aca="1" ref="E525" ca="1">INDEX(INDIRECT($M525),
       MATCH(TRIM($C525), TRIM(INDIRECT($N525)), 0),
       MATCH(TRIM(E$2), TRIM(INDIRECT($O525)), 0))</f>
        <v>#N/A</v>
      </c>
      <c r="F525" s="11" cm="1">
        <f t="array" aca="1" ref="F525" ca="1">INDEX(INDIRECT($M525),
       MATCH(TRIM($C525), TRIM(INDIRECT($N525)), 0),
       MATCH(TRIM(F$2), TRIM(INDIRECT($O525)), 0))</f>
        <v>53.892806999999998</v>
      </c>
      <c r="G525" s="11" cm="1">
        <f t="array" aca="1" ref="G525" ca="1">INDEX(INDIRECT($M525),
       MATCH(TRIM($C525), TRIM(INDIRECT($N525)), 0),
       MATCH(TRIM(G$2), TRIM(INDIRECT($O525)), 0))</f>
        <v>15</v>
      </c>
      <c r="H525" s="9" t="e" cm="1">
        <f t="array" aca="1" ref="H525" ca="1">INDEX(INDIRECT($M525),
       MATCH(TRIM($C525), TRIM(INDIRECT($N525)), 0),
       MATCH(TRIM(H$2), TRIM(INDIRECT($O525)), 0))</f>
        <v>#N/A</v>
      </c>
      <c r="I525" s="11" cm="1">
        <f t="array" aca="1" ref="I525" ca="1">INDEX(INDIRECT($M525),
       MATCH(TRIM($C525), TRIM(INDIRECT($N525)), 0),
       MATCH(TRIM(I$2), TRIM(INDIRECT($O525)), 0))</f>
        <v>186.370566</v>
      </c>
      <c r="J525" s="9" cm="1">
        <f t="array" aca="1" ref="J525" ca="1">INDEX(INDIRECT($M525),
       MATCH(TRIM($C525), TRIM(INDIRECT($N525)), 0),
       MATCH(TRIM(J$2), TRIM(INDIRECT($O525)), 0))</f>
        <v>3</v>
      </c>
      <c r="K525" s="11" cm="1">
        <f t="array" aca="1" ref="K525" ca="1">INDEX(INDIRECT($M525),
       MATCH(TRIM($C525), TRIM(INDIRECT($N525)), 0),
       MATCH(TRIM(K$2), TRIM(INDIRECT($O525)), 0))</f>
        <v>51.282133120000005</v>
      </c>
      <c r="L525" s="11" cm="1">
        <f t="array" aca="1" ref="L525" ca="1">INDEX(INDIRECT($M525),
       MATCH(TRIM($C525), TRIM(INDIRECT($N525)), 0),
       MATCH(TRIM(L$2), TRIM(INDIRECT($O525)), 0))</f>
        <v>291.54550612000003</v>
      </c>
      <c r="M525" s="5" t="str">
        <f t="shared" si="24"/>
        <v>'2023'!$N$3:$V$80</v>
      </c>
      <c r="N525" s="5" t="str">
        <f t="shared" si="25"/>
        <v>'2023'!$M$2:$M$80</v>
      </c>
      <c r="O525" s="5" t="str">
        <f t="shared" si="26"/>
        <v>'2023'!$N$2:$W$2</v>
      </c>
    </row>
    <row r="526" spans="1:15" x14ac:dyDescent="0.3">
      <c r="A526">
        <v>20</v>
      </c>
      <c r="B526" s="9">
        <v>2023</v>
      </c>
      <c r="C526" t="s">
        <v>19</v>
      </c>
      <c r="D526" s="11" cm="1">
        <f t="array" aca="1" ref="D526" ca="1">INDEX(INDIRECT($M526),
       MATCH(TRIM($C526), TRIM(INDIRECT($N526)), 0),
       MATCH(TRIM(D$2), TRIM(INDIRECT($O526)), 0))</f>
        <v>10</v>
      </c>
      <c r="E526" s="9" t="e" cm="1">
        <f t="array" aca="1" ref="E526" ca="1">INDEX(INDIRECT($M526),
       MATCH(TRIM($C526), TRIM(INDIRECT($N526)), 0),
       MATCH(TRIM(E$2), TRIM(INDIRECT($O526)), 0))</f>
        <v>#N/A</v>
      </c>
      <c r="F526" s="11" cm="1">
        <f t="array" aca="1" ref="F526" ca="1">INDEX(INDIRECT($M526),
       MATCH(TRIM($C526), TRIM(INDIRECT($N526)), 0),
       MATCH(TRIM(F$2), TRIM(INDIRECT($O526)), 0))</f>
        <v>46.788626999999998</v>
      </c>
      <c r="G526" s="11" cm="1">
        <f t="array" aca="1" ref="G526" ca="1">INDEX(INDIRECT($M526),
       MATCH(TRIM($C526), TRIM(INDIRECT($N526)), 0),
       MATCH(TRIM(G$2), TRIM(INDIRECT($O526)), 0))</f>
        <v>1</v>
      </c>
      <c r="H526" s="9" t="e" cm="1">
        <f t="array" aca="1" ref="H526" ca="1">INDEX(INDIRECT($M526),
       MATCH(TRIM($C526), TRIM(INDIRECT($N526)), 0),
       MATCH(TRIM(H$2), TRIM(INDIRECT($O526)), 0))</f>
        <v>#N/A</v>
      </c>
      <c r="I526" s="11" cm="1">
        <f t="array" aca="1" ref="I526" ca="1">INDEX(INDIRECT($M526),
       MATCH(TRIM($C526), TRIM(INDIRECT($N526)), 0),
       MATCH(TRIM(I$2), TRIM(INDIRECT($O526)), 0))</f>
        <v>-2.3820000000000001</v>
      </c>
      <c r="J526" s="9" cm="1">
        <f t="array" aca="1" ref="J526" ca="1">INDEX(INDIRECT($M526),
       MATCH(TRIM($C526), TRIM(INDIRECT($N526)), 0),
       MATCH(TRIM(J$2), TRIM(INDIRECT($O526)), 0))</f>
        <v>7</v>
      </c>
      <c r="K526" s="11" cm="1">
        <f t="array" aca="1" ref="K526" ca="1">INDEX(INDIRECT($M526),
       MATCH(TRIM($C526), TRIM(INDIRECT($N526)), 0),
       MATCH(TRIM(K$2), TRIM(INDIRECT($O526)), 0))</f>
        <v>0.229572</v>
      </c>
      <c r="L526" s="11" cm="1">
        <f t="array" aca="1" ref="L526" ca="1">INDEX(INDIRECT($M526),
       MATCH(TRIM($C526), TRIM(INDIRECT($N526)), 0),
       MATCH(TRIM(L$2), TRIM(INDIRECT($O526)), 0))</f>
        <v>44.636198999999998</v>
      </c>
      <c r="M526" s="5" t="str">
        <f t="shared" si="24"/>
        <v>'2023'!$N$3:$V$80</v>
      </c>
      <c r="N526" s="5" t="str">
        <f t="shared" si="25"/>
        <v>'2023'!$M$2:$M$80</v>
      </c>
      <c r="O526" s="5" t="str">
        <f t="shared" si="26"/>
        <v>'2023'!$N$2:$W$2</v>
      </c>
    </row>
    <row r="527" spans="1:15" x14ac:dyDescent="0.3">
      <c r="A527">
        <v>21</v>
      </c>
      <c r="B527" s="9">
        <v>2023</v>
      </c>
      <c r="C527" t="s">
        <v>20</v>
      </c>
      <c r="D527" s="11" cm="1">
        <f t="array" aca="1" ref="D527" ca="1">INDEX(INDIRECT($M527),
       MATCH(TRIM($C527), TRIM(INDIRECT($N527)), 0),
       MATCH(TRIM(D$2), TRIM(INDIRECT($O527)), 0))</f>
        <v>19</v>
      </c>
      <c r="E527" s="9" t="e" cm="1">
        <f t="array" aca="1" ref="E527" ca="1">INDEX(INDIRECT($M527),
       MATCH(TRIM($C527), TRIM(INDIRECT($N527)), 0),
       MATCH(TRIM(E$2), TRIM(INDIRECT($O527)), 0))</f>
        <v>#N/A</v>
      </c>
      <c r="F527" s="11" cm="1">
        <f t="array" aca="1" ref="F527" ca="1">INDEX(INDIRECT($M527),
       MATCH(TRIM($C527), TRIM(INDIRECT($N527)), 0),
       MATCH(TRIM(F$2), TRIM(INDIRECT($O527)), 0))</f>
        <v>1326.933632</v>
      </c>
      <c r="G527" s="11" cm="1">
        <f t="array" aca="1" ref="G527" ca="1">INDEX(INDIRECT($M527),
       MATCH(TRIM($C527), TRIM(INDIRECT($N527)), 0),
       MATCH(TRIM(G$2), TRIM(INDIRECT($O527)), 0))</f>
        <v>11</v>
      </c>
      <c r="H527" s="9" t="e" cm="1">
        <f t="array" aca="1" ref="H527" ca="1">INDEX(INDIRECT($M527),
       MATCH(TRIM($C527), TRIM(INDIRECT($N527)), 0),
       MATCH(TRIM(H$2), TRIM(INDIRECT($O527)), 0))</f>
        <v>#N/A</v>
      </c>
      <c r="I527" s="11" cm="1">
        <f t="array" aca="1" ref="I527" ca="1">INDEX(INDIRECT($M527),
       MATCH(TRIM($C527), TRIM(INDIRECT($N527)), 0),
       MATCH(TRIM(I$2), TRIM(INDIRECT($O527)), 0))</f>
        <v>271.16996</v>
      </c>
      <c r="J527" s="9" cm="1">
        <f t="array" aca="1" ref="J527" ca="1">INDEX(INDIRECT($M527),
       MATCH(TRIM($C527), TRIM(INDIRECT($N527)), 0),
       MATCH(TRIM(J$2), TRIM(INDIRECT($O527)), 0))</f>
        <v>2</v>
      </c>
      <c r="K527" s="11" cm="1">
        <f t="array" aca="1" ref="K527" ca="1">INDEX(INDIRECT($M527),
       MATCH(TRIM($C527), TRIM(INDIRECT($N527)), 0),
       MATCH(TRIM(K$2), TRIM(INDIRECT($O527)), 0))</f>
        <v>5.1837758699999998</v>
      </c>
      <c r="L527" s="11" cm="1">
        <f t="array" aca="1" ref="L527" ca="1">INDEX(INDIRECT($M527),
       MATCH(TRIM($C527), TRIM(INDIRECT($N527)), 0),
       MATCH(TRIM(L$2), TRIM(INDIRECT($O527)), 0))</f>
        <v>1603.28736787</v>
      </c>
      <c r="M527" s="5" t="str">
        <f t="shared" si="24"/>
        <v>'2023'!$N$3:$V$80</v>
      </c>
      <c r="N527" s="5" t="str">
        <f t="shared" si="25"/>
        <v>'2023'!$M$2:$M$80</v>
      </c>
      <c r="O527" s="5" t="str">
        <f t="shared" si="26"/>
        <v>'2023'!$N$2:$W$2</v>
      </c>
    </row>
    <row r="528" spans="1:15" x14ac:dyDescent="0.3">
      <c r="A528">
        <v>22</v>
      </c>
      <c r="B528" s="9">
        <v>2023</v>
      </c>
      <c r="C528" t="s">
        <v>21</v>
      </c>
      <c r="D528" s="11" cm="1">
        <f t="array" aca="1" ref="D528" ca="1">INDEX(INDIRECT($M528),
       MATCH(TRIM($C528), TRIM(INDIRECT($N528)), 0),
       MATCH(TRIM(D$2), TRIM(INDIRECT($O528)), 0))</f>
        <v>26</v>
      </c>
      <c r="E528" s="9" t="e" cm="1">
        <f t="array" aca="1" ref="E528" ca="1">INDEX(INDIRECT($M528),
       MATCH(TRIM($C528), TRIM(INDIRECT($N528)), 0),
       MATCH(TRIM(E$2), TRIM(INDIRECT($O528)), 0))</f>
        <v>#N/A</v>
      </c>
      <c r="F528" s="11" cm="1">
        <f t="array" aca="1" ref="F528" ca="1">INDEX(INDIRECT($M528),
       MATCH(TRIM($C528), TRIM(INDIRECT($N528)), 0),
       MATCH(TRIM(F$2), TRIM(INDIRECT($O528)), 0))</f>
        <v>3103.9257200000002</v>
      </c>
      <c r="G528" s="11" cm="1">
        <f t="array" aca="1" ref="G528" ca="1">INDEX(INDIRECT($M528),
       MATCH(TRIM($C528), TRIM(INDIRECT($N528)), 0),
       MATCH(TRIM(G$2), TRIM(INDIRECT($O528)), 0))</f>
        <v>0</v>
      </c>
      <c r="H528" s="9" t="e" cm="1">
        <f t="array" aca="1" ref="H528" ca="1">INDEX(INDIRECT($M528),
       MATCH(TRIM($C528), TRIM(INDIRECT($N528)), 0),
       MATCH(TRIM(H$2), TRIM(INDIRECT($O528)), 0))</f>
        <v>#N/A</v>
      </c>
      <c r="I528" s="11" cm="1">
        <f t="array" aca="1" ref="I528" ca="1">INDEX(INDIRECT($M528),
       MATCH(TRIM($C528), TRIM(INDIRECT($N528)), 0),
       MATCH(TRIM(I$2), TRIM(INDIRECT($O528)), 0))</f>
        <v>0</v>
      </c>
      <c r="J528" s="9" cm="1">
        <f t="array" aca="1" ref="J528" ca="1">INDEX(INDIRECT($M528),
       MATCH(TRIM($C528), TRIM(INDIRECT($N528)), 0),
       MATCH(TRIM(J$2), TRIM(INDIRECT($O528)), 0))</f>
        <v>4</v>
      </c>
      <c r="K528" s="11" cm="1">
        <f t="array" aca="1" ref="K528" ca="1">INDEX(INDIRECT($M528),
       MATCH(TRIM($C528), TRIM(INDIRECT($N528)), 0),
       MATCH(TRIM(K$2), TRIM(INDIRECT($O528)), 0))</f>
        <v>6.6460889299999995</v>
      </c>
      <c r="L528" s="11" cm="1">
        <f t="array" aca="1" ref="L528" ca="1">INDEX(INDIRECT($M528),
       MATCH(TRIM($C528), TRIM(INDIRECT($N528)), 0),
       MATCH(TRIM(L$2), TRIM(INDIRECT($O528)), 0))</f>
        <v>3110.5718089300003</v>
      </c>
      <c r="M528" s="5" t="str">
        <f t="shared" si="24"/>
        <v>'2023'!$N$3:$V$80</v>
      </c>
      <c r="N528" s="5" t="str">
        <f t="shared" si="25"/>
        <v>'2023'!$M$2:$M$80</v>
      </c>
      <c r="O528" s="5" t="str">
        <f t="shared" si="26"/>
        <v>'2023'!$N$2:$W$2</v>
      </c>
    </row>
    <row r="529" spans="1:15" x14ac:dyDescent="0.3">
      <c r="A529">
        <v>23</v>
      </c>
      <c r="B529" s="9">
        <v>2023</v>
      </c>
      <c r="C529" t="s">
        <v>22</v>
      </c>
      <c r="D529" s="11" cm="1">
        <f t="array" aca="1" ref="D529" ca="1">INDEX(INDIRECT($M529),
       MATCH(TRIM($C529), TRIM(INDIRECT($N529)), 0),
       MATCH(TRIM(D$2), TRIM(INDIRECT($O529)), 0))</f>
        <v>3</v>
      </c>
      <c r="E529" s="9" t="e" cm="1">
        <f t="array" aca="1" ref="E529" ca="1">INDEX(INDIRECT($M529),
       MATCH(TRIM($C529), TRIM(INDIRECT($N529)), 0),
       MATCH(TRIM(E$2), TRIM(INDIRECT($O529)), 0))</f>
        <v>#N/A</v>
      </c>
      <c r="F529" s="11" cm="1">
        <f t="array" aca="1" ref="F529" ca="1">INDEX(INDIRECT($M529),
       MATCH(TRIM($C529), TRIM(INDIRECT($N529)), 0),
       MATCH(TRIM(F$2), TRIM(INDIRECT($O529)), 0))</f>
        <v>3.7327089999999998</v>
      </c>
      <c r="G529" s="11" cm="1">
        <f t="array" aca="1" ref="G529" ca="1">INDEX(INDIRECT($M529),
       MATCH(TRIM($C529), TRIM(INDIRECT($N529)), 0),
       MATCH(TRIM(G$2), TRIM(INDIRECT($O529)), 0))</f>
        <v>0</v>
      </c>
      <c r="H529" s="9" t="e" cm="1">
        <f t="array" aca="1" ref="H529" ca="1">INDEX(INDIRECT($M529),
       MATCH(TRIM($C529), TRIM(INDIRECT($N529)), 0),
       MATCH(TRIM(H$2), TRIM(INDIRECT($O529)), 0))</f>
        <v>#N/A</v>
      </c>
      <c r="I529" s="11" cm="1">
        <f t="array" aca="1" ref="I529" ca="1">INDEX(INDIRECT($M529),
       MATCH(TRIM($C529), TRIM(INDIRECT($N529)), 0),
       MATCH(TRIM(I$2), TRIM(INDIRECT($O529)), 0))</f>
        <v>0</v>
      </c>
      <c r="J529" s="9" cm="1">
        <f t="array" aca="1" ref="J529" ca="1">INDEX(INDIRECT($M529),
       MATCH(TRIM($C529), TRIM(INDIRECT($N529)), 0),
       MATCH(TRIM(J$2), TRIM(INDIRECT($O529)), 0))</f>
        <v>1</v>
      </c>
      <c r="K529" s="11" cm="1">
        <f t="array" aca="1" ref="K529" ca="1">INDEX(INDIRECT($M529),
       MATCH(TRIM($C529), TRIM(INDIRECT($N529)), 0),
       MATCH(TRIM(K$2), TRIM(INDIRECT($O529)), 0))</f>
        <v>0.20907379999999998</v>
      </c>
      <c r="L529" s="11" cm="1">
        <f t="array" aca="1" ref="L529" ca="1">INDEX(INDIRECT($M529),
       MATCH(TRIM($C529), TRIM(INDIRECT($N529)), 0),
       MATCH(TRIM(L$2), TRIM(INDIRECT($O529)), 0))</f>
        <v>3.9417827999999999</v>
      </c>
      <c r="M529" s="5" t="str">
        <f t="shared" si="24"/>
        <v>'2023'!$N$3:$V$80</v>
      </c>
      <c r="N529" s="5" t="str">
        <f t="shared" si="25"/>
        <v>'2023'!$M$2:$M$80</v>
      </c>
      <c r="O529" s="5" t="str">
        <f t="shared" si="26"/>
        <v>'2023'!$N$2:$W$2</v>
      </c>
    </row>
    <row r="530" spans="1:15" x14ac:dyDescent="0.3">
      <c r="A530">
        <v>24</v>
      </c>
      <c r="B530" s="9">
        <v>2023</v>
      </c>
      <c r="C530" t="s">
        <v>23</v>
      </c>
      <c r="D530" s="11" cm="1">
        <f t="array" aca="1" ref="D530" ca="1">INDEX(INDIRECT($M530),
       MATCH(TRIM($C530), TRIM(INDIRECT($N530)), 0),
       MATCH(TRIM(D$2), TRIM(INDIRECT($O530)), 0))</f>
        <v>3</v>
      </c>
      <c r="E530" s="9" t="e" cm="1">
        <f t="array" aca="1" ref="E530" ca="1">INDEX(INDIRECT($M530),
       MATCH(TRIM($C530), TRIM(INDIRECT($N530)), 0),
       MATCH(TRIM(E$2), TRIM(INDIRECT($O530)), 0))</f>
        <v>#N/A</v>
      </c>
      <c r="F530" s="11" cm="1">
        <f t="array" aca="1" ref="F530" ca="1">INDEX(INDIRECT($M530),
       MATCH(TRIM($C530), TRIM(INDIRECT($N530)), 0),
       MATCH(TRIM(F$2), TRIM(INDIRECT($O530)), 0))</f>
        <v>1.2206399999999999</v>
      </c>
      <c r="G530" s="11" cm="1">
        <f t="array" aca="1" ref="G530" ca="1">INDEX(INDIRECT($M530),
       MATCH(TRIM($C530), TRIM(INDIRECT($N530)), 0),
       MATCH(TRIM(G$2), TRIM(INDIRECT($O530)), 0))</f>
        <v>5</v>
      </c>
      <c r="H530" s="9" t="e" cm="1">
        <f t="array" aca="1" ref="H530" ca="1">INDEX(INDIRECT($M530),
       MATCH(TRIM($C530), TRIM(INDIRECT($N530)), 0),
       MATCH(TRIM(H$2), TRIM(INDIRECT($O530)), 0))</f>
        <v>#N/A</v>
      </c>
      <c r="I530" s="11" cm="1">
        <f t="array" aca="1" ref="I530" ca="1">INDEX(INDIRECT($M530),
       MATCH(TRIM($C530), TRIM(INDIRECT($N530)), 0),
       MATCH(TRIM(I$2), TRIM(INDIRECT($O530)), 0))</f>
        <v>45.513376449999988</v>
      </c>
      <c r="J530" s="9" cm="1">
        <f t="array" aca="1" ref="J530" ca="1">INDEX(INDIRECT($M530),
       MATCH(TRIM($C530), TRIM(INDIRECT($N530)), 0),
       MATCH(TRIM(J$2), TRIM(INDIRECT($O530)), 0))</f>
        <v>35</v>
      </c>
      <c r="K530" s="11" cm="1">
        <f t="array" aca="1" ref="K530" ca="1">INDEX(INDIRECT($M530),
       MATCH(TRIM($C530), TRIM(INDIRECT($N530)), 0),
       MATCH(TRIM(K$2), TRIM(INDIRECT($O530)), 0))</f>
        <v>2.0312373999999997</v>
      </c>
      <c r="L530" s="11" cm="1">
        <f t="array" aca="1" ref="L530" ca="1">INDEX(INDIRECT($M530),
       MATCH(TRIM($C530), TRIM(INDIRECT($N530)), 0),
       MATCH(TRIM(L$2), TRIM(INDIRECT($O530)), 0))</f>
        <v>48.765253849999993</v>
      </c>
      <c r="M530" s="5" t="str">
        <f t="shared" si="24"/>
        <v>'2023'!$N$3:$V$80</v>
      </c>
      <c r="N530" s="5" t="str">
        <f t="shared" si="25"/>
        <v>'2023'!$M$2:$M$80</v>
      </c>
      <c r="O530" s="5" t="str">
        <f t="shared" si="26"/>
        <v>'2023'!$N$2:$W$2</v>
      </c>
    </row>
    <row r="531" spans="1:15" x14ac:dyDescent="0.3">
      <c r="A531">
        <v>25</v>
      </c>
      <c r="B531" s="9">
        <v>2023</v>
      </c>
      <c r="C531" t="s">
        <v>24</v>
      </c>
      <c r="D531" s="11" cm="1">
        <f t="array" aca="1" ref="D531" ca="1">INDEX(INDIRECT($M531),
       MATCH(TRIM($C531), TRIM(INDIRECT($N531)), 0),
       MATCH(TRIM(D$2), TRIM(INDIRECT($O531)), 0))</f>
        <v>1</v>
      </c>
      <c r="E531" s="9" t="e" cm="1">
        <f t="array" aca="1" ref="E531" ca="1">INDEX(INDIRECT($M531),
       MATCH(TRIM($C531), TRIM(INDIRECT($N531)), 0),
       MATCH(TRIM(E$2), TRIM(INDIRECT($O531)), 0))</f>
        <v>#N/A</v>
      </c>
      <c r="F531" s="11" cm="1">
        <f t="array" aca="1" ref="F531" ca="1">INDEX(INDIRECT($M531),
       MATCH(TRIM($C531), TRIM(INDIRECT($N531)), 0),
       MATCH(TRIM(F$2), TRIM(INDIRECT($O531)), 0))</f>
        <v>0.7</v>
      </c>
      <c r="G531" s="11" cm="1">
        <f t="array" aca="1" ref="G531" ca="1">INDEX(INDIRECT($M531),
       MATCH(TRIM($C531), TRIM(INDIRECT($N531)), 0),
       MATCH(TRIM(G$2), TRIM(INDIRECT($O531)), 0))</f>
        <v>2</v>
      </c>
      <c r="H531" s="9" t="e" cm="1">
        <f t="array" aca="1" ref="H531" ca="1">INDEX(INDIRECT($M531),
       MATCH(TRIM($C531), TRIM(INDIRECT($N531)), 0),
       MATCH(TRIM(H$2), TRIM(INDIRECT($O531)), 0))</f>
        <v>#N/A</v>
      </c>
      <c r="I531" s="11" cm="1">
        <f t="array" aca="1" ref="I531" ca="1">INDEX(INDIRECT($M531),
       MATCH(TRIM($C531), TRIM(INDIRECT($N531)), 0),
       MATCH(TRIM(I$2), TRIM(INDIRECT($O531)), 0))</f>
        <v>7.3312160000000004</v>
      </c>
      <c r="J531" s="9" cm="1">
        <f t="array" aca="1" ref="J531" ca="1">INDEX(INDIRECT($M531),
       MATCH(TRIM($C531), TRIM(INDIRECT($N531)), 0),
       MATCH(TRIM(J$2), TRIM(INDIRECT($O531)), 0))</f>
        <v>10</v>
      </c>
      <c r="K531" s="11" cm="1">
        <f t="array" aca="1" ref="K531" ca="1">INDEX(INDIRECT($M531),
       MATCH(TRIM($C531), TRIM(INDIRECT($N531)), 0),
       MATCH(TRIM(K$2), TRIM(INDIRECT($O531)), 0))</f>
        <v>3.7970856299999998</v>
      </c>
      <c r="L531" s="11" cm="1">
        <f t="array" aca="1" ref="L531" ca="1">INDEX(INDIRECT($M531),
       MATCH(TRIM($C531), TRIM(INDIRECT($N531)), 0),
       MATCH(TRIM(L$2), TRIM(INDIRECT($O531)), 0))</f>
        <v>11.82830163</v>
      </c>
      <c r="M531" s="5" t="str">
        <f t="shared" si="24"/>
        <v>'2023'!$N$3:$V$80</v>
      </c>
      <c r="N531" s="5" t="str">
        <f t="shared" si="25"/>
        <v>'2023'!$M$2:$M$80</v>
      </c>
      <c r="O531" s="5" t="str">
        <f t="shared" si="26"/>
        <v>'2023'!$N$2:$W$2</v>
      </c>
    </row>
    <row r="532" spans="1:15" x14ac:dyDescent="0.3">
      <c r="A532">
        <v>26</v>
      </c>
      <c r="B532" s="9">
        <v>2023</v>
      </c>
      <c r="C532" t="s">
        <v>25</v>
      </c>
      <c r="D532" s="11" cm="1">
        <f t="array" aca="1" ref="D532" ca="1">INDEX(INDIRECT($M532),
       MATCH(TRIM($C532), TRIM(INDIRECT($N532)), 0),
       MATCH(TRIM(D$2), TRIM(INDIRECT($O532)), 0))</f>
        <v>2</v>
      </c>
      <c r="E532" s="9" t="e" cm="1">
        <f t="array" aca="1" ref="E532" ca="1">INDEX(INDIRECT($M532),
       MATCH(TRIM($C532), TRIM(INDIRECT($N532)), 0),
       MATCH(TRIM(E$2), TRIM(INDIRECT($O532)), 0))</f>
        <v>#N/A</v>
      </c>
      <c r="F532" s="11" cm="1">
        <f t="array" aca="1" ref="F532" ca="1">INDEX(INDIRECT($M532),
       MATCH(TRIM($C532), TRIM(INDIRECT($N532)), 0),
       MATCH(TRIM(F$2), TRIM(INDIRECT($O532)), 0))</f>
        <v>6.6</v>
      </c>
      <c r="G532" s="11" cm="1">
        <f t="array" aca="1" ref="G532" ca="1">INDEX(INDIRECT($M532),
       MATCH(TRIM($C532), TRIM(INDIRECT($N532)), 0),
       MATCH(TRIM(G$2), TRIM(INDIRECT($O532)), 0))</f>
        <v>2</v>
      </c>
      <c r="H532" s="9" t="e" cm="1">
        <f t="array" aca="1" ref="H532" ca="1">INDEX(INDIRECT($M532),
       MATCH(TRIM($C532), TRIM(INDIRECT($N532)), 0),
       MATCH(TRIM(H$2), TRIM(INDIRECT($O532)), 0))</f>
        <v>#N/A</v>
      </c>
      <c r="I532" s="11" cm="1">
        <f t="array" aca="1" ref="I532" ca="1">INDEX(INDIRECT($M532),
       MATCH(TRIM($C532), TRIM(INDIRECT($N532)), 0),
       MATCH(TRIM(I$2), TRIM(INDIRECT($O532)), 0))</f>
        <v>5.37</v>
      </c>
      <c r="J532" s="9" cm="1">
        <f t="array" aca="1" ref="J532" ca="1">INDEX(INDIRECT($M532),
       MATCH(TRIM($C532), TRIM(INDIRECT($N532)), 0),
       MATCH(TRIM(J$2), TRIM(INDIRECT($O532)), 0))</f>
        <v>6</v>
      </c>
      <c r="K532" s="11" cm="1">
        <f t="array" aca="1" ref="K532" ca="1">INDEX(INDIRECT($M532),
       MATCH(TRIM($C532), TRIM(INDIRECT($N532)), 0),
       MATCH(TRIM(K$2), TRIM(INDIRECT($O532)), 0))</f>
        <v>0.9780670600000001</v>
      </c>
      <c r="L532" s="11" cm="1">
        <f t="array" aca="1" ref="L532" ca="1">INDEX(INDIRECT($M532),
       MATCH(TRIM($C532), TRIM(INDIRECT($N532)), 0),
       MATCH(TRIM(L$2), TRIM(INDIRECT($O532)), 0))</f>
        <v>12.94806706</v>
      </c>
      <c r="M532" s="5" t="str">
        <f t="shared" si="24"/>
        <v>'2023'!$N$3:$V$80</v>
      </c>
      <c r="N532" s="5" t="str">
        <f t="shared" si="25"/>
        <v>'2023'!$M$2:$M$80</v>
      </c>
      <c r="O532" s="5" t="str">
        <f t="shared" si="26"/>
        <v>'2023'!$N$2:$W$2</v>
      </c>
    </row>
    <row r="533" spans="1:15" x14ac:dyDescent="0.3">
      <c r="A533">
        <v>27</v>
      </c>
      <c r="B533" s="9">
        <v>2023</v>
      </c>
      <c r="C533" t="s">
        <v>26</v>
      </c>
      <c r="D533" s="11" cm="1">
        <f t="array" aca="1" ref="D533" ca="1">INDEX(INDIRECT($M533),
       MATCH(TRIM($C533), TRIM(INDIRECT($N533)), 0),
       MATCH(TRIM(D$2), TRIM(INDIRECT($O533)), 0))</f>
        <v>2</v>
      </c>
      <c r="E533" s="9" t="e" cm="1">
        <f t="array" aca="1" ref="E533" ca="1">INDEX(INDIRECT($M533),
       MATCH(TRIM($C533), TRIM(INDIRECT($N533)), 0),
       MATCH(TRIM(E$2), TRIM(INDIRECT($O533)), 0))</f>
        <v>#N/A</v>
      </c>
      <c r="F533" s="11" cm="1">
        <f t="array" aca="1" ref="F533" ca="1">INDEX(INDIRECT($M533),
       MATCH(TRIM($C533), TRIM(INDIRECT($N533)), 0),
       MATCH(TRIM(F$2), TRIM(INDIRECT($O533)), 0))</f>
        <v>15.809953800000001</v>
      </c>
      <c r="G533" s="11" cm="1">
        <f t="array" aca="1" ref="G533" ca="1">INDEX(INDIRECT($M533),
       MATCH(TRIM($C533), TRIM(INDIRECT($N533)), 0),
       MATCH(TRIM(G$2), TRIM(INDIRECT($O533)), 0))</f>
        <v>9</v>
      </c>
      <c r="H533" s="9" t="e" cm="1">
        <f t="array" aca="1" ref="H533" ca="1">INDEX(INDIRECT($M533),
       MATCH(TRIM($C533), TRIM(INDIRECT($N533)), 0),
       MATCH(TRIM(H$2), TRIM(INDIRECT($O533)), 0))</f>
        <v>#N/A</v>
      </c>
      <c r="I533" s="11" cm="1">
        <f t="array" aca="1" ref="I533" ca="1">INDEX(INDIRECT($M533),
       MATCH(TRIM($C533), TRIM(INDIRECT($N533)), 0),
       MATCH(TRIM(I$2), TRIM(INDIRECT($O533)), 0))</f>
        <v>62.95088475</v>
      </c>
      <c r="J533" s="9" cm="1">
        <f t="array" aca="1" ref="J533" ca="1">INDEX(INDIRECT($M533),
       MATCH(TRIM($C533), TRIM(INDIRECT($N533)), 0),
       MATCH(TRIM(J$2), TRIM(INDIRECT($O533)), 0))</f>
        <v>1</v>
      </c>
      <c r="K533" s="11" cm="1">
        <f t="array" aca="1" ref="K533" ca="1">INDEX(INDIRECT($M533),
       MATCH(TRIM($C533), TRIM(INDIRECT($N533)), 0),
       MATCH(TRIM(K$2), TRIM(INDIRECT($O533)), 0))</f>
        <v>0.28000000000000003</v>
      </c>
      <c r="L533" s="11" cm="1">
        <f t="array" aca="1" ref="L533" ca="1">INDEX(INDIRECT($M533),
       MATCH(TRIM($C533), TRIM(INDIRECT($N533)), 0),
       MATCH(TRIM(L$2), TRIM(INDIRECT($O533)), 0))</f>
        <v>79.040838550000004</v>
      </c>
      <c r="M533" s="5" t="str">
        <f t="shared" si="24"/>
        <v>'2023'!$N$3:$V$80</v>
      </c>
      <c r="N533" s="5" t="str">
        <f t="shared" si="25"/>
        <v>'2023'!$M$2:$M$80</v>
      </c>
      <c r="O533" s="5" t="str">
        <f t="shared" si="26"/>
        <v>'2023'!$N$2:$W$2</v>
      </c>
    </row>
    <row r="534" spans="1:15" x14ac:dyDescent="0.3">
      <c r="A534">
        <v>28</v>
      </c>
      <c r="B534" s="9">
        <v>2023</v>
      </c>
      <c r="C534" t="s">
        <v>27</v>
      </c>
      <c r="D534" s="11" cm="1">
        <f t="array" aca="1" ref="D534" ca="1">INDEX(INDIRECT($M534),
       MATCH(TRIM($C534), TRIM(INDIRECT($N534)), 0),
       MATCH(TRIM(D$2), TRIM(INDIRECT($O534)), 0))</f>
        <v>7</v>
      </c>
      <c r="E534" s="9" t="e" cm="1">
        <f t="array" aca="1" ref="E534" ca="1">INDEX(INDIRECT($M534),
       MATCH(TRIM($C534), TRIM(INDIRECT($N534)), 0),
       MATCH(TRIM(E$2), TRIM(INDIRECT($O534)), 0))</f>
        <v>#N/A</v>
      </c>
      <c r="F534" s="11" cm="1">
        <f t="array" aca="1" ref="F534" ca="1">INDEX(INDIRECT($M534),
       MATCH(TRIM($C534), TRIM(INDIRECT($N534)), 0),
       MATCH(TRIM(F$2), TRIM(INDIRECT($O534)), 0))</f>
        <v>111.291028</v>
      </c>
      <c r="G534" s="11" cm="1">
        <f t="array" aca="1" ref="G534" ca="1">INDEX(INDIRECT($M534),
       MATCH(TRIM($C534), TRIM(INDIRECT($N534)), 0),
       MATCH(TRIM(G$2), TRIM(INDIRECT($O534)), 0))</f>
        <v>1</v>
      </c>
      <c r="H534" s="9" t="e" cm="1">
        <f t="array" aca="1" ref="H534" ca="1">INDEX(INDIRECT($M534),
       MATCH(TRIM($C534), TRIM(INDIRECT($N534)), 0),
       MATCH(TRIM(H$2), TRIM(INDIRECT($O534)), 0))</f>
        <v>#N/A</v>
      </c>
      <c r="I534" s="11" cm="1">
        <f t="array" aca="1" ref="I534" ca="1">INDEX(INDIRECT($M534),
       MATCH(TRIM($C534), TRIM(INDIRECT($N534)), 0),
       MATCH(TRIM(I$2), TRIM(INDIRECT($O534)), 0))</f>
        <v>12</v>
      </c>
      <c r="J534" s="9" cm="1">
        <f t="array" aca="1" ref="J534" ca="1">INDEX(INDIRECT($M534),
       MATCH(TRIM($C534), TRIM(INDIRECT($N534)), 0),
       MATCH(TRIM(J$2), TRIM(INDIRECT($O534)), 0))</f>
        <v>1</v>
      </c>
      <c r="K534" s="11" cm="1">
        <f t="array" aca="1" ref="K534" ca="1">INDEX(INDIRECT($M534),
       MATCH(TRIM($C534), TRIM(INDIRECT($N534)), 0),
       MATCH(TRIM(K$2), TRIM(INDIRECT($O534)), 0))</f>
        <v>0.17019999999999999</v>
      </c>
      <c r="L534" s="11" cm="1">
        <f t="array" aca="1" ref="L534" ca="1">INDEX(INDIRECT($M534),
       MATCH(TRIM($C534), TRIM(INDIRECT($N534)), 0),
       MATCH(TRIM(L$2), TRIM(INDIRECT($O534)), 0))</f>
        <v>123.46122799999999</v>
      </c>
      <c r="M534" s="5" t="str">
        <f t="shared" si="24"/>
        <v>'2023'!$N$3:$V$80</v>
      </c>
      <c r="N534" s="5" t="str">
        <f t="shared" si="25"/>
        <v>'2023'!$M$2:$M$80</v>
      </c>
      <c r="O534" s="5" t="str">
        <f t="shared" si="26"/>
        <v>'2023'!$N$2:$W$2</v>
      </c>
    </row>
    <row r="535" spans="1:15" x14ac:dyDescent="0.3">
      <c r="A535">
        <v>29</v>
      </c>
      <c r="B535" s="9">
        <v>2023</v>
      </c>
      <c r="C535" t="s">
        <v>28</v>
      </c>
      <c r="D535" s="11" cm="1">
        <f t="array" aca="1" ref="D535" ca="1">INDEX(INDIRECT($M535),
       MATCH(TRIM($C535), TRIM(INDIRECT($N535)), 0),
       MATCH(TRIM(D$2), TRIM(INDIRECT($O535)), 0))</f>
        <v>7</v>
      </c>
      <c r="E535" s="9" t="e" cm="1">
        <f t="array" aca="1" ref="E535" ca="1">INDEX(INDIRECT($M535),
       MATCH(TRIM($C535), TRIM(INDIRECT($N535)), 0),
       MATCH(TRIM(E$2), TRIM(INDIRECT($O535)), 0))</f>
        <v>#N/A</v>
      </c>
      <c r="F535" s="11" cm="1">
        <f t="array" aca="1" ref="F535" ca="1">INDEX(INDIRECT($M535),
       MATCH(TRIM($C535), TRIM(INDIRECT($N535)), 0),
       MATCH(TRIM(F$2), TRIM(INDIRECT($O535)), 0))</f>
        <v>203.97984700000001</v>
      </c>
      <c r="G535" s="11" cm="1">
        <f t="array" aca="1" ref="G535" ca="1">INDEX(INDIRECT($M535),
       MATCH(TRIM($C535), TRIM(INDIRECT($N535)), 0),
       MATCH(TRIM(G$2), TRIM(INDIRECT($O535)), 0))</f>
        <v>9</v>
      </c>
      <c r="H535" s="9" t="e" cm="1">
        <f t="array" aca="1" ref="H535" ca="1">INDEX(INDIRECT($M535),
       MATCH(TRIM($C535), TRIM(INDIRECT($N535)), 0),
       MATCH(TRIM(H$2), TRIM(INDIRECT($O535)), 0))</f>
        <v>#N/A</v>
      </c>
      <c r="I535" s="11" cm="1">
        <f t="array" aca="1" ref="I535" ca="1">INDEX(INDIRECT($M535),
       MATCH(TRIM($C535), TRIM(INDIRECT($N535)), 0),
       MATCH(TRIM(I$2), TRIM(INDIRECT($O535)), 0))</f>
        <v>44.092331999999999</v>
      </c>
      <c r="J535" s="9" cm="1">
        <f t="array" aca="1" ref="J535" ca="1">INDEX(INDIRECT($M535),
       MATCH(TRIM($C535), TRIM(INDIRECT($N535)), 0),
       MATCH(TRIM(J$2), TRIM(INDIRECT($O535)), 0))</f>
        <v>0</v>
      </c>
      <c r="K535" s="11" cm="1">
        <f t="array" aca="1" ref="K535" ca="1">INDEX(INDIRECT($M535),
       MATCH(TRIM($C535), TRIM(INDIRECT($N535)), 0),
       MATCH(TRIM(K$2), TRIM(INDIRECT($O535)), 0))</f>
        <v>0</v>
      </c>
      <c r="L535" s="11" cm="1">
        <f t="array" aca="1" ref="L535" ca="1">INDEX(INDIRECT($M535),
       MATCH(TRIM($C535), TRIM(INDIRECT($N535)), 0),
       MATCH(TRIM(L$2), TRIM(INDIRECT($O535)), 0))</f>
        <v>248.07217900000001</v>
      </c>
      <c r="M535" s="5" t="str">
        <f t="shared" si="24"/>
        <v>'2023'!$N$3:$V$80</v>
      </c>
      <c r="N535" s="5" t="str">
        <f t="shared" si="25"/>
        <v>'2023'!$M$2:$M$80</v>
      </c>
      <c r="O535" s="5" t="str">
        <f t="shared" si="26"/>
        <v>'2023'!$N$2:$W$2</v>
      </c>
    </row>
    <row r="536" spans="1:15" x14ac:dyDescent="0.3">
      <c r="A536">
        <v>30</v>
      </c>
      <c r="B536" s="9">
        <v>2023</v>
      </c>
      <c r="C536" t="s">
        <v>29</v>
      </c>
      <c r="D536" s="11" cm="1">
        <f t="array" aca="1" ref="D536" ca="1">INDEX(INDIRECT($M536),
       MATCH(TRIM($C536), TRIM(INDIRECT($N536)), 0),
       MATCH(TRIM(D$2), TRIM(INDIRECT($O536)), 0))</f>
        <v>3</v>
      </c>
      <c r="E536" s="9" t="e" cm="1">
        <f t="array" aca="1" ref="E536" ca="1">INDEX(INDIRECT($M536),
       MATCH(TRIM($C536), TRIM(INDIRECT($N536)), 0),
       MATCH(TRIM(E$2), TRIM(INDIRECT($O536)), 0))</f>
        <v>#N/A</v>
      </c>
      <c r="F536" s="11" cm="1">
        <f t="array" aca="1" ref="F536" ca="1">INDEX(INDIRECT($M536),
       MATCH(TRIM($C536), TRIM(INDIRECT($N536)), 0),
       MATCH(TRIM(F$2), TRIM(INDIRECT($O536)), 0))</f>
        <v>16.636565000000001</v>
      </c>
      <c r="G536" s="11" cm="1">
        <f t="array" aca="1" ref="G536" ca="1">INDEX(INDIRECT($M536),
       MATCH(TRIM($C536), TRIM(INDIRECT($N536)), 0),
       MATCH(TRIM(G$2), TRIM(INDIRECT($O536)), 0))</f>
        <v>0</v>
      </c>
      <c r="H536" s="9" t="e" cm="1">
        <f t="array" aca="1" ref="H536" ca="1">INDEX(INDIRECT($M536),
       MATCH(TRIM($C536), TRIM(INDIRECT($N536)), 0),
       MATCH(TRIM(H$2), TRIM(INDIRECT($O536)), 0))</f>
        <v>#N/A</v>
      </c>
      <c r="I536" s="11" cm="1">
        <f t="array" aca="1" ref="I536" ca="1">INDEX(INDIRECT($M536),
       MATCH(TRIM($C536), TRIM(INDIRECT($N536)), 0),
       MATCH(TRIM(I$2), TRIM(INDIRECT($O536)), 0))</f>
        <v>0</v>
      </c>
      <c r="J536" s="9" cm="1">
        <f t="array" aca="1" ref="J536" ca="1">INDEX(INDIRECT($M536),
       MATCH(TRIM($C536), TRIM(INDIRECT($N536)), 0),
       MATCH(TRIM(J$2), TRIM(INDIRECT($O536)), 0))</f>
        <v>5</v>
      </c>
      <c r="K536" s="11" cm="1">
        <f t="array" aca="1" ref="K536" ca="1">INDEX(INDIRECT($M536),
       MATCH(TRIM($C536), TRIM(INDIRECT($N536)), 0),
       MATCH(TRIM(K$2), TRIM(INDIRECT($O536)), 0))</f>
        <v>149.51608634999999</v>
      </c>
      <c r="L536" s="11" cm="1">
        <f t="array" aca="1" ref="L536" ca="1">INDEX(INDIRECT($M536),
       MATCH(TRIM($C536), TRIM(INDIRECT($N536)), 0),
       MATCH(TRIM(L$2), TRIM(INDIRECT($O536)), 0))</f>
        <v>166.15265134999999</v>
      </c>
      <c r="M536" s="5" t="str">
        <f t="shared" si="24"/>
        <v>'2023'!$N$3:$V$80</v>
      </c>
      <c r="N536" s="5" t="str">
        <f t="shared" si="25"/>
        <v>'2023'!$M$2:$M$80</v>
      </c>
      <c r="O536" s="5" t="str">
        <f t="shared" si="26"/>
        <v>'2023'!$N$2:$W$2</v>
      </c>
    </row>
    <row r="537" spans="1:15" x14ac:dyDescent="0.3">
      <c r="A537">
        <v>31</v>
      </c>
      <c r="B537" s="9">
        <v>2023</v>
      </c>
      <c r="C537" t="s">
        <v>30</v>
      </c>
      <c r="D537" s="11" cm="1">
        <f t="array" aca="1" ref="D537" ca="1">INDEX(INDIRECT($M537),
       MATCH(TRIM($C537), TRIM(INDIRECT($N537)), 0),
       MATCH(TRIM(D$2), TRIM(INDIRECT($O537)), 0))</f>
        <v>0</v>
      </c>
      <c r="E537" s="9" t="e" cm="1">
        <f t="array" aca="1" ref="E537" ca="1">INDEX(INDIRECT($M537),
       MATCH(TRIM($C537), TRIM(INDIRECT($N537)), 0),
       MATCH(TRIM(E$2), TRIM(INDIRECT($O537)), 0))</f>
        <v>#N/A</v>
      </c>
      <c r="F537" s="11" cm="1">
        <f t="array" aca="1" ref="F537" ca="1">INDEX(INDIRECT($M537),
       MATCH(TRIM($C537), TRIM(INDIRECT($N537)), 0),
       MATCH(TRIM(F$2), TRIM(INDIRECT($O537)), 0))</f>
        <v>0</v>
      </c>
      <c r="G537" s="11" cm="1">
        <f t="array" aca="1" ref="G537" ca="1">INDEX(INDIRECT($M537),
       MATCH(TRIM($C537), TRIM(INDIRECT($N537)), 0),
       MATCH(TRIM(G$2), TRIM(INDIRECT($O537)), 0))</f>
        <v>1</v>
      </c>
      <c r="H537" s="9" t="e" cm="1">
        <f t="array" aca="1" ref="H537" ca="1">INDEX(INDIRECT($M537),
       MATCH(TRIM($C537), TRIM(INDIRECT($N537)), 0),
       MATCH(TRIM(H$2), TRIM(INDIRECT($O537)), 0))</f>
        <v>#N/A</v>
      </c>
      <c r="I537" s="11" cm="1">
        <f t="array" aca="1" ref="I537" ca="1">INDEX(INDIRECT($M537),
       MATCH(TRIM($C537), TRIM(INDIRECT($N537)), 0),
       MATCH(TRIM(I$2), TRIM(INDIRECT($O537)), 0))</f>
        <v>179.795984</v>
      </c>
      <c r="J537" s="9" cm="1">
        <f t="array" aca="1" ref="J537" ca="1">INDEX(INDIRECT($M537),
       MATCH(TRIM($C537), TRIM(INDIRECT($N537)), 0),
       MATCH(TRIM(J$2), TRIM(INDIRECT($O537)), 0))</f>
        <v>1</v>
      </c>
      <c r="K537" s="11" cm="1">
        <f t="array" aca="1" ref="K537" ca="1">INDEX(INDIRECT($M537),
       MATCH(TRIM($C537), TRIM(INDIRECT($N537)), 0),
       MATCH(TRIM(K$2), TRIM(INDIRECT($O537)), 0))</f>
        <v>5.0999999999999997E-2</v>
      </c>
      <c r="L537" s="11" cm="1">
        <f t="array" aca="1" ref="L537" ca="1">INDEX(INDIRECT($M537),
       MATCH(TRIM($C537), TRIM(INDIRECT($N537)), 0),
       MATCH(TRIM(L$2), TRIM(INDIRECT($O537)), 0))</f>
        <v>179.84698399999999</v>
      </c>
      <c r="M537" s="5" t="str">
        <f t="shared" si="24"/>
        <v>'2023'!$N$3:$V$80</v>
      </c>
      <c r="N537" s="5" t="str">
        <f t="shared" si="25"/>
        <v>'2023'!$M$2:$M$80</v>
      </c>
      <c r="O537" s="5" t="str">
        <f t="shared" si="26"/>
        <v>'2023'!$N$2:$W$2</v>
      </c>
    </row>
    <row r="538" spans="1:15" x14ac:dyDescent="0.3">
      <c r="A538">
        <v>32</v>
      </c>
      <c r="B538" s="9">
        <v>2023</v>
      </c>
      <c r="C538" t="s">
        <v>31</v>
      </c>
      <c r="D538" s="11" cm="1">
        <f t="array" aca="1" ref="D538" ca="1">INDEX(INDIRECT($M538),
       MATCH(TRIM($C538), TRIM(INDIRECT($N538)), 0),
       MATCH(TRIM(D$2), TRIM(INDIRECT($O538)), 0))</f>
        <v>1</v>
      </c>
      <c r="E538" s="9" t="e" cm="1">
        <f t="array" aca="1" ref="E538" ca="1">INDEX(INDIRECT($M538),
       MATCH(TRIM($C538), TRIM(INDIRECT($N538)), 0),
       MATCH(TRIM(E$2), TRIM(INDIRECT($O538)), 0))</f>
        <v>#N/A</v>
      </c>
      <c r="F538" s="11" cm="1">
        <f t="array" aca="1" ref="F538" ca="1">INDEX(INDIRECT($M538),
       MATCH(TRIM($C538), TRIM(INDIRECT($N538)), 0),
       MATCH(TRIM(F$2), TRIM(INDIRECT($O538)), 0))</f>
        <v>90.756311999999994</v>
      </c>
      <c r="G538" s="11" cm="1">
        <f t="array" aca="1" ref="G538" ca="1">INDEX(INDIRECT($M538),
       MATCH(TRIM($C538), TRIM(INDIRECT($N538)), 0),
       MATCH(TRIM(G$2), TRIM(INDIRECT($O538)), 0))</f>
        <v>1</v>
      </c>
      <c r="H538" s="9" t="e" cm="1">
        <f t="array" aca="1" ref="H538" ca="1">INDEX(INDIRECT($M538),
       MATCH(TRIM($C538), TRIM(INDIRECT($N538)), 0),
       MATCH(TRIM(H$2), TRIM(INDIRECT($O538)), 0))</f>
        <v>#N/A</v>
      </c>
      <c r="I538" s="11" cm="1">
        <f t="array" aca="1" ref="I538" ca="1">INDEX(INDIRECT($M538),
       MATCH(TRIM($C538), TRIM(INDIRECT($N538)), 0),
       MATCH(TRIM(I$2), TRIM(INDIRECT($O538)), 0))</f>
        <v>0.5</v>
      </c>
      <c r="J538" s="9" cm="1">
        <f t="array" aca="1" ref="J538" ca="1">INDEX(INDIRECT($M538),
       MATCH(TRIM($C538), TRIM(INDIRECT($N538)), 0),
       MATCH(TRIM(J$2), TRIM(INDIRECT($O538)), 0))</f>
        <v>0</v>
      </c>
      <c r="K538" s="11" cm="1">
        <f t="array" aca="1" ref="K538" ca="1">INDEX(INDIRECT($M538),
       MATCH(TRIM($C538), TRIM(INDIRECT($N538)), 0),
       MATCH(TRIM(K$2), TRIM(INDIRECT($O538)), 0))</f>
        <v>0</v>
      </c>
      <c r="L538" s="11" cm="1">
        <f t="array" aca="1" ref="L538" ca="1">INDEX(INDIRECT($M538),
       MATCH(TRIM($C538), TRIM(INDIRECT($N538)), 0),
       MATCH(TRIM(L$2), TRIM(INDIRECT($O538)), 0))</f>
        <v>91.256311999999994</v>
      </c>
      <c r="M538" s="5" t="str">
        <f t="shared" si="24"/>
        <v>'2023'!$N$3:$V$80</v>
      </c>
      <c r="N538" s="5" t="str">
        <f t="shared" si="25"/>
        <v>'2023'!$M$2:$M$80</v>
      </c>
      <c r="O538" s="5" t="str">
        <f t="shared" si="26"/>
        <v>'2023'!$N$2:$W$2</v>
      </c>
    </row>
    <row r="539" spans="1:15" x14ac:dyDescent="0.3">
      <c r="A539">
        <v>33</v>
      </c>
      <c r="B539" s="9">
        <v>2023</v>
      </c>
      <c r="C539" t="s">
        <v>32</v>
      </c>
      <c r="D539" s="11" cm="1">
        <f t="array" aca="1" ref="D539" ca="1">INDEX(INDIRECT($M539),
       MATCH(TRIM($C539), TRIM(INDIRECT($N539)), 0),
       MATCH(TRIM(D$2), TRIM(INDIRECT($O539)), 0))</f>
        <v>2</v>
      </c>
      <c r="E539" s="9" t="e" cm="1">
        <f t="array" aca="1" ref="E539" ca="1">INDEX(INDIRECT($M539),
       MATCH(TRIM($C539), TRIM(INDIRECT($N539)), 0),
       MATCH(TRIM(E$2), TRIM(INDIRECT($O539)), 0))</f>
        <v>#N/A</v>
      </c>
      <c r="F539" s="11" cm="1">
        <f t="array" aca="1" ref="F539" ca="1">INDEX(INDIRECT($M539),
       MATCH(TRIM($C539), TRIM(INDIRECT($N539)), 0),
       MATCH(TRIM(F$2), TRIM(INDIRECT($O539)), 0))</f>
        <v>6.3089680000000001</v>
      </c>
      <c r="G539" s="11" cm="1">
        <f t="array" aca="1" ref="G539" ca="1">INDEX(INDIRECT($M539),
       MATCH(TRIM($C539), TRIM(INDIRECT($N539)), 0),
       MATCH(TRIM(G$2), TRIM(INDIRECT($O539)), 0))</f>
        <v>0</v>
      </c>
      <c r="H539" s="9" t="e" cm="1">
        <f t="array" aca="1" ref="H539" ca="1">INDEX(INDIRECT($M539),
       MATCH(TRIM($C539), TRIM(INDIRECT($N539)), 0),
       MATCH(TRIM(H$2), TRIM(INDIRECT($O539)), 0))</f>
        <v>#N/A</v>
      </c>
      <c r="I539" s="11" cm="1">
        <f t="array" aca="1" ref="I539" ca="1">INDEX(INDIRECT($M539),
       MATCH(TRIM($C539), TRIM(INDIRECT($N539)), 0),
       MATCH(TRIM(I$2), TRIM(INDIRECT($O539)), 0))</f>
        <v>0</v>
      </c>
      <c r="J539" s="9" cm="1">
        <f t="array" aca="1" ref="J539" ca="1">INDEX(INDIRECT($M539),
       MATCH(TRIM($C539), TRIM(INDIRECT($N539)), 0),
       MATCH(TRIM(J$2), TRIM(INDIRECT($O539)), 0))</f>
        <v>7</v>
      </c>
      <c r="K539" s="11" cm="1">
        <f t="array" aca="1" ref="K539" ca="1">INDEX(INDIRECT($M539),
       MATCH(TRIM($C539), TRIM(INDIRECT($N539)), 0),
       MATCH(TRIM(K$2), TRIM(INDIRECT($O539)), 0))</f>
        <v>11.088317979999999</v>
      </c>
      <c r="L539" s="11" cm="1">
        <f t="array" aca="1" ref="L539" ca="1">INDEX(INDIRECT($M539),
       MATCH(TRIM($C539), TRIM(INDIRECT($N539)), 0),
       MATCH(TRIM(L$2), TRIM(INDIRECT($O539)), 0))</f>
        <v>17.397285979999999</v>
      </c>
      <c r="M539" s="5" t="str">
        <f t="shared" si="24"/>
        <v>'2023'!$N$3:$V$80</v>
      </c>
      <c r="N539" s="5" t="str">
        <f t="shared" si="25"/>
        <v>'2023'!$M$2:$M$80</v>
      </c>
      <c r="O539" s="5" t="str">
        <f t="shared" si="26"/>
        <v>'2023'!$N$2:$W$2</v>
      </c>
    </row>
    <row r="540" spans="1:15" x14ac:dyDescent="0.3">
      <c r="A540">
        <v>34</v>
      </c>
      <c r="B540" s="9">
        <v>2023</v>
      </c>
      <c r="C540" t="s">
        <v>33</v>
      </c>
      <c r="D540" s="11" cm="1">
        <f t="array" aca="1" ref="D540" ca="1">INDEX(INDIRECT($M540),
       MATCH(TRIM($C540), TRIM(INDIRECT($N540)), 0),
       MATCH(TRIM(D$2), TRIM(INDIRECT($O540)), 0))</f>
        <v>6</v>
      </c>
      <c r="E540" s="9" t="e" cm="1">
        <f t="array" aca="1" ref="E540" ca="1">INDEX(INDIRECT($M540),
       MATCH(TRIM($C540), TRIM(INDIRECT($N540)), 0),
       MATCH(TRIM(E$2), TRIM(INDIRECT($O540)), 0))</f>
        <v>#N/A</v>
      </c>
      <c r="F540" s="11" cm="1">
        <f t="array" aca="1" ref="F540" ca="1">INDEX(INDIRECT($M540),
       MATCH(TRIM($C540), TRIM(INDIRECT($N540)), 0),
       MATCH(TRIM(F$2), TRIM(INDIRECT($O540)), 0))</f>
        <v>46.201351000000003</v>
      </c>
      <c r="G540" s="11" cm="1">
        <f t="array" aca="1" ref="G540" ca="1">INDEX(INDIRECT($M540),
       MATCH(TRIM($C540), TRIM(INDIRECT($N540)), 0),
       MATCH(TRIM(G$2), TRIM(INDIRECT($O540)), 0))</f>
        <v>4</v>
      </c>
      <c r="H540" s="9" t="e" cm="1">
        <f t="array" aca="1" ref="H540" ca="1">INDEX(INDIRECT($M540),
       MATCH(TRIM($C540), TRIM(INDIRECT($N540)), 0),
       MATCH(TRIM(H$2), TRIM(INDIRECT($O540)), 0))</f>
        <v>#N/A</v>
      </c>
      <c r="I540" s="11" cm="1">
        <f t="array" aca="1" ref="I540" ca="1">INDEX(INDIRECT($M540),
       MATCH(TRIM($C540), TRIM(INDIRECT($N540)), 0),
       MATCH(TRIM(I$2), TRIM(INDIRECT($O540)), 0))</f>
        <v>2.7449080000000001</v>
      </c>
      <c r="J540" s="9" cm="1">
        <f t="array" aca="1" ref="J540" ca="1">INDEX(INDIRECT($M540),
       MATCH(TRIM($C540), TRIM(INDIRECT($N540)), 0),
       MATCH(TRIM(J$2), TRIM(INDIRECT($O540)), 0))</f>
        <v>3</v>
      </c>
      <c r="K540" s="11" cm="1">
        <f t="array" aca="1" ref="K540" ca="1">INDEX(INDIRECT($M540),
       MATCH(TRIM($C540), TRIM(INDIRECT($N540)), 0),
       MATCH(TRIM(K$2), TRIM(INDIRECT($O540)), 0))</f>
        <v>21.484355999999998</v>
      </c>
      <c r="L540" s="11" cm="1">
        <f t="array" aca="1" ref="L540" ca="1">INDEX(INDIRECT($M540),
       MATCH(TRIM($C540), TRIM(INDIRECT($N540)), 0),
       MATCH(TRIM(L$2), TRIM(INDIRECT($O540)), 0))</f>
        <v>70.430615000000003</v>
      </c>
      <c r="M540" s="5" t="str">
        <f t="shared" si="24"/>
        <v>'2023'!$N$3:$V$80</v>
      </c>
      <c r="N540" s="5" t="str">
        <f t="shared" si="25"/>
        <v>'2023'!$M$2:$M$80</v>
      </c>
      <c r="O540" s="5" t="str">
        <f t="shared" si="26"/>
        <v>'2023'!$N$2:$W$2</v>
      </c>
    </row>
    <row r="541" spans="1:15" x14ac:dyDescent="0.3">
      <c r="A541">
        <v>35</v>
      </c>
      <c r="B541" s="9">
        <v>2023</v>
      </c>
      <c r="C541" t="s">
        <v>34</v>
      </c>
      <c r="D541" s="11" cm="1">
        <f t="array" aca="1" ref="D541" ca="1">INDEX(INDIRECT($M541),
       MATCH(TRIM($C541), TRIM(INDIRECT($N541)), 0),
       MATCH(TRIM(D$2), TRIM(INDIRECT($O541)), 0))</f>
        <v>1</v>
      </c>
      <c r="E541" s="9" t="e" cm="1">
        <f t="array" aca="1" ref="E541" ca="1">INDEX(INDIRECT($M541),
       MATCH(TRIM($C541), TRIM(INDIRECT($N541)), 0),
       MATCH(TRIM(E$2), TRIM(INDIRECT($O541)), 0))</f>
        <v>#N/A</v>
      </c>
      <c r="F541" s="11" cm="1">
        <f t="array" aca="1" ref="F541" ca="1">INDEX(INDIRECT($M541),
       MATCH(TRIM($C541), TRIM(INDIRECT($N541)), 0),
       MATCH(TRIM(F$2), TRIM(INDIRECT($O541)), 0))</f>
        <v>0.15</v>
      </c>
      <c r="G541" s="11" cm="1">
        <f t="array" aca="1" ref="G541" ca="1">INDEX(INDIRECT($M541),
       MATCH(TRIM($C541), TRIM(INDIRECT($N541)), 0),
       MATCH(TRIM(G$2), TRIM(INDIRECT($O541)), 0))</f>
        <v>1</v>
      </c>
      <c r="H541" s="9" t="e" cm="1">
        <f t="array" aca="1" ref="H541" ca="1">INDEX(INDIRECT($M541),
       MATCH(TRIM($C541), TRIM(INDIRECT($N541)), 0),
       MATCH(TRIM(H$2), TRIM(INDIRECT($O541)), 0))</f>
        <v>#N/A</v>
      </c>
      <c r="I541" s="11" cm="1">
        <f t="array" aca="1" ref="I541" ca="1">INDEX(INDIRECT($M541),
       MATCH(TRIM($C541), TRIM(INDIRECT($N541)), 0),
       MATCH(TRIM(I$2), TRIM(INDIRECT($O541)), 0))</f>
        <v>1</v>
      </c>
      <c r="J541" s="9" cm="1">
        <f t="array" aca="1" ref="J541" ca="1">INDEX(INDIRECT($M541),
       MATCH(TRIM($C541), TRIM(INDIRECT($N541)), 0),
       MATCH(TRIM(J$2), TRIM(INDIRECT($O541)), 0))</f>
        <v>1</v>
      </c>
      <c r="K541" s="11" cm="1">
        <f t="array" aca="1" ref="K541" ca="1">INDEX(INDIRECT($M541),
       MATCH(TRIM($C541), TRIM(INDIRECT($N541)), 0),
       MATCH(TRIM(K$2), TRIM(INDIRECT($O541)), 0))</f>
        <v>0.20532464</v>
      </c>
      <c r="L541" s="11" cm="1">
        <f t="array" aca="1" ref="L541" ca="1">INDEX(INDIRECT($M541),
       MATCH(TRIM($C541), TRIM(INDIRECT($N541)), 0),
       MATCH(TRIM(L$2), TRIM(INDIRECT($O541)), 0))</f>
        <v>1.3553246399999999</v>
      </c>
      <c r="M541" s="5" t="str">
        <f t="shared" si="24"/>
        <v>'2023'!$N$3:$V$80</v>
      </c>
      <c r="N541" s="5" t="str">
        <f t="shared" si="25"/>
        <v>'2023'!$M$2:$M$80</v>
      </c>
      <c r="O541" s="5" t="str">
        <f t="shared" si="26"/>
        <v>'2023'!$N$2:$W$2</v>
      </c>
    </row>
    <row r="542" spans="1:15" x14ac:dyDescent="0.3">
      <c r="A542">
        <v>36</v>
      </c>
      <c r="B542" s="9">
        <v>2023</v>
      </c>
      <c r="C542" t="s">
        <v>35</v>
      </c>
      <c r="D542" s="11" cm="1">
        <f t="array" aca="1" ref="D542" ca="1">INDEX(INDIRECT($M542),
       MATCH(TRIM($C542), TRIM(INDIRECT($N542)), 0),
       MATCH(TRIM(D$2), TRIM(INDIRECT($O542)), 0))</f>
        <v>1</v>
      </c>
      <c r="E542" s="9" t="e" cm="1">
        <f t="array" aca="1" ref="E542" ca="1">INDEX(INDIRECT($M542),
       MATCH(TRIM($C542), TRIM(INDIRECT($N542)), 0),
       MATCH(TRIM(E$2), TRIM(INDIRECT($O542)), 0))</f>
        <v>#N/A</v>
      </c>
      <c r="F542" s="11" cm="1">
        <f t="array" aca="1" ref="F542" ca="1">INDEX(INDIRECT($M542),
       MATCH(TRIM($C542), TRIM(INDIRECT($N542)), 0),
       MATCH(TRIM(F$2), TRIM(INDIRECT($O542)), 0))</f>
        <v>1.0321471099999999</v>
      </c>
      <c r="G542" s="11" cm="1">
        <f t="array" aca="1" ref="G542" ca="1">INDEX(INDIRECT($M542),
       MATCH(TRIM($C542), TRIM(INDIRECT($N542)), 0),
       MATCH(TRIM(G$2), TRIM(INDIRECT($O542)), 0))</f>
        <v>0</v>
      </c>
      <c r="H542" s="9" t="e" cm="1">
        <f t="array" aca="1" ref="H542" ca="1">INDEX(INDIRECT($M542),
       MATCH(TRIM($C542), TRIM(INDIRECT($N542)), 0),
       MATCH(TRIM(H$2), TRIM(INDIRECT($O542)), 0))</f>
        <v>#N/A</v>
      </c>
      <c r="I542" s="11" cm="1">
        <f t="array" aca="1" ref="I542" ca="1">INDEX(INDIRECT($M542),
       MATCH(TRIM($C542), TRIM(INDIRECT($N542)), 0),
       MATCH(TRIM(I$2), TRIM(INDIRECT($O542)), 0))</f>
        <v>0</v>
      </c>
      <c r="J542" s="9" cm="1">
        <f t="array" aca="1" ref="J542" ca="1">INDEX(INDIRECT($M542),
       MATCH(TRIM($C542), TRIM(INDIRECT($N542)), 0),
       MATCH(TRIM(J$2), TRIM(INDIRECT($O542)), 0))</f>
        <v>2</v>
      </c>
      <c r="K542" s="11" cm="1">
        <f t="array" aca="1" ref="K542" ca="1">INDEX(INDIRECT($M542),
       MATCH(TRIM($C542), TRIM(INDIRECT($N542)), 0),
       MATCH(TRIM(K$2), TRIM(INDIRECT($O542)), 0))</f>
        <v>4.2844499999999995E-3</v>
      </c>
      <c r="L542" s="11" cm="1">
        <f t="array" aca="1" ref="L542" ca="1">INDEX(INDIRECT($M542),
       MATCH(TRIM($C542), TRIM(INDIRECT($N542)), 0),
       MATCH(TRIM(L$2), TRIM(INDIRECT($O542)), 0))</f>
        <v>1.03643156</v>
      </c>
      <c r="M542" s="5" t="str">
        <f t="shared" si="24"/>
        <v>'2023'!$N$3:$V$80</v>
      </c>
      <c r="N542" s="5" t="str">
        <f t="shared" si="25"/>
        <v>'2023'!$M$2:$M$80</v>
      </c>
      <c r="O542" s="5" t="str">
        <f t="shared" si="26"/>
        <v>'2023'!$N$2:$W$2</v>
      </c>
    </row>
    <row r="543" spans="1:15" x14ac:dyDescent="0.3">
      <c r="A543">
        <v>37</v>
      </c>
      <c r="B543" s="9">
        <v>2023</v>
      </c>
      <c r="C543" t="s">
        <v>36</v>
      </c>
      <c r="D543" s="11" cm="1">
        <f t="array" aca="1" ref="D543" ca="1">INDEX(INDIRECT($M543),
       MATCH(TRIM($C543), TRIM(INDIRECT($N543)), 0),
       MATCH(TRIM(D$2), TRIM(INDIRECT($O543)), 0))</f>
        <v>3</v>
      </c>
      <c r="E543" s="9" t="e" cm="1">
        <f t="array" aca="1" ref="E543" ca="1">INDEX(INDIRECT($M543),
       MATCH(TRIM($C543), TRIM(INDIRECT($N543)), 0),
       MATCH(TRIM(E$2), TRIM(INDIRECT($O543)), 0))</f>
        <v>#N/A</v>
      </c>
      <c r="F543" s="11" cm="1">
        <f t="array" aca="1" ref="F543" ca="1">INDEX(INDIRECT($M543),
       MATCH(TRIM($C543), TRIM(INDIRECT($N543)), 0),
       MATCH(TRIM(F$2), TRIM(INDIRECT($O543)), 0))</f>
        <v>0.6353916799999999</v>
      </c>
      <c r="G543" s="11" cm="1">
        <f t="array" aca="1" ref="G543" ca="1">INDEX(INDIRECT($M543),
       MATCH(TRIM($C543), TRIM(INDIRECT($N543)), 0),
       MATCH(TRIM(G$2), TRIM(INDIRECT($O543)), 0))</f>
        <v>5</v>
      </c>
      <c r="H543" s="9" t="e" cm="1">
        <f t="array" aca="1" ref="H543" ca="1">INDEX(INDIRECT($M543),
       MATCH(TRIM($C543), TRIM(INDIRECT($N543)), 0),
       MATCH(TRIM(H$2), TRIM(INDIRECT($O543)), 0))</f>
        <v>#N/A</v>
      </c>
      <c r="I543" s="11" cm="1">
        <f t="array" aca="1" ref="I543" ca="1">INDEX(INDIRECT($M543),
       MATCH(TRIM($C543), TRIM(INDIRECT($N543)), 0),
       MATCH(TRIM(I$2), TRIM(INDIRECT($O543)), 0))</f>
        <v>54.141613999999997</v>
      </c>
      <c r="J543" s="9" cm="1">
        <f t="array" aca="1" ref="J543" ca="1">INDEX(INDIRECT($M543),
       MATCH(TRIM($C543), TRIM(INDIRECT($N543)), 0),
       MATCH(TRIM(J$2), TRIM(INDIRECT($O543)), 0))</f>
        <v>6</v>
      </c>
      <c r="K543" s="11" cm="1">
        <f t="array" aca="1" ref="K543" ca="1">INDEX(INDIRECT($M543),
       MATCH(TRIM($C543), TRIM(INDIRECT($N543)), 0),
       MATCH(TRIM(K$2), TRIM(INDIRECT($O543)), 0))</f>
        <v>5.8196447899999999</v>
      </c>
      <c r="L543" s="11" cm="1">
        <f t="array" aca="1" ref="L543" ca="1">INDEX(INDIRECT($M543),
       MATCH(TRIM($C543), TRIM(INDIRECT($N543)), 0),
       MATCH(TRIM(L$2), TRIM(INDIRECT($O543)), 0))</f>
        <v>60.596650469999993</v>
      </c>
      <c r="M543" s="5" t="str">
        <f t="shared" si="24"/>
        <v>'2023'!$N$3:$V$80</v>
      </c>
      <c r="N543" s="5" t="str">
        <f t="shared" si="25"/>
        <v>'2023'!$M$2:$M$80</v>
      </c>
      <c r="O543" s="5" t="str">
        <f t="shared" si="26"/>
        <v>'2023'!$N$2:$W$2</v>
      </c>
    </row>
    <row r="544" spans="1:15" x14ac:dyDescent="0.3">
      <c r="A544">
        <v>38</v>
      </c>
      <c r="B544" s="9">
        <v>2023</v>
      </c>
      <c r="C544" t="s">
        <v>37</v>
      </c>
      <c r="D544" s="11" cm="1">
        <f t="array" aca="1" ref="D544" ca="1">INDEX(INDIRECT($M544),
       MATCH(TRIM($C544), TRIM(INDIRECT($N544)), 0),
       MATCH(TRIM(D$2), TRIM(INDIRECT($O544)), 0))</f>
        <v>34</v>
      </c>
      <c r="E544" s="9" t="e" cm="1">
        <f t="array" aca="1" ref="E544" ca="1">INDEX(INDIRECT($M544),
       MATCH(TRIM($C544), TRIM(INDIRECT($N544)), 0),
       MATCH(TRIM(E$2), TRIM(INDIRECT($O544)), 0))</f>
        <v>#N/A</v>
      </c>
      <c r="F544" s="11" cm="1">
        <f t="array" aca="1" ref="F544" ca="1">INDEX(INDIRECT($M544),
       MATCH(TRIM($C544), TRIM(INDIRECT($N544)), 0),
       MATCH(TRIM(F$2), TRIM(INDIRECT($O544)), 0))</f>
        <v>2686.3150150000001</v>
      </c>
      <c r="G544" s="11" cm="1">
        <f t="array" aca="1" ref="G544" ca="1">INDEX(INDIRECT($M544),
       MATCH(TRIM($C544), TRIM(INDIRECT($N544)), 0),
       MATCH(TRIM(G$2), TRIM(INDIRECT($O544)), 0))</f>
        <v>4</v>
      </c>
      <c r="H544" s="9" t="e" cm="1">
        <f t="array" aca="1" ref="H544" ca="1">INDEX(INDIRECT($M544),
       MATCH(TRIM($C544), TRIM(INDIRECT($N544)), 0),
       MATCH(TRIM(H$2), TRIM(INDIRECT($O544)), 0))</f>
        <v>#N/A</v>
      </c>
      <c r="I544" s="11" cm="1">
        <f t="array" aca="1" ref="I544" ca="1">INDEX(INDIRECT($M544),
       MATCH(TRIM($C544), TRIM(INDIRECT($N544)), 0),
       MATCH(TRIM(I$2), TRIM(INDIRECT($O544)), 0))</f>
        <v>104.268255</v>
      </c>
      <c r="J544" s="9" cm="1">
        <f t="array" aca="1" ref="J544" ca="1">INDEX(INDIRECT($M544),
       MATCH(TRIM($C544), TRIM(INDIRECT($N544)), 0),
       MATCH(TRIM(J$2), TRIM(INDIRECT($O544)), 0))</f>
        <v>1</v>
      </c>
      <c r="K544" s="11" cm="1">
        <f t="array" aca="1" ref="K544" ca="1">INDEX(INDIRECT($M544),
       MATCH(TRIM($C544), TRIM(INDIRECT($N544)), 0),
       MATCH(TRIM(K$2), TRIM(INDIRECT($O544)), 0))</f>
        <v>5.0215510000000005E-2</v>
      </c>
      <c r="L544" s="11" cm="1">
        <f t="array" aca="1" ref="L544" ca="1">INDEX(INDIRECT($M544),
       MATCH(TRIM($C544), TRIM(INDIRECT($N544)), 0),
       MATCH(TRIM(L$2), TRIM(INDIRECT($O544)), 0))</f>
        <v>2790.6334855099999</v>
      </c>
      <c r="M544" s="5" t="str">
        <f t="shared" si="24"/>
        <v>'2023'!$N$3:$V$80</v>
      </c>
      <c r="N544" s="5" t="str">
        <f t="shared" si="25"/>
        <v>'2023'!$M$2:$M$80</v>
      </c>
      <c r="O544" s="5" t="str">
        <f t="shared" si="26"/>
        <v>'2023'!$N$2:$W$2</v>
      </c>
    </row>
    <row r="545" spans="1:15" x14ac:dyDescent="0.3">
      <c r="A545">
        <v>39</v>
      </c>
      <c r="B545" s="9">
        <v>2023</v>
      </c>
      <c r="C545" t="s">
        <v>38</v>
      </c>
      <c r="D545" s="11" cm="1">
        <f t="array" aca="1" ref="D545" ca="1">INDEX(INDIRECT($M545),
       MATCH(TRIM($C545), TRIM(INDIRECT($N545)), 0),
       MATCH(TRIM(D$2), TRIM(INDIRECT($O545)), 0))</f>
        <v>0</v>
      </c>
      <c r="E545" s="9" t="e" cm="1">
        <f t="array" aca="1" ref="E545" ca="1">INDEX(INDIRECT($M545),
       MATCH(TRIM($C545), TRIM(INDIRECT($N545)), 0),
       MATCH(TRIM(E$2), TRIM(INDIRECT($O545)), 0))</f>
        <v>#N/A</v>
      </c>
      <c r="F545" s="11" cm="1">
        <f t="array" aca="1" ref="F545" ca="1">INDEX(INDIRECT($M545),
       MATCH(TRIM($C545), TRIM(INDIRECT($N545)), 0),
       MATCH(TRIM(F$2), TRIM(INDIRECT($O545)), 0))</f>
        <v>0</v>
      </c>
      <c r="G545" s="11" cm="1">
        <f t="array" aca="1" ref="G545" ca="1">INDEX(INDIRECT($M545),
       MATCH(TRIM($C545), TRIM(INDIRECT($N545)), 0),
       MATCH(TRIM(G$2), TRIM(INDIRECT($O545)), 0))</f>
        <v>0</v>
      </c>
      <c r="H545" s="9" t="e" cm="1">
        <f t="array" aca="1" ref="H545" ca="1">INDEX(INDIRECT($M545),
       MATCH(TRIM($C545), TRIM(INDIRECT($N545)), 0),
       MATCH(TRIM(H$2), TRIM(INDIRECT($O545)), 0))</f>
        <v>#N/A</v>
      </c>
      <c r="I545" s="11" cm="1">
        <f t="array" aca="1" ref="I545" ca="1">INDEX(INDIRECT($M545),
       MATCH(TRIM($C545), TRIM(INDIRECT($N545)), 0),
       MATCH(TRIM(I$2), TRIM(INDIRECT($O545)), 0))</f>
        <v>0</v>
      </c>
      <c r="J545" s="9" cm="1">
        <f t="array" aca="1" ref="J545" ca="1">INDEX(INDIRECT($M545),
       MATCH(TRIM($C545), TRIM(INDIRECT($N545)), 0),
       MATCH(TRIM(J$2), TRIM(INDIRECT($O545)), 0))</f>
        <v>2</v>
      </c>
      <c r="K545" s="11" cm="1">
        <f t="array" aca="1" ref="K545" ca="1">INDEX(INDIRECT($M545),
       MATCH(TRIM($C545), TRIM(INDIRECT($N545)), 0),
       MATCH(TRIM(K$2), TRIM(INDIRECT($O545)), 0))</f>
        <v>0.36775621999999997</v>
      </c>
      <c r="L545" s="11" cm="1">
        <f t="array" aca="1" ref="L545" ca="1">INDEX(INDIRECT($M545),
       MATCH(TRIM($C545), TRIM(INDIRECT($N545)), 0),
       MATCH(TRIM(L$2), TRIM(INDIRECT($O545)), 0))</f>
        <v>0.36775621999999997</v>
      </c>
      <c r="M545" s="5" t="str">
        <f t="shared" si="24"/>
        <v>'2023'!$N$3:$V$80</v>
      </c>
      <c r="N545" s="5" t="str">
        <f t="shared" si="25"/>
        <v>'2023'!$M$2:$M$80</v>
      </c>
      <c r="O545" s="5" t="str">
        <f t="shared" si="26"/>
        <v>'2023'!$N$2:$W$2</v>
      </c>
    </row>
    <row r="546" spans="1:15" x14ac:dyDescent="0.3">
      <c r="A546">
        <v>40</v>
      </c>
      <c r="B546" s="9">
        <v>2023</v>
      </c>
      <c r="C546" t="s">
        <v>39</v>
      </c>
      <c r="D546" s="11" cm="1">
        <f t="array" aca="1" ref="D546" ca="1">INDEX(INDIRECT($M546),
       MATCH(TRIM($C546), TRIM(INDIRECT($N546)), 0),
       MATCH(TRIM(D$2), TRIM(INDIRECT($O546)), 0))</f>
        <v>19</v>
      </c>
      <c r="E546" s="9" t="e" cm="1">
        <f t="array" aca="1" ref="E546" ca="1">INDEX(INDIRECT($M546),
       MATCH(TRIM($C546), TRIM(INDIRECT($N546)), 0),
       MATCH(TRIM(E$2), TRIM(INDIRECT($O546)), 0))</f>
        <v>#N/A</v>
      </c>
      <c r="F546" s="11" cm="1">
        <f t="array" aca="1" ref="F546" ca="1">INDEX(INDIRECT($M546),
       MATCH(TRIM($C546), TRIM(INDIRECT($N546)), 0),
       MATCH(TRIM(F$2), TRIM(INDIRECT($O546)), 0))</f>
        <v>328.25474800000001</v>
      </c>
      <c r="G546" s="11" cm="1">
        <f t="array" aca="1" ref="G546" ca="1">INDEX(INDIRECT($M546),
       MATCH(TRIM($C546), TRIM(INDIRECT($N546)), 0),
       MATCH(TRIM(G$2), TRIM(INDIRECT($O546)), 0))</f>
        <v>3</v>
      </c>
      <c r="H546" s="9" t="e" cm="1">
        <f t="array" aca="1" ref="H546" ca="1">INDEX(INDIRECT($M546),
       MATCH(TRIM($C546), TRIM(INDIRECT($N546)), 0),
       MATCH(TRIM(H$2), TRIM(INDIRECT($O546)), 0))</f>
        <v>#N/A</v>
      </c>
      <c r="I546" s="11" cm="1">
        <f t="array" aca="1" ref="I546" ca="1">INDEX(INDIRECT($M546),
       MATCH(TRIM($C546), TRIM(INDIRECT($N546)), 0),
       MATCH(TRIM(I$2), TRIM(INDIRECT($O546)), 0))</f>
        <v>4.9550099999999997</v>
      </c>
      <c r="J546" s="9" cm="1">
        <f t="array" aca="1" ref="J546" ca="1">INDEX(INDIRECT($M546),
       MATCH(TRIM($C546), TRIM(INDIRECT($N546)), 0),
       MATCH(TRIM(J$2), TRIM(INDIRECT($O546)), 0))</f>
        <v>8</v>
      </c>
      <c r="K546" s="11" cm="1">
        <f t="array" aca="1" ref="K546" ca="1">INDEX(INDIRECT($M546),
       MATCH(TRIM($C546), TRIM(INDIRECT($N546)), 0),
       MATCH(TRIM(K$2), TRIM(INDIRECT($O546)), 0))</f>
        <v>96.139674889999995</v>
      </c>
      <c r="L546" s="11" cm="1">
        <f t="array" aca="1" ref="L546" ca="1">INDEX(INDIRECT($M546),
       MATCH(TRIM($C546), TRIM(INDIRECT($N546)), 0),
       MATCH(TRIM(L$2), TRIM(INDIRECT($O546)), 0))</f>
        <v>429.34943289</v>
      </c>
      <c r="M546" s="5" t="str">
        <f t="shared" si="24"/>
        <v>'2023'!$N$3:$V$80</v>
      </c>
      <c r="N546" s="5" t="str">
        <f t="shared" si="25"/>
        <v>'2023'!$M$2:$M$80</v>
      </c>
      <c r="O546" s="5" t="str">
        <f t="shared" si="26"/>
        <v>'2023'!$N$2:$W$2</v>
      </c>
    </row>
    <row r="547" spans="1:15" x14ac:dyDescent="0.3">
      <c r="A547">
        <v>41</v>
      </c>
      <c r="B547" s="9">
        <v>2023</v>
      </c>
      <c r="C547" t="s">
        <v>40</v>
      </c>
      <c r="D547" s="11" cm="1">
        <f t="array" aca="1" ref="D547" ca="1">INDEX(INDIRECT($M547),
       MATCH(TRIM($C547), TRIM(INDIRECT($N547)), 0),
       MATCH(TRIM(D$2), TRIM(INDIRECT($O547)), 0))</f>
        <v>2</v>
      </c>
      <c r="E547" s="9" t="e" cm="1">
        <f t="array" aca="1" ref="E547" ca="1">INDEX(INDIRECT($M547),
       MATCH(TRIM($C547), TRIM(INDIRECT($N547)), 0),
       MATCH(TRIM(E$2), TRIM(INDIRECT($O547)), 0))</f>
        <v>#N/A</v>
      </c>
      <c r="F547" s="11" cm="1">
        <f t="array" aca="1" ref="F547" ca="1">INDEX(INDIRECT($M547),
       MATCH(TRIM($C547), TRIM(INDIRECT($N547)), 0),
       MATCH(TRIM(F$2), TRIM(INDIRECT($O547)), 0))</f>
        <v>5.2858690199999998</v>
      </c>
      <c r="G547" s="11" cm="1">
        <f t="array" aca="1" ref="G547" ca="1">INDEX(INDIRECT($M547),
       MATCH(TRIM($C547), TRIM(INDIRECT($N547)), 0),
       MATCH(TRIM(G$2), TRIM(INDIRECT($O547)), 0))</f>
        <v>2</v>
      </c>
      <c r="H547" s="9" t="e" cm="1">
        <f t="array" aca="1" ref="H547" ca="1">INDEX(INDIRECT($M547),
       MATCH(TRIM($C547), TRIM(INDIRECT($N547)), 0),
       MATCH(TRIM(H$2), TRIM(INDIRECT($O547)), 0))</f>
        <v>#N/A</v>
      </c>
      <c r="I547" s="11" cm="1">
        <f t="array" aca="1" ref="I547" ca="1">INDEX(INDIRECT($M547),
       MATCH(TRIM($C547), TRIM(INDIRECT($N547)), 0),
       MATCH(TRIM(I$2), TRIM(INDIRECT($O547)), 0))</f>
        <v>-0.84033599999999997</v>
      </c>
      <c r="J547" s="9" cm="1">
        <f t="array" aca="1" ref="J547" ca="1">INDEX(INDIRECT($M547),
       MATCH(TRIM($C547), TRIM(INDIRECT($N547)), 0),
       MATCH(TRIM(J$2), TRIM(INDIRECT($O547)), 0))</f>
        <v>4</v>
      </c>
      <c r="K547" s="11" cm="1">
        <f t="array" aca="1" ref="K547" ca="1">INDEX(INDIRECT($M547),
       MATCH(TRIM($C547), TRIM(INDIRECT($N547)), 0),
       MATCH(TRIM(K$2), TRIM(INDIRECT($O547)), 0))</f>
        <v>3.84536414</v>
      </c>
      <c r="L547" s="11" cm="1">
        <f t="array" aca="1" ref="L547" ca="1">INDEX(INDIRECT($M547),
       MATCH(TRIM($C547), TRIM(INDIRECT($N547)), 0),
       MATCH(TRIM(L$2), TRIM(INDIRECT($O547)), 0))</f>
        <v>8.2908971600000001</v>
      </c>
      <c r="M547" s="5" t="str">
        <f t="shared" si="24"/>
        <v>'2023'!$N$3:$V$80</v>
      </c>
      <c r="N547" s="5" t="str">
        <f t="shared" si="25"/>
        <v>'2023'!$M$2:$M$80</v>
      </c>
      <c r="O547" s="5" t="str">
        <f t="shared" si="26"/>
        <v>'2023'!$N$2:$W$2</v>
      </c>
    </row>
    <row r="548" spans="1:15" x14ac:dyDescent="0.3">
      <c r="A548">
        <v>42</v>
      </c>
      <c r="B548" s="9">
        <v>2023</v>
      </c>
      <c r="C548" t="s">
        <v>41</v>
      </c>
      <c r="D548" s="11" cm="1">
        <f t="array" aca="1" ref="D548" ca="1">INDEX(INDIRECT($M548),
       MATCH(TRIM($C548), TRIM(INDIRECT($N548)), 0),
       MATCH(TRIM(D$2), TRIM(INDIRECT($O548)), 0))</f>
        <v>4</v>
      </c>
      <c r="E548" s="9" t="e" cm="1">
        <f t="array" aca="1" ref="E548" ca="1">INDEX(INDIRECT($M548),
       MATCH(TRIM($C548), TRIM(INDIRECT($N548)), 0),
       MATCH(TRIM(E$2), TRIM(INDIRECT($O548)), 0))</f>
        <v>#N/A</v>
      </c>
      <c r="F548" s="11" cm="1">
        <f t="array" aca="1" ref="F548" ca="1">INDEX(INDIRECT($M548),
       MATCH(TRIM($C548), TRIM(INDIRECT($N548)), 0),
       MATCH(TRIM(F$2), TRIM(INDIRECT($O548)), 0))</f>
        <v>73.746343999999993</v>
      </c>
      <c r="G548" s="11" cm="1">
        <f t="array" aca="1" ref="G548" ca="1">INDEX(INDIRECT($M548),
       MATCH(TRIM($C548), TRIM(INDIRECT($N548)), 0),
       MATCH(TRIM(G$2), TRIM(INDIRECT($O548)), 0))</f>
        <v>0</v>
      </c>
      <c r="H548" s="9" t="e" cm="1">
        <f t="array" aca="1" ref="H548" ca="1">INDEX(INDIRECT($M548),
       MATCH(TRIM($C548), TRIM(INDIRECT($N548)), 0),
       MATCH(TRIM(H$2), TRIM(INDIRECT($O548)), 0))</f>
        <v>#N/A</v>
      </c>
      <c r="I548" s="11" cm="1">
        <f t="array" aca="1" ref="I548" ca="1">INDEX(INDIRECT($M548),
       MATCH(TRIM($C548), TRIM(INDIRECT($N548)), 0),
       MATCH(TRIM(I$2), TRIM(INDIRECT($O548)), 0))</f>
        <v>0</v>
      </c>
      <c r="J548" s="9" cm="1">
        <f t="array" aca="1" ref="J548" ca="1">INDEX(INDIRECT($M548),
       MATCH(TRIM($C548), TRIM(INDIRECT($N548)), 0),
       MATCH(TRIM(J$2), TRIM(INDIRECT($O548)), 0))</f>
        <v>0</v>
      </c>
      <c r="K548" s="11" cm="1">
        <f t="array" aca="1" ref="K548" ca="1">INDEX(INDIRECT($M548),
       MATCH(TRIM($C548), TRIM(INDIRECT($N548)), 0),
       MATCH(TRIM(K$2), TRIM(INDIRECT($O548)), 0))</f>
        <v>0</v>
      </c>
      <c r="L548" s="11" cm="1">
        <f t="array" aca="1" ref="L548" ca="1">INDEX(INDIRECT($M548),
       MATCH(TRIM($C548), TRIM(INDIRECT($N548)), 0),
       MATCH(TRIM(L$2), TRIM(INDIRECT($O548)), 0))</f>
        <v>73.746343999999993</v>
      </c>
      <c r="M548" s="5" t="str">
        <f t="shared" si="24"/>
        <v>'2023'!$N$3:$V$80</v>
      </c>
      <c r="N548" s="5" t="str">
        <f t="shared" si="25"/>
        <v>'2023'!$M$2:$M$80</v>
      </c>
      <c r="O548" s="5" t="str">
        <f t="shared" si="26"/>
        <v>'2023'!$N$2:$W$2</v>
      </c>
    </row>
    <row r="549" spans="1:15" x14ac:dyDescent="0.3">
      <c r="A549">
        <v>43</v>
      </c>
      <c r="B549" s="9">
        <v>2023</v>
      </c>
      <c r="C549" t="s">
        <v>42</v>
      </c>
      <c r="D549" s="11" cm="1">
        <f t="array" aca="1" ref="D549" ca="1">INDEX(INDIRECT($M549),
       MATCH(TRIM($C549), TRIM(INDIRECT($N549)), 0),
       MATCH(TRIM(D$2), TRIM(INDIRECT($O549)), 0))</f>
        <v>2</v>
      </c>
      <c r="E549" s="9" t="e" cm="1">
        <f t="array" aca="1" ref="E549" ca="1">INDEX(INDIRECT($M549),
       MATCH(TRIM($C549), TRIM(INDIRECT($N549)), 0),
       MATCH(TRIM(E$2), TRIM(INDIRECT($O549)), 0))</f>
        <v>#N/A</v>
      </c>
      <c r="F549" s="11" cm="1">
        <f t="array" aca="1" ref="F549" ca="1">INDEX(INDIRECT($M549),
       MATCH(TRIM($C549), TRIM(INDIRECT($N549)), 0),
       MATCH(TRIM(F$2), TRIM(INDIRECT($O549)), 0))</f>
        <v>1.421527</v>
      </c>
      <c r="G549" s="11" cm="1">
        <f t="array" aca="1" ref="G549" ca="1">INDEX(INDIRECT($M549),
       MATCH(TRIM($C549), TRIM(INDIRECT($N549)), 0),
       MATCH(TRIM(G$2), TRIM(INDIRECT($O549)), 0))</f>
        <v>1</v>
      </c>
      <c r="H549" s="9" t="e" cm="1">
        <f t="array" aca="1" ref="H549" ca="1">INDEX(INDIRECT($M549),
       MATCH(TRIM($C549), TRIM(INDIRECT($N549)), 0),
       MATCH(TRIM(H$2), TRIM(INDIRECT($O549)), 0))</f>
        <v>#N/A</v>
      </c>
      <c r="I549" s="11" cm="1">
        <f t="array" aca="1" ref="I549" ca="1">INDEX(INDIRECT($M549),
       MATCH(TRIM($C549), TRIM(INDIRECT($N549)), 0),
       MATCH(TRIM(I$2), TRIM(INDIRECT($O549)), 0))</f>
        <v>0.1</v>
      </c>
      <c r="J549" s="9" cm="1">
        <f t="array" aca="1" ref="J549" ca="1">INDEX(INDIRECT($M549),
       MATCH(TRIM($C549), TRIM(INDIRECT($N549)), 0),
       MATCH(TRIM(J$2), TRIM(INDIRECT($O549)), 0))</f>
        <v>15</v>
      </c>
      <c r="K549" s="11" cm="1">
        <f t="array" aca="1" ref="K549" ca="1">INDEX(INDIRECT($M549),
       MATCH(TRIM($C549), TRIM(INDIRECT($N549)), 0),
       MATCH(TRIM(K$2), TRIM(INDIRECT($O549)), 0))</f>
        <v>11.25961835</v>
      </c>
      <c r="L549" s="11" cm="1">
        <f t="array" aca="1" ref="L549" ca="1">INDEX(INDIRECT($M549),
       MATCH(TRIM($C549), TRIM(INDIRECT($N549)), 0),
       MATCH(TRIM(L$2), TRIM(INDIRECT($O549)), 0))</f>
        <v>12.781145350000001</v>
      </c>
      <c r="M549" s="5" t="str">
        <f t="shared" si="24"/>
        <v>'2023'!$N$3:$V$80</v>
      </c>
      <c r="N549" s="5" t="str">
        <f t="shared" si="25"/>
        <v>'2023'!$M$2:$M$80</v>
      </c>
      <c r="O549" s="5" t="str">
        <f t="shared" si="26"/>
        <v>'2023'!$N$2:$W$2</v>
      </c>
    </row>
    <row r="550" spans="1:15" x14ac:dyDescent="0.3">
      <c r="A550">
        <v>44</v>
      </c>
      <c r="B550" s="9">
        <v>2023</v>
      </c>
      <c r="C550" t="s">
        <v>43</v>
      </c>
      <c r="D550" s="11" cm="1">
        <f t="array" aca="1" ref="D550" ca="1">INDEX(INDIRECT($M550),
       MATCH(TRIM($C550), TRIM(INDIRECT($N550)), 0),
       MATCH(TRIM(D$2), TRIM(INDIRECT($O550)), 0))</f>
        <v>3</v>
      </c>
      <c r="E550" s="9" t="e" cm="1">
        <f t="array" aca="1" ref="E550" ca="1">INDEX(INDIRECT($M550),
       MATCH(TRIM($C550), TRIM(INDIRECT($N550)), 0),
       MATCH(TRIM(E$2), TRIM(INDIRECT($O550)), 0))</f>
        <v>#N/A</v>
      </c>
      <c r="F550" s="11" cm="1">
        <f t="array" aca="1" ref="F550" ca="1">INDEX(INDIRECT($M550),
       MATCH(TRIM($C550), TRIM(INDIRECT($N550)), 0),
       MATCH(TRIM(F$2), TRIM(INDIRECT($O550)), 0))</f>
        <v>2.6715270000000002</v>
      </c>
      <c r="G550" s="11" cm="1">
        <f t="array" aca="1" ref="G550" ca="1">INDEX(INDIRECT($M550),
       MATCH(TRIM($C550), TRIM(INDIRECT($N550)), 0),
       MATCH(TRIM(G$2), TRIM(INDIRECT($O550)), 0))</f>
        <v>0</v>
      </c>
      <c r="H550" s="9" t="e" cm="1">
        <f t="array" aca="1" ref="H550" ca="1">INDEX(INDIRECT($M550),
       MATCH(TRIM($C550), TRIM(INDIRECT($N550)), 0),
       MATCH(TRIM(H$2), TRIM(INDIRECT($O550)), 0))</f>
        <v>#N/A</v>
      </c>
      <c r="I550" s="11" cm="1">
        <f t="array" aca="1" ref="I550" ca="1">INDEX(INDIRECT($M550),
       MATCH(TRIM($C550), TRIM(INDIRECT($N550)), 0),
       MATCH(TRIM(I$2), TRIM(INDIRECT($O550)), 0))</f>
        <v>0</v>
      </c>
      <c r="J550" s="9" cm="1">
        <f t="array" aca="1" ref="J550" ca="1">INDEX(INDIRECT($M550),
       MATCH(TRIM($C550), TRIM(INDIRECT($N550)), 0),
       MATCH(TRIM(J$2), TRIM(INDIRECT($O550)), 0))</f>
        <v>12</v>
      </c>
      <c r="K550" s="11" cm="1">
        <f t="array" aca="1" ref="K550" ca="1">INDEX(INDIRECT($M550),
       MATCH(TRIM($C550), TRIM(INDIRECT($N550)), 0),
       MATCH(TRIM(K$2), TRIM(INDIRECT($O550)), 0))</f>
        <v>2.4722209300000006</v>
      </c>
      <c r="L550" s="11" cm="1">
        <f t="array" aca="1" ref="L550" ca="1">INDEX(INDIRECT($M550),
       MATCH(TRIM($C550), TRIM(INDIRECT($N550)), 0),
       MATCH(TRIM(L$2), TRIM(INDIRECT($O550)), 0))</f>
        <v>5.1437479300000009</v>
      </c>
      <c r="M550" s="5" t="str">
        <f t="shared" si="24"/>
        <v>'2023'!$N$3:$V$80</v>
      </c>
      <c r="N550" s="5" t="str">
        <f t="shared" si="25"/>
        <v>'2023'!$M$2:$M$80</v>
      </c>
      <c r="O550" s="5" t="str">
        <f t="shared" si="26"/>
        <v>'2023'!$N$2:$W$2</v>
      </c>
    </row>
    <row r="551" spans="1:15" x14ac:dyDescent="0.3">
      <c r="A551">
        <v>45</v>
      </c>
      <c r="B551" s="9">
        <v>2023</v>
      </c>
      <c r="C551" t="s">
        <v>44</v>
      </c>
      <c r="D551" s="11" cm="1">
        <f t="array" aca="1" ref="D551" ca="1">INDEX(INDIRECT($M551),
       MATCH(TRIM($C551), TRIM(INDIRECT($N551)), 0),
       MATCH(TRIM(D$2), TRIM(INDIRECT($O551)), 0))</f>
        <v>2</v>
      </c>
      <c r="E551" s="9" t="e" cm="1">
        <f t="array" aca="1" ref="E551" ca="1">INDEX(INDIRECT($M551),
       MATCH(TRIM($C551), TRIM(INDIRECT($N551)), 0),
       MATCH(TRIM(E$2), TRIM(INDIRECT($O551)), 0))</f>
        <v>#N/A</v>
      </c>
      <c r="F551" s="11" cm="1">
        <f t="array" aca="1" ref="F551" ca="1">INDEX(INDIRECT($M551),
       MATCH(TRIM($C551), TRIM(INDIRECT($N551)), 0),
       MATCH(TRIM(F$2), TRIM(INDIRECT($O551)), 0))</f>
        <v>0.30106383000000003</v>
      </c>
      <c r="G551" s="11" cm="1">
        <f t="array" aca="1" ref="G551" ca="1">INDEX(INDIRECT($M551),
       MATCH(TRIM($C551), TRIM(INDIRECT($N551)), 0),
       MATCH(TRIM(G$2), TRIM(INDIRECT($O551)), 0))</f>
        <v>1</v>
      </c>
      <c r="H551" s="9" t="e" cm="1">
        <f t="array" aca="1" ref="H551" ca="1">INDEX(INDIRECT($M551),
       MATCH(TRIM($C551), TRIM(INDIRECT($N551)), 0),
       MATCH(TRIM(H$2), TRIM(INDIRECT($O551)), 0))</f>
        <v>#N/A</v>
      </c>
      <c r="I551" s="11" cm="1">
        <f t="array" aca="1" ref="I551" ca="1">INDEX(INDIRECT($M551),
       MATCH(TRIM($C551), TRIM(INDIRECT($N551)), 0),
       MATCH(TRIM(I$2), TRIM(INDIRECT($O551)), 0))</f>
        <v>0.3</v>
      </c>
      <c r="J551" s="9" cm="1">
        <f t="array" aca="1" ref="J551" ca="1">INDEX(INDIRECT($M551),
       MATCH(TRIM($C551), TRIM(INDIRECT($N551)), 0),
       MATCH(TRIM(J$2), TRIM(INDIRECT($O551)), 0))</f>
        <v>0</v>
      </c>
      <c r="K551" s="11" cm="1">
        <f t="array" aca="1" ref="K551" ca="1">INDEX(INDIRECT($M551),
       MATCH(TRIM($C551), TRIM(INDIRECT($N551)), 0),
       MATCH(TRIM(K$2), TRIM(INDIRECT($O551)), 0))</f>
        <v>0</v>
      </c>
      <c r="L551" s="11" cm="1">
        <f t="array" aca="1" ref="L551" ca="1">INDEX(INDIRECT($M551),
       MATCH(TRIM($C551), TRIM(INDIRECT($N551)), 0),
       MATCH(TRIM(L$2), TRIM(INDIRECT($O551)), 0))</f>
        <v>0.60106382999999997</v>
      </c>
      <c r="M551" s="5" t="str">
        <f t="shared" si="24"/>
        <v>'2023'!$N$3:$V$80</v>
      </c>
      <c r="N551" s="5" t="str">
        <f t="shared" si="25"/>
        <v>'2023'!$M$2:$M$80</v>
      </c>
      <c r="O551" s="5" t="str">
        <f t="shared" si="26"/>
        <v>'2023'!$N$2:$W$2</v>
      </c>
    </row>
    <row r="552" spans="1:15" x14ac:dyDescent="0.3">
      <c r="A552">
        <v>46</v>
      </c>
      <c r="B552" s="9">
        <v>2023</v>
      </c>
      <c r="C552" t="s">
        <v>45</v>
      </c>
      <c r="D552" s="11" cm="1">
        <f t="array" aca="1" ref="D552" ca="1">INDEX(INDIRECT($M552),
       MATCH(TRIM($C552), TRIM(INDIRECT($N552)), 0),
       MATCH(TRIM(D$2), TRIM(INDIRECT($O552)), 0))</f>
        <v>2</v>
      </c>
      <c r="E552" s="9" t="e" cm="1">
        <f t="array" aca="1" ref="E552" ca="1">INDEX(INDIRECT($M552),
       MATCH(TRIM($C552), TRIM(INDIRECT($N552)), 0),
       MATCH(TRIM(E$2), TRIM(INDIRECT($O552)), 0))</f>
        <v>#N/A</v>
      </c>
      <c r="F552" s="11" cm="1">
        <f t="array" aca="1" ref="F552" ca="1">INDEX(INDIRECT($M552),
       MATCH(TRIM($C552), TRIM(INDIRECT($N552)), 0),
       MATCH(TRIM(F$2), TRIM(INDIRECT($O552)), 0))</f>
        <v>20.71</v>
      </c>
      <c r="G552" s="11" cm="1">
        <f t="array" aca="1" ref="G552" ca="1">INDEX(INDIRECT($M552),
       MATCH(TRIM($C552), TRIM(INDIRECT($N552)), 0),
       MATCH(TRIM(G$2), TRIM(INDIRECT($O552)), 0))</f>
        <v>0</v>
      </c>
      <c r="H552" s="9" t="e" cm="1">
        <f t="array" aca="1" ref="H552" ca="1">INDEX(INDIRECT($M552),
       MATCH(TRIM($C552), TRIM(INDIRECT($N552)), 0),
       MATCH(TRIM(H$2), TRIM(INDIRECT($O552)), 0))</f>
        <v>#N/A</v>
      </c>
      <c r="I552" s="11" cm="1">
        <f t="array" aca="1" ref="I552" ca="1">INDEX(INDIRECT($M552),
       MATCH(TRIM($C552), TRIM(INDIRECT($N552)), 0),
       MATCH(TRIM(I$2), TRIM(INDIRECT($O552)), 0))</f>
        <v>0</v>
      </c>
      <c r="J552" s="9" cm="1">
        <f t="array" aca="1" ref="J552" ca="1">INDEX(INDIRECT($M552),
       MATCH(TRIM($C552), TRIM(INDIRECT($N552)), 0),
       MATCH(TRIM(J$2), TRIM(INDIRECT($O552)), 0))</f>
        <v>2</v>
      </c>
      <c r="K552" s="11" cm="1">
        <f t="array" aca="1" ref="K552" ca="1">INDEX(INDIRECT($M552),
       MATCH(TRIM($C552), TRIM(INDIRECT($N552)), 0),
       MATCH(TRIM(K$2), TRIM(INDIRECT($O552)), 0))</f>
        <v>0.117045</v>
      </c>
      <c r="L552" s="11" cm="1">
        <f t="array" aca="1" ref="L552" ca="1">INDEX(INDIRECT($M552),
       MATCH(TRIM($C552), TRIM(INDIRECT($N552)), 0),
       MATCH(TRIM(L$2), TRIM(INDIRECT($O552)), 0))</f>
        <v>20.827045000000002</v>
      </c>
      <c r="M552" s="5" t="str">
        <f t="shared" si="24"/>
        <v>'2023'!$N$3:$V$80</v>
      </c>
      <c r="N552" s="5" t="str">
        <f t="shared" si="25"/>
        <v>'2023'!$M$2:$M$80</v>
      </c>
      <c r="O552" s="5" t="str">
        <f t="shared" si="26"/>
        <v>'2023'!$N$2:$W$2</v>
      </c>
    </row>
    <row r="553" spans="1:15" x14ac:dyDescent="0.3">
      <c r="A553">
        <v>47</v>
      </c>
      <c r="B553" s="9">
        <v>2023</v>
      </c>
      <c r="C553" t="s">
        <v>46</v>
      </c>
      <c r="D553" s="11" cm="1">
        <f t="array" aca="1" ref="D553" ca="1">INDEX(INDIRECT($M553),
       MATCH(TRIM($C553), TRIM(INDIRECT($N553)), 0),
       MATCH(TRIM(D$2), TRIM(INDIRECT($O553)), 0))</f>
        <v>0</v>
      </c>
      <c r="E553" s="9" t="e" cm="1">
        <f t="array" aca="1" ref="E553" ca="1">INDEX(INDIRECT($M553),
       MATCH(TRIM($C553), TRIM(INDIRECT($N553)), 0),
       MATCH(TRIM(E$2), TRIM(INDIRECT($O553)), 0))</f>
        <v>#N/A</v>
      </c>
      <c r="F553" s="11" cm="1">
        <f t="array" aca="1" ref="F553" ca="1">INDEX(INDIRECT($M553),
       MATCH(TRIM($C553), TRIM(INDIRECT($N553)), 0),
       MATCH(TRIM(F$2), TRIM(INDIRECT($O553)), 0))</f>
        <v>0</v>
      </c>
      <c r="G553" s="11" cm="1">
        <f t="array" aca="1" ref="G553" ca="1">INDEX(INDIRECT($M553),
       MATCH(TRIM($C553), TRIM(INDIRECT($N553)), 0),
       MATCH(TRIM(G$2), TRIM(INDIRECT($O553)), 0))</f>
        <v>0</v>
      </c>
      <c r="H553" s="9" t="e" cm="1">
        <f t="array" aca="1" ref="H553" ca="1">INDEX(INDIRECT($M553),
       MATCH(TRIM($C553), TRIM(INDIRECT($N553)), 0),
       MATCH(TRIM(H$2), TRIM(INDIRECT($O553)), 0))</f>
        <v>#N/A</v>
      </c>
      <c r="I553" s="11" cm="1">
        <f t="array" aca="1" ref="I553" ca="1">INDEX(INDIRECT($M553),
       MATCH(TRIM($C553), TRIM(INDIRECT($N553)), 0),
       MATCH(TRIM(I$2), TRIM(INDIRECT($O553)), 0))</f>
        <v>0</v>
      </c>
      <c r="J553" s="9" cm="1">
        <f t="array" aca="1" ref="J553" ca="1">INDEX(INDIRECT($M553),
       MATCH(TRIM($C553), TRIM(INDIRECT($N553)), 0),
       MATCH(TRIM(J$2), TRIM(INDIRECT($O553)), 0))</f>
        <v>2</v>
      </c>
      <c r="K553" s="11" cm="1">
        <f t="array" aca="1" ref="K553" ca="1">INDEX(INDIRECT($M553),
       MATCH(TRIM($C553), TRIM(INDIRECT($N553)), 0),
       MATCH(TRIM(K$2), TRIM(INDIRECT($O553)), 0))</f>
        <v>0.47383472999999998</v>
      </c>
      <c r="L553" s="11" cm="1">
        <f t="array" aca="1" ref="L553" ca="1">INDEX(INDIRECT($M553),
       MATCH(TRIM($C553), TRIM(INDIRECT($N553)), 0),
       MATCH(TRIM(L$2), TRIM(INDIRECT($O553)), 0))</f>
        <v>0.47383472999999998</v>
      </c>
      <c r="M553" s="5" t="str">
        <f t="shared" si="24"/>
        <v>'2023'!$N$3:$V$80</v>
      </c>
      <c r="N553" s="5" t="str">
        <f t="shared" si="25"/>
        <v>'2023'!$M$2:$M$80</v>
      </c>
      <c r="O553" s="5" t="str">
        <f t="shared" si="26"/>
        <v>'2023'!$N$2:$W$2</v>
      </c>
    </row>
    <row r="554" spans="1:15" x14ac:dyDescent="0.3">
      <c r="A554">
        <v>48</v>
      </c>
      <c r="B554" s="9">
        <v>2023</v>
      </c>
      <c r="C554" t="s">
        <v>47</v>
      </c>
      <c r="D554" s="11" cm="1">
        <f t="array" aca="1" ref="D554" ca="1">INDEX(INDIRECT($M554),
       MATCH(TRIM($C554), TRIM(INDIRECT($N554)), 0),
       MATCH(TRIM(D$2), TRIM(INDIRECT($O554)), 0))</f>
        <v>2</v>
      </c>
      <c r="E554" s="9" t="e" cm="1">
        <f t="array" aca="1" ref="E554" ca="1">INDEX(INDIRECT($M554),
       MATCH(TRIM($C554), TRIM(INDIRECT($N554)), 0),
       MATCH(TRIM(E$2), TRIM(INDIRECT($O554)), 0))</f>
        <v>#N/A</v>
      </c>
      <c r="F554" s="11" cm="1">
        <f t="array" aca="1" ref="F554" ca="1">INDEX(INDIRECT($M554),
       MATCH(TRIM($C554), TRIM(INDIRECT($N554)), 0),
       MATCH(TRIM(F$2), TRIM(INDIRECT($O554)), 0))</f>
        <v>31.616689999999998</v>
      </c>
      <c r="G554" s="11" cm="1">
        <f t="array" aca="1" ref="G554" ca="1">INDEX(INDIRECT($M554),
       MATCH(TRIM($C554), TRIM(INDIRECT($N554)), 0),
       MATCH(TRIM(G$2), TRIM(INDIRECT($O554)), 0))</f>
        <v>1</v>
      </c>
      <c r="H554" s="9" t="e" cm="1">
        <f t="array" aca="1" ref="H554" ca="1">INDEX(INDIRECT($M554),
       MATCH(TRIM($C554), TRIM(INDIRECT($N554)), 0),
       MATCH(TRIM(H$2), TRIM(INDIRECT($O554)), 0))</f>
        <v>#N/A</v>
      </c>
      <c r="I554" s="11" cm="1">
        <f t="array" aca="1" ref="I554" ca="1">INDEX(INDIRECT($M554),
       MATCH(TRIM($C554), TRIM(INDIRECT($N554)), 0),
       MATCH(TRIM(I$2), TRIM(INDIRECT($O554)), 0))</f>
        <v>2</v>
      </c>
      <c r="J554" s="9" cm="1">
        <f t="array" aca="1" ref="J554" ca="1">INDEX(INDIRECT($M554),
       MATCH(TRIM($C554), TRIM(INDIRECT($N554)), 0),
       MATCH(TRIM(J$2), TRIM(INDIRECT($O554)), 0))</f>
        <v>7</v>
      </c>
      <c r="K554" s="11" cm="1">
        <f t="array" aca="1" ref="K554" ca="1">INDEX(INDIRECT($M554),
       MATCH(TRIM($C554), TRIM(INDIRECT($N554)), 0),
       MATCH(TRIM(K$2), TRIM(INDIRECT($O554)), 0))</f>
        <v>2.0558077400000001</v>
      </c>
      <c r="L554" s="11" cm="1">
        <f t="array" aca="1" ref="L554" ca="1">INDEX(INDIRECT($M554),
       MATCH(TRIM($C554), TRIM(INDIRECT($N554)), 0),
       MATCH(TRIM(L$2), TRIM(INDIRECT($O554)), 0))</f>
        <v>35.672497739999997</v>
      </c>
      <c r="M554" s="5" t="str">
        <f t="shared" si="24"/>
        <v>'2023'!$N$3:$V$80</v>
      </c>
      <c r="N554" s="5" t="str">
        <f t="shared" si="25"/>
        <v>'2023'!$M$2:$M$80</v>
      </c>
      <c r="O554" s="5" t="str">
        <f t="shared" si="26"/>
        <v>'2023'!$N$2:$W$2</v>
      </c>
    </row>
    <row r="555" spans="1:15" x14ac:dyDescent="0.3">
      <c r="A555">
        <v>49</v>
      </c>
      <c r="B555" s="9">
        <v>2023</v>
      </c>
      <c r="C555" t="s">
        <v>48</v>
      </c>
      <c r="D555" s="11" t="e" cm="1">
        <f t="array" aca="1" ref="D555" ca="1">INDEX(INDIRECT($M555),
       MATCH(TRIM($C555), TRIM(INDIRECT($N555)), 0),
       MATCH(TRIM(D$2), TRIM(INDIRECT($O555)), 0))</f>
        <v>#N/A</v>
      </c>
      <c r="E555" s="9" t="e" cm="1">
        <f t="array" aca="1" ref="E555" ca="1">INDEX(INDIRECT($M555),
       MATCH(TRIM($C555), TRIM(INDIRECT($N555)), 0),
       MATCH(TRIM(E$2), TRIM(INDIRECT($O555)), 0))</f>
        <v>#N/A</v>
      </c>
      <c r="F555" s="11" t="e" cm="1">
        <f t="array" aca="1" ref="F555" ca="1">INDEX(INDIRECT($M555),
       MATCH(TRIM($C555), TRIM(INDIRECT($N555)), 0),
       MATCH(TRIM(F$2), TRIM(INDIRECT($O555)), 0))</f>
        <v>#N/A</v>
      </c>
      <c r="G555" s="11" t="e" cm="1">
        <f t="array" aca="1" ref="G555" ca="1">INDEX(INDIRECT($M555),
       MATCH(TRIM($C555), TRIM(INDIRECT($N555)), 0),
       MATCH(TRIM(G$2), TRIM(INDIRECT($O555)), 0))</f>
        <v>#N/A</v>
      </c>
      <c r="H555" s="9" t="e" cm="1">
        <f t="array" aca="1" ref="H555" ca="1">INDEX(INDIRECT($M555),
       MATCH(TRIM($C555), TRIM(INDIRECT($N555)), 0),
       MATCH(TRIM(H$2), TRIM(INDIRECT($O555)), 0))</f>
        <v>#N/A</v>
      </c>
      <c r="I555" s="11" t="e" cm="1">
        <f t="array" aca="1" ref="I555" ca="1">INDEX(INDIRECT($M555),
       MATCH(TRIM($C555), TRIM(INDIRECT($N555)), 0),
       MATCH(TRIM(I$2), TRIM(INDIRECT($O555)), 0))</f>
        <v>#N/A</v>
      </c>
      <c r="J555" s="9" t="e" cm="1">
        <f t="array" aca="1" ref="J555" ca="1">INDEX(INDIRECT($M555),
       MATCH(TRIM($C555), TRIM(INDIRECT($N555)), 0),
       MATCH(TRIM(J$2), TRIM(INDIRECT($O555)), 0))</f>
        <v>#N/A</v>
      </c>
      <c r="K555" s="11" t="e" cm="1">
        <f t="array" aca="1" ref="K555" ca="1">INDEX(INDIRECT($M555),
       MATCH(TRIM($C555), TRIM(INDIRECT($N555)), 0),
       MATCH(TRIM(K$2), TRIM(INDIRECT($O555)), 0))</f>
        <v>#N/A</v>
      </c>
      <c r="L555" s="11" t="e" cm="1">
        <f t="array" aca="1" ref="L555" ca="1">INDEX(INDIRECT($M555),
       MATCH(TRIM($C555), TRIM(INDIRECT($N555)), 0),
       MATCH(TRIM(L$2), TRIM(INDIRECT($O555)), 0))</f>
        <v>#N/A</v>
      </c>
      <c r="M555" s="5" t="str">
        <f t="shared" si="24"/>
        <v>'2023'!$N$3:$V$80</v>
      </c>
      <c r="N555" s="5" t="str">
        <f t="shared" si="25"/>
        <v>'2023'!$M$2:$M$80</v>
      </c>
      <c r="O555" s="5" t="str">
        <f t="shared" si="26"/>
        <v>'2023'!$N$2:$W$2</v>
      </c>
    </row>
    <row r="556" spans="1:15" x14ac:dyDescent="0.3">
      <c r="A556">
        <v>50</v>
      </c>
      <c r="B556" s="9">
        <v>2023</v>
      </c>
      <c r="C556" t="s">
        <v>49</v>
      </c>
      <c r="D556" s="11" cm="1">
        <f t="array" aca="1" ref="D556" ca="1">INDEX(INDIRECT($M556),
       MATCH(TRIM($C556), TRIM(INDIRECT($N556)), 0),
       MATCH(TRIM(D$2), TRIM(INDIRECT($O556)), 0))</f>
        <v>1</v>
      </c>
      <c r="E556" s="9" t="e" cm="1">
        <f t="array" aca="1" ref="E556" ca="1">INDEX(INDIRECT($M556),
       MATCH(TRIM($C556), TRIM(INDIRECT($N556)), 0),
       MATCH(TRIM(E$2), TRIM(INDIRECT($O556)), 0))</f>
        <v>#N/A</v>
      </c>
      <c r="F556" s="11" cm="1">
        <f t="array" aca="1" ref="F556" ca="1">INDEX(INDIRECT($M556),
       MATCH(TRIM($C556), TRIM(INDIRECT($N556)), 0),
       MATCH(TRIM(F$2), TRIM(INDIRECT($O556)), 0))</f>
        <v>25</v>
      </c>
      <c r="G556" s="11" cm="1">
        <f t="array" aca="1" ref="G556" ca="1">INDEX(INDIRECT($M556),
       MATCH(TRIM($C556), TRIM(INDIRECT($N556)), 0),
       MATCH(TRIM(G$2), TRIM(INDIRECT($O556)), 0))</f>
        <v>0</v>
      </c>
      <c r="H556" s="9" t="e" cm="1">
        <f t="array" aca="1" ref="H556" ca="1">INDEX(INDIRECT($M556),
       MATCH(TRIM($C556), TRIM(INDIRECT($N556)), 0),
       MATCH(TRIM(H$2), TRIM(INDIRECT($O556)), 0))</f>
        <v>#N/A</v>
      </c>
      <c r="I556" s="11" cm="1">
        <f t="array" aca="1" ref="I556" ca="1">INDEX(INDIRECT($M556),
       MATCH(TRIM($C556), TRIM(INDIRECT($N556)), 0),
       MATCH(TRIM(I$2), TRIM(INDIRECT($O556)), 0))</f>
        <v>0</v>
      </c>
      <c r="J556" s="9" cm="1">
        <f t="array" aca="1" ref="J556" ca="1">INDEX(INDIRECT($M556),
       MATCH(TRIM($C556), TRIM(INDIRECT($N556)), 0),
       MATCH(TRIM(J$2), TRIM(INDIRECT($O556)), 0))</f>
        <v>0</v>
      </c>
      <c r="K556" s="11" cm="1">
        <f t="array" aca="1" ref="K556" ca="1">INDEX(INDIRECT($M556),
       MATCH(TRIM($C556), TRIM(INDIRECT($N556)), 0),
       MATCH(TRIM(K$2), TRIM(INDIRECT($O556)), 0))</f>
        <v>0</v>
      </c>
      <c r="L556" s="11" cm="1">
        <f t="array" aca="1" ref="L556" ca="1">INDEX(INDIRECT($M556),
       MATCH(TRIM($C556), TRIM(INDIRECT($N556)), 0),
       MATCH(TRIM(L$2), TRIM(INDIRECT($O556)), 0))</f>
        <v>25</v>
      </c>
      <c r="M556" s="5" t="str">
        <f t="shared" si="24"/>
        <v>'2023'!$N$3:$V$80</v>
      </c>
      <c r="N556" s="5" t="str">
        <f t="shared" si="25"/>
        <v>'2023'!$M$2:$M$80</v>
      </c>
      <c r="O556" s="5" t="str">
        <f t="shared" si="26"/>
        <v>'2023'!$N$2:$W$2</v>
      </c>
    </row>
    <row r="557" spans="1:15" x14ac:dyDescent="0.3">
      <c r="A557">
        <v>51</v>
      </c>
      <c r="B557" s="9">
        <v>2023</v>
      </c>
      <c r="C557" t="s">
        <v>50</v>
      </c>
      <c r="D557" s="11" cm="1">
        <f t="array" aca="1" ref="D557" ca="1">INDEX(INDIRECT($M557),
       MATCH(TRIM($C557), TRIM(INDIRECT($N557)), 0),
       MATCH(TRIM(D$2), TRIM(INDIRECT($O557)), 0))</f>
        <v>2</v>
      </c>
      <c r="E557" s="9" t="e" cm="1">
        <f t="array" aca="1" ref="E557" ca="1">INDEX(INDIRECT($M557),
       MATCH(TRIM($C557), TRIM(INDIRECT($N557)), 0),
       MATCH(TRIM(E$2), TRIM(INDIRECT($O557)), 0))</f>
        <v>#N/A</v>
      </c>
      <c r="F557" s="11" cm="1">
        <f t="array" aca="1" ref="F557" ca="1">INDEX(INDIRECT($M557),
       MATCH(TRIM($C557), TRIM(INDIRECT($N557)), 0),
       MATCH(TRIM(F$2), TRIM(INDIRECT($O557)), 0))</f>
        <v>44.313256000000003</v>
      </c>
      <c r="G557" s="11" cm="1">
        <f t="array" aca="1" ref="G557" ca="1">INDEX(INDIRECT($M557),
       MATCH(TRIM($C557), TRIM(INDIRECT($N557)), 0),
       MATCH(TRIM(G$2), TRIM(INDIRECT($O557)), 0))</f>
        <v>2</v>
      </c>
      <c r="H557" s="9" t="e" cm="1">
        <f t="array" aca="1" ref="H557" ca="1">INDEX(INDIRECT($M557),
       MATCH(TRIM($C557), TRIM(INDIRECT($N557)), 0),
       MATCH(TRIM(H$2), TRIM(INDIRECT($O557)), 0))</f>
        <v>#N/A</v>
      </c>
      <c r="I557" s="11" cm="1">
        <f t="array" aca="1" ref="I557" ca="1">INDEX(INDIRECT($M557),
       MATCH(TRIM($C557), TRIM(INDIRECT($N557)), 0),
       MATCH(TRIM(I$2), TRIM(INDIRECT($O557)), 0))</f>
        <v>10.892794</v>
      </c>
      <c r="J557" s="9" cm="1">
        <f t="array" aca="1" ref="J557" ca="1">INDEX(INDIRECT($M557),
       MATCH(TRIM($C557), TRIM(INDIRECT($N557)), 0),
       MATCH(TRIM(J$2), TRIM(INDIRECT($O557)), 0))</f>
        <v>8</v>
      </c>
      <c r="K557" s="11" cm="1">
        <f t="array" aca="1" ref="K557" ca="1">INDEX(INDIRECT($M557),
       MATCH(TRIM($C557), TRIM(INDIRECT($N557)), 0),
       MATCH(TRIM(K$2), TRIM(INDIRECT($O557)), 0))</f>
        <v>6.5300630000000002</v>
      </c>
      <c r="L557" s="11" cm="1">
        <f t="array" aca="1" ref="L557" ca="1">INDEX(INDIRECT($M557),
       MATCH(TRIM($C557), TRIM(INDIRECT($N557)), 0),
       MATCH(TRIM(L$2), TRIM(INDIRECT($O557)), 0))</f>
        <v>61.736113000000003</v>
      </c>
      <c r="M557" s="5" t="str">
        <f t="shared" si="24"/>
        <v>'2023'!$N$3:$V$80</v>
      </c>
      <c r="N557" s="5" t="str">
        <f t="shared" si="25"/>
        <v>'2023'!$M$2:$M$80</v>
      </c>
      <c r="O557" s="5" t="str">
        <f t="shared" si="26"/>
        <v>'2023'!$N$2:$W$2</v>
      </c>
    </row>
    <row r="558" spans="1:15" x14ac:dyDescent="0.3">
      <c r="A558">
        <v>52</v>
      </c>
      <c r="B558" s="9">
        <v>2023</v>
      </c>
      <c r="C558" t="s">
        <v>51</v>
      </c>
      <c r="D558" s="11" cm="1">
        <f t="array" aca="1" ref="D558" ca="1">INDEX(INDIRECT($M558),
       MATCH(TRIM($C558), TRIM(INDIRECT($N558)), 0),
       MATCH(TRIM(D$2), TRIM(INDIRECT($O558)), 0))</f>
        <v>0</v>
      </c>
      <c r="E558" s="9" t="e" cm="1">
        <f t="array" aca="1" ref="E558" ca="1">INDEX(INDIRECT($M558),
       MATCH(TRIM($C558), TRIM(INDIRECT($N558)), 0),
       MATCH(TRIM(E$2), TRIM(INDIRECT($O558)), 0))</f>
        <v>#N/A</v>
      </c>
      <c r="F558" s="11" cm="1">
        <f t="array" aca="1" ref="F558" ca="1">INDEX(INDIRECT($M558),
       MATCH(TRIM($C558), TRIM(INDIRECT($N558)), 0),
       MATCH(TRIM(F$2), TRIM(INDIRECT($O558)), 0))</f>
        <v>0</v>
      </c>
      <c r="G558" s="11" cm="1">
        <f t="array" aca="1" ref="G558" ca="1">INDEX(INDIRECT($M558),
       MATCH(TRIM($C558), TRIM(INDIRECT($N558)), 0),
       MATCH(TRIM(G$2), TRIM(INDIRECT($O558)), 0))</f>
        <v>0</v>
      </c>
      <c r="H558" s="9" t="e" cm="1">
        <f t="array" aca="1" ref="H558" ca="1">INDEX(INDIRECT($M558),
       MATCH(TRIM($C558), TRIM(INDIRECT($N558)), 0),
       MATCH(TRIM(H$2), TRIM(INDIRECT($O558)), 0))</f>
        <v>#N/A</v>
      </c>
      <c r="I558" s="11" cm="1">
        <f t="array" aca="1" ref="I558" ca="1">INDEX(INDIRECT($M558),
       MATCH(TRIM($C558), TRIM(INDIRECT($N558)), 0),
       MATCH(TRIM(I$2), TRIM(INDIRECT($O558)), 0))</f>
        <v>0</v>
      </c>
      <c r="J558" s="9" cm="1">
        <f t="array" aca="1" ref="J558" ca="1">INDEX(INDIRECT($M558),
       MATCH(TRIM($C558), TRIM(INDIRECT($N558)), 0),
       MATCH(TRIM(J$2), TRIM(INDIRECT($O558)), 0))</f>
        <v>1</v>
      </c>
      <c r="K558" s="11" cm="1">
        <f t="array" aca="1" ref="K558" ca="1">INDEX(INDIRECT($M558),
       MATCH(TRIM($C558), TRIM(INDIRECT($N558)), 0),
       MATCH(TRIM(K$2), TRIM(INDIRECT($O558)), 0))</f>
        <v>10.101756460000001</v>
      </c>
      <c r="L558" s="11" cm="1">
        <f t="array" aca="1" ref="L558" ca="1">INDEX(INDIRECT($M558),
       MATCH(TRIM($C558), TRIM(INDIRECT($N558)), 0),
       MATCH(TRIM(L$2), TRIM(INDIRECT($O558)), 0))</f>
        <v>10.101756460000001</v>
      </c>
      <c r="M558" s="5" t="str">
        <f t="shared" si="24"/>
        <v>'2023'!$N$3:$V$80</v>
      </c>
      <c r="N558" s="5" t="str">
        <f t="shared" si="25"/>
        <v>'2023'!$M$2:$M$80</v>
      </c>
      <c r="O558" s="5" t="str">
        <f t="shared" si="26"/>
        <v>'2023'!$N$2:$W$2</v>
      </c>
    </row>
    <row r="559" spans="1:15" x14ac:dyDescent="0.3">
      <c r="A559">
        <v>53</v>
      </c>
      <c r="B559" s="9">
        <v>2023</v>
      </c>
      <c r="C559" t="s">
        <v>52</v>
      </c>
      <c r="D559" s="11" t="e" cm="1">
        <f t="array" aca="1" ref="D559" ca="1">INDEX(INDIRECT($M559),
       MATCH(TRIM($C559), TRIM(INDIRECT($N559)), 0),
       MATCH(TRIM(D$2), TRIM(INDIRECT($O559)), 0))</f>
        <v>#N/A</v>
      </c>
      <c r="E559" s="9" t="e" cm="1">
        <f t="array" aca="1" ref="E559" ca="1">INDEX(INDIRECT($M559),
       MATCH(TRIM($C559), TRIM(INDIRECT($N559)), 0),
       MATCH(TRIM(E$2), TRIM(INDIRECT($O559)), 0))</f>
        <v>#N/A</v>
      </c>
      <c r="F559" s="11" t="e" cm="1">
        <f t="array" aca="1" ref="F559" ca="1">INDEX(INDIRECT($M559),
       MATCH(TRIM($C559), TRIM(INDIRECT($N559)), 0),
       MATCH(TRIM(F$2), TRIM(INDIRECT($O559)), 0))</f>
        <v>#N/A</v>
      </c>
      <c r="G559" s="11" t="e" cm="1">
        <f t="array" aca="1" ref="G559" ca="1">INDEX(INDIRECT($M559),
       MATCH(TRIM($C559), TRIM(INDIRECT($N559)), 0),
       MATCH(TRIM(G$2), TRIM(INDIRECT($O559)), 0))</f>
        <v>#N/A</v>
      </c>
      <c r="H559" s="9" t="e" cm="1">
        <f t="array" aca="1" ref="H559" ca="1">INDEX(INDIRECT($M559),
       MATCH(TRIM($C559), TRIM(INDIRECT($N559)), 0),
       MATCH(TRIM(H$2), TRIM(INDIRECT($O559)), 0))</f>
        <v>#N/A</v>
      </c>
      <c r="I559" s="11" t="e" cm="1">
        <f t="array" aca="1" ref="I559" ca="1">INDEX(INDIRECT($M559),
       MATCH(TRIM($C559), TRIM(INDIRECT($N559)), 0),
       MATCH(TRIM(I$2), TRIM(INDIRECT($O559)), 0))</f>
        <v>#N/A</v>
      </c>
      <c r="J559" s="9" t="e" cm="1">
        <f t="array" aca="1" ref="J559" ca="1">INDEX(INDIRECT($M559),
       MATCH(TRIM($C559), TRIM(INDIRECT($N559)), 0),
       MATCH(TRIM(J$2), TRIM(INDIRECT($O559)), 0))</f>
        <v>#N/A</v>
      </c>
      <c r="K559" s="11" t="e" cm="1">
        <f t="array" aca="1" ref="K559" ca="1">INDEX(INDIRECT($M559),
       MATCH(TRIM($C559), TRIM(INDIRECT($N559)), 0),
       MATCH(TRIM(K$2), TRIM(INDIRECT($O559)), 0))</f>
        <v>#N/A</v>
      </c>
      <c r="L559" s="11" t="e" cm="1">
        <f t="array" aca="1" ref="L559" ca="1">INDEX(INDIRECT($M559),
       MATCH(TRIM($C559), TRIM(INDIRECT($N559)), 0),
       MATCH(TRIM(L$2), TRIM(INDIRECT($O559)), 0))</f>
        <v>#N/A</v>
      </c>
      <c r="M559" s="5" t="str">
        <f t="shared" si="24"/>
        <v>'2023'!$N$3:$V$80</v>
      </c>
      <c r="N559" s="5" t="str">
        <f t="shared" si="25"/>
        <v>'2023'!$M$2:$M$80</v>
      </c>
      <c r="O559" s="5" t="str">
        <f t="shared" si="26"/>
        <v>'2023'!$N$2:$W$2</v>
      </c>
    </row>
    <row r="560" spans="1:15" x14ac:dyDescent="0.3">
      <c r="A560">
        <v>54</v>
      </c>
      <c r="B560" s="9">
        <v>2023</v>
      </c>
      <c r="C560" t="s">
        <v>53</v>
      </c>
      <c r="D560" s="11" cm="1">
        <f t="array" aca="1" ref="D560" ca="1">INDEX(INDIRECT($M560),
       MATCH(TRIM($C560), TRIM(INDIRECT($N560)), 0),
       MATCH(TRIM(D$2), TRIM(INDIRECT($O560)), 0))</f>
        <v>1</v>
      </c>
      <c r="E560" s="9" t="e" cm="1">
        <f t="array" aca="1" ref="E560" ca="1">INDEX(INDIRECT($M560),
       MATCH(TRIM($C560), TRIM(INDIRECT($N560)), 0),
       MATCH(TRIM(E$2), TRIM(INDIRECT($O560)), 0))</f>
        <v>#N/A</v>
      </c>
      <c r="F560" s="11" cm="1">
        <f t="array" aca="1" ref="F560" ca="1">INDEX(INDIRECT($M560),
       MATCH(TRIM($C560), TRIM(INDIRECT($N560)), 0),
       MATCH(TRIM(F$2), TRIM(INDIRECT($O560)), 0))</f>
        <v>2.1999999999999999E-2</v>
      </c>
      <c r="G560" s="11" cm="1">
        <f t="array" aca="1" ref="G560" ca="1">INDEX(INDIRECT($M560),
       MATCH(TRIM($C560), TRIM(INDIRECT($N560)), 0),
       MATCH(TRIM(G$2), TRIM(INDIRECT($O560)), 0))</f>
        <v>0</v>
      </c>
      <c r="H560" s="9" t="e" cm="1">
        <f t="array" aca="1" ref="H560" ca="1">INDEX(INDIRECT($M560),
       MATCH(TRIM($C560), TRIM(INDIRECT($N560)), 0),
       MATCH(TRIM(H$2), TRIM(INDIRECT($O560)), 0))</f>
        <v>#N/A</v>
      </c>
      <c r="I560" s="11" cm="1">
        <f t="array" aca="1" ref="I560" ca="1">INDEX(INDIRECT($M560),
       MATCH(TRIM($C560), TRIM(INDIRECT($N560)), 0),
       MATCH(TRIM(I$2), TRIM(INDIRECT($O560)), 0))</f>
        <v>0</v>
      </c>
      <c r="J560" s="9" cm="1">
        <f t="array" aca="1" ref="J560" ca="1">INDEX(INDIRECT($M560),
       MATCH(TRIM($C560), TRIM(INDIRECT($N560)), 0),
       MATCH(TRIM(J$2), TRIM(INDIRECT($O560)), 0))</f>
        <v>1</v>
      </c>
      <c r="K560" s="11" cm="1">
        <f t="array" aca="1" ref="K560" ca="1">INDEX(INDIRECT($M560),
       MATCH(TRIM($C560), TRIM(INDIRECT($N560)), 0),
       MATCH(TRIM(K$2), TRIM(INDIRECT($O560)), 0))</f>
        <v>0.14138176000000002</v>
      </c>
      <c r="L560" s="11" cm="1">
        <f t="array" aca="1" ref="L560" ca="1">INDEX(INDIRECT($M560),
       MATCH(TRIM($C560), TRIM(INDIRECT($N560)), 0),
       MATCH(TRIM(L$2), TRIM(INDIRECT($O560)), 0))</f>
        <v>0.16338176000000001</v>
      </c>
      <c r="M560" s="5" t="str">
        <f t="shared" si="24"/>
        <v>'2023'!$N$3:$V$80</v>
      </c>
      <c r="N560" s="5" t="str">
        <f t="shared" si="25"/>
        <v>'2023'!$M$2:$M$80</v>
      </c>
      <c r="O560" s="5" t="str">
        <f t="shared" si="26"/>
        <v>'2023'!$N$2:$W$2</v>
      </c>
    </row>
    <row r="561" spans="1:15" x14ac:dyDescent="0.3">
      <c r="A561">
        <v>55</v>
      </c>
      <c r="B561" s="9">
        <v>2023</v>
      </c>
      <c r="C561" t="s">
        <v>54</v>
      </c>
      <c r="D561" s="11" cm="1">
        <f t="array" aca="1" ref="D561" ca="1">INDEX(INDIRECT($M561),
       MATCH(TRIM($C561), TRIM(INDIRECT($N561)), 0),
       MATCH(TRIM(D$2), TRIM(INDIRECT($O561)), 0))</f>
        <v>0</v>
      </c>
      <c r="E561" s="9" t="e" cm="1">
        <f t="array" aca="1" ref="E561" ca="1">INDEX(INDIRECT($M561),
       MATCH(TRIM($C561), TRIM(INDIRECT($N561)), 0),
       MATCH(TRIM(E$2), TRIM(INDIRECT($O561)), 0))</f>
        <v>#N/A</v>
      </c>
      <c r="F561" s="11" cm="1">
        <f t="array" aca="1" ref="F561" ca="1">INDEX(INDIRECT($M561),
       MATCH(TRIM($C561), TRIM(INDIRECT($N561)), 0),
       MATCH(TRIM(F$2), TRIM(INDIRECT($O561)), 0))</f>
        <v>0</v>
      </c>
      <c r="G561" s="11" cm="1">
        <f t="array" aca="1" ref="G561" ca="1">INDEX(INDIRECT($M561),
       MATCH(TRIM($C561), TRIM(INDIRECT($N561)), 0),
       MATCH(TRIM(G$2), TRIM(INDIRECT($O561)), 0))</f>
        <v>0</v>
      </c>
      <c r="H561" s="9" t="e" cm="1">
        <f t="array" aca="1" ref="H561" ca="1">INDEX(INDIRECT($M561),
       MATCH(TRIM($C561), TRIM(INDIRECT($N561)), 0),
       MATCH(TRIM(H$2), TRIM(INDIRECT($O561)), 0))</f>
        <v>#N/A</v>
      </c>
      <c r="I561" s="11" cm="1">
        <f t="array" aca="1" ref="I561" ca="1">INDEX(INDIRECT($M561),
       MATCH(TRIM($C561), TRIM(INDIRECT($N561)), 0),
       MATCH(TRIM(I$2), TRIM(INDIRECT($O561)), 0))</f>
        <v>0</v>
      </c>
      <c r="J561" s="9" cm="1">
        <f t="array" aca="1" ref="J561" ca="1">INDEX(INDIRECT($M561),
       MATCH(TRIM($C561), TRIM(INDIRECT($N561)), 0),
       MATCH(TRIM(J$2), TRIM(INDIRECT($O561)), 0))</f>
        <v>1</v>
      </c>
      <c r="K561" s="11" cm="1">
        <f t="array" aca="1" ref="K561" ca="1">INDEX(INDIRECT($M561),
       MATCH(TRIM($C561), TRIM(INDIRECT($N561)), 0),
       MATCH(TRIM(K$2), TRIM(INDIRECT($O561)), 0))</f>
        <v>0.82793225999999998</v>
      </c>
      <c r="L561" s="11" cm="1">
        <f t="array" aca="1" ref="L561" ca="1">INDEX(INDIRECT($M561),
       MATCH(TRIM($C561), TRIM(INDIRECT($N561)), 0),
       MATCH(TRIM(L$2), TRIM(INDIRECT($O561)), 0))</f>
        <v>0.82793225999999998</v>
      </c>
      <c r="M561" s="5" t="str">
        <f t="shared" si="24"/>
        <v>'2023'!$N$3:$V$80</v>
      </c>
      <c r="N561" s="5" t="str">
        <f t="shared" si="25"/>
        <v>'2023'!$M$2:$M$80</v>
      </c>
      <c r="O561" s="5" t="str">
        <f t="shared" si="26"/>
        <v>'2023'!$N$2:$W$2</v>
      </c>
    </row>
    <row r="562" spans="1:15" x14ac:dyDescent="0.3">
      <c r="A562">
        <v>56</v>
      </c>
      <c r="B562" s="9">
        <v>2023</v>
      </c>
      <c r="C562" t="s">
        <v>55</v>
      </c>
      <c r="D562" s="11" t="e" cm="1">
        <f t="array" aca="1" ref="D562" ca="1">INDEX(INDIRECT($M562),
       MATCH(TRIM($C562), TRIM(INDIRECT($N562)), 0),
       MATCH(TRIM(D$2), TRIM(INDIRECT($O562)), 0))</f>
        <v>#N/A</v>
      </c>
      <c r="E562" s="9" t="e" cm="1">
        <f t="array" aca="1" ref="E562" ca="1">INDEX(INDIRECT($M562),
       MATCH(TRIM($C562), TRIM(INDIRECT($N562)), 0),
       MATCH(TRIM(E$2), TRIM(INDIRECT($O562)), 0))</f>
        <v>#N/A</v>
      </c>
      <c r="F562" s="11" t="e" cm="1">
        <f t="array" aca="1" ref="F562" ca="1">INDEX(INDIRECT($M562),
       MATCH(TRIM($C562), TRIM(INDIRECT($N562)), 0),
       MATCH(TRIM(F$2), TRIM(INDIRECT($O562)), 0))</f>
        <v>#N/A</v>
      </c>
      <c r="G562" s="11" t="e" cm="1">
        <f t="array" aca="1" ref="G562" ca="1">INDEX(INDIRECT($M562),
       MATCH(TRIM($C562), TRIM(INDIRECT($N562)), 0),
       MATCH(TRIM(G$2), TRIM(INDIRECT($O562)), 0))</f>
        <v>#N/A</v>
      </c>
      <c r="H562" s="9" t="e" cm="1">
        <f t="array" aca="1" ref="H562" ca="1">INDEX(INDIRECT($M562),
       MATCH(TRIM($C562), TRIM(INDIRECT($N562)), 0),
       MATCH(TRIM(H$2), TRIM(INDIRECT($O562)), 0))</f>
        <v>#N/A</v>
      </c>
      <c r="I562" s="11" t="e" cm="1">
        <f t="array" aca="1" ref="I562" ca="1">INDEX(INDIRECT($M562),
       MATCH(TRIM($C562), TRIM(INDIRECT($N562)), 0),
       MATCH(TRIM(I$2), TRIM(INDIRECT($O562)), 0))</f>
        <v>#N/A</v>
      </c>
      <c r="J562" s="9" t="e" cm="1">
        <f t="array" aca="1" ref="J562" ca="1">INDEX(INDIRECT($M562),
       MATCH(TRIM($C562), TRIM(INDIRECT($N562)), 0),
       MATCH(TRIM(J$2), TRIM(INDIRECT($O562)), 0))</f>
        <v>#N/A</v>
      </c>
      <c r="K562" s="11" t="e" cm="1">
        <f t="array" aca="1" ref="K562" ca="1">INDEX(INDIRECT($M562),
       MATCH(TRIM($C562), TRIM(INDIRECT($N562)), 0),
       MATCH(TRIM(K$2), TRIM(INDIRECT($O562)), 0))</f>
        <v>#N/A</v>
      </c>
      <c r="L562" s="11" t="e" cm="1">
        <f t="array" aca="1" ref="L562" ca="1">INDEX(INDIRECT($M562),
       MATCH(TRIM($C562), TRIM(INDIRECT($N562)), 0),
       MATCH(TRIM(L$2), TRIM(INDIRECT($O562)), 0))</f>
        <v>#N/A</v>
      </c>
      <c r="M562" s="5" t="str">
        <f t="shared" si="24"/>
        <v>'2023'!$N$3:$V$80</v>
      </c>
      <c r="N562" s="5" t="str">
        <f t="shared" si="25"/>
        <v>'2023'!$M$2:$M$80</v>
      </c>
      <c r="O562" s="5" t="str">
        <f t="shared" si="26"/>
        <v>'2023'!$N$2:$W$2</v>
      </c>
    </row>
    <row r="563" spans="1:15" x14ac:dyDescent="0.3">
      <c r="A563">
        <v>57</v>
      </c>
      <c r="B563" s="9">
        <v>2023</v>
      </c>
      <c r="C563" t="s">
        <v>56</v>
      </c>
      <c r="D563" s="11" t="e" cm="1">
        <f t="array" aca="1" ref="D563" ca="1">INDEX(INDIRECT($M563),
       MATCH(TRIM($C563), TRIM(INDIRECT($N563)), 0),
       MATCH(TRIM(D$2), TRIM(INDIRECT($O563)), 0))</f>
        <v>#N/A</v>
      </c>
      <c r="E563" s="9" t="e" cm="1">
        <f t="array" aca="1" ref="E563" ca="1">INDEX(INDIRECT($M563),
       MATCH(TRIM($C563), TRIM(INDIRECT($N563)), 0),
       MATCH(TRIM(E$2), TRIM(INDIRECT($O563)), 0))</f>
        <v>#N/A</v>
      </c>
      <c r="F563" s="11" t="e" cm="1">
        <f t="array" aca="1" ref="F563" ca="1">INDEX(INDIRECT($M563),
       MATCH(TRIM($C563), TRIM(INDIRECT($N563)), 0),
       MATCH(TRIM(F$2), TRIM(INDIRECT($O563)), 0))</f>
        <v>#N/A</v>
      </c>
      <c r="G563" s="11" t="e" cm="1">
        <f t="array" aca="1" ref="G563" ca="1">INDEX(INDIRECT($M563),
       MATCH(TRIM($C563), TRIM(INDIRECT($N563)), 0),
       MATCH(TRIM(G$2), TRIM(INDIRECT($O563)), 0))</f>
        <v>#N/A</v>
      </c>
      <c r="H563" s="9" t="e" cm="1">
        <f t="array" aca="1" ref="H563" ca="1">INDEX(INDIRECT($M563),
       MATCH(TRIM($C563), TRIM(INDIRECT($N563)), 0),
       MATCH(TRIM(H$2), TRIM(INDIRECT($O563)), 0))</f>
        <v>#N/A</v>
      </c>
      <c r="I563" s="11" t="e" cm="1">
        <f t="array" aca="1" ref="I563" ca="1">INDEX(INDIRECT($M563),
       MATCH(TRIM($C563), TRIM(INDIRECT($N563)), 0),
       MATCH(TRIM(I$2), TRIM(INDIRECT($O563)), 0))</f>
        <v>#N/A</v>
      </c>
      <c r="J563" s="9" t="e" cm="1">
        <f t="array" aca="1" ref="J563" ca="1">INDEX(INDIRECT($M563),
       MATCH(TRIM($C563), TRIM(INDIRECT($N563)), 0),
       MATCH(TRIM(J$2), TRIM(INDIRECT($O563)), 0))</f>
        <v>#N/A</v>
      </c>
      <c r="K563" s="11" t="e" cm="1">
        <f t="array" aca="1" ref="K563" ca="1">INDEX(INDIRECT($M563),
       MATCH(TRIM($C563), TRIM(INDIRECT($N563)), 0),
       MATCH(TRIM(K$2), TRIM(INDIRECT($O563)), 0))</f>
        <v>#N/A</v>
      </c>
      <c r="L563" s="11" t="e" cm="1">
        <f t="array" aca="1" ref="L563" ca="1">INDEX(INDIRECT($M563),
       MATCH(TRIM($C563), TRIM(INDIRECT($N563)), 0),
       MATCH(TRIM(L$2), TRIM(INDIRECT($O563)), 0))</f>
        <v>#N/A</v>
      </c>
      <c r="M563" s="5" t="str">
        <f t="shared" si="24"/>
        <v>'2023'!$N$3:$V$80</v>
      </c>
      <c r="N563" s="5" t="str">
        <f t="shared" si="25"/>
        <v>'2023'!$M$2:$M$80</v>
      </c>
      <c r="O563" s="5" t="str">
        <f t="shared" si="26"/>
        <v>'2023'!$N$2:$W$2</v>
      </c>
    </row>
    <row r="564" spans="1:15" x14ac:dyDescent="0.3">
      <c r="A564">
        <v>58</v>
      </c>
      <c r="B564" s="9">
        <v>2023</v>
      </c>
      <c r="C564" t="s">
        <v>57</v>
      </c>
      <c r="D564" s="11" t="e" cm="1">
        <f t="array" aca="1" ref="D564" ca="1">INDEX(INDIRECT($M564),
       MATCH(TRIM($C564), TRIM(INDIRECT($N564)), 0),
       MATCH(TRIM(D$2), TRIM(INDIRECT($O564)), 0))</f>
        <v>#N/A</v>
      </c>
      <c r="E564" s="9" t="e" cm="1">
        <f t="array" aca="1" ref="E564" ca="1">INDEX(INDIRECT($M564),
       MATCH(TRIM($C564), TRIM(INDIRECT($N564)), 0),
       MATCH(TRIM(E$2), TRIM(INDIRECT($O564)), 0))</f>
        <v>#N/A</v>
      </c>
      <c r="F564" s="11" t="e" cm="1">
        <f t="array" aca="1" ref="F564" ca="1">INDEX(INDIRECT($M564),
       MATCH(TRIM($C564), TRIM(INDIRECT($N564)), 0),
       MATCH(TRIM(F$2), TRIM(INDIRECT($O564)), 0))</f>
        <v>#N/A</v>
      </c>
      <c r="G564" s="11" t="e" cm="1">
        <f t="array" aca="1" ref="G564" ca="1">INDEX(INDIRECT($M564),
       MATCH(TRIM($C564), TRIM(INDIRECT($N564)), 0),
       MATCH(TRIM(G$2), TRIM(INDIRECT($O564)), 0))</f>
        <v>#N/A</v>
      </c>
      <c r="H564" s="9" t="e" cm="1">
        <f t="array" aca="1" ref="H564" ca="1">INDEX(INDIRECT($M564),
       MATCH(TRIM($C564), TRIM(INDIRECT($N564)), 0),
       MATCH(TRIM(H$2), TRIM(INDIRECT($O564)), 0))</f>
        <v>#N/A</v>
      </c>
      <c r="I564" s="11" t="e" cm="1">
        <f t="array" aca="1" ref="I564" ca="1">INDEX(INDIRECT($M564),
       MATCH(TRIM($C564), TRIM(INDIRECT($N564)), 0),
       MATCH(TRIM(I$2), TRIM(INDIRECT($O564)), 0))</f>
        <v>#N/A</v>
      </c>
      <c r="J564" s="9" t="e" cm="1">
        <f t="array" aca="1" ref="J564" ca="1">INDEX(INDIRECT($M564),
       MATCH(TRIM($C564), TRIM(INDIRECT($N564)), 0),
       MATCH(TRIM(J$2), TRIM(INDIRECT($O564)), 0))</f>
        <v>#N/A</v>
      </c>
      <c r="K564" s="11" t="e" cm="1">
        <f t="array" aca="1" ref="K564" ca="1">INDEX(INDIRECT($M564),
       MATCH(TRIM($C564), TRIM(INDIRECT($N564)), 0),
       MATCH(TRIM(K$2), TRIM(INDIRECT($O564)), 0))</f>
        <v>#N/A</v>
      </c>
      <c r="L564" s="11" t="e" cm="1">
        <f t="array" aca="1" ref="L564" ca="1">INDEX(INDIRECT($M564),
       MATCH(TRIM($C564), TRIM(INDIRECT($N564)), 0),
       MATCH(TRIM(L$2), TRIM(INDIRECT($O564)), 0))</f>
        <v>#N/A</v>
      </c>
      <c r="M564" s="5" t="str">
        <f t="shared" si="24"/>
        <v>'2023'!$N$3:$V$80</v>
      </c>
      <c r="N564" s="5" t="str">
        <f t="shared" si="25"/>
        <v>'2023'!$M$2:$M$80</v>
      </c>
      <c r="O564" s="5" t="str">
        <f t="shared" si="26"/>
        <v>'2023'!$N$2:$W$2</v>
      </c>
    </row>
    <row r="565" spans="1:15" x14ac:dyDescent="0.3">
      <c r="A565">
        <v>59</v>
      </c>
      <c r="B565" s="9">
        <v>2023</v>
      </c>
      <c r="C565" t="s">
        <v>58</v>
      </c>
      <c r="D565" s="11" t="e" cm="1">
        <f t="array" aca="1" ref="D565" ca="1">INDEX(INDIRECT($M565),
       MATCH(TRIM($C565), TRIM(INDIRECT($N565)), 0),
       MATCH(TRIM(D$2), TRIM(INDIRECT($O565)), 0))</f>
        <v>#N/A</v>
      </c>
      <c r="E565" s="9" t="e" cm="1">
        <f t="array" aca="1" ref="E565" ca="1">INDEX(INDIRECT($M565),
       MATCH(TRIM($C565), TRIM(INDIRECT($N565)), 0),
       MATCH(TRIM(E$2), TRIM(INDIRECT($O565)), 0))</f>
        <v>#N/A</v>
      </c>
      <c r="F565" s="11" t="e" cm="1">
        <f t="array" aca="1" ref="F565" ca="1">INDEX(INDIRECT($M565),
       MATCH(TRIM($C565), TRIM(INDIRECT($N565)), 0),
       MATCH(TRIM(F$2), TRIM(INDIRECT($O565)), 0))</f>
        <v>#N/A</v>
      </c>
      <c r="G565" s="11" t="e" cm="1">
        <f t="array" aca="1" ref="G565" ca="1">INDEX(INDIRECT($M565),
       MATCH(TRIM($C565), TRIM(INDIRECT($N565)), 0),
       MATCH(TRIM(G$2), TRIM(INDIRECT($O565)), 0))</f>
        <v>#N/A</v>
      </c>
      <c r="H565" s="9" t="e" cm="1">
        <f t="array" aca="1" ref="H565" ca="1">INDEX(INDIRECT($M565),
       MATCH(TRIM($C565), TRIM(INDIRECT($N565)), 0),
       MATCH(TRIM(H$2), TRIM(INDIRECT($O565)), 0))</f>
        <v>#N/A</v>
      </c>
      <c r="I565" s="11" t="e" cm="1">
        <f t="array" aca="1" ref="I565" ca="1">INDEX(INDIRECT($M565),
       MATCH(TRIM($C565), TRIM(INDIRECT($N565)), 0),
       MATCH(TRIM(I$2), TRIM(INDIRECT($O565)), 0))</f>
        <v>#N/A</v>
      </c>
      <c r="J565" s="9" t="e" cm="1">
        <f t="array" aca="1" ref="J565" ca="1">INDEX(INDIRECT($M565),
       MATCH(TRIM($C565), TRIM(INDIRECT($N565)), 0),
       MATCH(TRIM(J$2), TRIM(INDIRECT($O565)), 0))</f>
        <v>#N/A</v>
      </c>
      <c r="K565" s="11" t="e" cm="1">
        <f t="array" aca="1" ref="K565" ca="1">INDEX(INDIRECT($M565),
       MATCH(TRIM($C565), TRIM(INDIRECT($N565)), 0),
       MATCH(TRIM(K$2), TRIM(INDIRECT($O565)), 0))</f>
        <v>#N/A</v>
      </c>
      <c r="L565" s="11" t="e" cm="1">
        <f t="array" aca="1" ref="L565" ca="1">INDEX(INDIRECT($M565),
       MATCH(TRIM($C565), TRIM(INDIRECT($N565)), 0),
       MATCH(TRIM(L$2), TRIM(INDIRECT($O565)), 0))</f>
        <v>#N/A</v>
      </c>
      <c r="M565" s="5" t="str">
        <f t="shared" si="24"/>
        <v>'2023'!$N$3:$V$80</v>
      </c>
      <c r="N565" s="5" t="str">
        <f t="shared" si="25"/>
        <v>'2023'!$M$2:$M$80</v>
      </c>
      <c r="O565" s="5" t="str">
        <f t="shared" si="26"/>
        <v>'2023'!$N$2:$W$2</v>
      </c>
    </row>
    <row r="566" spans="1:15" x14ac:dyDescent="0.3">
      <c r="A566">
        <v>60</v>
      </c>
      <c r="B566" s="9">
        <v>2023</v>
      </c>
      <c r="C566" t="s">
        <v>59</v>
      </c>
      <c r="D566" s="11" t="e" cm="1">
        <f t="array" aca="1" ref="D566" ca="1">INDEX(INDIRECT($M566),
       MATCH(TRIM($C566), TRIM(INDIRECT($N566)), 0),
       MATCH(TRIM(D$2), TRIM(INDIRECT($O566)), 0))</f>
        <v>#N/A</v>
      </c>
      <c r="E566" s="9" t="e" cm="1">
        <f t="array" aca="1" ref="E566" ca="1">INDEX(INDIRECT($M566),
       MATCH(TRIM($C566), TRIM(INDIRECT($N566)), 0),
       MATCH(TRIM(E$2), TRIM(INDIRECT($O566)), 0))</f>
        <v>#N/A</v>
      </c>
      <c r="F566" s="11" t="e" cm="1">
        <f t="array" aca="1" ref="F566" ca="1">INDEX(INDIRECT($M566),
       MATCH(TRIM($C566), TRIM(INDIRECT($N566)), 0),
       MATCH(TRIM(F$2), TRIM(INDIRECT($O566)), 0))</f>
        <v>#N/A</v>
      </c>
      <c r="G566" s="11" t="e" cm="1">
        <f t="array" aca="1" ref="G566" ca="1">INDEX(INDIRECT($M566),
       MATCH(TRIM($C566), TRIM(INDIRECT($N566)), 0),
       MATCH(TRIM(G$2), TRIM(INDIRECT($O566)), 0))</f>
        <v>#N/A</v>
      </c>
      <c r="H566" s="9" t="e" cm="1">
        <f t="array" aca="1" ref="H566" ca="1">INDEX(INDIRECT($M566),
       MATCH(TRIM($C566), TRIM(INDIRECT($N566)), 0),
       MATCH(TRIM(H$2), TRIM(INDIRECT($O566)), 0))</f>
        <v>#N/A</v>
      </c>
      <c r="I566" s="11" t="e" cm="1">
        <f t="array" aca="1" ref="I566" ca="1">INDEX(INDIRECT($M566),
       MATCH(TRIM($C566), TRIM(INDIRECT($N566)), 0),
       MATCH(TRIM(I$2), TRIM(INDIRECT($O566)), 0))</f>
        <v>#N/A</v>
      </c>
      <c r="J566" s="9" t="e" cm="1">
        <f t="array" aca="1" ref="J566" ca="1">INDEX(INDIRECT($M566),
       MATCH(TRIM($C566), TRIM(INDIRECT($N566)), 0),
       MATCH(TRIM(J$2), TRIM(INDIRECT($O566)), 0))</f>
        <v>#N/A</v>
      </c>
      <c r="K566" s="11" t="e" cm="1">
        <f t="array" aca="1" ref="K566" ca="1">INDEX(INDIRECT($M566),
       MATCH(TRIM($C566), TRIM(INDIRECT($N566)), 0),
       MATCH(TRIM(K$2), TRIM(INDIRECT($O566)), 0))</f>
        <v>#N/A</v>
      </c>
      <c r="L566" s="11" t="e" cm="1">
        <f t="array" aca="1" ref="L566" ca="1">INDEX(INDIRECT($M566),
       MATCH(TRIM($C566), TRIM(INDIRECT($N566)), 0),
       MATCH(TRIM(L$2), TRIM(INDIRECT($O566)), 0))</f>
        <v>#N/A</v>
      </c>
      <c r="M566" s="5" t="str">
        <f t="shared" si="24"/>
        <v>'2023'!$N$3:$V$80</v>
      </c>
      <c r="N566" s="5" t="str">
        <f t="shared" si="25"/>
        <v>'2023'!$M$2:$M$80</v>
      </c>
      <c r="O566" s="5" t="str">
        <f t="shared" si="26"/>
        <v>'2023'!$N$2:$W$2</v>
      </c>
    </row>
    <row r="567" spans="1:15" x14ac:dyDescent="0.3">
      <c r="A567">
        <v>61</v>
      </c>
      <c r="B567" s="9">
        <v>2023</v>
      </c>
      <c r="C567" t="s">
        <v>60</v>
      </c>
      <c r="D567" s="11" cm="1">
        <f t="array" aca="1" ref="D567" ca="1">INDEX(INDIRECT($M567),
       MATCH(TRIM($C567), TRIM(INDIRECT($N567)), 0),
       MATCH(TRIM(D$2), TRIM(INDIRECT($O567)), 0))</f>
        <v>0</v>
      </c>
      <c r="E567" s="9" t="e" cm="1">
        <f t="array" aca="1" ref="E567" ca="1">INDEX(INDIRECT($M567),
       MATCH(TRIM($C567), TRIM(INDIRECT($N567)), 0),
       MATCH(TRIM(E$2), TRIM(INDIRECT($O567)), 0))</f>
        <v>#N/A</v>
      </c>
      <c r="F567" s="11" cm="1">
        <f t="array" aca="1" ref="F567" ca="1">INDEX(INDIRECT($M567),
       MATCH(TRIM($C567), TRIM(INDIRECT($N567)), 0),
       MATCH(TRIM(F$2), TRIM(INDIRECT($O567)), 0))</f>
        <v>0</v>
      </c>
      <c r="G567" s="11" cm="1">
        <f t="array" aca="1" ref="G567" ca="1">INDEX(INDIRECT($M567),
       MATCH(TRIM($C567), TRIM(INDIRECT($N567)), 0),
       MATCH(TRIM(G$2), TRIM(INDIRECT($O567)), 0))</f>
        <v>0</v>
      </c>
      <c r="H567" s="9" t="e" cm="1">
        <f t="array" aca="1" ref="H567" ca="1">INDEX(INDIRECT($M567),
       MATCH(TRIM($C567), TRIM(INDIRECT($N567)), 0),
       MATCH(TRIM(H$2), TRIM(INDIRECT($O567)), 0))</f>
        <v>#N/A</v>
      </c>
      <c r="I567" s="11" cm="1">
        <f t="array" aca="1" ref="I567" ca="1">INDEX(INDIRECT($M567),
       MATCH(TRIM($C567), TRIM(INDIRECT($N567)), 0),
       MATCH(TRIM(I$2), TRIM(INDIRECT($O567)), 0))</f>
        <v>0</v>
      </c>
      <c r="J567" s="9" cm="1">
        <f t="array" aca="1" ref="J567" ca="1">INDEX(INDIRECT($M567),
       MATCH(TRIM($C567), TRIM(INDIRECT($N567)), 0),
       MATCH(TRIM(J$2), TRIM(INDIRECT($O567)), 0))</f>
        <v>1</v>
      </c>
      <c r="K567" s="11" cm="1">
        <f t="array" aca="1" ref="K567" ca="1">INDEX(INDIRECT($M567),
       MATCH(TRIM($C567), TRIM(INDIRECT($N567)), 0),
       MATCH(TRIM(K$2), TRIM(INDIRECT($O567)), 0))</f>
        <v>0.84445194999999995</v>
      </c>
      <c r="L567" s="11" cm="1">
        <f t="array" aca="1" ref="L567" ca="1">INDEX(INDIRECT($M567),
       MATCH(TRIM($C567), TRIM(INDIRECT($N567)), 0),
       MATCH(TRIM(L$2), TRIM(INDIRECT($O567)), 0))</f>
        <v>0.84445194999999995</v>
      </c>
      <c r="M567" s="5" t="str">
        <f t="shared" si="24"/>
        <v>'2023'!$N$3:$V$80</v>
      </c>
      <c r="N567" s="5" t="str">
        <f t="shared" si="25"/>
        <v>'2023'!$M$2:$M$80</v>
      </c>
      <c r="O567" s="5" t="str">
        <f t="shared" si="26"/>
        <v>'2023'!$N$2:$W$2</v>
      </c>
    </row>
    <row r="568" spans="1:15" x14ac:dyDescent="0.3">
      <c r="A568">
        <v>62</v>
      </c>
      <c r="B568" s="9">
        <v>2023</v>
      </c>
      <c r="C568" t="s">
        <v>61</v>
      </c>
      <c r="D568" s="11" cm="1">
        <f t="array" aca="1" ref="D568" ca="1">INDEX(INDIRECT($M568),
       MATCH(TRIM($C568), TRIM(INDIRECT($N568)), 0),
       MATCH(TRIM(D$2), TRIM(INDIRECT($O568)), 0))</f>
        <v>0</v>
      </c>
      <c r="E568" s="9" t="e" cm="1">
        <f t="array" aca="1" ref="E568" ca="1">INDEX(INDIRECT($M568),
       MATCH(TRIM($C568), TRIM(INDIRECT($N568)), 0),
       MATCH(TRIM(E$2), TRIM(INDIRECT($O568)), 0))</f>
        <v>#N/A</v>
      </c>
      <c r="F568" s="11" cm="1">
        <f t="array" aca="1" ref="F568" ca="1">INDEX(INDIRECT($M568),
       MATCH(TRIM($C568), TRIM(INDIRECT($N568)), 0),
       MATCH(TRIM(F$2), TRIM(INDIRECT($O568)), 0))</f>
        <v>0</v>
      </c>
      <c r="G568" s="11" cm="1">
        <f t="array" aca="1" ref="G568" ca="1">INDEX(INDIRECT($M568),
       MATCH(TRIM($C568), TRIM(INDIRECT($N568)), 0),
       MATCH(TRIM(G$2), TRIM(INDIRECT($O568)), 0))</f>
        <v>1</v>
      </c>
      <c r="H568" s="9" t="e" cm="1">
        <f t="array" aca="1" ref="H568" ca="1">INDEX(INDIRECT($M568),
       MATCH(TRIM($C568), TRIM(INDIRECT($N568)), 0),
       MATCH(TRIM(H$2), TRIM(INDIRECT($O568)), 0))</f>
        <v>#N/A</v>
      </c>
      <c r="I568" s="11" cm="1">
        <f t="array" aca="1" ref="I568" ca="1">INDEX(INDIRECT($M568),
       MATCH(TRIM($C568), TRIM(INDIRECT($N568)), 0),
       MATCH(TRIM(I$2), TRIM(INDIRECT($O568)), 0))</f>
        <v>0.93399699999999997</v>
      </c>
      <c r="J568" s="9" cm="1">
        <f t="array" aca="1" ref="J568" ca="1">INDEX(INDIRECT($M568),
       MATCH(TRIM($C568), TRIM(INDIRECT($N568)), 0),
       MATCH(TRIM(J$2), TRIM(INDIRECT($O568)), 0))</f>
        <v>2</v>
      </c>
      <c r="K568" s="11" cm="1">
        <f t="array" aca="1" ref="K568" ca="1">INDEX(INDIRECT($M568),
       MATCH(TRIM($C568), TRIM(INDIRECT($N568)), 0),
       MATCH(TRIM(K$2), TRIM(INDIRECT($O568)), 0))</f>
        <v>1.6813770899999998</v>
      </c>
      <c r="L568" s="11" cm="1">
        <f t="array" aca="1" ref="L568" ca="1">INDEX(INDIRECT($M568),
       MATCH(TRIM($C568), TRIM(INDIRECT($N568)), 0),
       MATCH(TRIM(L$2), TRIM(INDIRECT($O568)), 0))</f>
        <v>2.6153740899999995</v>
      </c>
      <c r="M568" s="5" t="str">
        <f t="shared" si="24"/>
        <v>'2023'!$N$3:$V$80</v>
      </c>
      <c r="N568" s="5" t="str">
        <f t="shared" si="25"/>
        <v>'2023'!$M$2:$M$80</v>
      </c>
      <c r="O568" s="5" t="str">
        <f t="shared" si="26"/>
        <v>'2023'!$N$2:$W$2</v>
      </c>
    </row>
    <row r="569" spans="1:15" x14ac:dyDescent="0.3">
      <c r="A569">
        <v>63</v>
      </c>
      <c r="B569" s="9">
        <v>2023</v>
      </c>
      <c r="C569" t="s">
        <v>62</v>
      </c>
      <c r="D569" s="11" cm="1">
        <f t="array" aca="1" ref="D569" ca="1">INDEX(INDIRECT($M569),
       MATCH(TRIM($C569), TRIM(INDIRECT($N569)), 0),
       MATCH(TRIM(D$2), TRIM(INDIRECT($O569)), 0))</f>
        <v>3188</v>
      </c>
      <c r="E569" s="9" cm="1">
        <f t="array" aca="1" ref="E569" ca="1">INDEX(INDIRECT($M569),
       MATCH(TRIM($C569), TRIM(INDIRECT($N569)), 0),
       MATCH(TRIM(E$2), TRIM(INDIRECT($O569)), 0))</f>
        <v>0</v>
      </c>
      <c r="F569" s="11" cm="1">
        <f t="array" aca="1" ref="F569" ca="1">INDEX(INDIRECT($M569),
       MATCH(TRIM($C569), TRIM(INDIRECT($N569)), 0),
       MATCH(TRIM(F$2), TRIM(INDIRECT($O569)), 0))</f>
        <v>20185.622680219996</v>
      </c>
      <c r="G569" s="11" cm="1">
        <f t="array" aca="1" ref="G569" ca="1">INDEX(INDIRECT($M569),
       MATCH(TRIM($C569), TRIM(INDIRECT($N569)), 0),
       MATCH(TRIM(G$2), TRIM(INDIRECT($O569)), 0))</f>
        <v>1262</v>
      </c>
      <c r="H569" s="9" cm="1">
        <f t="array" aca="1" ref="H569" ca="1">INDEX(INDIRECT($M569),
       MATCH(TRIM($C569), TRIM(INDIRECT($N569)), 0),
       MATCH(TRIM(H$2), TRIM(INDIRECT($O569)), 0))</f>
        <v>0</v>
      </c>
      <c r="I569" s="11" cm="1">
        <f t="array" aca="1" ref="I569" ca="1">INDEX(INDIRECT($M569),
       MATCH(TRIM($C569), TRIM(INDIRECT($N569)), 0),
       MATCH(TRIM(I$2), TRIM(INDIRECT($O569)), 0))</f>
        <v>7880.7695484308479</v>
      </c>
      <c r="J569" s="9" cm="1">
        <f t="array" aca="1" ref="J569" ca="1">INDEX(INDIRECT($M569),
       MATCH(TRIM($C569), TRIM(INDIRECT($N569)), 0),
       MATCH(TRIM(J$2), TRIM(INDIRECT($O569)), 0))</f>
        <v>3451</v>
      </c>
      <c r="K569" s="11" cm="1">
        <f t="array" aca="1" ref="K569" ca="1">INDEX(INDIRECT($M569),
       MATCH(TRIM($C569), TRIM(INDIRECT($N569)), 0),
       MATCH(TRIM(K$2), TRIM(INDIRECT($O569)), 0))</f>
        <v>8541.2347161779817</v>
      </c>
      <c r="L569" s="11" cm="1">
        <f t="array" aca="1" ref="L569" ca="1">INDEX(INDIRECT($M569),
       MATCH(TRIM($C569), TRIM(INDIRECT($N569)), 0),
       MATCH(TRIM(L$2), TRIM(INDIRECT($O569)), 0))</f>
        <v>36607.626944828808</v>
      </c>
      <c r="M569" s="5" t="str">
        <f t="shared" si="24"/>
        <v>'2023'!$N$3:$V$80</v>
      </c>
      <c r="N569" s="5" t="str">
        <f t="shared" si="25"/>
        <v>'2023'!$M$2:$M$80</v>
      </c>
      <c r="O569" s="5" t="str">
        <f t="shared" si="26"/>
        <v>'2023'!$N$2:$W$2</v>
      </c>
    </row>
    <row r="570" spans="1:15" x14ac:dyDescent="0.3">
      <c r="A570">
        <v>1</v>
      </c>
      <c r="B570" s="9">
        <v>2024</v>
      </c>
      <c r="C570" t="s">
        <v>0</v>
      </c>
      <c r="D570" s="11" cm="1">
        <f t="array" aca="1" ref="D570" ca="1">INDEX(INDIRECT($M570),
       MATCH(TRIM($C570), TRIM(INDIRECT($N570)), 0),
       MATCH(TRIM(D$2), TRIM(INDIRECT($O570)), 0))</f>
        <v>597</v>
      </c>
      <c r="E570" s="9" t="e" cm="1">
        <f t="array" aca="1" ref="E570" ca="1">INDEX(INDIRECT($M570),
       MATCH(TRIM($C570), TRIM(INDIRECT($N570)), 0),
       MATCH(TRIM(E$2), TRIM(INDIRECT($O570)), 0))</f>
        <v>#N/A</v>
      </c>
      <c r="F570" s="11" cm="1">
        <f t="array" aca="1" ref="F570" ca="1">INDEX(INDIRECT($M570),
       MATCH(TRIM($C570), TRIM(INDIRECT($N570)), 0),
       MATCH(TRIM(F$2), TRIM(INDIRECT($O570)), 0))</f>
        <v>192.64746200999997</v>
      </c>
      <c r="G570" s="11" cm="1">
        <f t="array" aca="1" ref="G570" ca="1">INDEX(INDIRECT($M570),
       MATCH(TRIM($C570), TRIM(INDIRECT($N570)), 0),
       MATCH(TRIM(G$2), TRIM(INDIRECT($O570)), 0))</f>
        <v>79</v>
      </c>
      <c r="H570" s="9" t="e" cm="1">
        <f t="array" aca="1" ref="H570" ca="1">INDEX(INDIRECT($M570),
       MATCH(TRIM($C570), TRIM(INDIRECT($N570)), 0),
       MATCH(TRIM(H$2), TRIM(INDIRECT($O570)), 0))</f>
        <v>#N/A</v>
      </c>
      <c r="I570" s="11" cm="1">
        <f t="array" aca="1" ref="I570" ca="1">INDEX(INDIRECT($M570),
       MATCH(TRIM($C570), TRIM(INDIRECT($N570)), 0),
       MATCH(TRIM(I$2), TRIM(INDIRECT($O570)), 0))</f>
        <v>107.00646922119141</v>
      </c>
      <c r="J570" s="9" cm="1">
        <f t="array" aca="1" ref="J570" ca="1">INDEX(INDIRECT($M570),
       MATCH(TRIM($C570), TRIM(INDIRECT($N570)), 0),
       MATCH(TRIM(J$2), TRIM(INDIRECT($O570)), 0))</f>
        <v>1015</v>
      </c>
      <c r="K570" s="11" cm="1">
        <f t="array" aca="1" ref="K570" ca="1">INDEX(INDIRECT($M570),
       MATCH(TRIM($C570), TRIM(INDIRECT($N570)), 0),
       MATCH(TRIM(K$2), TRIM(INDIRECT($O570)), 0))</f>
        <v>821.34180730000026</v>
      </c>
      <c r="L570" s="11" cm="1">
        <f t="array" aca="1" ref="L570" ca="1">INDEX(INDIRECT($M570),
       MATCH(TRIM($C570), TRIM(INDIRECT($N570)), 0),
       MATCH(TRIM(L$2), TRIM(INDIRECT($O570)), 0))</f>
        <v>1120.9957385311916</v>
      </c>
      <c r="M570" s="5" t="str">
        <f t="shared" si="24"/>
        <v>'2024'!$N$3:$V$80</v>
      </c>
      <c r="N570" s="5" t="str">
        <f t="shared" si="25"/>
        <v>'2024'!$M$2:$M$80</v>
      </c>
      <c r="O570" s="5" t="str">
        <f t="shared" si="26"/>
        <v>'2024'!$N$2:$W$2</v>
      </c>
    </row>
    <row r="571" spans="1:15" x14ac:dyDescent="0.3">
      <c r="A571">
        <v>2</v>
      </c>
      <c r="B571" s="9">
        <v>2024</v>
      </c>
      <c r="C571" t="s">
        <v>1</v>
      </c>
      <c r="D571" s="11" cm="1">
        <f t="array" aca="1" ref="D571" ca="1">INDEX(INDIRECT($M571),
       MATCH(TRIM($C571), TRIM(INDIRECT($N571)), 0),
       MATCH(TRIM(D$2), TRIM(INDIRECT($O571)), 0))</f>
        <v>88</v>
      </c>
      <c r="E571" s="9" t="e" cm="1">
        <f t="array" aca="1" ref="E571" ca="1">INDEX(INDIRECT($M571),
       MATCH(TRIM($C571), TRIM(INDIRECT($N571)), 0),
       MATCH(TRIM(E$2), TRIM(INDIRECT($O571)), 0))</f>
        <v>#N/A</v>
      </c>
      <c r="F571" s="11" cm="1">
        <f t="array" aca="1" ref="F571" ca="1">INDEX(INDIRECT($M571),
       MATCH(TRIM($C571), TRIM(INDIRECT($N571)), 0),
       MATCH(TRIM(F$2), TRIM(INDIRECT($O571)), 0))</f>
        <v>318.77570535999996</v>
      </c>
      <c r="G571" s="11" cm="1">
        <f t="array" aca="1" ref="G571" ca="1">INDEX(INDIRECT($M571),
       MATCH(TRIM($C571), TRIM(INDIRECT($N571)), 0),
       MATCH(TRIM(G$2), TRIM(INDIRECT($O571)), 0))</f>
        <v>63</v>
      </c>
      <c r="H571" s="9" t="e" cm="1">
        <f t="array" aca="1" ref="H571" ca="1">INDEX(INDIRECT($M571),
       MATCH(TRIM($C571), TRIM(INDIRECT($N571)), 0),
       MATCH(TRIM(H$2), TRIM(INDIRECT($O571)), 0))</f>
        <v>#N/A</v>
      </c>
      <c r="I571" s="11" cm="1">
        <f t="array" aca="1" ref="I571" ca="1">INDEX(INDIRECT($M571),
       MATCH(TRIM($C571), TRIM(INDIRECT($N571)), 0),
       MATCH(TRIM(I$2), TRIM(INDIRECT($O571)), 0))</f>
        <v>261.01168124999998</v>
      </c>
      <c r="J571" s="9" cm="1">
        <f t="array" aca="1" ref="J571" ca="1">INDEX(INDIRECT($M571),
       MATCH(TRIM($C571), TRIM(INDIRECT($N571)), 0),
       MATCH(TRIM(J$2), TRIM(INDIRECT($O571)), 0))</f>
        <v>77</v>
      </c>
      <c r="K571" s="11" cm="1">
        <f t="array" aca="1" ref="K571" ca="1">INDEX(INDIRECT($M571),
       MATCH(TRIM($C571), TRIM(INDIRECT($N571)), 0),
       MATCH(TRIM(K$2), TRIM(INDIRECT($O571)), 0))</f>
        <v>89.331147169999966</v>
      </c>
      <c r="L571" s="11" cm="1">
        <f t="array" aca="1" ref="L571" ca="1">INDEX(INDIRECT($M571),
       MATCH(TRIM($C571), TRIM(INDIRECT($N571)), 0),
       MATCH(TRIM(L$2), TRIM(INDIRECT($O571)), 0))</f>
        <v>669.11853377999989</v>
      </c>
      <c r="M571" s="5" t="str">
        <f t="shared" si="24"/>
        <v>'2024'!$N$3:$V$80</v>
      </c>
      <c r="N571" s="5" t="str">
        <f t="shared" si="25"/>
        <v>'2024'!$M$2:$M$80</v>
      </c>
      <c r="O571" s="5" t="str">
        <f t="shared" si="26"/>
        <v>'2024'!$N$2:$W$2</v>
      </c>
    </row>
    <row r="572" spans="1:15" x14ac:dyDescent="0.3">
      <c r="A572">
        <v>3</v>
      </c>
      <c r="B572" s="9">
        <v>2024</v>
      </c>
      <c r="C572" t="s">
        <v>2</v>
      </c>
      <c r="D572" s="11" cm="1">
        <f t="array" aca="1" ref="D572" ca="1">INDEX(INDIRECT($M572),
       MATCH(TRIM($C572), TRIM(INDIRECT($N572)), 0),
       MATCH(TRIM(D$2), TRIM(INDIRECT($O572)), 0))</f>
        <v>48</v>
      </c>
      <c r="E572" s="9" t="e" cm="1">
        <f t="array" aca="1" ref="E572" ca="1">INDEX(INDIRECT($M572),
       MATCH(TRIM($C572), TRIM(INDIRECT($N572)), 0),
       MATCH(TRIM(E$2), TRIM(INDIRECT($O572)), 0))</f>
        <v>#N/A</v>
      </c>
      <c r="F572" s="11" cm="1">
        <f t="array" aca="1" ref="F572" ca="1">INDEX(INDIRECT($M572),
       MATCH(TRIM($C572), TRIM(INDIRECT($N572)), 0),
       MATCH(TRIM(F$2), TRIM(INDIRECT($O572)), 0))</f>
        <v>570.63430000000005</v>
      </c>
      <c r="G572" s="11" cm="1">
        <f t="array" aca="1" ref="G572" ca="1">INDEX(INDIRECT($M572),
       MATCH(TRIM($C572), TRIM(INDIRECT($N572)), 0),
       MATCH(TRIM(G$2), TRIM(INDIRECT($O572)), 0))</f>
        <v>40</v>
      </c>
      <c r="H572" s="9" t="e" cm="1">
        <f t="array" aca="1" ref="H572" ca="1">INDEX(INDIRECT($M572),
       MATCH(TRIM($C572), TRIM(INDIRECT($N572)), 0),
       MATCH(TRIM(H$2), TRIM(INDIRECT($O572)), 0))</f>
        <v>#N/A</v>
      </c>
      <c r="I572" s="11" cm="1">
        <f t="array" aca="1" ref="I572" ca="1">INDEX(INDIRECT($M572),
       MATCH(TRIM($C572), TRIM(INDIRECT($N572)), 0),
       MATCH(TRIM(I$2), TRIM(INDIRECT($O572)), 0))</f>
        <v>242.90185124999999</v>
      </c>
      <c r="J572" s="9" cm="1">
        <f t="array" aca="1" ref="J572" ca="1">INDEX(INDIRECT($M572),
       MATCH(TRIM($C572), TRIM(INDIRECT($N572)), 0),
       MATCH(TRIM(J$2), TRIM(INDIRECT($O572)), 0))</f>
        <v>20</v>
      </c>
      <c r="K572" s="11" cm="1">
        <f t="array" aca="1" ref="K572" ca="1">INDEX(INDIRECT($M572),
       MATCH(TRIM($C572), TRIM(INDIRECT($N572)), 0),
       MATCH(TRIM(K$2), TRIM(INDIRECT($O572)), 0))</f>
        <v>123.93534785986957</v>
      </c>
      <c r="L572" s="11" cm="1">
        <f t="array" aca="1" ref="L572" ca="1">INDEX(INDIRECT($M572),
       MATCH(TRIM($C572), TRIM(INDIRECT($N572)), 0),
       MATCH(TRIM(L$2), TRIM(INDIRECT($O572)), 0))</f>
        <v>937.47149910986968</v>
      </c>
      <c r="M572" s="5" t="str">
        <f t="shared" si="24"/>
        <v>'2024'!$N$3:$V$80</v>
      </c>
      <c r="N572" s="5" t="str">
        <f t="shared" si="25"/>
        <v>'2024'!$M$2:$M$80</v>
      </c>
      <c r="O572" s="5" t="str">
        <f t="shared" si="26"/>
        <v>'2024'!$N$2:$W$2</v>
      </c>
    </row>
    <row r="573" spans="1:15" x14ac:dyDescent="0.3">
      <c r="A573">
        <v>4</v>
      </c>
      <c r="B573" s="9">
        <v>2024</v>
      </c>
      <c r="C573" t="s">
        <v>3</v>
      </c>
      <c r="D573" s="11" cm="1">
        <f t="array" aca="1" ref="D573" ca="1">INDEX(INDIRECT($M573),
       MATCH(TRIM($C573), TRIM(INDIRECT($N573)), 0),
       MATCH(TRIM(D$2), TRIM(INDIRECT($O573)), 0))</f>
        <v>224</v>
      </c>
      <c r="E573" s="9" t="e" cm="1">
        <f t="array" aca="1" ref="E573" ca="1">INDEX(INDIRECT($M573),
       MATCH(TRIM($C573), TRIM(INDIRECT($N573)), 0),
       MATCH(TRIM(E$2), TRIM(INDIRECT($O573)), 0))</f>
        <v>#N/A</v>
      </c>
      <c r="F573" s="11" cm="1">
        <f t="array" aca="1" ref="F573" ca="1">INDEX(INDIRECT($M573),
       MATCH(TRIM($C573), TRIM(INDIRECT($N573)), 0),
       MATCH(TRIM(F$2), TRIM(INDIRECT($O573)), 0))</f>
        <v>1076.1801175900002</v>
      </c>
      <c r="G573" s="11" cm="1">
        <f t="array" aca="1" ref="G573" ca="1">INDEX(INDIRECT($M573),
       MATCH(TRIM($C573), TRIM(INDIRECT($N573)), 0),
       MATCH(TRIM(G$2), TRIM(INDIRECT($O573)), 0))</f>
        <v>80</v>
      </c>
      <c r="H573" s="9" t="e" cm="1">
        <f t="array" aca="1" ref="H573" ca="1">INDEX(INDIRECT($M573),
       MATCH(TRIM($C573), TRIM(INDIRECT($N573)), 0),
       MATCH(TRIM(H$2), TRIM(INDIRECT($O573)), 0))</f>
        <v>#N/A</v>
      </c>
      <c r="I573" s="11" cm="1">
        <f t="array" aca="1" ref="I573" ca="1">INDEX(INDIRECT($M573),
       MATCH(TRIM($C573), TRIM(INDIRECT($N573)), 0),
       MATCH(TRIM(I$2), TRIM(INDIRECT($O573)), 0))</f>
        <v>1465.052144125</v>
      </c>
      <c r="J573" s="9" cm="1">
        <f t="array" aca="1" ref="J573" ca="1">INDEX(INDIRECT($M573),
       MATCH(TRIM($C573), TRIM(INDIRECT($N573)), 0),
       MATCH(TRIM(J$2), TRIM(INDIRECT($O573)), 0))</f>
        <v>32</v>
      </c>
      <c r="K573" s="11" cm="1">
        <f t="array" aca="1" ref="K573" ca="1">INDEX(INDIRECT($M573),
       MATCH(TRIM($C573), TRIM(INDIRECT($N573)), 0),
       MATCH(TRIM(K$2), TRIM(INDIRECT($O573)), 0))</f>
        <v>36.26047286</v>
      </c>
      <c r="L573" s="11" cm="1">
        <f t="array" aca="1" ref="L573" ca="1">INDEX(INDIRECT($M573),
       MATCH(TRIM($C573), TRIM(INDIRECT($N573)), 0),
       MATCH(TRIM(L$2), TRIM(INDIRECT($O573)), 0))</f>
        <v>2577.4927345750002</v>
      </c>
      <c r="M573" s="5" t="str">
        <f t="shared" si="24"/>
        <v>'2024'!$N$3:$V$80</v>
      </c>
      <c r="N573" s="5" t="str">
        <f t="shared" si="25"/>
        <v>'2024'!$M$2:$M$80</v>
      </c>
      <c r="O573" s="5" t="str">
        <f t="shared" si="26"/>
        <v>'2024'!$N$2:$W$2</v>
      </c>
    </row>
    <row r="574" spans="1:15" x14ac:dyDescent="0.3">
      <c r="A574">
        <v>5</v>
      </c>
      <c r="B574" s="9">
        <v>2024</v>
      </c>
      <c r="C574" t="s">
        <v>4</v>
      </c>
      <c r="D574" s="11" cm="1">
        <f t="array" aca="1" ref="D574" ca="1">INDEX(INDIRECT($M574),
       MATCH(TRIM($C574), TRIM(INDIRECT($N574)), 0),
       MATCH(TRIM(D$2), TRIM(INDIRECT($O574)), 0))</f>
        <v>54</v>
      </c>
      <c r="E574" s="9" t="e" cm="1">
        <f t="array" aca="1" ref="E574" ca="1">INDEX(INDIRECT($M574),
       MATCH(TRIM($C574), TRIM(INDIRECT($N574)), 0),
       MATCH(TRIM(E$2), TRIM(INDIRECT($O574)), 0))</f>
        <v>#N/A</v>
      </c>
      <c r="F574" s="11" cm="1">
        <f t="array" aca="1" ref="F574" ca="1">INDEX(INDIRECT($M574),
       MATCH(TRIM($C574), TRIM(INDIRECT($N574)), 0),
       MATCH(TRIM(F$2), TRIM(INDIRECT($O574)), 0))</f>
        <v>276.71300889999998</v>
      </c>
      <c r="G574" s="11" cm="1">
        <f t="array" aca="1" ref="G574" ca="1">INDEX(INDIRECT($M574),
       MATCH(TRIM($C574), TRIM(INDIRECT($N574)), 0),
       MATCH(TRIM(G$2), TRIM(INDIRECT($O574)), 0))</f>
        <v>25</v>
      </c>
      <c r="H574" s="9" t="e" cm="1">
        <f t="array" aca="1" ref="H574" ca="1">INDEX(INDIRECT($M574),
       MATCH(TRIM($C574), TRIM(INDIRECT($N574)), 0),
       MATCH(TRIM(H$2), TRIM(INDIRECT($O574)), 0))</f>
        <v>#N/A</v>
      </c>
      <c r="I574" s="11" cm="1">
        <f t="array" aca="1" ref="I574" ca="1">INDEX(INDIRECT($M574),
       MATCH(TRIM($C574), TRIM(INDIRECT($N574)), 0),
       MATCH(TRIM(I$2), TRIM(INDIRECT($O574)), 0))</f>
        <v>454.76243649999998</v>
      </c>
      <c r="J574" s="9" cm="1">
        <f t="array" aca="1" ref="J574" ca="1">INDEX(INDIRECT($M574),
       MATCH(TRIM($C574), TRIM(INDIRECT($N574)), 0),
       MATCH(TRIM(J$2), TRIM(INDIRECT($O574)), 0))</f>
        <v>22</v>
      </c>
      <c r="K574" s="11" cm="1">
        <f t="array" aca="1" ref="K574" ca="1">INDEX(INDIRECT($M574),
       MATCH(TRIM($C574), TRIM(INDIRECT($N574)), 0),
       MATCH(TRIM(K$2), TRIM(INDIRECT($O574)), 0))</f>
        <v>405.85064782000006</v>
      </c>
      <c r="L574" s="11" cm="1">
        <f t="array" aca="1" ref="L574" ca="1">INDEX(INDIRECT($M574),
       MATCH(TRIM($C574), TRIM(INDIRECT($N574)), 0),
       MATCH(TRIM(L$2), TRIM(INDIRECT($O574)), 0))</f>
        <v>1137.3260932200001</v>
      </c>
      <c r="M574" s="5" t="str">
        <f t="shared" si="24"/>
        <v>'2024'!$N$3:$V$80</v>
      </c>
      <c r="N574" s="5" t="str">
        <f t="shared" si="25"/>
        <v>'2024'!$M$2:$M$80</v>
      </c>
      <c r="O574" s="5" t="str">
        <f t="shared" si="26"/>
        <v>'2024'!$N$2:$W$2</v>
      </c>
    </row>
    <row r="575" spans="1:15" x14ac:dyDescent="0.3">
      <c r="A575">
        <v>6</v>
      </c>
      <c r="B575" s="9">
        <v>2024</v>
      </c>
      <c r="C575" t="s">
        <v>5</v>
      </c>
      <c r="D575" s="11" cm="1">
        <f t="array" aca="1" ref="D575" ca="1">INDEX(INDIRECT($M575),
       MATCH(TRIM($C575), TRIM(INDIRECT($N575)), 0),
       MATCH(TRIM(D$2), TRIM(INDIRECT($O575)), 0))</f>
        <v>13</v>
      </c>
      <c r="E575" s="9" t="e" cm="1">
        <f t="array" aca="1" ref="E575" ca="1">INDEX(INDIRECT($M575),
       MATCH(TRIM($C575), TRIM(INDIRECT($N575)), 0),
       MATCH(TRIM(E$2), TRIM(INDIRECT($O575)), 0))</f>
        <v>#N/A</v>
      </c>
      <c r="F575" s="11" cm="1">
        <f t="array" aca="1" ref="F575" ca="1">INDEX(INDIRECT($M575),
       MATCH(TRIM($C575), TRIM(INDIRECT($N575)), 0),
       MATCH(TRIM(F$2), TRIM(INDIRECT($O575)), 0))</f>
        <v>76.8</v>
      </c>
      <c r="G575" s="11" cm="1">
        <f t="array" aca="1" ref="G575" ca="1">INDEX(INDIRECT($M575),
       MATCH(TRIM($C575), TRIM(INDIRECT($N575)), 0),
       MATCH(TRIM(G$2), TRIM(INDIRECT($O575)), 0))</f>
        <v>14</v>
      </c>
      <c r="H575" s="9" t="e" cm="1">
        <f t="array" aca="1" ref="H575" ca="1">INDEX(INDIRECT($M575),
       MATCH(TRIM($C575), TRIM(INDIRECT($N575)), 0),
       MATCH(TRIM(H$2), TRIM(INDIRECT($O575)), 0))</f>
        <v>#N/A</v>
      </c>
      <c r="I575" s="11" cm="1">
        <f t="array" aca="1" ref="I575" ca="1">INDEX(INDIRECT($M575),
       MATCH(TRIM($C575), TRIM(INDIRECT($N575)), 0),
       MATCH(TRIM(I$2), TRIM(INDIRECT($O575)), 0))</f>
        <v>138.64266281249999</v>
      </c>
      <c r="J575" s="9" cm="1">
        <f t="array" aca="1" ref="J575" ca="1">INDEX(INDIRECT($M575),
       MATCH(TRIM($C575), TRIM(INDIRECT($N575)), 0),
       MATCH(TRIM(J$2), TRIM(INDIRECT($O575)), 0))</f>
        <v>2</v>
      </c>
      <c r="K575" s="11" cm="1">
        <f t="array" aca="1" ref="K575" ca="1">INDEX(INDIRECT($M575),
       MATCH(TRIM($C575), TRIM(INDIRECT($N575)), 0),
       MATCH(TRIM(K$2), TRIM(INDIRECT($O575)), 0))</f>
        <v>0.35981907000000002</v>
      </c>
      <c r="L575" s="11" cm="1">
        <f t="array" aca="1" ref="L575" ca="1">INDEX(INDIRECT($M575),
       MATCH(TRIM($C575), TRIM(INDIRECT($N575)), 0),
       MATCH(TRIM(L$2), TRIM(INDIRECT($O575)), 0))</f>
        <v>215.80248188249996</v>
      </c>
      <c r="M575" s="5" t="str">
        <f t="shared" si="24"/>
        <v>'2024'!$N$3:$V$80</v>
      </c>
      <c r="N575" s="5" t="str">
        <f t="shared" si="25"/>
        <v>'2024'!$M$2:$M$80</v>
      </c>
      <c r="O575" s="5" t="str">
        <f t="shared" si="26"/>
        <v>'2024'!$N$2:$W$2</v>
      </c>
    </row>
    <row r="576" spans="1:15" x14ac:dyDescent="0.3">
      <c r="A576">
        <v>7</v>
      </c>
      <c r="B576" s="9">
        <v>2024</v>
      </c>
      <c r="C576" t="s">
        <v>6</v>
      </c>
      <c r="D576" s="11" cm="1">
        <f t="array" aca="1" ref="D576" ca="1">INDEX(INDIRECT($M576),
       MATCH(TRIM($C576), TRIM(INDIRECT($N576)), 0),
       MATCH(TRIM(D$2), TRIM(INDIRECT($O576)), 0))</f>
        <v>39</v>
      </c>
      <c r="E576" s="9" t="e" cm="1">
        <f t="array" aca="1" ref="E576" ca="1">INDEX(INDIRECT($M576),
       MATCH(TRIM($C576), TRIM(INDIRECT($N576)), 0),
       MATCH(TRIM(E$2), TRIM(INDIRECT($O576)), 0))</f>
        <v>#N/A</v>
      </c>
      <c r="F576" s="11" cm="1">
        <f t="array" aca="1" ref="F576" ca="1">INDEX(INDIRECT($M576),
       MATCH(TRIM($C576), TRIM(INDIRECT($N576)), 0),
       MATCH(TRIM(F$2), TRIM(INDIRECT($O576)), 0))</f>
        <v>250.47785300000001</v>
      </c>
      <c r="G576" s="11" cm="1">
        <f t="array" aca="1" ref="G576" ca="1">INDEX(INDIRECT($M576),
       MATCH(TRIM($C576), TRIM(INDIRECT($N576)), 0),
       MATCH(TRIM(G$2), TRIM(INDIRECT($O576)), 0))</f>
        <v>29</v>
      </c>
      <c r="H576" s="9" t="e" cm="1">
        <f t="array" aca="1" ref="H576" ca="1">INDEX(INDIRECT($M576),
       MATCH(TRIM($C576), TRIM(INDIRECT($N576)), 0),
       MATCH(TRIM(H$2), TRIM(INDIRECT($O576)), 0))</f>
        <v>#N/A</v>
      </c>
      <c r="I576" s="11" cm="1">
        <f t="array" aca="1" ref="I576" ca="1">INDEX(INDIRECT($M576),
       MATCH(TRIM($C576), TRIM(INDIRECT($N576)), 0),
       MATCH(TRIM(I$2), TRIM(INDIRECT($O576)), 0))</f>
        <v>483.97828531250002</v>
      </c>
      <c r="J576" s="9" cm="1">
        <f t="array" aca="1" ref="J576" ca="1">INDEX(INDIRECT($M576),
       MATCH(TRIM($C576), TRIM(INDIRECT($N576)), 0),
       MATCH(TRIM(J$2), TRIM(INDIRECT($O576)), 0))</f>
        <v>20</v>
      </c>
      <c r="K576" s="11" cm="1">
        <f t="array" aca="1" ref="K576" ca="1">INDEX(INDIRECT($M576),
       MATCH(TRIM($C576), TRIM(INDIRECT($N576)), 0),
       MATCH(TRIM(K$2), TRIM(INDIRECT($O576)), 0))</f>
        <v>29.760122849999998</v>
      </c>
      <c r="L576" s="11" cm="1">
        <f t="array" aca="1" ref="L576" ca="1">INDEX(INDIRECT($M576),
       MATCH(TRIM($C576), TRIM(INDIRECT($N576)), 0),
       MATCH(TRIM(L$2), TRIM(INDIRECT($O576)), 0))</f>
        <v>764.21626116250002</v>
      </c>
      <c r="M576" s="5" t="str">
        <f t="shared" si="24"/>
        <v>'2024'!$N$3:$V$80</v>
      </c>
      <c r="N576" s="5" t="str">
        <f t="shared" si="25"/>
        <v>'2024'!$M$2:$M$80</v>
      </c>
      <c r="O576" s="5" t="str">
        <f t="shared" si="26"/>
        <v>'2024'!$N$2:$W$2</v>
      </c>
    </row>
    <row r="577" spans="1:15" x14ac:dyDescent="0.3">
      <c r="A577">
        <v>8</v>
      </c>
      <c r="B577" s="9">
        <v>2024</v>
      </c>
      <c r="C577" t="s">
        <v>7</v>
      </c>
      <c r="D577" s="11" cm="1">
        <f t="array" aca="1" ref="D577" ca="1">INDEX(INDIRECT($M577),
       MATCH(TRIM($C577), TRIM(INDIRECT($N577)), 0),
       MATCH(TRIM(D$2), TRIM(INDIRECT($O577)), 0))</f>
        <v>20</v>
      </c>
      <c r="E577" s="9" t="e" cm="1">
        <f t="array" aca="1" ref="E577" ca="1">INDEX(INDIRECT($M577),
       MATCH(TRIM($C577), TRIM(INDIRECT($N577)), 0),
       MATCH(TRIM(E$2), TRIM(INDIRECT($O577)), 0))</f>
        <v>#N/A</v>
      </c>
      <c r="F577" s="11" cm="1">
        <f t="array" aca="1" ref="F577" ca="1">INDEX(INDIRECT($M577),
       MATCH(TRIM($C577), TRIM(INDIRECT($N577)), 0),
       MATCH(TRIM(F$2), TRIM(INDIRECT($O577)), 0))</f>
        <v>1533.1411415499999</v>
      </c>
      <c r="G577" s="11" cm="1">
        <f t="array" aca="1" ref="G577" ca="1">INDEX(INDIRECT($M577),
       MATCH(TRIM($C577), TRIM(INDIRECT($N577)), 0),
       MATCH(TRIM(G$2), TRIM(INDIRECT($O577)), 0))</f>
        <v>2</v>
      </c>
      <c r="H577" s="9" t="e" cm="1">
        <f t="array" aca="1" ref="H577" ca="1">INDEX(INDIRECT($M577),
       MATCH(TRIM($C577), TRIM(INDIRECT($N577)), 0),
       MATCH(TRIM(H$2), TRIM(INDIRECT($O577)), 0))</f>
        <v>#N/A</v>
      </c>
      <c r="I577" s="11" cm="1">
        <f t="array" aca="1" ref="I577" ca="1">INDEX(INDIRECT($M577),
       MATCH(TRIM($C577), TRIM(INDIRECT($N577)), 0),
       MATCH(TRIM(I$2), TRIM(INDIRECT($O577)), 0))</f>
        <v>-9.5574569999999994</v>
      </c>
      <c r="J577" s="9" cm="1">
        <f t="array" aca="1" ref="J577" ca="1">INDEX(INDIRECT($M577),
       MATCH(TRIM($C577), TRIM(INDIRECT($N577)), 0),
       MATCH(TRIM(J$2), TRIM(INDIRECT($O577)), 0))</f>
        <v>4</v>
      </c>
      <c r="K577" s="11" cm="1">
        <f t="array" aca="1" ref="K577" ca="1">INDEX(INDIRECT($M577),
       MATCH(TRIM($C577), TRIM(INDIRECT($N577)), 0),
       MATCH(TRIM(K$2), TRIM(INDIRECT($O577)), 0))</f>
        <v>11.968528529999999</v>
      </c>
      <c r="L577" s="11" cm="1">
        <f t="array" aca="1" ref="L577" ca="1">INDEX(INDIRECT($M577),
       MATCH(TRIM($C577), TRIM(INDIRECT($N577)), 0),
       MATCH(TRIM(L$2), TRIM(INDIRECT($O577)), 0))</f>
        <v>1535.5522130799998</v>
      </c>
      <c r="M577" s="5" t="str">
        <f t="shared" si="24"/>
        <v>'2024'!$N$3:$V$80</v>
      </c>
      <c r="N577" s="5" t="str">
        <f t="shared" si="25"/>
        <v>'2024'!$M$2:$M$80</v>
      </c>
      <c r="O577" s="5" t="str">
        <f t="shared" si="26"/>
        <v>'2024'!$N$2:$W$2</v>
      </c>
    </row>
    <row r="578" spans="1:15" x14ac:dyDescent="0.3">
      <c r="A578">
        <v>9</v>
      </c>
      <c r="B578" s="9">
        <v>2024</v>
      </c>
      <c r="C578" t="s">
        <v>8</v>
      </c>
      <c r="D578" s="11" cm="1">
        <f t="array" aca="1" ref="D578" ca="1">INDEX(INDIRECT($M578),
       MATCH(TRIM($C578), TRIM(INDIRECT($N578)), 0),
       MATCH(TRIM(D$2), TRIM(INDIRECT($O578)), 0))</f>
        <v>14</v>
      </c>
      <c r="E578" s="9" t="e" cm="1">
        <f t="array" aca="1" ref="E578" ca="1">INDEX(INDIRECT($M578),
       MATCH(TRIM($C578), TRIM(INDIRECT($N578)), 0),
       MATCH(TRIM(E$2), TRIM(INDIRECT($O578)), 0))</f>
        <v>#N/A</v>
      </c>
      <c r="F578" s="11" cm="1">
        <f t="array" aca="1" ref="F578" ca="1">INDEX(INDIRECT($M578),
       MATCH(TRIM($C578), TRIM(INDIRECT($N578)), 0),
       MATCH(TRIM(F$2), TRIM(INDIRECT($O578)), 0))</f>
        <v>85.18</v>
      </c>
      <c r="G578" s="11" cm="1">
        <f t="array" aca="1" ref="G578" ca="1">INDEX(INDIRECT($M578),
       MATCH(TRIM($C578), TRIM(INDIRECT($N578)), 0),
       MATCH(TRIM(G$2), TRIM(INDIRECT($O578)), 0))</f>
        <v>13</v>
      </c>
      <c r="H578" s="9" t="e" cm="1">
        <f t="array" aca="1" ref="H578" ca="1">INDEX(INDIRECT($M578),
       MATCH(TRIM($C578), TRIM(INDIRECT($N578)), 0),
       MATCH(TRIM(H$2), TRIM(INDIRECT($O578)), 0))</f>
        <v>#N/A</v>
      </c>
      <c r="I578" s="11" cm="1">
        <f t="array" aca="1" ref="I578" ca="1">INDEX(INDIRECT($M578),
       MATCH(TRIM($C578), TRIM(INDIRECT($N578)), 0),
       MATCH(TRIM(I$2), TRIM(INDIRECT($O578)), 0))</f>
        <v>283.625061625</v>
      </c>
      <c r="J578" s="9" cm="1">
        <f t="array" aca="1" ref="J578" ca="1">INDEX(INDIRECT($M578),
       MATCH(TRIM($C578), TRIM(INDIRECT($N578)), 0),
       MATCH(TRIM(J$2), TRIM(INDIRECT($O578)), 0))</f>
        <v>0</v>
      </c>
      <c r="K578" s="11" cm="1">
        <f t="array" aca="1" ref="K578" ca="1">INDEX(INDIRECT($M578),
       MATCH(TRIM($C578), TRIM(INDIRECT($N578)), 0),
       MATCH(TRIM(K$2), TRIM(INDIRECT($O578)), 0))</f>
        <v>0</v>
      </c>
      <c r="L578" s="11" cm="1">
        <f t="array" aca="1" ref="L578" ca="1">INDEX(INDIRECT($M578),
       MATCH(TRIM($C578), TRIM(INDIRECT($N578)), 0),
       MATCH(TRIM(L$2), TRIM(INDIRECT($O578)), 0))</f>
        <v>368.80506162500001</v>
      </c>
      <c r="M578" s="5" t="str">
        <f t="shared" si="24"/>
        <v>'2024'!$N$3:$V$80</v>
      </c>
      <c r="N578" s="5" t="str">
        <f t="shared" si="25"/>
        <v>'2024'!$M$2:$M$80</v>
      </c>
      <c r="O578" s="5" t="str">
        <f t="shared" si="26"/>
        <v>'2024'!$N$2:$W$2</v>
      </c>
    </row>
    <row r="579" spans="1:15" x14ac:dyDescent="0.3">
      <c r="A579">
        <v>10</v>
      </c>
      <c r="B579" s="9">
        <v>2024</v>
      </c>
      <c r="C579" t="s">
        <v>9</v>
      </c>
      <c r="D579" s="11" cm="1">
        <f t="array" aca="1" ref="D579" ca="1">INDEX(INDIRECT($M579),
       MATCH(TRIM($C579), TRIM(INDIRECT($N579)), 0),
       MATCH(TRIM(D$2), TRIM(INDIRECT($O579)), 0))</f>
        <v>59</v>
      </c>
      <c r="E579" s="9" t="e" cm="1">
        <f t="array" aca="1" ref="E579" ca="1">INDEX(INDIRECT($M579),
       MATCH(TRIM($C579), TRIM(INDIRECT($N579)), 0),
       MATCH(TRIM(E$2), TRIM(INDIRECT($O579)), 0))</f>
        <v>#N/A</v>
      </c>
      <c r="F579" s="11" cm="1">
        <f t="array" aca="1" ref="F579" ca="1">INDEX(INDIRECT($M579),
       MATCH(TRIM($C579), TRIM(INDIRECT($N579)), 0),
       MATCH(TRIM(F$2), TRIM(INDIRECT($O579)), 0))</f>
        <v>273.47797200000002</v>
      </c>
      <c r="G579" s="11" cm="1">
        <f t="array" aca="1" ref="G579" ca="1">INDEX(INDIRECT($M579),
       MATCH(TRIM($C579), TRIM(INDIRECT($N579)), 0),
       MATCH(TRIM(G$2), TRIM(INDIRECT($O579)), 0))</f>
        <v>46</v>
      </c>
      <c r="H579" s="9" t="e" cm="1">
        <f t="array" aca="1" ref="H579" ca="1">INDEX(INDIRECT($M579),
       MATCH(TRIM($C579), TRIM(INDIRECT($N579)), 0),
       MATCH(TRIM(H$2), TRIM(INDIRECT($O579)), 0))</f>
        <v>#N/A</v>
      </c>
      <c r="I579" s="11" cm="1">
        <f t="array" aca="1" ref="I579" ca="1">INDEX(INDIRECT($M579),
       MATCH(TRIM($C579), TRIM(INDIRECT($N579)), 0),
       MATCH(TRIM(I$2), TRIM(INDIRECT($O579)), 0))</f>
        <v>108.28722462011719</v>
      </c>
      <c r="J579" s="9" cm="1">
        <f t="array" aca="1" ref="J579" ca="1">INDEX(INDIRECT($M579),
       MATCH(TRIM($C579), TRIM(INDIRECT($N579)), 0),
       MATCH(TRIM(J$2), TRIM(INDIRECT($O579)), 0))</f>
        <v>25</v>
      </c>
      <c r="K579" s="11" cm="1">
        <f t="array" aca="1" ref="K579" ca="1">INDEX(INDIRECT($M579),
       MATCH(TRIM($C579), TRIM(INDIRECT($N579)), 0),
       MATCH(TRIM(K$2), TRIM(INDIRECT($O579)), 0))</f>
        <v>11.559325130000003</v>
      </c>
      <c r="L579" s="11" cm="1">
        <f t="array" aca="1" ref="L579" ca="1">INDEX(INDIRECT($M579),
       MATCH(TRIM($C579), TRIM(INDIRECT($N579)), 0),
       MATCH(TRIM(L$2), TRIM(INDIRECT($O579)), 0))</f>
        <v>393.32452175011719</v>
      </c>
      <c r="M579" s="5" t="str">
        <f t="shared" si="24"/>
        <v>'2024'!$N$3:$V$80</v>
      </c>
      <c r="N579" s="5" t="str">
        <f t="shared" si="25"/>
        <v>'2024'!$M$2:$M$80</v>
      </c>
      <c r="O579" s="5" t="str">
        <f t="shared" si="26"/>
        <v>'2024'!$N$2:$W$2</v>
      </c>
    </row>
    <row r="580" spans="1:15" x14ac:dyDescent="0.3">
      <c r="A580">
        <v>11</v>
      </c>
      <c r="B580" s="9">
        <v>2024</v>
      </c>
      <c r="C580" t="s">
        <v>10</v>
      </c>
      <c r="D580" s="11" cm="1">
        <f t="array" aca="1" ref="D580" ca="1">INDEX(INDIRECT($M580),
       MATCH(TRIM($C580), TRIM(INDIRECT($N580)), 0),
       MATCH(TRIM(D$2), TRIM(INDIRECT($O580)), 0))</f>
        <v>30</v>
      </c>
      <c r="E580" s="9" t="e" cm="1">
        <f t="array" aca="1" ref="E580" ca="1">INDEX(INDIRECT($M580),
       MATCH(TRIM($C580), TRIM(INDIRECT($N580)), 0),
       MATCH(TRIM(E$2), TRIM(INDIRECT($O580)), 0))</f>
        <v>#N/A</v>
      </c>
      <c r="F580" s="11" cm="1">
        <f t="array" aca="1" ref="F580" ca="1">INDEX(INDIRECT($M580),
       MATCH(TRIM($C580), TRIM(INDIRECT($N580)), 0),
       MATCH(TRIM(F$2), TRIM(INDIRECT($O580)), 0))</f>
        <v>115.34</v>
      </c>
      <c r="G580" s="11" cm="1">
        <f t="array" aca="1" ref="G580" ca="1">INDEX(INDIRECT($M580),
       MATCH(TRIM($C580), TRIM(INDIRECT($N580)), 0),
       MATCH(TRIM(G$2), TRIM(INDIRECT($O580)), 0))</f>
        <v>8</v>
      </c>
      <c r="H580" s="9" t="e" cm="1">
        <f t="array" aca="1" ref="H580" ca="1">INDEX(INDIRECT($M580),
       MATCH(TRIM($C580), TRIM(INDIRECT($N580)), 0),
       MATCH(TRIM(H$2), TRIM(INDIRECT($O580)), 0))</f>
        <v>#N/A</v>
      </c>
      <c r="I580" s="11" cm="1">
        <f t="array" aca="1" ref="I580" ca="1">INDEX(INDIRECT($M580),
       MATCH(TRIM($C580), TRIM(INDIRECT($N580)), 0),
       MATCH(TRIM(I$2), TRIM(INDIRECT($O580)), 0))</f>
        <v>32.478000000000002</v>
      </c>
      <c r="J580" s="9" cm="1">
        <f t="array" aca="1" ref="J580" ca="1">INDEX(INDIRECT($M580),
       MATCH(TRIM($C580), TRIM(INDIRECT($N580)), 0),
       MATCH(TRIM(J$2), TRIM(INDIRECT($O580)), 0))</f>
        <v>17</v>
      </c>
      <c r="K580" s="11" cm="1">
        <f t="array" aca="1" ref="K580" ca="1">INDEX(INDIRECT($M580),
       MATCH(TRIM($C580), TRIM(INDIRECT($N580)), 0),
       MATCH(TRIM(K$2), TRIM(INDIRECT($O580)), 0))</f>
        <v>2.7905917399999995</v>
      </c>
      <c r="L580" s="11" cm="1">
        <f t="array" aca="1" ref="L580" ca="1">INDEX(INDIRECT($M580),
       MATCH(TRIM($C580), TRIM(INDIRECT($N580)), 0),
       MATCH(TRIM(L$2), TRIM(INDIRECT($O580)), 0))</f>
        <v>150.60859174000001</v>
      </c>
      <c r="M580" s="5" t="str">
        <f t="shared" ref="M580:M632" si="27">_xlfn.CONCAT("'",$B580,"'","!","$N$3:$V$80")</f>
        <v>'2024'!$N$3:$V$80</v>
      </c>
      <c r="N580" s="5" t="str">
        <f t="shared" ref="N580:N632" si="28">_xlfn.CONCAT("'",$B580,"'","!","$M$2:$M$80")</f>
        <v>'2024'!$M$2:$M$80</v>
      </c>
      <c r="O580" s="5" t="str">
        <f t="shared" ref="O580:O632" si="29">_xlfn.CONCAT("'",$B580,"'","!","$N$2:$W$2")</f>
        <v>'2024'!$N$2:$W$2</v>
      </c>
    </row>
    <row r="581" spans="1:15" x14ac:dyDescent="0.3">
      <c r="A581">
        <v>12</v>
      </c>
      <c r="B581" s="9">
        <v>2024</v>
      </c>
      <c r="C581" t="s">
        <v>11</v>
      </c>
      <c r="D581" s="11" cm="1">
        <f t="array" aca="1" ref="D581" ca="1">INDEX(INDIRECT($M581),
       MATCH(TRIM($C581), TRIM(INDIRECT($N581)), 0),
       MATCH(TRIM(D$2), TRIM(INDIRECT($O581)), 0))</f>
        <v>10</v>
      </c>
      <c r="E581" s="9" t="e" cm="1">
        <f t="array" aca="1" ref="E581" ca="1">INDEX(INDIRECT($M581),
       MATCH(TRIM($C581), TRIM(INDIRECT($N581)), 0),
       MATCH(TRIM(E$2), TRIM(INDIRECT($O581)), 0))</f>
        <v>#N/A</v>
      </c>
      <c r="F581" s="11" cm="1">
        <f t="array" aca="1" ref="F581" ca="1">INDEX(INDIRECT($M581),
       MATCH(TRIM($C581), TRIM(INDIRECT($N581)), 0),
       MATCH(TRIM(F$2), TRIM(INDIRECT($O581)), 0))</f>
        <v>482.85700000000003</v>
      </c>
      <c r="G581" s="11" cm="1">
        <f t="array" aca="1" ref="G581" ca="1">INDEX(INDIRECT($M581),
       MATCH(TRIM($C581), TRIM(INDIRECT($N581)), 0),
       MATCH(TRIM(G$2), TRIM(INDIRECT($O581)), 0))</f>
        <v>12</v>
      </c>
      <c r="H581" s="9" t="e" cm="1">
        <f t="array" aca="1" ref="H581" ca="1">INDEX(INDIRECT($M581),
       MATCH(TRIM($C581), TRIM(INDIRECT($N581)), 0),
       MATCH(TRIM(H$2), TRIM(INDIRECT($O581)), 0))</f>
        <v>#N/A</v>
      </c>
      <c r="I581" s="11" cm="1">
        <f t="array" aca="1" ref="I581" ca="1">INDEX(INDIRECT($M581),
       MATCH(TRIM($C581), TRIM(INDIRECT($N581)), 0),
       MATCH(TRIM(I$2), TRIM(INDIRECT($O581)), 0))</f>
        <v>62.870876500000001</v>
      </c>
      <c r="J581" s="9" cm="1">
        <f t="array" aca="1" ref="J581" ca="1">INDEX(INDIRECT($M581),
       MATCH(TRIM($C581), TRIM(INDIRECT($N581)), 0),
       MATCH(TRIM(J$2), TRIM(INDIRECT($O581)), 0))</f>
        <v>2</v>
      </c>
      <c r="K581" s="11" cm="1">
        <f t="array" aca="1" ref="K581" ca="1">INDEX(INDIRECT($M581),
       MATCH(TRIM($C581), TRIM(INDIRECT($N581)), 0),
       MATCH(TRIM(K$2), TRIM(INDIRECT($O581)), 0))</f>
        <v>0.78406619999999994</v>
      </c>
      <c r="L581" s="11" cm="1">
        <f t="array" aca="1" ref="L581" ca="1">INDEX(INDIRECT($M581),
       MATCH(TRIM($C581), TRIM(INDIRECT($N581)), 0),
       MATCH(TRIM(L$2), TRIM(INDIRECT($O581)), 0))</f>
        <v>546.51194269999996</v>
      </c>
      <c r="M581" s="5" t="str">
        <f t="shared" si="27"/>
        <v>'2024'!$N$3:$V$80</v>
      </c>
      <c r="N581" s="5" t="str">
        <f t="shared" si="28"/>
        <v>'2024'!$M$2:$M$80</v>
      </c>
      <c r="O581" s="5" t="str">
        <f t="shared" si="29"/>
        <v>'2024'!$N$2:$W$2</v>
      </c>
    </row>
    <row r="582" spans="1:15" x14ac:dyDescent="0.3">
      <c r="A582">
        <v>13</v>
      </c>
      <c r="B582" s="9">
        <v>2024</v>
      </c>
      <c r="C582" t="s">
        <v>12</v>
      </c>
      <c r="D582" s="11" cm="1">
        <f t="array" aca="1" ref="D582" ca="1">INDEX(INDIRECT($M582),
       MATCH(TRIM($C582), TRIM(INDIRECT($N582)), 0),
       MATCH(TRIM(D$2), TRIM(INDIRECT($O582)), 0))</f>
        <v>19</v>
      </c>
      <c r="E582" s="9" t="e" cm="1">
        <f t="array" aca="1" ref="E582" ca="1">INDEX(INDIRECT($M582),
       MATCH(TRIM($C582), TRIM(INDIRECT($N582)), 0),
       MATCH(TRIM(E$2), TRIM(INDIRECT($O582)), 0))</f>
        <v>#N/A</v>
      </c>
      <c r="F582" s="11" cm="1">
        <f t="array" aca="1" ref="F582" ca="1">INDEX(INDIRECT($M582),
       MATCH(TRIM($C582), TRIM(INDIRECT($N582)), 0),
       MATCH(TRIM(F$2), TRIM(INDIRECT($O582)), 0))</f>
        <v>70.929241000000005</v>
      </c>
      <c r="G582" s="11" cm="1">
        <f t="array" aca="1" ref="G582" ca="1">INDEX(INDIRECT($M582),
       MATCH(TRIM($C582), TRIM(INDIRECT($N582)), 0),
       MATCH(TRIM(G$2), TRIM(INDIRECT($O582)), 0))</f>
        <v>2</v>
      </c>
      <c r="H582" s="9" t="e" cm="1">
        <f t="array" aca="1" ref="H582" ca="1">INDEX(INDIRECT($M582),
       MATCH(TRIM($C582), TRIM(INDIRECT($N582)), 0),
       MATCH(TRIM(H$2), TRIM(INDIRECT($O582)), 0))</f>
        <v>#N/A</v>
      </c>
      <c r="I582" s="11" cm="1">
        <f t="array" aca="1" ref="I582" ca="1">INDEX(INDIRECT($M582),
       MATCH(TRIM($C582), TRIM(INDIRECT($N582)), 0),
       MATCH(TRIM(I$2), TRIM(INDIRECT($O582)), 0))</f>
        <v>94.77</v>
      </c>
      <c r="J582" s="9" cm="1">
        <f t="array" aca="1" ref="J582" ca="1">INDEX(INDIRECT($M582),
       MATCH(TRIM($C582), TRIM(INDIRECT($N582)), 0),
       MATCH(TRIM(J$2), TRIM(INDIRECT($O582)), 0))</f>
        <v>2</v>
      </c>
      <c r="K582" s="11" cm="1">
        <f t="array" aca="1" ref="K582" ca="1">INDEX(INDIRECT($M582),
       MATCH(TRIM($C582), TRIM(INDIRECT($N582)), 0),
       MATCH(TRIM(K$2), TRIM(INDIRECT($O582)), 0))</f>
        <v>1.3528713900000002</v>
      </c>
      <c r="L582" s="11" cm="1">
        <f t="array" aca="1" ref="L582" ca="1">INDEX(INDIRECT($M582),
       MATCH(TRIM($C582), TRIM(INDIRECT($N582)), 0),
       MATCH(TRIM(L$2), TRIM(INDIRECT($O582)), 0))</f>
        <v>167.05211238999999</v>
      </c>
      <c r="M582" s="5" t="str">
        <f t="shared" si="27"/>
        <v>'2024'!$N$3:$V$80</v>
      </c>
      <c r="N582" s="5" t="str">
        <f t="shared" si="28"/>
        <v>'2024'!$M$2:$M$80</v>
      </c>
      <c r="O582" s="5" t="str">
        <f t="shared" si="29"/>
        <v>'2024'!$N$2:$W$2</v>
      </c>
    </row>
    <row r="583" spans="1:15" x14ac:dyDescent="0.3">
      <c r="A583">
        <v>14</v>
      </c>
      <c r="B583" s="9">
        <v>2024</v>
      </c>
      <c r="C583" t="s">
        <v>13</v>
      </c>
      <c r="D583" s="11" cm="1">
        <f t="array" aca="1" ref="D583" ca="1">INDEX(INDIRECT($M583),
       MATCH(TRIM($C583), TRIM(INDIRECT($N583)), 0),
       MATCH(TRIM(D$2), TRIM(INDIRECT($O583)), 0))</f>
        <v>36</v>
      </c>
      <c r="E583" s="9" t="e" cm="1">
        <f t="array" aca="1" ref="E583" ca="1">INDEX(INDIRECT($M583),
       MATCH(TRIM($C583), TRIM(INDIRECT($N583)), 0),
       MATCH(TRIM(E$2), TRIM(INDIRECT($O583)), 0))</f>
        <v>#N/A</v>
      </c>
      <c r="F583" s="11" cm="1">
        <f t="array" aca="1" ref="F583" ca="1">INDEX(INDIRECT($M583),
       MATCH(TRIM($C583), TRIM(INDIRECT($N583)), 0),
       MATCH(TRIM(F$2), TRIM(INDIRECT($O583)), 0))</f>
        <v>23.474592000000001</v>
      </c>
      <c r="G583" s="11" cm="1">
        <f t="array" aca="1" ref="G583" ca="1">INDEX(INDIRECT($M583),
       MATCH(TRIM($C583), TRIM(INDIRECT($N583)), 0),
       MATCH(TRIM(G$2), TRIM(INDIRECT($O583)), 0))</f>
        <v>14</v>
      </c>
      <c r="H583" s="9" t="e" cm="1">
        <f t="array" aca="1" ref="H583" ca="1">INDEX(INDIRECT($M583),
       MATCH(TRIM($C583), TRIM(INDIRECT($N583)), 0),
       MATCH(TRIM(H$2), TRIM(INDIRECT($O583)), 0))</f>
        <v>#N/A</v>
      </c>
      <c r="I583" s="11" cm="1">
        <f t="array" aca="1" ref="I583" ca="1">INDEX(INDIRECT($M583),
       MATCH(TRIM($C583), TRIM(INDIRECT($N583)), 0),
       MATCH(TRIM(I$2), TRIM(INDIRECT($O583)), 0))</f>
        <v>3.7905000000000001E-2</v>
      </c>
      <c r="J583" s="9" cm="1">
        <f t="array" aca="1" ref="J583" ca="1">INDEX(INDIRECT($M583),
       MATCH(TRIM($C583), TRIM(INDIRECT($N583)), 0),
       MATCH(TRIM(J$2), TRIM(INDIRECT($O583)), 0))</f>
        <v>7</v>
      </c>
      <c r="K583" s="11" cm="1">
        <f t="array" aca="1" ref="K583" ca="1">INDEX(INDIRECT($M583),
       MATCH(TRIM($C583), TRIM(INDIRECT($N583)), 0),
       MATCH(TRIM(K$2), TRIM(INDIRECT($O583)), 0))</f>
        <v>0.72645536000000011</v>
      </c>
      <c r="L583" s="11" cm="1">
        <f t="array" aca="1" ref="L583" ca="1">INDEX(INDIRECT($M583),
       MATCH(TRIM($C583), TRIM(INDIRECT($N583)), 0),
       MATCH(TRIM(L$2), TRIM(INDIRECT($O583)), 0))</f>
        <v>24.238952359999999</v>
      </c>
      <c r="M583" s="5" t="str">
        <f t="shared" si="27"/>
        <v>'2024'!$N$3:$V$80</v>
      </c>
      <c r="N583" s="5" t="str">
        <f t="shared" si="28"/>
        <v>'2024'!$M$2:$M$80</v>
      </c>
      <c r="O583" s="5" t="str">
        <f t="shared" si="29"/>
        <v>'2024'!$N$2:$W$2</v>
      </c>
    </row>
    <row r="584" spans="1:15" x14ac:dyDescent="0.3">
      <c r="A584">
        <v>15</v>
      </c>
      <c r="B584" s="9">
        <v>2024</v>
      </c>
      <c r="C584" t="s">
        <v>14</v>
      </c>
      <c r="D584" s="11" cm="1">
        <f t="array" aca="1" ref="D584" ca="1">INDEX(INDIRECT($M584),
       MATCH(TRIM($C584), TRIM(INDIRECT($N584)), 0),
       MATCH(TRIM(D$2), TRIM(INDIRECT($O584)), 0))</f>
        <v>32</v>
      </c>
      <c r="E584" s="9" t="e" cm="1">
        <f t="array" aca="1" ref="E584" ca="1">INDEX(INDIRECT($M584),
       MATCH(TRIM($C584), TRIM(INDIRECT($N584)), 0),
       MATCH(TRIM(E$2), TRIM(INDIRECT($O584)), 0))</f>
        <v>#N/A</v>
      </c>
      <c r="F584" s="11" cm="1">
        <f t="array" aca="1" ref="F584" ca="1">INDEX(INDIRECT($M584),
       MATCH(TRIM($C584), TRIM(INDIRECT($N584)), 0),
       MATCH(TRIM(F$2), TRIM(INDIRECT($O584)), 0))</f>
        <v>543.78744800000004</v>
      </c>
      <c r="G584" s="11" cm="1">
        <f t="array" aca="1" ref="G584" ca="1">INDEX(INDIRECT($M584),
       MATCH(TRIM($C584), TRIM(INDIRECT($N584)), 0),
       MATCH(TRIM(G$2), TRIM(INDIRECT($O584)), 0))</f>
        <v>22</v>
      </c>
      <c r="H584" s="9" t="e" cm="1">
        <f t="array" aca="1" ref="H584" ca="1">INDEX(INDIRECT($M584),
       MATCH(TRIM($C584), TRIM(INDIRECT($N584)), 0),
       MATCH(TRIM(H$2), TRIM(INDIRECT($O584)), 0))</f>
        <v>#N/A</v>
      </c>
      <c r="I584" s="11" cm="1">
        <f t="array" aca="1" ref="I584" ca="1">INDEX(INDIRECT($M584),
       MATCH(TRIM($C584), TRIM(INDIRECT($N584)), 0),
       MATCH(TRIM(I$2), TRIM(INDIRECT($O584)), 0))</f>
        <v>-29.109233</v>
      </c>
      <c r="J584" s="9" cm="1">
        <f t="array" aca="1" ref="J584" ca="1">INDEX(INDIRECT($M584),
       MATCH(TRIM($C584), TRIM(INDIRECT($N584)), 0),
       MATCH(TRIM(J$2), TRIM(INDIRECT($O584)), 0))</f>
        <v>9</v>
      </c>
      <c r="K584" s="11" cm="1">
        <f t="array" aca="1" ref="K584" ca="1">INDEX(INDIRECT($M584),
       MATCH(TRIM($C584), TRIM(INDIRECT($N584)), 0),
       MATCH(TRIM(K$2), TRIM(INDIRECT($O584)), 0))</f>
        <v>1.7362263600000001</v>
      </c>
      <c r="L584" s="11" cm="1">
        <f t="array" aca="1" ref="L584" ca="1">INDEX(INDIRECT($M584),
       MATCH(TRIM($C584), TRIM(INDIRECT($N584)), 0),
       MATCH(TRIM(L$2), TRIM(INDIRECT($O584)), 0))</f>
        <v>516.41444136000007</v>
      </c>
      <c r="M584" s="5" t="str">
        <f t="shared" si="27"/>
        <v>'2024'!$N$3:$V$80</v>
      </c>
      <c r="N584" s="5" t="str">
        <f t="shared" si="28"/>
        <v>'2024'!$M$2:$M$80</v>
      </c>
      <c r="O584" s="5" t="str">
        <f t="shared" si="29"/>
        <v>'2024'!$N$2:$W$2</v>
      </c>
    </row>
    <row r="585" spans="1:15" x14ac:dyDescent="0.3">
      <c r="A585">
        <v>16</v>
      </c>
      <c r="B585" s="9">
        <v>2024</v>
      </c>
      <c r="C585" t="s">
        <v>15</v>
      </c>
      <c r="D585" s="11" cm="1">
        <f t="array" aca="1" ref="D585" ca="1">INDEX(INDIRECT($M585),
       MATCH(TRIM($C585), TRIM(INDIRECT($N585)), 0),
       MATCH(TRIM(D$2), TRIM(INDIRECT($O585)), 0))</f>
        <v>10</v>
      </c>
      <c r="E585" s="9" t="e" cm="1">
        <f t="array" aca="1" ref="E585" ca="1">INDEX(INDIRECT($M585),
       MATCH(TRIM($C585), TRIM(INDIRECT($N585)), 0),
       MATCH(TRIM(E$2), TRIM(INDIRECT($O585)), 0))</f>
        <v>#N/A</v>
      </c>
      <c r="F585" s="11" cm="1">
        <f t="array" aca="1" ref="F585" ca="1">INDEX(INDIRECT($M585),
       MATCH(TRIM($C585), TRIM(INDIRECT($N585)), 0),
       MATCH(TRIM(F$2), TRIM(INDIRECT($O585)), 0))</f>
        <v>42.608328390000004</v>
      </c>
      <c r="G585" s="11" cm="1">
        <f t="array" aca="1" ref="G585" ca="1">INDEX(INDIRECT($M585),
       MATCH(TRIM($C585), TRIM(INDIRECT($N585)), 0),
       MATCH(TRIM(G$2), TRIM(INDIRECT($O585)), 0))</f>
        <v>22</v>
      </c>
      <c r="H585" s="9" t="e" cm="1">
        <f t="array" aca="1" ref="H585" ca="1">INDEX(INDIRECT($M585),
       MATCH(TRIM($C585), TRIM(INDIRECT($N585)), 0),
       MATCH(TRIM(H$2), TRIM(INDIRECT($O585)), 0))</f>
        <v>#N/A</v>
      </c>
      <c r="I585" s="11" cm="1">
        <f t="array" aca="1" ref="I585" ca="1">INDEX(INDIRECT($M585),
       MATCH(TRIM($C585), TRIM(INDIRECT($N585)), 0),
       MATCH(TRIM(I$2), TRIM(INDIRECT($O585)), 0))</f>
        <v>50.849106726562503</v>
      </c>
      <c r="J585" s="9" cm="1">
        <f t="array" aca="1" ref="J585" ca="1">INDEX(INDIRECT($M585),
       MATCH(TRIM($C585), TRIM(INDIRECT($N585)), 0),
       MATCH(TRIM(J$2), TRIM(INDIRECT($O585)), 0))</f>
        <v>5</v>
      </c>
      <c r="K585" s="11" cm="1">
        <f t="array" aca="1" ref="K585" ca="1">INDEX(INDIRECT($M585),
       MATCH(TRIM($C585), TRIM(INDIRECT($N585)), 0),
       MATCH(TRIM(K$2), TRIM(INDIRECT($O585)), 0))</f>
        <v>4.3655520700000006</v>
      </c>
      <c r="L585" s="11" cm="1">
        <f t="array" aca="1" ref="L585" ca="1">INDEX(INDIRECT($M585),
       MATCH(TRIM($C585), TRIM(INDIRECT($N585)), 0),
       MATCH(TRIM(L$2), TRIM(INDIRECT($O585)), 0))</f>
        <v>97.822987186562514</v>
      </c>
      <c r="M585" s="5" t="str">
        <f t="shared" si="27"/>
        <v>'2024'!$N$3:$V$80</v>
      </c>
      <c r="N585" s="5" t="str">
        <f t="shared" si="28"/>
        <v>'2024'!$M$2:$M$80</v>
      </c>
      <c r="O585" s="5" t="str">
        <f t="shared" si="29"/>
        <v>'2024'!$N$2:$W$2</v>
      </c>
    </row>
    <row r="586" spans="1:15" x14ac:dyDescent="0.3">
      <c r="A586">
        <v>17</v>
      </c>
      <c r="B586" s="9">
        <v>2024</v>
      </c>
      <c r="C586" t="s">
        <v>16</v>
      </c>
      <c r="D586" s="11" cm="1">
        <f t="array" aca="1" ref="D586" ca="1">INDEX(INDIRECT($M586),
       MATCH(TRIM($C586), TRIM(INDIRECT($N586)), 0),
       MATCH(TRIM(D$2), TRIM(INDIRECT($O586)), 0))</f>
        <v>3</v>
      </c>
      <c r="E586" s="9" t="e" cm="1">
        <f t="array" aca="1" ref="E586" ca="1">INDEX(INDIRECT($M586),
       MATCH(TRIM($C586), TRIM(INDIRECT($N586)), 0),
       MATCH(TRIM(E$2), TRIM(INDIRECT($O586)), 0))</f>
        <v>#N/A</v>
      </c>
      <c r="F586" s="11" cm="1">
        <f t="array" aca="1" ref="F586" ca="1">INDEX(INDIRECT($M586),
       MATCH(TRIM($C586), TRIM(INDIRECT($N586)), 0),
       MATCH(TRIM(F$2), TRIM(INDIRECT($O586)), 0))</f>
        <v>24</v>
      </c>
      <c r="G586" s="11" cm="1">
        <f t="array" aca="1" ref="G586" ca="1">INDEX(INDIRECT($M586),
       MATCH(TRIM($C586), TRIM(INDIRECT($N586)), 0),
       MATCH(TRIM(G$2), TRIM(INDIRECT($O586)), 0))</f>
        <v>3</v>
      </c>
      <c r="H586" s="9" t="e" cm="1">
        <f t="array" aca="1" ref="H586" ca="1">INDEX(INDIRECT($M586),
       MATCH(TRIM($C586), TRIM(INDIRECT($N586)), 0),
       MATCH(TRIM(H$2), TRIM(INDIRECT($O586)), 0))</f>
        <v>#N/A</v>
      </c>
      <c r="I586" s="11" cm="1">
        <f t="array" aca="1" ref="I586" ca="1">INDEX(INDIRECT($M586),
       MATCH(TRIM($C586), TRIM(INDIRECT($N586)), 0),
       MATCH(TRIM(I$2), TRIM(INDIRECT($O586)), 0))</f>
        <v>13.12</v>
      </c>
      <c r="J586" s="9" cm="1">
        <f t="array" aca="1" ref="J586" ca="1">INDEX(INDIRECT($M586),
       MATCH(TRIM($C586), TRIM(INDIRECT($N586)), 0),
       MATCH(TRIM(J$2), TRIM(INDIRECT($O586)), 0))</f>
        <v>1</v>
      </c>
      <c r="K586" s="11" cm="1">
        <f t="array" aca="1" ref="K586" ca="1">INDEX(INDIRECT($M586),
       MATCH(TRIM($C586), TRIM(INDIRECT($N586)), 0),
       MATCH(TRIM(K$2), TRIM(INDIRECT($O586)), 0))</f>
        <v>8.238928999999999E-2</v>
      </c>
      <c r="L586" s="11" cm="1">
        <f t="array" aca="1" ref="L586" ca="1">INDEX(INDIRECT($M586),
       MATCH(TRIM($C586), TRIM(INDIRECT($N586)), 0),
       MATCH(TRIM(L$2), TRIM(INDIRECT($O586)), 0))</f>
        <v>37.202389289999999</v>
      </c>
      <c r="M586" s="5" t="str">
        <f t="shared" si="27"/>
        <v>'2024'!$N$3:$V$80</v>
      </c>
      <c r="N586" s="5" t="str">
        <f t="shared" si="28"/>
        <v>'2024'!$M$2:$M$80</v>
      </c>
      <c r="O586" s="5" t="str">
        <f t="shared" si="29"/>
        <v>'2024'!$N$2:$W$2</v>
      </c>
    </row>
    <row r="587" spans="1:15" x14ac:dyDescent="0.3">
      <c r="A587">
        <v>18</v>
      </c>
      <c r="B587" s="9">
        <v>2024</v>
      </c>
      <c r="C587" t="s">
        <v>17</v>
      </c>
      <c r="D587" s="11" cm="1">
        <f t="array" aca="1" ref="D587" ca="1">INDEX(INDIRECT($M587),
       MATCH(TRIM($C587), TRIM(INDIRECT($N587)), 0),
       MATCH(TRIM(D$2), TRIM(INDIRECT($O587)), 0))</f>
        <v>15</v>
      </c>
      <c r="E587" s="9" t="e" cm="1">
        <f t="array" aca="1" ref="E587" ca="1">INDEX(INDIRECT($M587),
       MATCH(TRIM($C587), TRIM(INDIRECT($N587)), 0),
       MATCH(TRIM(E$2), TRIM(INDIRECT($O587)), 0))</f>
        <v>#N/A</v>
      </c>
      <c r="F587" s="11" cm="1">
        <f t="array" aca="1" ref="F587" ca="1">INDEX(INDIRECT($M587),
       MATCH(TRIM($C587), TRIM(INDIRECT($N587)), 0),
       MATCH(TRIM(F$2), TRIM(INDIRECT($O587)), 0))</f>
        <v>183.90543700000001</v>
      </c>
      <c r="G587" s="11" cm="1">
        <f t="array" aca="1" ref="G587" ca="1">INDEX(INDIRECT($M587),
       MATCH(TRIM($C587), TRIM(INDIRECT($N587)), 0),
       MATCH(TRIM(G$2), TRIM(INDIRECT($O587)), 0))</f>
        <v>1</v>
      </c>
      <c r="H587" s="9" t="e" cm="1">
        <f t="array" aca="1" ref="H587" ca="1">INDEX(INDIRECT($M587),
       MATCH(TRIM($C587), TRIM(INDIRECT($N587)), 0),
       MATCH(TRIM(H$2), TRIM(INDIRECT($O587)), 0))</f>
        <v>#N/A</v>
      </c>
      <c r="I587" s="11" cm="1">
        <f t="array" aca="1" ref="I587" ca="1">INDEX(INDIRECT($M587),
       MATCH(TRIM($C587), TRIM(INDIRECT($N587)), 0),
       MATCH(TRIM(I$2), TRIM(INDIRECT($O587)), 0))</f>
        <v>0.5</v>
      </c>
      <c r="J587" s="9" cm="1">
        <f t="array" aca="1" ref="J587" ca="1">INDEX(INDIRECT($M587),
       MATCH(TRIM($C587), TRIM(INDIRECT($N587)), 0),
       MATCH(TRIM(J$2), TRIM(INDIRECT($O587)), 0))</f>
        <v>1</v>
      </c>
      <c r="K587" s="11" cm="1">
        <f t="array" aca="1" ref="K587" ca="1">INDEX(INDIRECT($M587),
       MATCH(TRIM($C587), TRIM(INDIRECT($N587)), 0),
       MATCH(TRIM(K$2), TRIM(INDIRECT($O587)), 0))</f>
        <v>0.57509600000000005</v>
      </c>
      <c r="L587" s="11" cm="1">
        <f t="array" aca="1" ref="L587" ca="1">INDEX(INDIRECT($M587),
       MATCH(TRIM($C587), TRIM(INDIRECT($N587)), 0),
       MATCH(TRIM(L$2), TRIM(INDIRECT($O587)), 0))</f>
        <v>184.98053300000001</v>
      </c>
      <c r="M587" s="5" t="str">
        <f t="shared" si="27"/>
        <v>'2024'!$N$3:$V$80</v>
      </c>
      <c r="N587" s="5" t="str">
        <f t="shared" si="28"/>
        <v>'2024'!$M$2:$M$80</v>
      </c>
      <c r="O587" s="5" t="str">
        <f t="shared" si="29"/>
        <v>'2024'!$N$2:$W$2</v>
      </c>
    </row>
    <row r="588" spans="1:15" x14ac:dyDescent="0.3">
      <c r="A588">
        <v>19</v>
      </c>
      <c r="B588" s="9">
        <v>2024</v>
      </c>
      <c r="C588" t="s">
        <v>18</v>
      </c>
      <c r="D588" s="11" cm="1">
        <f t="array" aca="1" ref="D588" ca="1">INDEX(INDIRECT($M588),
       MATCH(TRIM($C588), TRIM(INDIRECT($N588)), 0),
       MATCH(TRIM(D$2), TRIM(INDIRECT($O588)), 0))</f>
        <v>12</v>
      </c>
      <c r="E588" s="9" t="e" cm="1">
        <f t="array" aca="1" ref="E588" ca="1">INDEX(INDIRECT($M588),
       MATCH(TRIM($C588), TRIM(INDIRECT($N588)), 0),
       MATCH(TRIM(E$2), TRIM(INDIRECT($O588)), 0))</f>
        <v>#N/A</v>
      </c>
      <c r="F588" s="11" cm="1">
        <f t="array" aca="1" ref="F588" ca="1">INDEX(INDIRECT($M588),
       MATCH(TRIM($C588), TRIM(INDIRECT($N588)), 0),
       MATCH(TRIM(F$2), TRIM(INDIRECT($O588)), 0))</f>
        <v>71.133335000000002</v>
      </c>
      <c r="G588" s="11" cm="1">
        <f t="array" aca="1" ref="G588" ca="1">INDEX(INDIRECT($M588),
       MATCH(TRIM($C588), TRIM(INDIRECT($N588)), 0),
       MATCH(TRIM(G$2), TRIM(INDIRECT($O588)), 0))</f>
        <v>7</v>
      </c>
      <c r="H588" s="9" t="e" cm="1">
        <f t="array" aca="1" ref="H588" ca="1">INDEX(INDIRECT($M588),
       MATCH(TRIM($C588), TRIM(INDIRECT($N588)), 0),
       MATCH(TRIM(H$2), TRIM(INDIRECT($O588)), 0))</f>
        <v>#N/A</v>
      </c>
      <c r="I588" s="11" cm="1">
        <f t="array" aca="1" ref="I588" ca="1">INDEX(INDIRECT($M588),
       MATCH(TRIM($C588), TRIM(INDIRECT($N588)), 0),
       MATCH(TRIM(I$2), TRIM(INDIRECT($O588)), 0))</f>
        <v>-0.14522237499999999</v>
      </c>
      <c r="J588" s="9" cm="1">
        <f t="array" aca="1" ref="J588" ca="1">INDEX(INDIRECT($M588),
       MATCH(TRIM($C588), TRIM(INDIRECT($N588)), 0),
       MATCH(TRIM(J$2), TRIM(INDIRECT($O588)), 0))</f>
        <v>1</v>
      </c>
      <c r="K588" s="11" cm="1">
        <f t="array" aca="1" ref="K588" ca="1">INDEX(INDIRECT($M588),
       MATCH(TRIM($C588), TRIM(INDIRECT($N588)), 0),
       MATCH(TRIM(K$2), TRIM(INDIRECT($O588)), 0))</f>
        <v>0.64991876000000004</v>
      </c>
      <c r="L588" s="11" cm="1">
        <f t="array" aca="1" ref="L588" ca="1">INDEX(INDIRECT($M588),
       MATCH(TRIM($C588), TRIM(INDIRECT($N588)), 0),
       MATCH(TRIM(L$2), TRIM(INDIRECT($O588)), 0))</f>
        <v>71.638031385000005</v>
      </c>
      <c r="M588" s="5" t="str">
        <f t="shared" si="27"/>
        <v>'2024'!$N$3:$V$80</v>
      </c>
      <c r="N588" s="5" t="str">
        <f t="shared" si="28"/>
        <v>'2024'!$M$2:$M$80</v>
      </c>
      <c r="O588" s="5" t="str">
        <f t="shared" si="29"/>
        <v>'2024'!$N$2:$W$2</v>
      </c>
    </row>
    <row r="589" spans="1:15" x14ac:dyDescent="0.3">
      <c r="A589">
        <v>20</v>
      </c>
      <c r="B589" s="9">
        <v>2024</v>
      </c>
      <c r="C589" t="s">
        <v>19</v>
      </c>
      <c r="D589" s="11" cm="1">
        <f t="array" aca="1" ref="D589" ca="1">INDEX(INDIRECT($M589),
       MATCH(TRIM($C589), TRIM(INDIRECT($N589)), 0),
       MATCH(TRIM(D$2), TRIM(INDIRECT($O589)), 0))</f>
        <v>8</v>
      </c>
      <c r="E589" s="9" t="e" cm="1">
        <f t="array" aca="1" ref="E589" ca="1">INDEX(INDIRECT($M589),
       MATCH(TRIM($C589), TRIM(INDIRECT($N589)), 0),
       MATCH(TRIM(E$2), TRIM(INDIRECT($O589)), 0))</f>
        <v>#N/A</v>
      </c>
      <c r="F589" s="11" cm="1">
        <f t="array" aca="1" ref="F589" ca="1">INDEX(INDIRECT($M589),
       MATCH(TRIM($C589), TRIM(INDIRECT($N589)), 0),
       MATCH(TRIM(F$2), TRIM(INDIRECT($O589)), 0))</f>
        <v>33.167254999999997</v>
      </c>
      <c r="G589" s="11" cm="1">
        <f t="array" aca="1" ref="G589" ca="1">INDEX(INDIRECT($M589),
       MATCH(TRIM($C589), TRIM(INDIRECT($N589)), 0),
       MATCH(TRIM(G$2), TRIM(INDIRECT($O589)), 0))</f>
        <v>0</v>
      </c>
      <c r="H589" s="9" t="e" cm="1">
        <f t="array" aca="1" ref="H589" ca="1">INDEX(INDIRECT($M589),
       MATCH(TRIM($C589), TRIM(INDIRECT($N589)), 0),
       MATCH(TRIM(H$2), TRIM(INDIRECT($O589)), 0))</f>
        <v>#N/A</v>
      </c>
      <c r="I589" s="11" cm="1">
        <f t="array" aca="1" ref="I589" ca="1">INDEX(INDIRECT($M589),
       MATCH(TRIM($C589), TRIM(INDIRECT($N589)), 0),
       MATCH(TRIM(I$2), TRIM(INDIRECT($O589)), 0))</f>
        <v>0</v>
      </c>
      <c r="J589" s="9" cm="1">
        <f t="array" aca="1" ref="J589" ca="1">INDEX(INDIRECT($M589),
       MATCH(TRIM($C589), TRIM(INDIRECT($N589)), 0),
       MATCH(TRIM(J$2), TRIM(INDIRECT($O589)), 0))</f>
        <v>3</v>
      </c>
      <c r="K589" s="11" cm="1">
        <f t="array" aca="1" ref="K589" ca="1">INDEX(INDIRECT($M589),
       MATCH(TRIM($C589), TRIM(INDIRECT($N589)), 0),
       MATCH(TRIM(K$2), TRIM(INDIRECT($O589)), 0))</f>
        <v>0.29403319</v>
      </c>
      <c r="L589" s="11" cm="1">
        <f t="array" aca="1" ref="L589" ca="1">INDEX(INDIRECT($M589),
       MATCH(TRIM($C589), TRIM(INDIRECT($N589)), 0),
       MATCH(TRIM(L$2), TRIM(INDIRECT($O589)), 0))</f>
        <v>33.461288189999998</v>
      </c>
      <c r="M589" s="5" t="str">
        <f t="shared" si="27"/>
        <v>'2024'!$N$3:$V$80</v>
      </c>
      <c r="N589" s="5" t="str">
        <f t="shared" si="28"/>
        <v>'2024'!$M$2:$M$80</v>
      </c>
      <c r="O589" s="5" t="str">
        <f t="shared" si="29"/>
        <v>'2024'!$N$2:$W$2</v>
      </c>
    </row>
    <row r="590" spans="1:15" x14ac:dyDescent="0.3">
      <c r="A590">
        <v>21</v>
      </c>
      <c r="B590" s="9">
        <v>2024</v>
      </c>
      <c r="C590" t="s">
        <v>20</v>
      </c>
      <c r="D590" s="11" cm="1">
        <f t="array" aca="1" ref="D590" ca="1">INDEX(INDIRECT($M590),
       MATCH(TRIM($C590), TRIM(INDIRECT($N590)), 0),
       MATCH(TRIM(D$2), TRIM(INDIRECT($O590)), 0))</f>
        <v>3</v>
      </c>
      <c r="E590" s="9" t="e" cm="1">
        <f t="array" aca="1" ref="E590" ca="1">INDEX(INDIRECT($M590),
       MATCH(TRIM($C590), TRIM(INDIRECT($N590)), 0),
       MATCH(TRIM(E$2), TRIM(INDIRECT($O590)), 0))</f>
        <v>#N/A</v>
      </c>
      <c r="F590" s="11" cm="1">
        <f t="array" aca="1" ref="F590" ca="1">INDEX(INDIRECT($M590),
       MATCH(TRIM($C590), TRIM(INDIRECT($N590)), 0),
       MATCH(TRIM(F$2), TRIM(INDIRECT($O590)), 0))</f>
        <v>48</v>
      </c>
      <c r="G590" s="11" cm="1">
        <f t="array" aca="1" ref="G590" ca="1">INDEX(INDIRECT($M590),
       MATCH(TRIM($C590), TRIM(INDIRECT($N590)), 0),
       MATCH(TRIM(G$2), TRIM(INDIRECT($O590)), 0))</f>
        <v>3</v>
      </c>
      <c r="H590" s="9" t="e" cm="1">
        <f t="array" aca="1" ref="H590" ca="1">INDEX(INDIRECT($M590),
       MATCH(TRIM($C590), TRIM(INDIRECT($N590)), 0),
       MATCH(TRIM(H$2), TRIM(INDIRECT($O590)), 0))</f>
        <v>#N/A</v>
      </c>
      <c r="I590" s="11" cm="1">
        <f t="array" aca="1" ref="I590" ca="1">INDEX(INDIRECT($M590),
       MATCH(TRIM($C590), TRIM(INDIRECT($N590)), 0),
       MATCH(TRIM(I$2), TRIM(INDIRECT($O590)), 0))</f>
        <v>45.968938000000001</v>
      </c>
      <c r="J590" s="9" cm="1">
        <f t="array" aca="1" ref="J590" ca="1">INDEX(INDIRECT($M590),
       MATCH(TRIM($C590), TRIM(INDIRECT($N590)), 0),
       MATCH(TRIM(J$2), TRIM(INDIRECT($O590)), 0))</f>
        <v>0</v>
      </c>
      <c r="K590" s="11" cm="1">
        <f t="array" aca="1" ref="K590" ca="1">INDEX(INDIRECT($M590),
       MATCH(TRIM($C590), TRIM(INDIRECT($N590)), 0),
       MATCH(TRIM(K$2), TRIM(INDIRECT($O590)), 0))</f>
        <v>0</v>
      </c>
      <c r="L590" s="11" cm="1">
        <f t="array" aca="1" ref="L590" ca="1">INDEX(INDIRECT($M590),
       MATCH(TRIM($C590), TRIM(INDIRECT($N590)), 0),
       MATCH(TRIM(L$2), TRIM(INDIRECT($O590)), 0))</f>
        <v>93.968938000000009</v>
      </c>
      <c r="M590" s="5" t="str">
        <f t="shared" si="27"/>
        <v>'2024'!$N$3:$V$80</v>
      </c>
      <c r="N590" s="5" t="str">
        <f t="shared" si="28"/>
        <v>'2024'!$M$2:$M$80</v>
      </c>
      <c r="O590" s="5" t="str">
        <f t="shared" si="29"/>
        <v>'2024'!$N$2:$W$2</v>
      </c>
    </row>
    <row r="591" spans="1:15" x14ac:dyDescent="0.3">
      <c r="A591">
        <v>22</v>
      </c>
      <c r="B591" s="9">
        <v>2024</v>
      </c>
      <c r="C591" t="s">
        <v>21</v>
      </c>
      <c r="D591" s="11" cm="1">
        <f t="array" aca="1" ref="D591" ca="1">INDEX(INDIRECT($M591),
       MATCH(TRIM($C591), TRIM(INDIRECT($N591)), 0),
       MATCH(TRIM(D$2), TRIM(INDIRECT($O591)), 0))</f>
        <v>23</v>
      </c>
      <c r="E591" s="9" t="e" cm="1">
        <f t="array" aca="1" ref="E591" ca="1">INDEX(INDIRECT($M591),
       MATCH(TRIM($C591), TRIM(INDIRECT($N591)), 0),
       MATCH(TRIM(E$2), TRIM(INDIRECT($O591)), 0))</f>
        <v>#N/A</v>
      </c>
      <c r="F591" s="11" cm="1">
        <f t="array" aca="1" ref="F591" ca="1">INDEX(INDIRECT($M591),
       MATCH(TRIM($C591), TRIM(INDIRECT($N591)), 0),
       MATCH(TRIM(F$2), TRIM(INDIRECT($O591)), 0))</f>
        <v>1357.9683279999999</v>
      </c>
      <c r="G591" s="11" cm="1">
        <f t="array" aca="1" ref="G591" ca="1">INDEX(INDIRECT($M591),
       MATCH(TRIM($C591), TRIM(INDIRECT($N591)), 0),
       MATCH(TRIM(G$2), TRIM(INDIRECT($O591)), 0))</f>
        <v>3</v>
      </c>
      <c r="H591" s="9" t="e" cm="1">
        <f t="array" aca="1" ref="H591" ca="1">INDEX(INDIRECT($M591),
       MATCH(TRIM($C591), TRIM(INDIRECT($N591)), 0),
       MATCH(TRIM(H$2), TRIM(INDIRECT($O591)), 0))</f>
        <v>#N/A</v>
      </c>
      <c r="I591" s="11" cm="1">
        <f t="array" aca="1" ref="I591" ca="1">INDEX(INDIRECT($M591),
       MATCH(TRIM($C591), TRIM(INDIRECT($N591)), 0),
       MATCH(TRIM(I$2), TRIM(INDIRECT($O591)), 0))</f>
        <v>3.6710379999999998</v>
      </c>
      <c r="J591" s="9" cm="1">
        <f t="array" aca="1" ref="J591" ca="1">INDEX(INDIRECT($M591),
       MATCH(TRIM($C591), TRIM(INDIRECT($N591)), 0),
       MATCH(TRIM(J$2), TRIM(INDIRECT($O591)), 0))</f>
        <v>1</v>
      </c>
      <c r="K591" s="11" cm="1">
        <f t="array" aca="1" ref="K591" ca="1">INDEX(INDIRECT($M591),
       MATCH(TRIM($C591), TRIM(INDIRECT($N591)), 0),
       MATCH(TRIM(K$2), TRIM(INDIRECT($O591)), 0))</f>
        <v>6.6791000000000003E-2</v>
      </c>
      <c r="L591" s="11" cm="1">
        <f t="array" aca="1" ref="L591" ca="1">INDEX(INDIRECT($M591),
       MATCH(TRIM($C591), TRIM(INDIRECT($N591)), 0),
       MATCH(TRIM(L$2), TRIM(INDIRECT($O591)), 0))</f>
        <v>1361.7061569999998</v>
      </c>
      <c r="M591" s="5" t="str">
        <f t="shared" si="27"/>
        <v>'2024'!$N$3:$V$80</v>
      </c>
      <c r="N591" s="5" t="str">
        <f t="shared" si="28"/>
        <v>'2024'!$M$2:$M$80</v>
      </c>
      <c r="O591" s="5" t="str">
        <f t="shared" si="29"/>
        <v>'2024'!$N$2:$W$2</v>
      </c>
    </row>
    <row r="592" spans="1:15" x14ac:dyDescent="0.3">
      <c r="A592">
        <v>23</v>
      </c>
      <c r="B592" s="9">
        <v>2024</v>
      </c>
      <c r="C592" t="s">
        <v>22</v>
      </c>
      <c r="D592" s="11" cm="1">
        <f t="array" aca="1" ref="D592" ca="1">INDEX(INDIRECT($M592),
       MATCH(TRIM($C592), TRIM(INDIRECT($N592)), 0),
       MATCH(TRIM(D$2), TRIM(INDIRECT($O592)), 0))</f>
        <v>1</v>
      </c>
      <c r="E592" s="9" t="e" cm="1">
        <f t="array" aca="1" ref="E592" ca="1">INDEX(INDIRECT($M592),
       MATCH(TRIM($C592), TRIM(INDIRECT($N592)), 0),
       MATCH(TRIM(E$2), TRIM(INDIRECT($O592)), 0))</f>
        <v>#N/A</v>
      </c>
      <c r="F592" s="11" cm="1">
        <f t="array" aca="1" ref="F592" ca="1">INDEX(INDIRECT($M592),
       MATCH(TRIM($C592), TRIM(INDIRECT($N592)), 0),
       MATCH(TRIM(F$2), TRIM(INDIRECT($O592)), 0))</f>
        <v>2.7445520000000001</v>
      </c>
      <c r="G592" s="11" cm="1">
        <f t="array" aca="1" ref="G592" ca="1">INDEX(INDIRECT($M592),
       MATCH(TRIM($C592), TRIM(INDIRECT($N592)), 0),
       MATCH(TRIM(G$2), TRIM(INDIRECT($O592)), 0))</f>
        <v>0</v>
      </c>
      <c r="H592" s="9" t="e" cm="1">
        <f t="array" aca="1" ref="H592" ca="1">INDEX(INDIRECT($M592),
       MATCH(TRIM($C592), TRIM(INDIRECT($N592)), 0),
       MATCH(TRIM(H$2), TRIM(INDIRECT($O592)), 0))</f>
        <v>#N/A</v>
      </c>
      <c r="I592" s="11" cm="1">
        <f t="array" aca="1" ref="I592" ca="1">INDEX(INDIRECT($M592),
       MATCH(TRIM($C592), TRIM(INDIRECT($N592)), 0),
       MATCH(TRIM(I$2), TRIM(INDIRECT($O592)), 0))</f>
        <v>0</v>
      </c>
      <c r="J592" s="9" cm="1">
        <f t="array" aca="1" ref="J592" ca="1">INDEX(INDIRECT($M592),
       MATCH(TRIM($C592), TRIM(INDIRECT($N592)), 0),
       MATCH(TRIM(J$2), TRIM(INDIRECT($O592)), 0))</f>
        <v>0</v>
      </c>
      <c r="K592" s="11" cm="1">
        <f t="array" aca="1" ref="K592" ca="1">INDEX(INDIRECT($M592),
       MATCH(TRIM($C592), TRIM(INDIRECT($N592)), 0),
       MATCH(TRIM(K$2), TRIM(INDIRECT($O592)), 0))</f>
        <v>0</v>
      </c>
      <c r="L592" s="11" cm="1">
        <f t="array" aca="1" ref="L592" ca="1">INDEX(INDIRECT($M592),
       MATCH(TRIM($C592), TRIM(INDIRECT($N592)), 0),
       MATCH(TRIM(L$2), TRIM(INDIRECT($O592)), 0))</f>
        <v>2.7445520000000001</v>
      </c>
      <c r="M592" s="5" t="str">
        <f t="shared" si="27"/>
        <v>'2024'!$N$3:$V$80</v>
      </c>
      <c r="N592" s="5" t="str">
        <f t="shared" si="28"/>
        <v>'2024'!$M$2:$M$80</v>
      </c>
      <c r="O592" s="5" t="str">
        <f t="shared" si="29"/>
        <v>'2024'!$N$2:$W$2</v>
      </c>
    </row>
    <row r="593" spans="1:15" x14ac:dyDescent="0.3">
      <c r="A593">
        <v>24</v>
      </c>
      <c r="B593" s="9">
        <v>2024</v>
      </c>
      <c r="C593" t="s">
        <v>23</v>
      </c>
      <c r="D593" s="11" cm="1">
        <f t="array" aca="1" ref="D593" ca="1">INDEX(INDIRECT($M593),
       MATCH(TRIM($C593), TRIM(INDIRECT($N593)), 0),
       MATCH(TRIM(D$2), TRIM(INDIRECT($O593)), 0))</f>
        <v>1</v>
      </c>
      <c r="E593" s="9" t="e" cm="1">
        <f t="array" aca="1" ref="E593" ca="1">INDEX(INDIRECT($M593),
       MATCH(TRIM($C593), TRIM(INDIRECT($N593)), 0),
       MATCH(TRIM(E$2), TRIM(INDIRECT($O593)), 0))</f>
        <v>#N/A</v>
      </c>
      <c r="F593" s="11" cm="1">
        <f t="array" aca="1" ref="F593" ca="1">INDEX(INDIRECT($M593),
       MATCH(TRIM($C593), TRIM(INDIRECT($N593)), 0),
       MATCH(TRIM(F$2), TRIM(INDIRECT($O593)), 0))</f>
        <v>11</v>
      </c>
      <c r="G593" s="11" cm="1">
        <f t="array" aca="1" ref="G593" ca="1">INDEX(INDIRECT($M593),
       MATCH(TRIM($C593), TRIM(INDIRECT($N593)), 0),
       MATCH(TRIM(G$2), TRIM(INDIRECT($O593)), 0))</f>
        <v>0</v>
      </c>
      <c r="H593" s="9" t="e" cm="1">
        <f t="array" aca="1" ref="H593" ca="1">INDEX(INDIRECT($M593),
       MATCH(TRIM($C593), TRIM(INDIRECT($N593)), 0),
       MATCH(TRIM(H$2), TRIM(INDIRECT($O593)), 0))</f>
        <v>#N/A</v>
      </c>
      <c r="I593" s="11" cm="1">
        <f t="array" aca="1" ref="I593" ca="1">INDEX(INDIRECT($M593),
       MATCH(TRIM($C593), TRIM(INDIRECT($N593)), 0),
       MATCH(TRIM(I$2), TRIM(INDIRECT($O593)), 0))</f>
        <v>0</v>
      </c>
      <c r="J593" s="9" cm="1">
        <f t="array" aca="1" ref="J593" ca="1">INDEX(INDIRECT($M593),
       MATCH(TRIM($C593), TRIM(INDIRECT($N593)), 0),
       MATCH(TRIM(J$2), TRIM(INDIRECT($O593)), 0))</f>
        <v>28</v>
      </c>
      <c r="K593" s="11" cm="1">
        <f t="array" aca="1" ref="K593" ca="1">INDEX(INDIRECT($M593),
       MATCH(TRIM($C593), TRIM(INDIRECT($N593)), 0),
       MATCH(TRIM(K$2), TRIM(INDIRECT($O593)), 0))</f>
        <v>26.314522069999999</v>
      </c>
      <c r="L593" s="11" cm="1">
        <f t="array" aca="1" ref="L593" ca="1">INDEX(INDIRECT($M593),
       MATCH(TRIM($C593), TRIM(INDIRECT($N593)), 0),
       MATCH(TRIM(L$2), TRIM(INDIRECT($O593)), 0))</f>
        <v>37.314522069999995</v>
      </c>
      <c r="M593" s="5" t="str">
        <f t="shared" si="27"/>
        <v>'2024'!$N$3:$V$80</v>
      </c>
      <c r="N593" s="5" t="str">
        <f t="shared" si="28"/>
        <v>'2024'!$M$2:$M$80</v>
      </c>
      <c r="O593" s="5" t="str">
        <f t="shared" si="29"/>
        <v>'2024'!$N$2:$W$2</v>
      </c>
    </row>
    <row r="594" spans="1:15" x14ac:dyDescent="0.3">
      <c r="A594">
        <v>25</v>
      </c>
      <c r="B594" s="9">
        <v>2024</v>
      </c>
      <c r="C594" t="s">
        <v>24</v>
      </c>
      <c r="D594" s="11" cm="1">
        <f t="array" aca="1" ref="D594" ca="1">INDEX(INDIRECT($M594),
       MATCH(TRIM($C594), TRIM(INDIRECT($N594)), 0),
       MATCH(TRIM(D$2), TRIM(INDIRECT($O594)), 0))</f>
        <v>6</v>
      </c>
      <c r="E594" s="9" t="e" cm="1">
        <f t="array" aca="1" ref="E594" ca="1">INDEX(INDIRECT($M594),
       MATCH(TRIM($C594), TRIM(INDIRECT($N594)), 0),
       MATCH(TRIM(E$2), TRIM(INDIRECT($O594)), 0))</f>
        <v>#N/A</v>
      </c>
      <c r="F594" s="11" cm="1">
        <f t="array" aca="1" ref="F594" ca="1">INDEX(INDIRECT($M594),
       MATCH(TRIM($C594), TRIM(INDIRECT($N594)), 0),
       MATCH(TRIM(F$2), TRIM(INDIRECT($O594)), 0))</f>
        <v>87.061284999999998</v>
      </c>
      <c r="G594" s="11" cm="1">
        <f t="array" aca="1" ref="G594" ca="1">INDEX(INDIRECT($M594),
       MATCH(TRIM($C594), TRIM(INDIRECT($N594)), 0),
       MATCH(TRIM(G$2), TRIM(INDIRECT($O594)), 0))</f>
        <v>1</v>
      </c>
      <c r="H594" s="9" t="e" cm="1">
        <f t="array" aca="1" ref="H594" ca="1">INDEX(INDIRECT($M594),
       MATCH(TRIM($C594), TRIM(INDIRECT($N594)), 0),
       MATCH(TRIM(H$2), TRIM(INDIRECT($O594)), 0))</f>
        <v>#N/A</v>
      </c>
      <c r="I594" s="11" cm="1">
        <f t="array" aca="1" ref="I594" ca="1">INDEX(INDIRECT($M594),
       MATCH(TRIM($C594), TRIM(INDIRECT($N594)), 0),
       MATCH(TRIM(I$2), TRIM(INDIRECT($O594)), 0))</f>
        <v>1.0004189999999999</v>
      </c>
      <c r="J594" s="9" cm="1">
        <f t="array" aca="1" ref="J594" ca="1">INDEX(INDIRECT($M594),
       MATCH(TRIM($C594), TRIM(INDIRECT($N594)), 0),
       MATCH(TRIM(J$2), TRIM(INDIRECT($O594)), 0))</f>
        <v>1</v>
      </c>
      <c r="K594" s="11" cm="1">
        <f t="array" aca="1" ref="K594" ca="1">INDEX(INDIRECT($M594),
       MATCH(TRIM($C594), TRIM(INDIRECT($N594)), 0),
       MATCH(TRIM(K$2), TRIM(INDIRECT($O594)), 0))</f>
        <v>8.4109800000000002E-3</v>
      </c>
      <c r="L594" s="11" cm="1">
        <f t="array" aca="1" ref="L594" ca="1">INDEX(INDIRECT($M594),
       MATCH(TRIM($C594), TRIM(INDIRECT($N594)), 0),
       MATCH(TRIM(L$2), TRIM(INDIRECT($O594)), 0))</f>
        <v>88.070114979999985</v>
      </c>
      <c r="M594" s="5" t="str">
        <f t="shared" si="27"/>
        <v>'2024'!$N$3:$V$80</v>
      </c>
      <c r="N594" s="5" t="str">
        <f t="shared" si="28"/>
        <v>'2024'!$M$2:$M$80</v>
      </c>
      <c r="O594" s="5" t="str">
        <f t="shared" si="29"/>
        <v>'2024'!$N$2:$W$2</v>
      </c>
    </row>
    <row r="595" spans="1:15" x14ac:dyDescent="0.3">
      <c r="A595">
        <v>26</v>
      </c>
      <c r="B595" s="9">
        <v>2024</v>
      </c>
      <c r="C595" t="s">
        <v>25</v>
      </c>
      <c r="D595" s="11" cm="1">
        <f t="array" aca="1" ref="D595" ca="1">INDEX(INDIRECT($M595),
       MATCH(TRIM($C595), TRIM(INDIRECT($N595)), 0),
       MATCH(TRIM(D$2), TRIM(INDIRECT($O595)), 0))</f>
        <v>0</v>
      </c>
      <c r="E595" s="9" t="e" cm="1">
        <f t="array" aca="1" ref="E595" ca="1">INDEX(INDIRECT($M595),
       MATCH(TRIM($C595), TRIM(INDIRECT($N595)), 0),
       MATCH(TRIM(E$2), TRIM(INDIRECT($O595)), 0))</f>
        <v>#N/A</v>
      </c>
      <c r="F595" s="11" cm="1">
        <f t="array" aca="1" ref="F595" ca="1">INDEX(INDIRECT($M595),
       MATCH(TRIM($C595), TRIM(INDIRECT($N595)), 0),
       MATCH(TRIM(F$2), TRIM(INDIRECT($O595)), 0))</f>
        <v>0</v>
      </c>
      <c r="G595" s="11" cm="1">
        <f t="array" aca="1" ref="G595" ca="1">INDEX(INDIRECT($M595),
       MATCH(TRIM($C595), TRIM(INDIRECT($N595)), 0),
       MATCH(TRIM(G$2), TRIM(INDIRECT($O595)), 0))</f>
        <v>1</v>
      </c>
      <c r="H595" s="9" t="e" cm="1">
        <f t="array" aca="1" ref="H595" ca="1">INDEX(INDIRECT($M595),
       MATCH(TRIM($C595), TRIM(INDIRECT($N595)), 0),
       MATCH(TRIM(H$2), TRIM(INDIRECT($O595)), 0))</f>
        <v>#N/A</v>
      </c>
      <c r="I595" s="11" cm="1">
        <f t="array" aca="1" ref="I595" ca="1">INDEX(INDIRECT($M595),
       MATCH(TRIM($C595), TRIM(INDIRECT($N595)), 0),
       MATCH(TRIM(I$2), TRIM(INDIRECT($O595)), 0))</f>
        <v>3.5</v>
      </c>
      <c r="J595" s="9" cm="1">
        <f t="array" aca="1" ref="J595" ca="1">INDEX(INDIRECT($M595),
       MATCH(TRIM($C595), TRIM(INDIRECT($N595)), 0),
       MATCH(TRIM(J$2), TRIM(INDIRECT($O595)), 0))</f>
        <v>2</v>
      </c>
      <c r="K595" s="11" cm="1">
        <f t="array" aca="1" ref="K595" ca="1">INDEX(INDIRECT($M595),
       MATCH(TRIM($C595), TRIM(INDIRECT($N595)), 0),
       MATCH(TRIM(K$2), TRIM(INDIRECT($O595)), 0))</f>
        <v>2.8510760000000003E-2</v>
      </c>
      <c r="L595" s="11" cm="1">
        <f t="array" aca="1" ref="L595" ca="1">INDEX(INDIRECT($M595),
       MATCH(TRIM($C595), TRIM(INDIRECT($N595)), 0),
       MATCH(TRIM(L$2), TRIM(INDIRECT($O595)), 0))</f>
        <v>3.5285107600000001</v>
      </c>
      <c r="M595" s="5" t="str">
        <f t="shared" si="27"/>
        <v>'2024'!$N$3:$V$80</v>
      </c>
      <c r="N595" s="5" t="str">
        <f t="shared" si="28"/>
        <v>'2024'!$M$2:$M$80</v>
      </c>
      <c r="O595" s="5" t="str">
        <f t="shared" si="29"/>
        <v>'2024'!$N$2:$W$2</v>
      </c>
    </row>
    <row r="596" spans="1:15" x14ac:dyDescent="0.3">
      <c r="A596">
        <v>27</v>
      </c>
      <c r="B596" s="9">
        <v>2024</v>
      </c>
      <c r="C596" t="s">
        <v>26</v>
      </c>
      <c r="D596" s="11" cm="1">
        <f t="array" aca="1" ref="D596" ca="1">INDEX(INDIRECT($M596),
       MATCH(TRIM($C596), TRIM(INDIRECT($N596)), 0),
       MATCH(TRIM(D$2), TRIM(INDIRECT($O596)), 0))</f>
        <v>1</v>
      </c>
      <c r="E596" s="9" t="e" cm="1">
        <f t="array" aca="1" ref="E596" ca="1">INDEX(INDIRECT($M596),
       MATCH(TRIM($C596), TRIM(INDIRECT($N596)), 0),
       MATCH(TRIM(E$2), TRIM(INDIRECT($O596)), 0))</f>
        <v>#N/A</v>
      </c>
      <c r="F596" s="11" cm="1">
        <f t="array" aca="1" ref="F596" ca="1">INDEX(INDIRECT($M596),
       MATCH(TRIM($C596), TRIM(INDIRECT($N596)), 0),
       MATCH(TRIM(F$2), TRIM(INDIRECT($O596)), 0))</f>
        <v>1.2788809999999999</v>
      </c>
      <c r="G596" s="11" cm="1">
        <f t="array" aca="1" ref="G596" ca="1">INDEX(INDIRECT($M596),
       MATCH(TRIM($C596), TRIM(INDIRECT($N596)), 0),
       MATCH(TRIM(G$2), TRIM(INDIRECT($O596)), 0))</f>
        <v>5</v>
      </c>
      <c r="H596" s="9" t="e" cm="1">
        <f t="array" aca="1" ref="H596" ca="1">INDEX(INDIRECT($M596),
       MATCH(TRIM($C596), TRIM(INDIRECT($N596)), 0),
       MATCH(TRIM(H$2), TRIM(INDIRECT($O596)), 0))</f>
        <v>#N/A</v>
      </c>
      <c r="I596" s="11" cm="1">
        <f t="array" aca="1" ref="I596" ca="1">INDEX(INDIRECT($M596),
       MATCH(TRIM($C596), TRIM(INDIRECT($N596)), 0),
       MATCH(TRIM(I$2), TRIM(INDIRECT($O596)), 0))</f>
        <v>3.8270101845703124</v>
      </c>
      <c r="J596" s="9" cm="1">
        <f t="array" aca="1" ref="J596" ca="1">INDEX(INDIRECT($M596),
       MATCH(TRIM($C596), TRIM(INDIRECT($N596)), 0),
       MATCH(TRIM(J$2), TRIM(INDIRECT($O596)), 0))</f>
        <v>0</v>
      </c>
      <c r="K596" s="11" cm="1">
        <f t="array" aca="1" ref="K596" ca="1">INDEX(INDIRECT($M596),
       MATCH(TRIM($C596), TRIM(INDIRECT($N596)), 0),
       MATCH(TRIM(K$2), TRIM(INDIRECT($O596)), 0))</f>
        <v>0</v>
      </c>
      <c r="L596" s="11" cm="1">
        <f t="array" aca="1" ref="L596" ca="1">INDEX(INDIRECT($M596),
       MATCH(TRIM($C596), TRIM(INDIRECT($N596)), 0),
       MATCH(TRIM(L$2), TRIM(INDIRECT($O596)), 0))</f>
        <v>5.1058911845703125</v>
      </c>
      <c r="M596" s="5" t="str">
        <f t="shared" si="27"/>
        <v>'2024'!$N$3:$V$80</v>
      </c>
      <c r="N596" s="5" t="str">
        <f t="shared" si="28"/>
        <v>'2024'!$M$2:$M$80</v>
      </c>
      <c r="O596" s="5" t="str">
        <f t="shared" si="29"/>
        <v>'2024'!$N$2:$W$2</v>
      </c>
    </row>
    <row r="597" spans="1:15" x14ac:dyDescent="0.3">
      <c r="A597">
        <v>28</v>
      </c>
      <c r="B597" s="9">
        <v>2024</v>
      </c>
      <c r="C597" t="s">
        <v>27</v>
      </c>
      <c r="D597" s="11" cm="1">
        <f t="array" aca="1" ref="D597" ca="1">INDEX(INDIRECT($M597),
       MATCH(TRIM($C597), TRIM(INDIRECT($N597)), 0),
       MATCH(TRIM(D$2), TRIM(INDIRECT($O597)), 0))</f>
        <v>4</v>
      </c>
      <c r="E597" s="9" t="e" cm="1">
        <f t="array" aca="1" ref="E597" ca="1">INDEX(INDIRECT($M597),
       MATCH(TRIM($C597), TRIM(INDIRECT($N597)), 0),
       MATCH(TRIM(E$2), TRIM(INDIRECT($O597)), 0))</f>
        <v>#N/A</v>
      </c>
      <c r="F597" s="11" cm="1">
        <f t="array" aca="1" ref="F597" ca="1">INDEX(INDIRECT($M597),
       MATCH(TRIM($C597), TRIM(INDIRECT($N597)), 0),
       MATCH(TRIM(F$2), TRIM(INDIRECT($O597)), 0))</f>
        <v>31.390045000000001</v>
      </c>
      <c r="G597" s="11" cm="1">
        <f t="array" aca="1" ref="G597" ca="1">INDEX(INDIRECT($M597),
       MATCH(TRIM($C597), TRIM(INDIRECT($N597)), 0),
       MATCH(TRIM(G$2), TRIM(INDIRECT($O597)), 0))</f>
        <v>0</v>
      </c>
      <c r="H597" s="9" t="e" cm="1">
        <f t="array" aca="1" ref="H597" ca="1">INDEX(INDIRECT($M597),
       MATCH(TRIM($C597), TRIM(INDIRECT($N597)), 0),
       MATCH(TRIM(H$2), TRIM(INDIRECT($O597)), 0))</f>
        <v>#N/A</v>
      </c>
      <c r="I597" s="11" cm="1">
        <f t="array" aca="1" ref="I597" ca="1">INDEX(INDIRECT($M597),
       MATCH(TRIM($C597), TRIM(INDIRECT($N597)), 0),
       MATCH(TRIM(I$2), TRIM(INDIRECT($O597)), 0))</f>
        <v>0</v>
      </c>
      <c r="J597" s="9" cm="1">
        <f t="array" aca="1" ref="J597" ca="1">INDEX(INDIRECT($M597),
       MATCH(TRIM($C597), TRIM(INDIRECT($N597)), 0),
       MATCH(TRIM(J$2), TRIM(INDIRECT($O597)), 0))</f>
        <v>0</v>
      </c>
      <c r="K597" s="11" cm="1">
        <f t="array" aca="1" ref="K597" ca="1">INDEX(INDIRECT($M597),
       MATCH(TRIM($C597), TRIM(INDIRECT($N597)), 0),
       MATCH(TRIM(K$2), TRIM(INDIRECT($O597)), 0))</f>
        <v>0</v>
      </c>
      <c r="L597" s="11" cm="1">
        <f t="array" aca="1" ref="L597" ca="1">INDEX(INDIRECT($M597),
       MATCH(TRIM($C597), TRIM(INDIRECT($N597)), 0),
       MATCH(TRIM(L$2), TRIM(INDIRECT($O597)), 0))</f>
        <v>31.390045000000001</v>
      </c>
      <c r="M597" s="5" t="str">
        <f t="shared" si="27"/>
        <v>'2024'!$N$3:$V$80</v>
      </c>
      <c r="N597" s="5" t="str">
        <f t="shared" si="28"/>
        <v>'2024'!$M$2:$M$80</v>
      </c>
      <c r="O597" s="5" t="str">
        <f t="shared" si="29"/>
        <v>'2024'!$N$2:$W$2</v>
      </c>
    </row>
    <row r="598" spans="1:15" x14ac:dyDescent="0.3">
      <c r="A598">
        <v>29</v>
      </c>
      <c r="B598" s="9">
        <v>2024</v>
      </c>
      <c r="C598" t="s">
        <v>28</v>
      </c>
      <c r="D598" s="11" cm="1">
        <f t="array" aca="1" ref="D598" ca="1">INDEX(INDIRECT($M598),
       MATCH(TRIM($C598), TRIM(INDIRECT($N598)), 0),
       MATCH(TRIM(D$2), TRIM(INDIRECT($O598)), 0))</f>
        <v>2</v>
      </c>
      <c r="E598" s="9" t="e" cm="1">
        <f t="array" aca="1" ref="E598" ca="1">INDEX(INDIRECT($M598),
       MATCH(TRIM($C598), TRIM(INDIRECT($N598)), 0),
       MATCH(TRIM(E$2), TRIM(INDIRECT($O598)), 0))</f>
        <v>#N/A</v>
      </c>
      <c r="F598" s="11" cm="1">
        <f t="array" aca="1" ref="F598" ca="1">INDEX(INDIRECT($M598),
       MATCH(TRIM($C598), TRIM(INDIRECT($N598)), 0),
       MATCH(TRIM(F$2), TRIM(INDIRECT($O598)), 0))</f>
        <v>14.107623</v>
      </c>
      <c r="G598" s="11" cm="1">
        <f t="array" aca="1" ref="G598" ca="1">INDEX(INDIRECT($M598),
       MATCH(TRIM($C598), TRIM(INDIRECT($N598)), 0),
       MATCH(TRIM(G$2), TRIM(INDIRECT($O598)), 0))</f>
        <v>3</v>
      </c>
      <c r="H598" s="9" t="e" cm="1">
        <f t="array" aca="1" ref="H598" ca="1">INDEX(INDIRECT($M598),
       MATCH(TRIM($C598), TRIM(INDIRECT($N598)), 0),
       MATCH(TRIM(H$2), TRIM(INDIRECT($O598)), 0))</f>
        <v>#N/A</v>
      </c>
      <c r="I598" s="11" cm="1">
        <f t="array" aca="1" ref="I598" ca="1">INDEX(INDIRECT($M598),
       MATCH(TRIM($C598), TRIM(INDIRECT($N598)), 0),
       MATCH(TRIM(I$2), TRIM(INDIRECT($O598)), 0))</f>
        <v>34.401000000000003</v>
      </c>
      <c r="J598" s="9" cm="1">
        <f t="array" aca="1" ref="J598" ca="1">INDEX(INDIRECT($M598),
       MATCH(TRIM($C598), TRIM(INDIRECT($N598)), 0),
       MATCH(TRIM(J$2), TRIM(INDIRECT($O598)), 0))</f>
        <v>0</v>
      </c>
      <c r="K598" s="11" cm="1">
        <f t="array" aca="1" ref="K598" ca="1">INDEX(INDIRECT($M598),
       MATCH(TRIM($C598), TRIM(INDIRECT($N598)), 0),
       MATCH(TRIM(K$2), TRIM(INDIRECT($O598)), 0))</f>
        <v>0</v>
      </c>
      <c r="L598" s="11" cm="1">
        <f t="array" aca="1" ref="L598" ca="1">INDEX(INDIRECT($M598),
       MATCH(TRIM($C598), TRIM(INDIRECT($N598)), 0),
       MATCH(TRIM(L$2), TRIM(INDIRECT($O598)), 0))</f>
        <v>48.508623</v>
      </c>
      <c r="M598" s="5" t="str">
        <f t="shared" si="27"/>
        <v>'2024'!$N$3:$V$80</v>
      </c>
      <c r="N598" s="5" t="str">
        <f t="shared" si="28"/>
        <v>'2024'!$M$2:$M$80</v>
      </c>
      <c r="O598" s="5" t="str">
        <f t="shared" si="29"/>
        <v>'2024'!$N$2:$W$2</v>
      </c>
    </row>
    <row r="599" spans="1:15" x14ac:dyDescent="0.3">
      <c r="A599">
        <v>30</v>
      </c>
      <c r="B599" s="9">
        <v>2024</v>
      </c>
      <c r="C599" t="s">
        <v>29</v>
      </c>
      <c r="D599" s="11" cm="1">
        <f t="array" aca="1" ref="D599" ca="1">INDEX(INDIRECT($M599),
       MATCH(TRIM($C599), TRIM(INDIRECT($N599)), 0),
       MATCH(TRIM(D$2), TRIM(INDIRECT($O599)), 0))</f>
        <v>1</v>
      </c>
      <c r="E599" s="9" t="e" cm="1">
        <f t="array" aca="1" ref="E599" ca="1">INDEX(INDIRECT($M599),
       MATCH(TRIM($C599), TRIM(INDIRECT($N599)), 0),
       MATCH(TRIM(E$2), TRIM(INDIRECT($O599)), 0))</f>
        <v>#N/A</v>
      </c>
      <c r="F599" s="11" cm="1">
        <f t="array" aca="1" ref="F599" ca="1">INDEX(INDIRECT($M599),
       MATCH(TRIM($C599), TRIM(INDIRECT($N599)), 0),
       MATCH(TRIM(F$2), TRIM(INDIRECT($O599)), 0))</f>
        <v>2.5000000000000001E-2</v>
      </c>
      <c r="G599" s="11" cm="1">
        <f t="array" aca="1" ref="G599" ca="1">INDEX(INDIRECT($M599),
       MATCH(TRIM($C599), TRIM(INDIRECT($N599)), 0),
       MATCH(TRIM(G$2), TRIM(INDIRECT($O599)), 0))</f>
        <v>1</v>
      </c>
      <c r="H599" s="9" t="e" cm="1">
        <f t="array" aca="1" ref="H599" ca="1">INDEX(INDIRECT($M599),
       MATCH(TRIM($C599), TRIM(INDIRECT($N599)), 0),
       MATCH(TRIM(H$2), TRIM(INDIRECT($O599)), 0))</f>
        <v>#N/A</v>
      </c>
      <c r="I599" s="11" cm="1">
        <f t="array" aca="1" ref="I599" ca="1">INDEX(INDIRECT($M599),
       MATCH(TRIM($C599), TRIM(INDIRECT($N599)), 0),
       MATCH(TRIM(I$2), TRIM(INDIRECT($O599)), 0))</f>
        <v>17.415216000000001</v>
      </c>
      <c r="J599" s="9" cm="1">
        <f t="array" aca="1" ref="J599" ca="1">INDEX(INDIRECT($M599),
       MATCH(TRIM($C599), TRIM(INDIRECT($N599)), 0),
       MATCH(TRIM(J$2), TRIM(INDIRECT($O599)), 0))</f>
        <v>3</v>
      </c>
      <c r="K599" s="11" cm="1">
        <f t="array" aca="1" ref="K599" ca="1">INDEX(INDIRECT($M599),
       MATCH(TRIM($C599), TRIM(INDIRECT($N599)), 0),
       MATCH(TRIM(K$2), TRIM(INDIRECT($O599)), 0))</f>
        <v>28.769325210000002</v>
      </c>
      <c r="L599" s="11" cm="1">
        <f t="array" aca="1" ref="L599" ca="1">INDEX(INDIRECT($M599),
       MATCH(TRIM($C599), TRIM(INDIRECT($N599)), 0),
       MATCH(TRIM(L$2), TRIM(INDIRECT($O599)), 0))</f>
        <v>46.209541209999998</v>
      </c>
      <c r="M599" s="5" t="str">
        <f t="shared" si="27"/>
        <v>'2024'!$N$3:$V$80</v>
      </c>
      <c r="N599" s="5" t="str">
        <f t="shared" si="28"/>
        <v>'2024'!$M$2:$M$80</v>
      </c>
      <c r="O599" s="5" t="str">
        <f t="shared" si="29"/>
        <v>'2024'!$N$2:$W$2</v>
      </c>
    </row>
    <row r="600" spans="1:15" x14ac:dyDescent="0.3">
      <c r="A600">
        <v>31</v>
      </c>
      <c r="B600" s="9">
        <v>2024</v>
      </c>
      <c r="C600" t="s">
        <v>30</v>
      </c>
      <c r="D600" s="11" cm="1">
        <f t="array" aca="1" ref="D600" ca="1">INDEX(INDIRECT($M600),
       MATCH(TRIM($C600), TRIM(INDIRECT($N600)), 0),
       MATCH(TRIM(D$2), TRIM(INDIRECT($O600)), 0))</f>
        <v>1</v>
      </c>
      <c r="E600" s="9" t="e" cm="1">
        <f t="array" aca="1" ref="E600" ca="1">INDEX(INDIRECT($M600),
       MATCH(TRIM($C600), TRIM(INDIRECT($N600)), 0),
       MATCH(TRIM(E$2), TRIM(INDIRECT($O600)), 0))</f>
        <v>#N/A</v>
      </c>
      <c r="F600" s="11" cm="1">
        <f t="array" aca="1" ref="F600" ca="1">INDEX(INDIRECT($M600),
       MATCH(TRIM($C600), TRIM(INDIRECT($N600)), 0),
       MATCH(TRIM(F$2), TRIM(INDIRECT($O600)), 0))</f>
        <v>4.96</v>
      </c>
      <c r="G600" s="11" cm="1">
        <f t="array" aca="1" ref="G600" ca="1">INDEX(INDIRECT($M600),
       MATCH(TRIM($C600), TRIM(INDIRECT($N600)), 0),
       MATCH(TRIM(G$2), TRIM(INDIRECT($O600)), 0))</f>
        <v>1</v>
      </c>
      <c r="H600" s="9" t="e" cm="1">
        <f t="array" aca="1" ref="H600" ca="1">INDEX(INDIRECT($M600),
       MATCH(TRIM($C600), TRIM(INDIRECT($N600)), 0),
       MATCH(TRIM(H$2), TRIM(INDIRECT($O600)), 0))</f>
        <v>#N/A</v>
      </c>
      <c r="I600" s="11" cm="1">
        <f t="array" aca="1" ref="I600" ca="1">INDEX(INDIRECT($M600),
       MATCH(TRIM($C600), TRIM(INDIRECT($N600)), 0),
       MATCH(TRIM(I$2), TRIM(INDIRECT($O600)), 0))</f>
        <v>16</v>
      </c>
      <c r="J600" s="9" cm="1">
        <f t="array" aca="1" ref="J600" ca="1">INDEX(INDIRECT($M600),
       MATCH(TRIM($C600), TRIM(INDIRECT($N600)), 0),
       MATCH(TRIM(J$2), TRIM(INDIRECT($O600)), 0))</f>
        <v>0</v>
      </c>
      <c r="K600" s="11" cm="1">
        <f t="array" aca="1" ref="K600" ca="1">INDEX(INDIRECT($M600),
       MATCH(TRIM($C600), TRIM(INDIRECT($N600)), 0),
       MATCH(TRIM(K$2), TRIM(INDIRECT($O600)), 0))</f>
        <v>0</v>
      </c>
      <c r="L600" s="11" cm="1">
        <f t="array" aca="1" ref="L600" ca="1">INDEX(INDIRECT($M600),
       MATCH(TRIM($C600), TRIM(INDIRECT($N600)), 0),
       MATCH(TRIM(L$2), TRIM(INDIRECT($O600)), 0))</f>
        <v>20.96</v>
      </c>
      <c r="M600" s="5" t="str">
        <f t="shared" si="27"/>
        <v>'2024'!$N$3:$V$80</v>
      </c>
      <c r="N600" s="5" t="str">
        <f t="shared" si="28"/>
        <v>'2024'!$M$2:$M$80</v>
      </c>
      <c r="O600" s="5" t="str">
        <f t="shared" si="29"/>
        <v>'2024'!$N$2:$W$2</v>
      </c>
    </row>
    <row r="601" spans="1:15" x14ac:dyDescent="0.3">
      <c r="A601">
        <v>32</v>
      </c>
      <c r="B601" s="9">
        <v>2024</v>
      </c>
      <c r="C601" t="s">
        <v>31</v>
      </c>
      <c r="D601" s="11" cm="1">
        <f t="array" aca="1" ref="D601" ca="1">INDEX(INDIRECT($M601),
       MATCH(TRIM($C601), TRIM(INDIRECT($N601)), 0),
       MATCH(TRIM(D$2), TRIM(INDIRECT($O601)), 0))</f>
        <v>0</v>
      </c>
      <c r="E601" s="9" t="e" cm="1">
        <f t="array" aca="1" ref="E601" ca="1">INDEX(INDIRECT($M601),
       MATCH(TRIM($C601), TRIM(INDIRECT($N601)), 0),
       MATCH(TRIM(E$2), TRIM(INDIRECT($O601)), 0))</f>
        <v>#N/A</v>
      </c>
      <c r="F601" s="11" cm="1">
        <f t="array" aca="1" ref="F601" ca="1">INDEX(INDIRECT($M601),
       MATCH(TRIM($C601), TRIM(INDIRECT($N601)), 0),
       MATCH(TRIM(F$2), TRIM(INDIRECT($O601)), 0))</f>
        <v>0</v>
      </c>
      <c r="G601" s="11" cm="1">
        <f t="array" aca="1" ref="G601" ca="1">INDEX(INDIRECT($M601),
       MATCH(TRIM($C601), TRIM(INDIRECT($N601)), 0),
       MATCH(TRIM(G$2), TRIM(INDIRECT($O601)), 0))</f>
        <v>1</v>
      </c>
      <c r="H601" s="9" t="e" cm="1">
        <f t="array" aca="1" ref="H601" ca="1">INDEX(INDIRECT($M601),
       MATCH(TRIM($C601), TRIM(INDIRECT($N601)), 0),
       MATCH(TRIM(H$2), TRIM(INDIRECT($O601)), 0))</f>
        <v>#N/A</v>
      </c>
      <c r="I601" s="11" cm="1">
        <f t="array" aca="1" ref="I601" ca="1">INDEX(INDIRECT($M601),
       MATCH(TRIM($C601), TRIM(INDIRECT($N601)), 0),
       MATCH(TRIM(I$2), TRIM(INDIRECT($O601)), 0))</f>
        <v>16.502124999999999</v>
      </c>
      <c r="J601" s="9" cm="1">
        <f t="array" aca="1" ref="J601" ca="1">INDEX(INDIRECT($M601),
       MATCH(TRIM($C601), TRIM(INDIRECT($N601)), 0),
       MATCH(TRIM(J$2), TRIM(INDIRECT($O601)), 0))</f>
        <v>0</v>
      </c>
      <c r="K601" s="11" cm="1">
        <f t="array" aca="1" ref="K601" ca="1">INDEX(INDIRECT($M601),
       MATCH(TRIM($C601), TRIM(INDIRECT($N601)), 0),
       MATCH(TRIM(K$2), TRIM(INDIRECT($O601)), 0))</f>
        <v>0</v>
      </c>
      <c r="L601" s="11" cm="1">
        <f t="array" aca="1" ref="L601" ca="1">INDEX(INDIRECT($M601),
       MATCH(TRIM($C601), TRIM(INDIRECT($N601)), 0),
       MATCH(TRIM(L$2), TRIM(INDIRECT($O601)), 0))</f>
        <v>16.502124999999999</v>
      </c>
      <c r="M601" s="5" t="str">
        <f t="shared" si="27"/>
        <v>'2024'!$N$3:$V$80</v>
      </c>
      <c r="N601" s="5" t="str">
        <f t="shared" si="28"/>
        <v>'2024'!$M$2:$M$80</v>
      </c>
      <c r="O601" s="5" t="str">
        <f t="shared" si="29"/>
        <v>'2024'!$N$2:$W$2</v>
      </c>
    </row>
    <row r="602" spans="1:15" x14ac:dyDescent="0.3">
      <c r="A602">
        <v>33</v>
      </c>
      <c r="B602" s="9">
        <v>2024</v>
      </c>
      <c r="C602" t="s">
        <v>32</v>
      </c>
      <c r="D602" s="11" cm="1">
        <f t="array" aca="1" ref="D602" ca="1">INDEX(INDIRECT($M602),
       MATCH(TRIM($C602), TRIM(INDIRECT($N602)), 0),
       MATCH(TRIM(D$2), TRIM(INDIRECT($O602)), 0))</f>
        <v>0</v>
      </c>
      <c r="E602" s="9" t="e" cm="1">
        <f t="array" aca="1" ref="E602" ca="1">INDEX(INDIRECT($M602),
       MATCH(TRIM($C602), TRIM(INDIRECT($N602)), 0),
       MATCH(TRIM(E$2), TRIM(INDIRECT($O602)), 0))</f>
        <v>#N/A</v>
      </c>
      <c r="F602" s="11" cm="1">
        <f t="array" aca="1" ref="F602" ca="1">INDEX(INDIRECT($M602),
       MATCH(TRIM($C602), TRIM(INDIRECT($N602)), 0),
       MATCH(TRIM(F$2), TRIM(INDIRECT($O602)), 0))</f>
        <v>0</v>
      </c>
      <c r="G602" s="11" cm="1">
        <f t="array" aca="1" ref="G602" ca="1">INDEX(INDIRECT($M602),
       MATCH(TRIM($C602), TRIM(INDIRECT($N602)), 0),
       MATCH(TRIM(G$2), TRIM(INDIRECT($O602)), 0))</f>
        <v>0</v>
      </c>
      <c r="H602" s="9" t="e" cm="1">
        <f t="array" aca="1" ref="H602" ca="1">INDEX(INDIRECT($M602),
       MATCH(TRIM($C602), TRIM(INDIRECT($N602)), 0),
       MATCH(TRIM(H$2), TRIM(INDIRECT($O602)), 0))</f>
        <v>#N/A</v>
      </c>
      <c r="I602" s="11" cm="1">
        <f t="array" aca="1" ref="I602" ca="1">INDEX(INDIRECT($M602),
       MATCH(TRIM($C602), TRIM(INDIRECT($N602)), 0),
       MATCH(TRIM(I$2), TRIM(INDIRECT($O602)), 0))</f>
        <v>0</v>
      </c>
      <c r="J602" s="9" cm="1">
        <f t="array" aca="1" ref="J602" ca="1">INDEX(INDIRECT($M602),
       MATCH(TRIM($C602), TRIM(INDIRECT($N602)), 0),
       MATCH(TRIM(J$2), TRIM(INDIRECT($O602)), 0))</f>
        <v>1</v>
      </c>
      <c r="K602" s="11" cm="1">
        <f t="array" aca="1" ref="K602" ca="1">INDEX(INDIRECT($M602),
       MATCH(TRIM($C602), TRIM(INDIRECT($N602)), 0),
       MATCH(TRIM(K$2), TRIM(INDIRECT($O602)), 0))</f>
        <v>5.0544480000000003E-2</v>
      </c>
      <c r="L602" s="11" cm="1">
        <f t="array" aca="1" ref="L602" ca="1">INDEX(INDIRECT($M602),
       MATCH(TRIM($C602), TRIM(INDIRECT($N602)), 0),
       MATCH(TRIM(L$2), TRIM(INDIRECT($O602)), 0))</f>
        <v>5.0544480000000003E-2</v>
      </c>
      <c r="M602" s="5" t="str">
        <f t="shared" si="27"/>
        <v>'2024'!$N$3:$V$80</v>
      </c>
      <c r="N602" s="5" t="str">
        <f t="shared" si="28"/>
        <v>'2024'!$M$2:$M$80</v>
      </c>
      <c r="O602" s="5" t="str">
        <f t="shared" si="29"/>
        <v>'2024'!$N$2:$W$2</v>
      </c>
    </row>
    <row r="603" spans="1:15" x14ac:dyDescent="0.3">
      <c r="A603">
        <v>34</v>
      </c>
      <c r="B603" s="9">
        <v>2024</v>
      </c>
      <c r="C603" t="s">
        <v>33</v>
      </c>
      <c r="D603" s="11" t="e" cm="1">
        <f t="array" aca="1" ref="D603" ca="1">INDEX(INDIRECT($M603),
       MATCH(TRIM($C603), TRIM(INDIRECT($N603)), 0),
       MATCH(TRIM(D$2), TRIM(INDIRECT($O603)), 0))</f>
        <v>#N/A</v>
      </c>
      <c r="E603" s="9" t="e" cm="1">
        <f t="array" aca="1" ref="E603" ca="1">INDEX(INDIRECT($M603),
       MATCH(TRIM($C603), TRIM(INDIRECT($N603)), 0),
       MATCH(TRIM(E$2), TRIM(INDIRECT($O603)), 0))</f>
        <v>#N/A</v>
      </c>
      <c r="F603" s="11" t="e" cm="1">
        <f t="array" aca="1" ref="F603" ca="1">INDEX(INDIRECT($M603),
       MATCH(TRIM($C603), TRIM(INDIRECT($N603)), 0),
       MATCH(TRIM(F$2), TRIM(INDIRECT($O603)), 0))</f>
        <v>#N/A</v>
      </c>
      <c r="G603" s="11" t="e" cm="1">
        <f t="array" aca="1" ref="G603" ca="1">INDEX(INDIRECT($M603),
       MATCH(TRIM($C603), TRIM(INDIRECT($N603)), 0),
       MATCH(TRIM(G$2), TRIM(INDIRECT($O603)), 0))</f>
        <v>#N/A</v>
      </c>
      <c r="H603" s="9" t="e" cm="1">
        <f t="array" aca="1" ref="H603" ca="1">INDEX(INDIRECT($M603),
       MATCH(TRIM($C603), TRIM(INDIRECT($N603)), 0),
       MATCH(TRIM(H$2), TRIM(INDIRECT($O603)), 0))</f>
        <v>#N/A</v>
      </c>
      <c r="I603" s="11" t="e" cm="1">
        <f t="array" aca="1" ref="I603" ca="1">INDEX(INDIRECT($M603),
       MATCH(TRIM($C603), TRIM(INDIRECT($N603)), 0),
       MATCH(TRIM(I$2), TRIM(INDIRECT($O603)), 0))</f>
        <v>#N/A</v>
      </c>
      <c r="J603" s="9" t="e" cm="1">
        <f t="array" aca="1" ref="J603" ca="1">INDEX(INDIRECT($M603),
       MATCH(TRIM($C603), TRIM(INDIRECT($N603)), 0),
       MATCH(TRIM(J$2), TRIM(INDIRECT($O603)), 0))</f>
        <v>#N/A</v>
      </c>
      <c r="K603" s="11" t="e" cm="1">
        <f t="array" aca="1" ref="K603" ca="1">INDEX(INDIRECT($M603),
       MATCH(TRIM($C603), TRIM(INDIRECT($N603)), 0),
       MATCH(TRIM(K$2), TRIM(INDIRECT($O603)), 0))</f>
        <v>#N/A</v>
      </c>
      <c r="L603" s="11" t="e" cm="1">
        <f t="array" aca="1" ref="L603" ca="1">INDEX(INDIRECT($M603),
       MATCH(TRIM($C603), TRIM(INDIRECT($N603)), 0),
       MATCH(TRIM(L$2), TRIM(INDIRECT($O603)), 0))</f>
        <v>#N/A</v>
      </c>
      <c r="M603" s="5" t="str">
        <f t="shared" si="27"/>
        <v>'2024'!$N$3:$V$80</v>
      </c>
      <c r="N603" s="5" t="str">
        <f t="shared" si="28"/>
        <v>'2024'!$M$2:$M$80</v>
      </c>
      <c r="O603" s="5" t="str">
        <f t="shared" si="29"/>
        <v>'2024'!$N$2:$W$2</v>
      </c>
    </row>
    <row r="604" spans="1:15" x14ac:dyDescent="0.3">
      <c r="A604">
        <v>35</v>
      </c>
      <c r="B604" s="9">
        <v>2024</v>
      </c>
      <c r="C604" t="s">
        <v>34</v>
      </c>
      <c r="D604" s="11" cm="1">
        <f t="array" aca="1" ref="D604" ca="1">INDEX(INDIRECT($M604),
       MATCH(TRIM($C604), TRIM(INDIRECT($N604)), 0),
       MATCH(TRIM(D$2), TRIM(INDIRECT($O604)), 0))</f>
        <v>1</v>
      </c>
      <c r="E604" s="9" t="e" cm="1">
        <f t="array" aca="1" ref="E604" ca="1">INDEX(INDIRECT($M604),
       MATCH(TRIM($C604), TRIM(INDIRECT($N604)), 0),
       MATCH(TRIM(E$2), TRIM(INDIRECT($O604)), 0))</f>
        <v>#N/A</v>
      </c>
      <c r="F604" s="11" cm="1">
        <f t="array" aca="1" ref="F604" ca="1">INDEX(INDIRECT($M604),
       MATCH(TRIM($C604), TRIM(INDIRECT($N604)), 0),
       MATCH(TRIM(F$2), TRIM(INDIRECT($O604)), 0))</f>
        <v>2.4175</v>
      </c>
      <c r="G604" s="11" cm="1">
        <f t="array" aca="1" ref="G604" ca="1">INDEX(INDIRECT($M604),
       MATCH(TRIM($C604), TRIM(INDIRECT($N604)), 0),
       MATCH(TRIM(G$2), TRIM(INDIRECT($O604)), 0))</f>
        <v>0</v>
      </c>
      <c r="H604" s="9" t="e" cm="1">
        <f t="array" aca="1" ref="H604" ca="1">INDEX(INDIRECT($M604),
       MATCH(TRIM($C604), TRIM(INDIRECT($N604)), 0),
       MATCH(TRIM(H$2), TRIM(INDIRECT($O604)), 0))</f>
        <v>#N/A</v>
      </c>
      <c r="I604" s="11" cm="1">
        <f t="array" aca="1" ref="I604" ca="1">INDEX(INDIRECT($M604),
       MATCH(TRIM($C604), TRIM(INDIRECT($N604)), 0),
       MATCH(TRIM(I$2), TRIM(INDIRECT($O604)), 0))</f>
        <v>0</v>
      </c>
      <c r="J604" s="9" cm="1">
        <f t="array" aca="1" ref="J604" ca="1">INDEX(INDIRECT($M604),
       MATCH(TRIM($C604), TRIM(INDIRECT($N604)), 0),
       MATCH(TRIM(J$2), TRIM(INDIRECT($O604)), 0))</f>
        <v>0</v>
      </c>
      <c r="K604" s="11" cm="1">
        <f t="array" aca="1" ref="K604" ca="1">INDEX(INDIRECT($M604),
       MATCH(TRIM($C604), TRIM(INDIRECT($N604)), 0),
       MATCH(TRIM(K$2), TRIM(INDIRECT($O604)), 0))</f>
        <v>0</v>
      </c>
      <c r="L604" s="11" cm="1">
        <f t="array" aca="1" ref="L604" ca="1">INDEX(INDIRECT($M604),
       MATCH(TRIM($C604), TRIM(INDIRECT($N604)), 0),
       MATCH(TRIM(L$2), TRIM(INDIRECT($O604)), 0))</f>
        <v>2.4175</v>
      </c>
      <c r="M604" s="5" t="str">
        <f t="shared" si="27"/>
        <v>'2024'!$N$3:$V$80</v>
      </c>
      <c r="N604" s="5" t="str">
        <f t="shared" si="28"/>
        <v>'2024'!$M$2:$M$80</v>
      </c>
      <c r="O604" s="5" t="str">
        <f t="shared" si="29"/>
        <v>'2024'!$N$2:$W$2</v>
      </c>
    </row>
    <row r="605" spans="1:15" x14ac:dyDescent="0.3">
      <c r="A605">
        <v>36</v>
      </c>
      <c r="B605" s="9">
        <v>2024</v>
      </c>
      <c r="C605" t="s">
        <v>35</v>
      </c>
      <c r="D605" s="11" cm="1">
        <f t="array" aca="1" ref="D605" ca="1">INDEX(INDIRECT($M605),
       MATCH(TRIM($C605), TRIM(INDIRECT($N605)), 0),
       MATCH(TRIM(D$2), TRIM(INDIRECT($O605)), 0))</f>
        <v>1</v>
      </c>
      <c r="E605" s="9" t="e" cm="1">
        <f t="array" aca="1" ref="E605" ca="1">INDEX(INDIRECT($M605),
       MATCH(TRIM($C605), TRIM(INDIRECT($N605)), 0),
       MATCH(TRIM(E$2), TRIM(INDIRECT($O605)), 0))</f>
        <v>#N/A</v>
      </c>
      <c r="F605" s="11" cm="1">
        <f t="array" aca="1" ref="F605" ca="1">INDEX(INDIRECT($M605),
       MATCH(TRIM($C605), TRIM(INDIRECT($N605)), 0),
       MATCH(TRIM(F$2), TRIM(INDIRECT($O605)), 0))</f>
        <v>0.15</v>
      </c>
      <c r="G605" s="11" cm="1">
        <f t="array" aca="1" ref="G605" ca="1">INDEX(INDIRECT($M605),
       MATCH(TRIM($C605), TRIM(INDIRECT($N605)), 0),
       MATCH(TRIM(G$2), TRIM(INDIRECT($O605)), 0))</f>
        <v>0</v>
      </c>
      <c r="H605" s="9" t="e" cm="1">
        <f t="array" aca="1" ref="H605" ca="1">INDEX(INDIRECT($M605),
       MATCH(TRIM($C605), TRIM(INDIRECT($N605)), 0),
       MATCH(TRIM(H$2), TRIM(INDIRECT($O605)), 0))</f>
        <v>#N/A</v>
      </c>
      <c r="I605" s="11" cm="1">
        <f t="array" aca="1" ref="I605" ca="1">INDEX(INDIRECT($M605),
       MATCH(TRIM($C605), TRIM(INDIRECT($N605)), 0),
       MATCH(TRIM(I$2), TRIM(INDIRECT($O605)), 0))</f>
        <v>0</v>
      </c>
      <c r="J605" s="9" cm="1">
        <f t="array" aca="1" ref="J605" ca="1">INDEX(INDIRECT($M605),
       MATCH(TRIM($C605), TRIM(INDIRECT($N605)), 0),
       MATCH(TRIM(J$2), TRIM(INDIRECT($O605)), 0))</f>
        <v>0</v>
      </c>
      <c r="K605" s="11" cm="1">
        <f t="array" aca="1" ref="K605" ca="1">INDEX(INDIRECT($M605),
       MATCH(TRIM($C605), TRIM(INDIRECT($N605)), 0),
       MATCH(TRIM(K$2), TRIM(INDIRECT($O605)), 0))</f>
        <v>0</v>
      </c>
      <c r="L605" s="11" cm="1">
        <f t="array" aca="1" ref="L605" ca="1">INDEX(INDIRECT($M605),
       MATCH(TRIM($C605), TRIM(INDIRECT($N605)), 0),
       MATCH(TRIM(L$2), TRIM(INDIRECT($O605)), 0))</f>
        <v>0.15</v>
      </c>
      <c r="M605" s="5" t="str">
        <f t="shared" si="27"/>
        <v>'2024'!$N$3:$V$80</v>
      </c>
      <c r="N605" s="5" t="str">
        <f t="shared" si="28"/>
        <v>'2024'!$M$2:$M$80</v>
      </c>
      <c r="O605" s="5" t="str">
        <f t="shared" si="29"/>
        <v>'2024'!$N$2:$W$2</v>
      </c>
    </row>
    <row r="606" spans="1:15" x14ac:dyDescent="0.3">
      <c r="A606">
        <v>37</v>
      </c>
      <c r="B606" s="9">
        <v>2024</v>
      </c>
      <c r="C606" t="s">
        <v>36</v>
      </c>
      <c r="D606" s="11" cm="1">
        <f t="array" aca="1" ref="D606" ca="1">INDEX(INDIRECT($M606),
       MATCH(TRIM($C606), TRIM(INDIRECT($N606)), 0),
       MATCH(TRIM(D$2), TRIM(INDIRECT($O606)), 0))</f>
        <v>1</v>
      </c>
      <c r="E606" s="9" t="e" cm="1">
        <f t="array" aca="1" ref="E606" ca="1">INDEX(INDIRECT($M606),
       MATCH(TRIM($C606), TRIM(INDIRECT($N606)), 0),
       MATCH(TRIM(E$2), TRIM(INDIRECT($O606)), 0))</f>
        <v>#N/A</v>
      </c>
      <c r="F606" s="11" cm="1">
        <f t="array" aca="1" ref="F606" ca="1">INDEX(INDIRECT($M606),
       MATCH(TRIM($C606), TRIM(INDIRECT($N606)), 0),
       MATCH(TRIM(F$2), TRIM(INDIRECT($O606)), 0))</f>
        <v>0.15</v>
      </c>
      <c r="G606" s="11" cm="1">
        <f t="array" aca="1" ref="G606" ca="1">INDEX(INDIRECT($M606),
       MATCH(TRIM($C606), TRIM(INDIRECT($N606)), 0),
       MATCH(TRIM(G$2), TRIM(INDIRECT($O606)), 0))</f>
        <v>0</v>
      </c>
      <c r="H606" s="9" t="e" cm="1">
        <f t="array" aca="1" ref="H606" ca="1">INDEX(INDIRECT($M606),
       MATCH(TRIM($C606), TRIM(INDIRECT($N606)), 0),
       MATCH(TRIM(H$2), TRIM(INDIRECT($O606)), 0))</f>
        <v>#N/A</v>
      </c>
      <c r="I606" s="11" cm="1">
        <f t="array" aca="1" ref="I606" ca="1">INDEX(INDIRECT($M606),
       MATCH(TRIM($C606), TRIM(INDIRECT($N606)), 0),
       MATCH(TRIM(I$2), TRIM(INDIRECT($O606)), 0))</f>
        <v>0</v>
      </c>
      <c r="J606" s="9" cm="1">
        <f t="array" aca="1" ref="J606" ca="1">INDEX(INDIRECT($M606),
       MATCH(TRIM($C606), TRIM(INDIRECT($N606)), 0),
       MATCH(TRIM(J$2), TRIM(INDIRECT($O606)), 0))</f>
        <v>4</v>
      </c>
      <c r="K606" s="11" cm="1">
        <f t="array" aca="1" ref="K606" ca="1">INDEX(INDIRECT($M606),
       MATCH(TRIM($C606), TRIM(INDIRECT($N606)), 0),
       MATCH(TRIM(K$2), TRIM(INDIRECT($O606)), 0))</f>
        <v>0.10593225000000001</v>
      </c>
      <c r="L606" s="11" cm="1">
        <f t="array" aca="1" ref="L606" ca="1">INDEX(INDIRECT($M606),
       MATCH(TRIM($C606), TRIM(INDIRECT($N606)), 0),
       MATCH(TRIM(L$2), TRIM(INDIRECT($O606)), 0))</f>
        <v>0.25593224999999997</v>
      </c>
      <c r="M606" s="5" t="str">
        <f t="shared" si="27"/>
        <v>'2024'!$N$3:$V$80</v>
      </c>
      <c r="N606" s="5" t="str">
        <f t="shared" si="28"/>
        <v>'2024'!$M$2:$M$80</v>
      </c>
      <c r="O606" s="5" t="str">
        <f t="shared" si="29"/>
        <v>'2024'!$N$2:$W$2</v>
      </c>
    </row>
    <row r="607" spans="1:15" x14ac:dyDescent="0.3">
      <c r="A607">
        <v>38</v>
      </c>
      <c r="B607" s="9">
        <v>2024</v>
      </c>
      <c r="C607" t="s">
        <v>37</v>
      </c>
      <c r="D607" s="11" cm="1">
        <f t="array" aca="1" ref="D607" ca="1">INDEX(INDIRECT($M607),
       MATCH(TRIM($C607), TRIM(INDIRECT($N607)), 0),
       MATCH(TRIM(D$2), TRIM(INDIRECT($O607)), 0))</f>
        <v>17</v>
      </c>
      <c r="E607" s="9" t="e" cm="1">
        <f t="array" aca="1" ref="E607" ca="1">INDEX(INDIRECT($M607),
       MATCH(TRIM($C607), TRIM(INDIRECT($N607)), 0),
       MATCH(TRIM(E$2), TRIM(INDIRECT($O607)), 0))</f>
        <v>#N/A</v>
      </c>
      <c r="F607" s="11" cm="1">
        <f t="array" aca="1" ref="F607" ca="1">INDEX(INDIRECT($M607),
       MATCH(TRIM($C607), TRIM(INDIRECT($N607)), 0),
       MATCH(TRIM(F$2), TRIM(INDIRECT($O607)), 0))</f>
        <v>396.58859899999999</v>
      </c>
      <c r="G607" s="11" cm="1">
        <f t="array" aca="1" ref="G607" ca="1">INDEX(INDIRECT($M607),
       MATCH(TRIM($C607), TRIM(INDIRECT($N607)), 0),
       MATCH(TRIM(G$2), TRIM(INDIRECT($O607)), 0))</f>
        <v>2</v>
      </c>
      <c r="H607" s="9" t="e" cm="1">
        <f t="array" aca="1" ref="H607" ca="1">INDEX(INDIRECT($M607),
       MATCH(TRIM($C607), TRIM(INDIRECT($N607)), 0),
       MATCH(TRIM(H$2), TRIM(INDIRECT($O607)), 0))</f>
        <v>#N/A</v>
      </c>
      <c r="I607" s="11" cm="1">
        <f t="array" aca="1" ref="I607" ca="1">INDEX(INDIRECT($M607),
       MATCH(TRIM($C607), TRIM(INDIRECT($N607)), 0),
       MATCH(TRIM(I$2), TRIM(INDIRECT($O607)), 0))</f>
        <v>5</v>
      </c>
      <c r="J607" s="9" cm="1">
        <f t="array" aca="1" ref="J607" ca="1">INDEX(INDIRECT($M607),
       MATCH(TRIM($C607), TRIM(INDIRECT($N607)), 0),
       MATCH(TRIM(J$2), TRIM(INDIRECT($O607)), 0))</f>
        <v>1</v>
      </c>
      <c r="K607" s="11" cm="1">
        <f t="array" aca="1" ref="K607" ca="1">INDEX(INDIRECT($M607),
       MATCH(TRIM($C607), TRIM(INDIRECT($N607)), 0),
       MATCH(TRIM(K$2), TRIM(INDIRECT($O607)), 0))</f>
        <v>3.5620550000000001E-2</v>
      </c>
      <c r="L607" s="11" cm="1">
        <f t="array" aca="1" ref="L607" ca="1">INDEX(INDIRECT($M607),
       MATCH(TRIM($C607), TRIM(INDIRECT($N607)), 0),
       MATCH(TRIM(L$2), TRIM(INDIRECT($O607)), 0))</f>
        <v>401.62421954999996</v>
      </c>
      <c r="M607" s="5" t="str">
        <f t="shared" si="27"/>
        <v>'2024'!$N$3:$V$80</v>
      </c>
      <c r="N607" s="5" t="str">
        <f t="shared" si="28"/>
        <v>'2024'!$M$2:$M$80</v>
      </c>
      <c r="O607" s="5" t="str">
        <f t="shared" si="29"/>
        <v>'2024'!$N$2:$W$2</v>
      </c>
    </row>
    <row r="608" spans="1:15" x14ac:dyDescent="0.3">
      <c r="A608">
        <v>39</v>
      </c>
      <c r="B608" s="9">
        <v>2024</v>
      </c>
      <c r="C608" t="s">
        <v>38</v>
      </c>
      <c r="D608" s="11" cm="1">
        <f t="array" aca="1" ref="D608" ca="1">INDEX(INDIRECT($M608),
       MATCH(TRIM($C608), TRIM(INDIRECT($N608)), 0),
       MATCH(TRIM(D$2), TRIM(INDIRECT($O608)), 0))</f>
        <v>0</v>
      </c>
      <c r="E608" s="9" t="e" cm="1">
        <f t="array" aca="1" ref="E608" ca="1">INDEX(INDIRECT($M608),
       MATCH(TRIM($C608), TRIM(INDIRECT($N608)), 0),
       MATCH(TRIM(E$2), TRIM(INDIRECT($O608)), 0))</f>
        <v>#N/A</v>
      </c>
      <c r="F608" s="11" cm="1">
        <f t="array" aca="1" ref="F608" ca="1">INDEX(INDIRECT($M608),
       MATCH(TRIM($C608), TRIM(INDIRECT($N608)), 0),
       MATCH(TRIM(F$2), TRIM(INDIRECT($O608)), 0))</f>
        <v>0</v>
      </c>
      <c r="G608" s="11" cm="1">
        <f t="array" aca="1" ref="G608" ca="1">INDEX(INDIRECT($M608),
       MATCH(TRIM($C608), TRIM(INDIRECT($N608)), 0),
       MATCH(TRIM(G$2), TRIM(INDIRECT($O608)), 0))</f>
        <v>0</v>
      </c>
      <c r="H608" s="9" t="e" cm="1">
        <f t="array" aca="1" ref="H608" ca="1">INDEX(INDIRECT($M608),
       MATCH(TRIM($C608), TRIM(INDIRECT($N608)), 0),
       MATCH(TRIM(H$2), TRIM(INDIRECT($O608)), 0))</f>
        <v>#N/A</v>
      </c>
      <c r="I608" s="11" cm="1">
        <f t="array" aca="1" ref="I608" ca="1">INDEX(INDIRECT($M608),
       MATCH(TRIM($C608), TRIM(INDIRECT($N608)), 0),
       MATCH(TRIM(I$2), TRIM(INDIRECT($O608)), 0))</f>
        <v>0</v>
      </c>
      <c r="J608" s="9" cm="1">
        <f t="array" aca="1" ref="J608" ca="1">INDEX(INDIRECT($M608),
       MATCH(TRIM($C608), TRIM(INDIRECT($N608)), 0),
       MATCH(TRIM(J$2), TRIM(INDIRECT($O608)), 0))</f>
        <v>2</v>
      </c>
      <c r="K608" s="11" cm="1">
        <f t="array" aca="1" ref="K608" ca="1">INDEX(INDIRECT($M608),
       MATCH(TRIM($C608), TRIM(INDIRECT($N608)), 0),
       MATCH(TRIM(K$2), TRIM(INDIRECT($O608)), 0))</f>
        <v>0.58982199999999996</v>
      </c>
      <c r="L608" s="11" cm="1">
        <f t="array" aca="1" ref="L608" ca="1">INDEX(INDIRECT($M608),
       MATCH(TRIM($C608), TRIM(INDIRECT($N608)), 0),
       MATCH(TRIM(L$2), TRIM(INDIRECT($O608)), 0))</f>
        <v>0.58982199999999996</v>
      </c>
      <c r="M608" s="5" t="str">
        <f t="shared" si="27"/>
        <v>'2024'!$N$3:$V$80</v>
      </c>
      <c r="N608" s="5" t="str">
        <f t="shared" si="28"/>
        <v>'2024'!$M$2:$M$80</v>
      </c>
      <c r="O608" s="5" t="str">
        <f t="shared" si="29"/>
        <v>'2024'!$N$2:$W$2</v>
      </c>
    </row>
    <row r="609" spans="1:15" x14ac:dyDescent="0.3">
      <c r="A609">
        <v>40</v>
      </c>
      <c r="B609" s="9">
        <v>2024</v>
      </c>
      <c r="C609" t="s">
        <v>39</v>
      </c>
      <c r="D609" s="11" cm="1">
        <f t="array" aca="1" ref="D609" ca="1">INDEX(INDIRECT($M609),
       MATCH(TRIM($C609), TRIM(INDIRECT($N609)), 0),
       MATCH(TRIM(D$2), TRIM(INDIRECT($O609)), 0))</f>
        <v>14</v>
      </c>
      <c r="E609" s="9" t="e" cm="1">
        <f t="array" aca="1" ref="E609" ca="1">INDEX(INDIRECT($M609),
       MATCH(TRIM($C609), TRIM(INDIRECT($N609)), 0),
       MATCH(TRIM(E$2), TRIM(INDIRECT($O609)), 0))</f>
        <v>#N/A</v>
      </c>
      <c r="F609" s="11" cm="1">
        <f t="array" aca="1" ref="F609" ca="1">INDEX(INDIRECT($M609),
       MATCH(TRIM($C609), TRIM(INDIRECT($N609)), 0),
       MATCH(TRIM(F$2), TRIM(INDIRECT($O609)), 0))</f>
        <v>136.451065</v>
      </c>
      <c r="G609" s="11" cm="1">
        <f t="array" aca="1" ref="G609" ca="1">INDEX(INDIRECT($M609),
       MATCH(TRIM($C609), TRIM(INDIRECT($N609)), 0),
       MATCH(TRIM(G$2), TRIM(INDIRECT($O609)), 0))</f>
        <v>8</v>
      </c>
      <c r="H609" s="9" t="e" cm="1">
        <f t="array" aca="1" ref="H609" ca="1">INDEX(INDIRECT($M609),
       MATCH(TRIM($C609), TRIM(INDIRECT($N609)), 0),
       MATCH(TRIM(H$2), TRIM(INDIRECT($O609)), 0))</f>
        <v>#N/A</v>
      </c>
      <c r="I609" s="11" cm="1">
        <f t="array" aca="1" ref="I609" ca="1">INDEX(INDIRECT($M609),
       MATCH(TRIM($C609), TRIM(INDIRECT($N609)), 0),
       MATCH(TRIM(I$2), TRIM(INDIRECT($O609)), 0))</f>
        <v>-20.358521</v>
      </c>
      <c r="J609" s="9" cm="1">
        <f t="array" aca="1" ref="J609" ca="1">INDEX(INDIRECT($M609),
       MATCH(TRIM($C609), TRIM(INDIRECT($N609)), 0),
       MATCH(TRIM(J$2), TRIM(INDIRECT($O609)), 0))</f>
        <v>1</v>
      </c>
      <c r="K609" s="11" cm="1">
        <f t="array" aca="1" ref="K609" ca="1">INDEX(INDIRECT($M609),
       MATCH(TRIM($C609), TRIM(INDIRECT($N609)), 0),
       MATCH(TRIM(K$2), TRIM(INDIRECT($O609)), 0))</f>
        <v>2.2179999999999998E-2</v>
      </c>
      <c r="L609" s="11" cm="1">
        <f t="array" aca="1" ref="L609" ca="1">INDEX(INDIRECT($M609),
       MATCH(TRIM($C609), TRIM(INDIRECT($N609)), 0),
       MATCH(TRIM(L$2), TRIM(INDIRECT($O609)), 0))</f>
        <v>116.11472400000001</v>
      </c>
      <c r="M609" s="5" t="str">
        <f t="shared" si="27"/>
        <v>'2024'!$N$3:$V$80</v>
      </c>
      <c r="N609" s="5" t="str">
        <f t="shared" si="28"/>
        <v>'2024'!$M$2:$M$80</v>
      </c>
      <c r="O609" s="5" t="str">
        <f t="shared" si="29"/>
        <v>'2024'!$N$2:$W$2</v>
      </c>
    </row>
    <row r="610" spans="1:15" x14ac:dyDescent="0.3">
      <c r="A610">
        <v>41</v>
      </c>
      <c r="B610" s="9">
        <v>2024</v>
      </c>
      <c r="C610" t="s">
        <v>40</v>
      </c>
      <c r="D610" s="11" t="e" cm="1">
        <f t="array" aca="1" ref="D610" ca="1">INDEX(INDIRECT($M610),
       MATCH(TRIM($C610), TRIM(INDIRECT($N610)), 0),
       MATCH(TRIM(D$2), TRIM(INDIRECT($O610)), 0))</f>
        <v>#N/A</v>
      </c>
      <c r="E610" s="9" t="e" cm="1">
        <f t="array" aca="1" ref="E610" ca="1">INDEX(INDIRECT($M610),
       MATCH(TRIM($C610), TRIM(INDIRECT($N610)), 0),
       MATCH(TRIM(E$2), TRIM(INDIRECT($O610)), 0))</f>
        <v>#N/A</v>
      </c>
      <c r="F610" s="11" t="e" cm="1">
        <f t="array" aca="1" ref="F610" ca="1">INDEX(INDIRECT($M610),
       MATCH(TRIM($C610), TRIM(INDIRECT($N610)), 0),
       MATCH(TRIM(F$2), TRIM(INDIRECT($O610)), 0))</f>
        <v>#N/A</v>
      </c>
      <c r="G610" s="11" t="e" cm="1">
        <f t="array" aca="1" ref="G610" ca="1">INDEX(INDIRECT($M610),
       MATCH(TRIM($C610), TRIM(INDIRECT($N610)), 0),
       MATCH(TRIM(G$2), TRIM(INDIRECT($O610)), 0))</f>
        <v>#N/A</v>
      </c>
      <c r="H610" s="9" t="e" cm="1">
        <f t="array" aca="1" ref="H610" ca="1">INDEX(INDIRECT($M610),
       MATCH(TRIM($C610), TRIM(INDIRECT($N610)), 0),
       MATCH(TRIM(H$2), TRIM(INDIRECT($O610)), 0))</f>
        <v>#N/A</v>
      </c>
      <c r="I610" s="11" t="e" cm="1">
        <f t="array" aca="1" ref="I610" ca="1">INDEX(INDIRECT($M610),
       MATCH(TRIM($C610), TRIM(INDIRECT($N610)), 0),
       MATCH(TRIM(I$2), TRIM(INDIRECT($O610)), 0))</f>
        <v>#N/A</v>
      </c>
      <c r="J610" s="9" t="e" cm="1">
        <f t="array" aca="1" ref="J610" ca="1">INDEX(INDIRECT($M610),
       MATCH(TRIM($C610), TRIM(INDIRECT($N610)), 0),
       MATCH(TRIM(J$2), TRIM(INDIRECT($O610)), 0))</f>
        <v>#N/A</v>
      </c>
      <c r="K610" s="11" t="e" cm="1">
        <f t="array" aca="1" ref="K610" ca="1">INDEX(INDIRECT($M610),
       MATCH(TRIM($C610), TRIM(INDIRECT($N610)), 0),
       MATCH(TRIM(K$2), TRIM(INDIRECT($O610)), 0))</f>
        <v>#N/A</v>
      </c>
      <c r="L610" s="11" t="e" cm="1">
        <f t="array" aca="1" ref="L610" ca="1">INDEX(INDIRECT($M610),
       MATCH(TRIM($C610), TRIM(INDIRECT($N610)), 0),
       MATCH(TRIM(L$2), TRIM(INDIRECT($O610)), 0))</f>
        <v>#N/A</v>
      </c>
      <c r="M610" s="5" t="str">
        <f t="shared" si="27"/>
        <v>'2024'!$N$3:$V$80</v>
      </c>
      <c r="N610" s="5" t="str">
        <f t="shared" si="28"/>
        <v>'2024'!$M$2:$M$80</v>
      </c>
      <c r="O610" s="5" t="str">
        <f t="shared" si="29"/>
        <v>'2024'!$N$2:$W$2</v>
      </c>
    </row>
    <row r="611" spans="1:15" x14ac:dyDescent="0.3">
      <c r="A611">
        <v>42</v>
      </c>
      <c r="B611" s="9">
        <v>2024</v>
      </c>
      <c r="C611" t="s">
        <v>41</v>
      </c>
      <c r="D611" s="11" cm="1">
        <f t="array" aca="1" ref="D611" ca="1">INDEX(INDIRECT($M611),
       MATCH(TRIM($C611), TRIM(INDIRECT($N611)), 0),
       MATCH(TRIM(D$2), TRIM(INDIRECT($O611)), 0))</f>
        <v>0</v>
      </c>
      <c r="E611" s="9" t="e" cm="1">
        <f t="array" aca="1" ref="E611" ca="1">INDEX(INDIRECT($M611),
       MATCH(TRIM($C611), TRIM(INDIRECT($N611)), 0),
       MATCH(TRIM(E$2), TRIM(INDIRECT($O611)), 0))</f>
        <v>#N/A</v>
      </c>
      <c r="F611" s="11" cm="1">
        <f t="array" aca="1" ref="F611" ca="1">INDEX(INDIRECT($M611),
       MATCH(TRIM($C611), TRIM(INDIRECT($N611)), 0),
       MATCH(TRIM(F$2), TRIM(INDIRECT($O611)), 0))</f>
        <v>0</v>
      </c>
      <c r="G611" s="11" cm="1">
        <f t="array" aca="1" ref="G611" ca="1">INDEX(INDIRECT($M611),
       MATCH(TRIM($C611), TRIM(INDIRECT($N611)), 0),
       MATCH(TRIM(G$2), TRIM(INDIRECT($O611)), 0))</f>
        <v>0</v>
      </c>
      <c r="H611" s="9" t="e" cm="1">
        <f t="array" aca="1" ref="H611" ca="1">INDEX(INDIRECT($M611),
       MATCH(TRIM($C611), TRIM(INDIRECT($N611)), 0),
       MATCH(TRIM(H$2), TRIM(INDIRECT($O611)), 0))</f>
        <v>#N/A</v>
      </c>
      <c r="I611" s="11" cm="1">
        <f t="array" aca="1" ref="I611" ca="1">INDEX(INDIRECT($M611),
       MATCH(TRIM($C611), TRIM(INDIRECT($N611)), 0),
       MATCH(TRIM(I$2), TRIM(INDIRECT($O611)), 0))</f>
        <v>0</v>
      </c>
      <c r="J611" s="9" cm="1">
        <f t="array" aca="1" ref="J611" ca="1">INDEX(INDIRECT($M611),
       MATCH(TRIM($C611), TRIM(INDIRECT($N611)), 0),
       MATCH(TRIM(J$2), TRIM(INDIRECT($O611)), 0))</f>
        <v>1</v>
      </c>
      <c r="K611" s="11" cm="1">
        <f t="array" aca="1" ref="K611" ca="1">INDEX(INDIRECT($M611),
       MATCH(TRIM($C611), TRIM(INDIRECT($N611)), 0),
       MATCH(TRIM(K$2), TRIM(INDIRECT($O611)), 0))</f>
        <v>5.6847754500000001</v>
      </c>
      <c r="L611" s="11" cm="1">
        <f t="array" aca="1" ref="L611" ca="1">INDEX(INDIRECT($M611),
       MATCH(TRIM($C611), TRIM(INDIRECT($N611)), 0),
       MATCH(TRIM(L$2), TRIM(INDIRECT($O611)), 0))</f>
        <v>5.6847754500000001</v>
      </c>
      <c r="M611" s="5" t="str">
        <f t="shared" si="27"/>
        <v>'2024'!$N$3:$V$80</v>
      </c>
      <c r="N611" s="5" t="str">
        <f t="shared" si="28"/>
        <v>'2024'!$M$2:$M$80</v>
      </c>
      <c r="O611" s="5" t="str">
        <f t="shared" si="29"/>
        <v>'2024'!$N$2:$W$2</v>
      </c>
    </row>
    <row r="612" spans="1:15" x14ac:dyDescent="0.3">
      <c r="A612">
        <v>43</v>
      </c>
      <c r="B612" s="9">
        <v>2024</v>
      </c>
      <c r="C612" t="s">
        <v>42</v>
      </c>
      <c r="D612" s="11" cm="1">
        <f t="array" aca="1" ref="D612" ca="1">INDEX(INDIRECT($M612),
       MATCH(TRIM($C612), TRIM(INDIRECT($N612)), 0),
       MATCH(TRIM(D$2), TRIM(INDIRECT($O612)), 0))</f>
        <v>0</v>
      </c>
      <c r="E612" s="9" t="e" cm="1">
        <f t="array" aca="1" ref="E612" ca="1">INDEX(INDIRECT($M612),
       MATCH(TRIM($C612), TRIM(INDIRECT($N612)), 0),
       MATCH(TRIM(E$2), TRIM(INDIRECT($O612)), 0))</f>
        <v>#N/A</v>
      </c>
      <c r="F612" s="11" cm="1">
        <f t="array" aca="1" ref="F612" ca="1">INDEX(INDIRECT($M612),
       MATCH(TRIM($C612), TRIM(INDIRECT($N612)), 0),
       MATCH(TRIM(F$2), TRIM(INDIRECT($O612)), 0))</f>
        <v>0</v>
      </c>
      <c r="G612" s="11" cm="1">
        <f t="array" aca="1" ref="G612" ca="1">INDEX(INDIRECT($M612),
       MATCH(TRIM($C612), TRIM(INDIRECT($N612)), 0),
       MATCH(TRIM(G$2), TRIM(INDIRECT($O612)), 0))</f>
        <v>0</v>
      </c>
      <c r="H612" s="9" t="e" cm="1">
        <f t="array" aca="1" ref="H612" ca="1">INDEX(INDIRECT($M612),
       MATCH(TRIM($C612), TRIM(INDIRECT($N612)), 0),
       MATCH(TRIM(H$2), TRIM(INDIRECT($O612)), 0))</f>
        <v>#N/A</v>
      </c>
      <c r="I612" s="11" cm="1">
        <f t="array" aca="1" ref="I612" ca="1">INDEX(INDIRECT($M612),
       MATCH(TRIM($C612), TRIM(INDIRECT($N612)), 0),
       MATCH(TRIM(I$2), TRIM(INDIRECT($O612)), 0))</f>
        <v>0</v>
      </c>
      <c r="J612" s="9" cm="1">
        <f t="array" aca="1" ref="J612" ca="1">INDEX(INDIRECT($M612),
       MATCH(TRIM($C612), TRIM(INDIRECT($N612)), 0),
       MATCH(TRIM(J$2), TRIM(INDIRECT($O612)), 0))</f>
        <v>1</v>
      </c>
      <c r="K612" s="11" cm="1">
        <f t="array" aca="1" ref="K612" ca="1">INDEX(INDIRECT($M612),
       MATCH(TRIM($C612), TRIM(INDIRECT($N612)), 0),
       MATCH(TRIM(K$2), TRIM(INDIRECT($O612)), 0))</f>
        <v>4.0000000000000001E-3</v>
      </c>
      <c r="L612" s="11" cm="1">
        <f t="array" aca="1" ref="L612" ca="1">INDEX(INDIRECT($M612),
       MATCH(TRIM($C612), TRIM(INDIRECT($N612)), 0),
       MATCH(TRIM(L$2), TRIM(INDIRECT($O612)), 0))</f>
        <v>4.0000000000000001E-3</v>
      </c>
      <c r="M612" s="5" t="str">
        <f t="shared" si="27"/>
        <v>'2024'!$N$3:$V$80</v>
      </c>
      <c r="N612" s="5" t="str">
        <f t="shared" si="28"/>
        <v>'2024'!$M$2:$M$80</v>
      </c>
      <c r="O612" s="5" t="str">
        <f t="shared" si="29"/>
        <v>'2024'!$N$2:$W$2</v>
      </c>
    </row>
    <row r="613" spans="1:15" x14ac:dyDescent="0.3">
      <c r="A613">
        <v>44</v>
      </c>
      <c r="B613" s="9">
        <v>2024</v>
      </c>
      <c r="C613" t="s">
        <v>43</v>
      </c>
      <c r="D613" s="11" cm="1">
        <f t="array" aca="1" ref="D613" ca="1">INDEX(INDIRECT($M613),
       MATCH(TRIM($C613), TRIM(INDIRECT($N613)), 0),
       MATCH(TRIM(D$2), TRIM(INDIRECT($O613)), 0))</f>
        <v>2</v>
      </c>
      <c r="E613" s="9" t="e" cm="1">
        <f t="array" aca="1" ref="E613" ca="1">INDEX(INDIRECT($M613),
       MATCH(TRIM($C613), TRIM(INDIRECT($N613)), 0),
       MATCH(TRIM(E$2), TRIM(INDIRECT($O613)), 0))</f>
        <v>#N/A</v>
      </c>
      <c r="F613" s="11" cm="1">
        <f t="array" aca="1" ref="F613" ca="1">INDEX(INDIRECT($M613),
       MATCH(TRIM($C613), TRIM(INDIRECT($N613)), 0),
       MATCH(TRIM(F$2), TRIM(INDIRECT($O613)), 0))</f>
        <v>4.4690000000000003</v>
      </c>
      <c r="G613" s="11" cm="1">
        <f t="array" aca="1" ref="G613" ca="1">INDEX(INDIRECT($M613),
       MATCH(TRIM($C613), TRIM(INDIRECT($N613)), 0),
       MATCH(TRIM(G$2), TRIM(INDIRECT($O613)), 0))</f>
        <v>0</v>
      </c>
      <c r="H613" s="9" t="e" cm="1">
        <f t="array" aca="1" ref="H613" ca="1">INDEX(INDIRECT($M613),
       MATCH(TRIM($C613), TRIM(INDIRECT($N613)), 0),
       MATCH(TRIM(H$2), TRIM(INDIRECT($O613)), 0))</f>
        <v>#N/A</v>
      </c>
      <c r="I613" s="11" cm="1">
        <f t="array" aca="1" ref="I613" ca="1">INDEX(INDIRECT($M613),
       MATCH(TRIM($C613), TRIM(INDIRECT($N613)), 0),
       MATCH(TRIM(I$2), TRIM(INDIRECT($O613)), 0))</f>
        <v>0</v>
      </c>
      <c r="J613" s="9" cm="1">
        <f t="array" aca="1" ref="J613" ca="1">INDEX(INDIRECT($M613),
       MATCH(TRIM($C613), TRIM(INDIRECT($N613)), 0),
       MATCH(TRIM(J$2), TRIM(INDIRECT($O613)), 0))</f>
        <v>0</v>
      </c>
      <c r="K613" s="11" cm="1">
        <f t="array" aca="1" ref="K613" ca="1">INDEX(INDIRECT($M613),
       MATCH(TRIM($C613), TRIM(INDIRECT($N613)), 0),
       MATCH(TRIM(K$2), TRIM(INDIRECT($O613)), 0))</f>
        <v>0</v>
      </c>
      <c r="L613" s="11" cm="1">
        <f t="array" aca="1" ref="L613" ca="1">INDEX(INDIRECT($M613),
       MATCH(TRIM($C613), TRIM(INDIRECT($N613)), 0),
       MATCH(TRIM(L$2), TRIM(INDIRECT($O613)), 0))</f>
        <v>4.4690000000000003</v>
      </c>
      <c r="M613" s="5" t="str">
        <f t="shared" si="27"/>
        <v>'2024'!$N$3:$V$80</v>
      </c>
      <c r="N613" s="5" t="str">
        <f t="shared" si="28"/>
        <v>'2024'!$M$2:$M$80</v>
      </c>
      <c r="O613" s="5" t="str">
        <f t="shared" si="29"/>
        <v>'2024'!$N$2:$W$2</v>
      </c>
    </row>
    <row r="614" spans="1:15" x14ac:dyDescent="0.3">
      <c r="A614">
        <v>45</v>
      </c>
      <c r="B614" s="9">
        <v>2024</v>
      </c>
      <c r="C614" t="s">
        <v>44</v>
      </c>
      <c r="D614" s="11" t="e" cm="1">
        <f t="array" aca="1" ref="D614" ca="1">INDEX(INDIRECT($M614),
       MATCH(TRIM($C614), TRIM(INDIRECT($N614)), 0),
       MATCH(TRIM(D$2), TRIM(INDIRECT($O614)), 0))</f>
        <v>#N/A</v>
      </c>
      <c r="E614" s="9" t="e" cm="1">
        <f t="array" aca="1" ref="E614" ca="1">INDEX(INDIRECT($M614),
       MATCH(TRIM($C614), TRIM(INDIRECT($N614)), 0),
       MATCH(TRIM(E$2), TRIM(INDIRECT($O614)), 0))</f>
        <v>#N/A</v>
      </c>
      <c r="F614" s="11" t="e" cm="1">
        <f t="array" aca="1" ref="F614" ca="1">INDEX(INDIRECT($M614),
       MATCH(TRIM($C614), TRIM(INDIRECT($N614)), 0),
       MATCH(TRIM(F$2), TRIM(INDIRECT($O614)), 0))</f>
        <v>#N/A</v>
      </c>
      <c r="G614" s="11" t="e" cm="1">
        <f t="array" aca="1" ref="G614" ca="1">INDEX(INDIRECT($M614),
       MATCH(TRIM($C614), TRIM(INDIRECT($N614)), 0),
       MATCH(TRIM(G$2), TRIM(INDIRECT($O614)), 0))</f>
        <v>#N/A</v>
      </c>
      <c r="H614" s="9" t="e" cm="1">
        <f t="array" aca="1" ref="H614" ca="1">INDEX(INDIRECT($M614),
       MATCH(TRIM($C614), TRIM(INDIRECT($N614)), 0),
       MATCH(TRIM(H$2), TRIM(INDIRECT($O614)), 0))</f>
        <v>#N/A</v>
      </c>
      <c r="I614" s="11" t="e" cm="1">
        <f t="array" aca="1" ref="I614" ca="1">INDEX(INDIRECT($M614),
       MATCH(TRIM($C614), TRIM(INDIRECT($N614)), 0),
       MATCH(TRIM(I$2), TRIM(INDIRECT($O614)), 0))</f>
        <v>#N/A</v>
      </c>
      <c r="J614" s="9" t="e" cm="1">
        <f t="array" aca="1" ref="J614" ca="1">INDEX(INDIRECT($M614),
       MATCH(TRIM($C614), TRIM(INDIRECT($N614)), 0),
       MATCH(TRIM(J$2), TRIM(INDIRECT($O614)), 0))</f>
        <v>#N/A</v>
      </c>
      <c r="K614" s="11" t="e" cm="1">
        <f t="array" aca="1" ref="K614" ca="1">INDEX(INDIRECT($M614),
       MATCH(TRIM($C614), TRIM(INDIRECT($N614)), 0),
       MATCH(TRIM(K$2), TRIM(INDIRECT($O614)), 0))</f>
        <v>#N/A</v>
      </c>
      <c r="L614" s="11" t="e" cm="1">
        <f t="array" aca="1" ref="L614" ca="1">INDEX(INDIRECT($M614),
       MATCH(TRIM($C614), TRIM(INDIRECT($N614)), 0),
       MATCH(TRIM(L$2), TRIM(INDIRECT($O614)), 0))</f>
        <v>#N/A</v>
      </c>
      <c r="M614" s="5" t="str">
        <f t="shared" si="27"/>
        <v>'2024'!$N$3:$V$80</v>
      </c>
      <c r="N614" s="5" t="str">
        <f t="shared" si="28"/>
        <v>'2024'!$M$2:$M$80</v>
      </c>
      <c r="O614" s="5" t="str">
        <f t="shared" si="29"/>
        <v>'2024'!$N$2:$W$2</v>
      </c>
    </row>
    <row r="615" spans="1:15" x14ac:dyDescent="0.3">
      <c r="A615">
        <v>46</v>
      </c>
      <c r="B615" s="9">
        <v>2024</v>
      </c>
      <c r="C615" t="s">
        <v>45</v>
      </c>
      <c r="D615" s="11" cm="1">
        <f t="array" aca="1" ref="D615" ca="1">INDEX(INDIRECT($M615),
       MATCH(TRIM($C615), TRIM(INDIRECT($N615)), 0),
       MATCH(TRIM(D$2), TRIM(INDIRECT($O615)), 0))</f>
        <v>1</v>
      </c>
      <c r="E615" s="9" t="e" cm="1">
        <f t="array" aca="1" ref="E615" ca="1">INDEX(INDIRECT($M615),
       MATCH(TRIM($C615), TRIM(INDIRECT($N615)), 0),
       MATCH(TRIM(E$2), TRIM(INDIRECT($O615)), 0))</f>
        <v>#N/A</v>
      </c>
      <c r="F615" s="11" cm="1">
        <f t="array" aca="1" ref="F615" ca="1">INDEX(INDIRECT($M615),
       MATCH(TRIM($C615), TRIM(INDIRECT($N615)), 0),
       MATCH(TRIM(F$2), TRIM(INDIRECT($O615)), 0))</f>
        <v>6.6</v>
      </c>
      <c r="G615" s="11" cm="1">
        <f t="array" aca="1" ref="G615" ca="1">INDEX(INDIRECT($M615),
       MATCH(TRIM($C615), TRIM(INDIRECT($N615)), 0),
       MATCH(TRIM(G$2), TRIM(INDIRECT($O615)), 0))</f>
        <v>1</v>
      </c>
      <c r="H615" s="9" t="e" cm="1">
        <f t="array" aca="1" ref="H615" ca="1">INDEX(INDIRECT($M615),
       MATCH(TRIM($C615), TRIM(INDIRECT($N615)), 0),
       MATCH(TRIM(H$2), TRIM(INDIRECT($O615)), 0))</f>
        <v>#N/A</v>
      </c>
      <c r="I615" s="11" cm="1">
        <f t="array" aca="1" ref="I615" ca="1">INDEX(INDIRECT($M615),
       MATCH(TRIM($C615), TRIM(INDIRECT($N615)), 0),
       MATCH(TRIM(I$2), TRIM(INDIRECT($O615)), 0))</f>
        <v>1</v>
      </c>
      <c r="J615" s="9" cm="1">
        <f t="array" aca="1" ref="J615" ca="1">INDEX(INDIRECT($M615),
       MATCH(TRIM($C615), TRIM(INDIRECT($N615)), 0),
       MATCH(TRIM(J$2), TRIM(INDIRECT($O615)), 0))</f>
        <v>2</v>
      </c>
      <c r="K615" s="11" cm="1">
        <f t="array" aca="1" ref="K615" ca="1">INDEX(INDIRECT($M615),
       MATCH(TRIM($C615), TRIM(INDIRECT($N615)), 0),
       MATCH(TRIM(K$2), TRIM(INDIRECT($O615)), 0))</f>
        <v>1.4473818799999998</v>
      </c>
      <c r="L615" s="11" cm="1">
        <f t="array" aca="1" ref="L615" ca="1">INDEX(INDIRECT($M615),
       MATCH(TRIM($C615), TRIM(INDIRECT($N615)), 0),
       MATCH(TRIM(L$2), TRIM(INDIRECT($O615)), 0))</f>
        <v>9.0473818799999997</v>
      </c>
      <c r="M615" s="5" t="str">
        <f t="shared" si="27"/>
        <v>'2024'!$N$3:$V$80</v>
      </c>
      <c r="N615" s="5" t="str">
        <f t="shared" si="28"/>
        <v>'2024'!$M$2:$M$80</v>
      </c>
      <c r="O615" s="5" t="str">
        <f t="shared" si="29"/>
        <v>'2024'!$N$2:$W$2</v>
      </c>
    </row>
    <row r="616" spans="1:15" x14ac:dyDescent="0.3">
      <c r="A616">
        <v>47</v>
      </c>
      <c r="B616" s="9">
        <v>2024</v>
      </c>
      <c r="C616" t="s">
        <v>46</v>
      </c>
      <c r="D616" s="11" t="e" cm="1">
        <f t="array" aca="1" ref="D616" ca="1">INDEX(INDIRECT($M616),
       MATCH(TRIM($C616), TRIM(INDIRECT($N616)), 0),
       MATCH(TRIM(D$2), TRIM(INDIRECT($O616)), 0))</f>
        <v>#N/A</v>
      </c>
      <c r="E616" s="9" t="e" cm="1">
        <f t="array" aca="1" ref="E616" ca="1">INDEX(INDIRECT($M616),
       MATCH(TRIM($C616), TRIM(INDIRECT($N616)), 0),
       MATCH(TRIM(E$2), TRIM(INDIRECT($O616)), 0))</f>
        <v>#N/A</v>
      </c>
      <c r="F616" s="11" t="e" cm="1">
        <f t="array" aca="1" ref="F616" ca="1">INDEX(INDIRECT($M616),
       MATCH(TRIM($C616), TRIM(INDIRECT($N616)), 0),
       MATCH(TRIM(F$2), TRIM(INDIRECT($O616)), 0))</f>
        <v>#N/A</v>
      </c>
      <c r="G616" s="11" t="e" cm="1">
        <f t="array" aca="1" ref="G616" ca="1">INDEX(INDIRECT($M616),
       MATCH(TRIM($C616), TRIM(INDIRECT($N616)), 0),
       MATCH(TRIM(G$2), TRIM(INDIRECT($O616)), 0))</f>
        <v>#N/A</v>
      </c>
      <c r="H616" s="9" t="e" cm="1">
        <f t="array" aca="1" ref="H616" ca="1">INDEX(INDIRECT($M616),
       MATCH(TRIM($C616), TRIM(INDIRECT($N616)), 0),
       MATCH(TRIM(H$2), TRIM(INDIRECT($O616)), 0))</f>
        <v>#N/A</v>
      </c>
      <c r="I616" s="11" t="e" cm="1">
        <f t="array" aca="1" ref="I616" ca="1">INDEX(INDIRECT($M616),
       MATCH(TRIM($C616), TRIM(INDIRECT($N616)), 0),
       MATCH(TRIM(I$2), TRIM(INDIRECT($O616)), 0))</f>
        <v>#N/A</v>
      </c>
      <c r="J616" s="9" t="e" cm="1">
        <f t="array" aca="1" ref="J616" ca="1">INDEX(INDIRECT($M616),
       MATCH(TRIM($C616), TRIM(INDIRECT($N616)), 0),
       MATCH(TRIM(J$2), TRIM(INDIRECT($O616)), 0))</f>
        <v>#N/A</v>
      </c>
      <c r="K616" s="11" t="e" cm="1">
        <f t="array" aca="1" ref="K616" ca="1">INDEX(INDIRECT($M616),
       MATCH(TRIM($C616), TRIM(INDIRECT($N616)), 0),
       MATCH(TRIM(K$2), TRIM(INDIRECT($O616)), 0))</f>
        <v>#N/A</v>
      </c>
      <c r="L616" s="11" t="e" cm="1">
        <f t="array" aca="1" ref="L616" ca="1">INDEX(INDIRECT($M616),
       MATCH(TRIM($C616), TRIM(INDIRECT($N616)), 0),
       MATCH(TRIM(L$2), TRIM(INDIRECT($O616)), 0))</f>
        <v>#N/A</v>
      </c>
      <c r="M616" s="5" t="str">
        <f t="shared" si="27"/>
        <v>'2024'!$N$3:$V$80</v>
      </c>
      <c r="N616" s="5" t="str">
        <f t="shared" si="28"/>
        <v>'2024'!$M$2:$M$80</v>
      </c>
      <c r="O616" s="5" t="str">
        <f t="shared" si="29"/>
        <v>'2024'!$N$2:$W$2</v>
      </c>
    </row>
    <row r="617" spans="1:15" x14ac:dyDescent="0.3">
      <c r="A617">
        <v>48</v>
      </c>
      <c r="B617" s="9">
        <v>2024</v>
      </c>
      <c r="C617" t="s">
        <v>47</v>
      </c>
      <c r="D617" s="11" cm="1">
        <f t="array" aca="1" ref="D617" ca="1">INDEX(INDIRECT($M617),
       MATCH(TRIM($C617), TRIM(INDIRECT($N617)), 0),
       MATCH(TRIM(D$2), TRIM(INDIRECT($O617)), 0))</f>
        <v>3</v>
      </c>
      <c r="E617" s="9" t="e" cm="1">
        <f t="array" aca="1" ref="E617" ca="1">INDEX(INDIRECT($M617),
       MATCH(TRIM($C617), TRIM(INDIRECT($N617)), 0),
       MATCH(TRIM(E$2), TRIM(INDIRECT($O617)), 0))</f>
        <v>#N/A</v>
      </c>
      <c r="F617" s="11" cm="1">
        <f t="array" aca="1" ref="F617" ca="1">INDEX(INDIRECT($M617),
       MATCH(TRIM($C617), TRIM(INDIRECT($N617)), 0),
       MATCH(TRIM(F$2), TRIM(INDIRECT($O617)), 0))</f>
        <v>131.64166399999999</v>
      </c>
      <c r="G617" s="11" cm="1">
        <f t="array" aca="1" ref="G617" ca="1">INDEX(INDIRECT($M617),
       MATCH(TRIM($C617), TRIM(INDIRECT($N617)), 0),
       MATCH(TRIM(G$2), TRIM(INDIRECT($O617)), 0))</f>
        <v>0</v>
      </c>
      <c r="H617" s="9" t="e" cm="1">
        <f t="array" aca="1" ref="H617" ca="1">INDEX(INDIRECT($M617),
       MATCH(TRIM($C617), TRIM(INDIRECT($N617)), 0),
       MATCH(TRIM(H$2), TRIM(INDIRECT($O617)), 0))</f>
        <v>#N/A</v>
      </c>
      <c r="I617" s="11" cm="1">
        <f t="array" aca="1" ref="I617" ca="1">INDEX(INDIRECT($M617),
       MATCH(TRIM($C617), TRIM(INDIRECT($N617)), 0),
       MATCH(TRIM(I$2), TRIM(INDIRECT($O617)), 0))</f>
        <v>0</v>
      </c>
      <c r="J617" s="9" cm="1">
        <f t="array" aca="1" ref="J617" ca="1">INDEX(INDIRECT($M617),
       MATCH(TRIM($C617), TRIM(INDIRECT($N617)), 0),
       MATCH(TRIM(J$2), TRIM(INDIRECT($O617)), 0))</f>
        <v>3</v>
      </c>
      <c r="K617" s="11" cm="1">
        <f t="array" aca="1" ref="K617" ca="1">INDEX(INDIRECT($M617),
       MATCH(TRIM($C617), TRIM(INDIRECT($N617)), 0),
       MATCH(TRIM(K$2), TRIM(INDIRECT($O617)), 0))</f>
        <v>1.400954</v>
      </c>
      <c r="L617" s="11" cm="1">
        <f t="array" aca="1" ref="L617" ca="1">INDEX(INDIRECT($M617),
       MATCH(TRIM($C617), TRIM(INDIRECT($N617)), 0),
       MATCH(TRIM(L$2), TRIM(INDIRECT($O617)), 0))</f>
        <v>133.042618</v>
      </c>
      <c r="M617" s="5" t="str">
        <f t="shared" si="27"/>
        <v>'2024'!$N$3:$V$80</v>
      </c>
      <c r="N617" s="5" t="str">
        <f t="shared" si="28"/>
        <v>'2024'!$M$2:$M$80</v>
      </c>
      <c r="O617" s="5" t="str">
        <f t="shared" si="29"/>
        <v>'2024'!$N$2:$W$2</v>
      </c>
    </row>
    <row r="618" spans="1:15" x14ac:dyDescent="0.3">
      <c r="A618">
        <v>49</v>
      </c>
      <c r="B618" s="9">
        <v>2024</v>
      </c>
      <c r="C618" t="s">
        <v>48</v>
      </c>
      <c r="D618" s="11" t="e" cm="1">
        <f t="array" aca="1" ref="D618" ca="1">INDEX(INDIRECT($M618),
       MATCH(TRIM($C618), TRIM(INDIRECT($N618)), 0),
       MATCH(TRIM(D$2), TRIM(INDIRECT($O618)), 0))</f>
        <v>#N/A</v>
      </c>
      <c r="E618" s="9" t="e" cm="1">
        <f t="array" aca="1" ref="E618" ca="1">INDEX(INDIRECT($M618),
       MATCH(TRIM($C618), TRIM(INDIRECT($N618)), 0),
       MATCH(TRIM(E$2), TRIM(INDIRECT($O618)), 0))</f>
        <v>#N/A</v>
      </c>
      <c r="F618" s="11" t="e" cm="1">
        <f t="array" aca="1" ref="F618" ca="1">INDEX(INDIRECT($M618),
       MATCH(TRIM($C618), TRIM(INDIRECT($N618)), 0),
       MATCH(TRIM(F$2), TRIM(INDIRECT($O618)), 0))</f>
        <v>#N/A</v>
      </c>
      <c r="G618" s="11" t="e" cm="1">
        <f t="array" aca="1" ref="G618" ca="1">INDEX(INDIRECT($M618),
       MATCH(TRIM($C618), TRIM(INDIRECT($N618)), 0),
       MATCH(TRIM(G$2), TRIM(INDIRECT($O618)), 0))</f>
        <v>#N/A</v>
      </c>
      <c r="H618" s="9" t="e" cm="1">
        <f t="array" aca="1" ref="H618" ca="1">INDEX(INDIRECT($M618),
       MATCH(TRIM($C618), TRIM(INDIRECT($N618)), 0),
       MATCH(TRIM(H$2), TRIM(INDIRECT($O618)), 0))</f>
        <v>#N/A</v>
      </c>
      <c r="I618" s="11" t="e" cm="1">
        <f t="array" aca="1" ref="I618" ca="1">INDEX(INDIRECT($M618),
       MATCH(TRIM($C618), TRIM(INDIRECT($N618)), 0),
       MATCH(TRIM(I$2), TRIM(INDIRECT($O618)), 0))</f>
        <v>#N/A</v>
      </c>
      <c r="J618" s="9" t="e" cm="1">
        <f t="array" aca="1" ref="J618" ca="1">INDEX(INDIRECT($M618),
       MATCH(TRIM($C618), TRIM(INDIRECT($N618)), 0),
       MATCH(TRIM(J$2), TRIM(INDIRECT($O618)), 0))</f>
        <v>#N/A</v>
      </c>
      <c r="K618" s="11" t="e" cm="1">
        <f t="array" aca="1" ref="K618" ca="1">INDEX(INDIRECT($M618),
       MATCH(TRIM($C618), TRIM(INDIRECT($N618)), 0),
       MATCH(TRIM(K$2), TRIM(INDIRECT($O618)), 0))</f>
        <v>#N/A</v>
      </c>
      <c r="L618" s="11" t="e" cm="1">
        <f t="array" aca="1" ref="L618" ca="1">INDEX(INDIRECT($M618),
       MATCH(TRIM($C618), TRIM(INDIRECT($N618)), 0),
       MATCH(TRIM(L$2), TRIM(INDIRECT($O618)), 0))</f>
        <v>#N/A</v>
      </c>
      <c r="M618" s="5" t="str">
        <f t="shared" si="27"/>
        <v>'2024'!$N$3:$V$80</v>
      </c>
      <c r="N618" s="5" t="str">
        <f t="shared" si="28"/>
        <v>'2024'!$M$2:$M$80</v>
      </c>
      <c r="O618" s="5" t="str">
        <f t="shared" si="29"/>
        <v>'2024'!$N$2:$W$2</v>
      </c>
    </row>
    <row r="619" spans="1:15" x14ac:dyDescent="0.3">
      <c r="A619">
        <v>50</v>
      </c>
      <c r="B619" s="9">
        <v>2024</v>
      </c>
      <c r="C619" t="s">
        <v>49</v>
      </c>
      <c r="D619" s="11" t="e" cm="1">
        <f t="array" aca="1" ref="D619" ca="1">INDEX(INDIRECT($M619),
       MATCH(TRIM($C619), TRIM(INDIRECT($N619)), 0),
       MATCH(TRIM(D$2), TRIM(INDIRECT($O619)), 0))</f>
        <v>#N/A</v>
      </c>
      <c r="E619" s="9" t="e" cm="1">
        <f t="array" aca="1" ref="E619" ca="1">INDEX(INDIRECT($M619),
       MATCH(TRIM($C619), TRIM(INDIRECT($N619)), 0),
       MATCH(TRIM(E$2), TRIM(INDIRECT($O619)), 0))</f>
        <v>#N/A</v>
      </c>
      <c r="F619" s="11" t="e" cm="1">
        <f t="array" aca="1" ref="F619" ca="1">INDEX(INDIRECT($M619),
       MATCH(TRIM($C619), TRIM(INDIRECT($N619)), 0),
       MATCH(TRIM(F$2), TRIM(INDIRECT($O619)), 0))</f>
        <v>#N/A</v>
      </c>
      <c r="G619" s="11" t="e" cm="1">
        <f t="array" aca="1" ref="G619" ca="1">INDEX(INDIRECT($M619),
       MATCH(TRIM($C619), TRIM(INDIRECT($N619)), 0),
       MATCH(TRIM(G$2), TRIM(INDIRECT($O619)), 0))</f>
        <v>#N/A</v>
      </c>
      <c r="H619" s="9" t="e" cm="1">
        <f t="array" aca="1" ref="H619" ca="1">INDEX(INDIRECT($M619),
       MATCH(TRIM($C619), TRIM(INDIRECT($N619)), 0),
       MATCH(TRIM(H$2), TRIM(INDIRECT($O619)), 0))</f>
        <v>#N/A</v>
      </c>
      <c r="I619" s="11" t="e" cm="1">
        <f t="array" aca="1" ref="I619" ca="1">INDEX(INDIRECT($M619),
       MATCH(TRIM($C619), TRIM(INDIRECT($N619)), 0),
       MATCH(TRIM(I$2), TRIM(INDIRECT($O619)), 0))</f>
        <v>#N/A</v>
      </c>
      <c r="J619" s="9" t="e" cm="1">
        <f t="array" aca="1" ref="J619" ca="1">INDEX(INDIRECT($M619),
       MATCH(TRIM($C619), TRIM(INDIRECT($N619)), 0),
       MATCH(TRIM(J$2), TRIM(INDIRECT($O619)), 0))</f>
        <v>#N/A</v>
      </c>
      <c r="K619" s="11" t="e" cm="1">
        <f t="array" aca="1" ref="K619" ca="1">INDEX(INDIRECT($M619),
       MATCH(TRIM($C619), TRIM(INDIRECT($N619)), 0),
       MATCH(TRIM(K$2), TRIM(INDIRECT($O619)), 0))</f>
        <v>#N/A</v>
      </c>
      <c r="L619" s="11" t="e" cm="1">
        <f t="array" aca="1" ref="L619" ca="1">INDEX(INDIRECT($M619),
       MATCH(TRIM($C619), TRIM(INDIRECT($N619)), 0),
       MATCH(TRIM(L$2), TRIM(INDIRECT($O619)), 0))</f>
        <v>#N/A</v>
      </c>
      <c r="M619" s="5" t="str">
        <f t="shared" si="27"/>
        <v>'2024'!$N$3:$V$80</v>
      </c>
      <c r="N619" s="5" t="str">
        <f t="shared" si="28"/>
        <v>'2024'!$M$2:$M$80</v>
      </c>
      <c r="O619" s="5" t="str">
        <f t="shared" si="29"/>
        <v>'2024'!$N$2:$W$2</v>
      </c>
    </row>
    <row r="620" spans="1:15" x14ac:dyDescent="0.3">
      <c r="A620">
        <v>51</v>
      </c>
      <c r="B620" s="9">
        <v>2024</v>
      </c>
      <c r="C620" t="s">
        <v>50</v>
      </c>
      <c r="D620" s="11" cm="1">
        <f t="array" aca="1" ref="D620" ca="1">INDEX(INDIRECT($M620),
       MATCH(TRIM($C620), TRIM(INDIRECT($N620)), 0),
       MATCH(TRIM(D$2), TRIM(INDIRECT($O620)), 0))</f>
        <v>2</v>
      </c>
      <c r="E620" s="9" t="e" cm="1">
        <f t="array" aca="1" ref="E620" ca="1">INDEX(INDIRECT($M620),
       MATCH(TRIM($C620), TRIM(INDIRECT($N620)), 0),
       MATCH(TRIM(E$2), TRIM(INDIRECT($O620)), 0))</f>
        <v>#N/A</v>
      </c>
      <c r="F620" s="11" cm="1">
        <f t="array" aca="1" ref="F620" ca="1">INDEX(INDIRECT($M620),
       MATCH(TRIM($C620), TRIM(INDIRECT($N620)), 0),
       MATCH(TRIM(F$2), TRIM(INDIRECT($O620)), 0))</f>
        <v>10.6753991</v>
      </c>
      <c r="G620" s="11" cm="1">
        <f t="array" aca="1" ref="G620" ca="1">INDEX(INDIRECT($M620),
       MATCH(TRIM($C620), TRIM(INDIRECT($N620)), 0),
       MATCH(TRIM(G$2), TRIM(INDIRECT($O620)), 0))</f>
        <v>1</v>
      </c>
      <c r="H620" s="9" t="e" cm="1">
        <f t="array" aca="1" ref="H620" ca="1">INDEX(INDIRECT($M620),
       MATCH(TRIM($C620), TRIM(INDIRECT($N620)), 0),
       MATCH(TRIM(H$2), TRIM(INDIRECT($O620)), 0))</f>
        <v>#N/A</v>
      </c>
      <c r="I620" s="11" cm="1">
        <f t="array" aca="1" ref="I620" ca="1">INDEX(INDIRECT($M620),
       MATCH(TRIM($C620), TRIM(INDIRECT($N620)), 0),
       MATCH(TRIM(I$2), TRIM(INDIRECT($O620)), 0))</f>
        <v>5.686744</v>
      </c>
      <c r="J620" s="9" cm="1">
        <f t="array" aca="1" ref="J620" ca="1">INDEX(INDIRECT($M620),
       MATCH(TRIM($C620), TRIM(INDIRECT($N620)), 0),
       MATCH(TRIM(J$2), TRIM(INDIRECT($O620)), 0))</f>
        <v>2</v>
      </c>
      <c r="K620" s="11" cm="1">
        <f t="array" aca="1" ref="K620" ca="1">INDEX(INDIRECT($M620),
       MATCH(TRIM($C620), TRIM(INDIRECT($N620)), 0),
       MATCH(TRIM(K$2), TRIM(INDIRECT($O620)), 0))</f>
        <v>0.3125</v>
      </c>
      <c r="L620" s="11" cm="1">
        <f t="array" aca="1" ref="L620" ca="1">INDEX(INDIRECT($M620),
       MATCH(TRIM($C620), TRIM(INDIRECT($N620)), 0),
       MATCH(TRIM(L$2), TRIM(INDIRECT($O620)), 0))</f>
        <v>16.674643100000001</v>
      </c>
      <c r="M620" s="5" t="str">
        <f t="shared" si="27"/>
        <v>'2024'!$N$3:$V$80</v>
      </c>
      <c r="N620" s="5" t="str">
        <f t="shared" si="28"/>
        <v>'2024'!$M$2:$M$80</v>
      </c>
      <c r="O620" s="5" t="str">
        <f t="shared" si="29"/>
        <v>'2024'!$N$2:$W$2</v>
      </c>
    </row>
    <row r="621" spans="1:15" x14ac:dyDescent="0.3">
      <c r="A621">
        <v>52</v>
      </c>
      <c r="B621" s="9">
        <v>2024</v>
      </c>
      <c r="C621" t="s">
        <v>51</v>
      </c>
      <c r="D621" s="11" t="e" cm="1">
        <f t="array" aca="1" ref="D621" ca="1">INDEX(INDIRECT($M621),
       MATCH(TRIM($C621), TRIM(INDIRECT($N621)), 0),
       MATCH(TRIM(D$2), TRIM(INDIRECT($O621)), 0))</f>
        <v>#N/A</v>
      </c>
      <c r="E621" s="9" t="e" cm="1">
        <f t="array" aca="1" ref="E621" ca="1">INDEX(INDIRECT($M621),
       MATCH(TRIM($C621), TRIM(INDIRECT($N621)), 0),
       MATCH(TRIM(E$2), TRIM(INDIRECT($O621)), 0))</f>
        <v>#N/A</v>
      </c>
      <c r="F621" s="11" t="e" cm="1">
        <f t="array" aca="1" ref="F621" ca="1">INDEX(INDIRECT($M621),
       MATCH(TRIM($C621), TRIM(INDIRECT($N621)), 0),
       MATCH(TRIM(F$2), TRIM(INDIRECT($O621)), 0))</f>
        <v>#N/A</v>
      </c>
      <c r="G621" s="11" t="e" cm="1">
        <f t="array" aca="1" ref="G621" ca="1">INDEX(INDIRECT($M621),
       MATCH(TRIM($C621), TRIM(INDIRECT($N621)), 0),
       MATCH(TRIM(G$2), TRIM(INDIRECT($O621)), 0))</f>
        <v>#N/A</v>
      </c>
      <c r="H621" s="9" t="e" cm="1">
        <f t="array" aca="1" ref="H621" ca="1">INDEX(INDIRECT($M621),
       MATCH(TRIM($C621), TRIM(INDIRECT($N621)), 0),
       MATCH(TRIM(H$2), TRIM(INDIRECT($O621)), 0))</f>
        <v>#N/A</v>
      </c>
      <c r="I621" s="11" t="e" cm="1">
        <f t="array" aca="1" ref="I621" ca="1">INDEX(INDIRECT($M621),
       MATCH(TRIM($C621), TRIM(INDIRECT($N621)), 0),
       MATCH(TRIM(I$2), TRIM(INDIRECT($O621)), 0))</f>
        <v>#N/A</v>
      </c>
      <c r="J621" s="9" t="e" cm="1">
        <f t="array" aca="1" ref="J621" ca="1">INDEX(INDIRECT($M621),
       MATCH(TRIM($C621), TRIM(INDIRECT($N621)), 0),
       MATCH(TRIM(J$2), TRIM(INDIRECT($O621)), 0))</f>
        <v>#N/A</v>
      </c>
      <c r="K621" s="11" t="e" cm="1">
        <f t="array" aca="1" ref="K621" ca="1">INDEX(INDIRECT($M621),
       MATCH(TRIM($C621), TRIM(INDIRECT($N621)), 0),
       MATCH(TRIM(K$2), TRIM(INDIRECT($O621)), 0))</f>
        <v>#N/A</v>
      </c>
      <c r="L621" s="11" t="e" cm="1">
        <f t="array" aca="1" ref="L621" ca="1">INDEX(INDIRECT($M621),
       MATCH(TRIM($C621), TRIM(INDIRECT($N621)), 0),
       MATCH(TRIM(L$2), TRIM(INDIRECT($O621)), 0))</f>
        <v>#N/A</v>
      </c>
      <c r="M621" s="5" t="str">
        <f t="shared" si="27"/>
        <v>'2024'!$N$3:$V$80</v>
      </c>
      <c r="N621" s="5" t="str">
        <f t="shared" si="28"/>
        <v>'2024'!$M$2:$M$80</v>
      </c>
      <c r="O621" s="5" t="str">
        <f t="shared" si="29"/>
        <v>'2024'!$N$2:$W$2</v>
      </c>
    </row>
    <row r="622" spans="1:15" x14ac:dyDescent="0.3">
      <c r="A622">
        <v>53</v>
      </c>
      <c r="B622" s="9">
        <v>2024</v>
      </c>
      <c r="C622" t="s">
        <v>52</v>
      </c>
      <c r="D622" s="11" t="e" cm="1">
        <f t="array" aca="1" ref="D622" ca="1">INDEX(INDIRECT($M622),
       MATCH(TRIM($C622), TRIM(INDIRECT($N622)), 0),
       MATCH(TRIM(D$2), TRIM(INDIRECT($O622)), 0))</f>
        <v>#N/A</v>
      </c>
      <c r="E622" s="9" t="e" cm="1">
        <f t="array" aca="1" ref="E622" ca="1">INDEX(INDIRECT($M622),
       MATCH(TRIM($C622), TRIM(INDIRECT($N622)), 0),
       MATCH(TRIM(E$2), TRIM(INDIRECT($O622)), 0))</f>
        <v>#N/A</v>
      </c>
      <c r="F622" s="11" t="e" cm="1">
        <f t="array" aca="1" ref="F622" ca="1">INDEX(INDIRECT($M622),
       MATCH(TRIM($C622), TRIM(INDIRECT($N622)), 0),
       MATCH(TRIM(F$2), TRIM(INDIRECT($O622)), 0))</f>
        <v>#N/A</v>
      </c>
      <c r="G622" s="11" t="e" cm="1">
        <f t="array" aca="1" ref="G622" ca="1">INDEX(INDIRECT($M622),
       MATCH(TRIM($C622), TRIM(INDIRECT($N622)), 0),
       MATCH(TRIM(G$2), TRIM(INDIRECT($O622)), 0))</f>
        <v>#N/A</v>
      </c>
      <c r="H622" s="9" t="e" cm="1">
        <f t="array" aca="1" ref="H622" ca="1">INDEX(INDIRECT($M622),
       MATCH(TRIM($C622), TRIM(INDIRECT($N622)), 0),
       MATCH(TRIM(H$2), TRIM(INDIRECT($O622)), 0))</f>
        <v>#N/A</v>
      </c>
      <c r="I622" s="11" t="e" cm="1">
        <f t="array" aca="1" ref="I622" ca="1">INDEX(INDIRECT($M622),
       MATCH(TRIM($C622), TRIM(INDIRECT($N622)), 0),
       MATCH(TRIM(I$2), TRIM(INDIRECT($O622)), 0))</f>
        <v>#N/A</v>
      </c>
      <c r="J622" s="9" t="e" cm="1">
        <f t="array" aca="1" ref="J622" ca="1">INDEX(INDIRECT($M622),
       MATCH(TRIM($C622), TRIM(INDIRECT($N622)), 0),
       MATCH(TRIM(J$2), TRIM(INDIRECT($O622)), 0))</f>
        <v>#N/A</v>
      </c>
      <c r="K622" s="11" t="e" cm="1">
        <f t="array" aca="1" ref="K622" ca="1">INDEX(INDIRECT($M622),
       MATCH(TRIM($C622), TRIM(INDIRECT($N622)), 0),
       MATCH(TRIM(K$2), TRIM(INDIRECT($O622)), 0))</f>
        <v>#N/A</v>
      </c>
      <c r="L622" s="11" t="e" cm="1">
        <f t="array" aca="1" ref="L622" ca="1">INDEX(INDIRECT($M622),
       MATCH(TRIM($C622), TRIM(INDIRECT($N622)), 0),
       MATCH(TRIM(L$2), TRIM(INDIRECT($O622)), 0))</f>
        <v>#N/A</v>
      </c>
      <c r="M622" s="5" t="str">
        <f t="shared" si="27"/>
        <v>'2024'!$N$3:$V$80</v>
      </c>
      <c r="N622" s="5" t="str">
        <f t="shared" si="28"/>
        <v>'2024'!$M$2:$M$80</v>
      </c>
      <c r="O622" s="5" t="str">
        <f t="shared" si="29"/>
        <v>'2024'!$N$2:$W$2</v>
      </c>
    </row>
    <row r="623" spans="1:15" x14ac:dyDescent="0.3">
      <c r="A623">
        <v>54</v>
      </c>
      <c r="B623" s="9">
        <v>2024</v>
      </c>
      <c r="C623" t="s">
        <v>53</v>
      </c>
      <c r="D623" s="11" t="e" cm="1">
        <f t="array" aca="1" ref="D623" ca="1">INDEX(INDIRECT($M623),
       MATCH(TRIM($C623), TRIM(INDIRECT($N623)), 0),
       MATCH(TRIM(D$2), TRIM(INDIRECT($O623)), 0))</f>
        <v>#N/A</v>
      </c>
      <c r="E623" s="9" t="e" cm="1">
        <f t="array" aca="1" ref="E623" ca="1">INDEX(INDIRECT($M623),
       MATCH(TRIM($C623), TRIM(INDIRECT($N623)), 0),
       MATCH(TRIM(E$2), TRIM(INDIRECT($O623)), 0))</f>
        <v>#N/A</v>
      </c>
      <c r="F623" s="11" t="e" cm="1">
        <f t="array" aca="1" ref="F623" ca="1">INDEX(INDIRECT($M623),
       MATCH(TRIM($C623), TRIM(INDIRECT($N623)), 0),
       MATCH(TRIM(F$2), TRIM(INDIRECT($O623)), 0))</f>
        <v>#N/A</v>
      </c>
      <c r="G623" s="11" t="e" cm="1">
        <f t="array" aca="1" ref="G623" ca="1">INDEX(INDIRECT($M623),
       MATCH(TRIM($C623), TRIM(INDIRECT($N623)), 0),
       MATCH(TRIM(G$2), TRIM(INDIRECT($O623)), 0))</f>
        <v>#N/A</v>
      </c>
      <c r="H623" s="9" t="e" cm="1">
        <f t="array" aca="1" ref="H623" ca="1">INDEX(INDIRECT($M623),
       MATCH(TRIM($C623), TRIM(INDIRECT($N623)), 0),
       MATCH(TRIM(H$2), TRIM(INDIRECT($O623)), 0))</f>
        <v>#N/A</v>
      </c>
      <c r="I623" s="11" t="e" cm="1">
        <f t="array" aca="1" ref="I623" ca="1">INDEX(INDIRECT($M623),
       MATCH(TRIM($C623), TRIM(INDIRECT($N623)), 0),
       MATCH(TRIM(I$2), TRIM(INDIRECT($O623)), 0))</f>
        <v>#N/A</v>
      </c>
      <c r="J623" s="9" t="e" cm="1">
        <f t="array" aca="1" ref="J623" ca="1">INDEX(INDIRECT($M623),
       MATCH(TRIM($C623), TRIM(INDIRECT($N623)), 0),
       MATCH(TRIM(J$2), TRIM(INDIRECT($O623)), 0))</f>
        <v>#N/A</v>
      </c>
      <c r="K623" s="11" t="e" cm="1">
        <f t="array" aca="1" ref="K623" ca="1">INDEX(INDIRECT($M623),
       MATCH(TRIM($C623), TRIM(INDIRECT($N623)), 0),
       MATCH(TRIM(K$2), TRIM(INDIRECT($O623)), 0))</f>
        <v>#N/A</v>
      </c>
      <c r="L623" s="11" t="e" cm="1">
        <f t="array" aca="1" ref="L623" ca="1">INDEX(INDIRECT($M623),
       MATCH(TRIM($C623), TRIM(INDIRECT($N623)), 0),
       MATCH(TRIM(L$2), TRIM(INDIRECT($O623)), 0))</f>
        <v>#N/A</v>
      </c>
      <c r="M623" s="5" t="str">
        <f t="shared" si="27"/>
        <v>'2024'!$N$3:$V$80</v>
      </c>
      <c r="N623" s="5" t="str">
        <f t="shared" si="28"/>
        <v>'2024'!$M$2:$M$80</v>
      </c>
      <c r="O623" s="5" t="str">
        <f t="shared" si="29"/>
        <v>'2024'!$N$2:$W$2</v>
      </c>
    </row>
    <row r="624" spans="1:15" x14ac:dyDescent="0.3">
      <c r="A624">
        <v>55</v>
      </c>
      <c r="B624" s="9">
        <v>2024</v>
      </c>
      <c r="C624" t="s">
        <v>54</v>
      </c>
      <c r="D624" s="11" t="e" cm="1">
        <f t="array" aca="1" ref="D624" ca="1">INDEX(INDIRECT($M624),
       MATCH(TRIM($C624), TRIM(INDIRECT($N624)), 0),
       MATCH(TRIM(D$2), TRIM(INDIRECT($O624)), 0))</f>
        <v>#N/A</v>
      </c>
      <c r="E624" s="9" t="e" cm="1">
        <f t="array" aca="1" ref="E624" ca="1">INDEX(INDIRECT($M624),
       MATCH(TRIM($C624), TRIM(INDIRECT($N624)), 0),
       MATCH(TRIM(E$2), TRIM(INDIRECT($O624)), 0))</f>
        <v>#N/A</v>
      </c>
      <c r="F624" s="11" t="e" cm="1">
        <f t="array" aca="1" ref="F624" ca="1">INDEX(INDIRECT($M624),
       MATCH(TRIM($C624), TRIM(INDIRECT($N624)), 0),
       MATCH(TRIM(F$2), TRIM(INDIRECT($O624)), 0))</f>
        <v>#N/A</v>
      </c>
      <c r="G624" s="11" t="e" cm="1">
        <f t="array" aca="1" ref="G624" ca="1">INDEX(INDIRECT($M624),
       MATCH(TRIM($C624), TRIM(INDIRECT($N624)), 0),
       MATCH(TRIM(G$2), TRIM(INDIRECT($O624)), 0))</f>
        <v>#N/A</v>
      </c>
      <c r="H624" s="9" t="e" cm="1">
        <f t="array" aca="1" ref="H624" ca="1">INDEX(INDIRECT($M624),
       MATCH(TRIM($C624), TRIM(INDIRECT($N624)), 0),
       MATCH(TRIM(H$2), TRIM(INDIRECT($O624)), 0))</f>
        <v>#N/A</v>
      </c>
      <c r="I624" s="11" t="e" cm="1">
        <f t="array" aca="1" ref="I624" ca="1">INDEX(INDIRECT($M624),
       MATCH(TRIM($C624), TRIM(INDIRECT($N624)), 0),
       MATCH(TRIM(I$2), TRIM(INDIRECT($O624)), 0))</f>
        <v>#N/A</v>
      </c>
      <c r="J624" s="9" t="e" cm="1">
        <f t="array" aca="1" ref="J624" ca="1">INDEX(INDIRECT($M624),
       MATCH(TRIM($C624), TRIM(INDIRECT($N624)), 0),
       MATCH(TRIM(J$2), TRIM(INDIRECT($O624)), 0))</f>
        <v>#N/A</v>
      </c>
      <c r="K624" s="11" t="e" cm="1">
        <f t="array" aca="1" ref="K624" ca="1">INDEX(INDIRECT($M624),
       MATCH(TRIM($C624), TRIM(INDIRECT($N624)), 0),
       MATCH(TRIM(K$2), TRIM(INDIRECT($O624)), 0))</f>
        <v>#N/A</v>
      </c>
      <c r="L624" s="11" t="e" cm="1">
        <f t="array" aca="1" ref="L624" ca="1">INDEX(INDIRECT($M624),
       MATCH(TRIM($C624), TRIM(INDIRECT($N624)), 0),
       MATCH(TRIM(L$2), TRIM(INDIRECT($O624)), 0))</f>
        <v>#N/A</v>
      </c>
      <c r="M624" s="5" t="str">
        <f t="shared" si="27"/>
        <v>'2024'!$N$3:$V$80</v>
      </c>
      <c r="N624" s="5" t="str">
        <f t="shared" si="28"/>
        <v>'2024'!$M$2:$M$80</v>
      </c>
      <c r="O624" s="5" t="str">
        <f t="shared" si="29"/>
        <v>'2024'!$N$2:$W$2</v>
      </c>
    </row>
    <row r="625" spans="1:15" x14ac:dyDescent="0.3">
      <c r="A625">
        <v>56</v>
      </c>
      <c r="B625" s="9">
        <v>2024</v>
      </c>
      <c r="C625" t="s">
        <v>55</v>
      </c>
      <c r="D625" s="11" t="e" cm="1">
        <f t="array" aca="1" ref="D625" ca="1">INDEX(INDIRECT($M625),
       MATCH(TRIM($C625), TRIM(INDIRECT($N625)), 0),
       MATCH(TRIM(D$2), TRIM(INDIRECT($O625)), 0))</f>
        <v>#N/A</v>
      </c>
      <c r="E625" s="9" t="e" cm="1">
        <f t="array" aca="1" ref="E625" ca="1">INDEX(INDIRECT($M625),
       MATCH(TRIM($C625), TRIM(INDIRECT($N625)), 0),
       MATCH(TRIM(E$2), TRIM(INDIRECT($O625)), 0))</f>
        <v>#N/A</v>
      </c>
      <c r="F625" s="11" t="e" cm="1">
        <f t="array" aca="1" ref="F625" ca="1">INDEX(INDIRECT($M625),
       MATCH(TRIM($C625), TRIM(INDIRECT($N625)), 0),
       MATCH(TRIM(F$2), TRIM(INDIRECT($O625)), 0))</f>
        <v>#N/A</v>
      </c>
      <c r="G625" s="11" t="e" cm="1">
        <f t="array" aca="1" ref="G625" ca="1">INDEX(INDIRECT($M625),
       MATCH(TRIM($C625), TRIM(INDIRECT($N625)), 0),
       MATCH(TRIM(G$2), TRIM(INDIRECT($O625)), 0))</f>
        <v>#N/A</v>
      </c>
      <c r="H625" s="9" t="e" cm="1">
        <f t="array" aca="1" ref="H625" ca="1">INDEX(INDIRECT($M625),
       MATCH(TRIM($C625), TRIM(INDIRECT($N625)), 0),
       MATCH(TRIM(H$2), TRIM(INDIRECT($O625)), 0))</f>
        <v>#N/A</v>
      </c>
      <c r="I625" s="11" t="e" cm="1">
        <f t="array" aca="1" ref="I625" ca="1">INDEX(INDIRECT($M625),
       MATCH(TRIM($C625), TRIM(INDIRECT($N625)), 0),
       MATCH(TRIM(I$2), TRIM(INDIRECT($O625)), 0))</f>
        <v>#N/A</v>
      </c>
      <c r="J625" s="9" t="e" cm="1">
        <f t="array" aca="1" ref="J625" ca="1">INDEX(INDIRECT($M625),
       MATCH(TRIM($C625), TRIM(INDIRECT($N625)), 0),
       MATCH(TRIM(J$2), TRIM(INDIRECT($O625)), 0))</f>
        <v>#N/A</v>
      </c>
      <c r="K625" s="11" t="e" cm="1">
        <f t="array" aca="1" ref="K625" ca="1">INDEX(INDIRECT($M625),
       MATCH(TRIM($C625), TRIM(INDIRECT($N625)), 0),
       MATCH(TRIM(K$2), TRIM(INDIRECT($O625)), 0))</f>
        <v>#N/A</v>
      </c>
      <c r="L625" s="11" t="e" cm="1">
        <f t="array" aca="1" ref="L625" ca="1">INDEX(INDIRECT($M625),
       MATCH(TRIM($C625), TRIM(INDIRECT($N625)), 0),
       MATCH(TRIM(L$2), TRIM(INDIRECT($O625)), 0))</f>
        <v>#N/A</v>
      </c>
      <c r="M625" s="5" t="str">
        <f t="shared" si="27"/>
        <v>'2024'!$N$3:$V$80</v>
      </c>
      <c r="N625" s="5" t="str">
        <f t="shared" si="28"/>
        <v>'2024'!$M$2:$M$80</v>
      </c>
      <c r="O625" s="5" t="str">
        <f t="shared" si="29"/>
        <v>'2024'!$N$2:$W$2</v>
      </c>
    </row>
    <row r="626" spans="1:15" x14ac:dyDescent="0.3">
      <c r="A626">
        <v>57</v>
      </c>
      <c r="B626" s="9">
        <v>2024</v>
      </c>
      <c r="C626" t="s">
        <v>56</v>
      </c>
      <c r="D626" s="11" t="e" cm="1">
        <f t="array" aca="1" ref="D626" ca="1">INDEX(INDIRECT($M626),
       MATCH(TRIM($C626), TRIM(INDIRECT($N626)), 0),
       MATCH(TRIM(D$2), TRIM(INDIRECT($O626)), 0))</f>
        <v>#N/A</v>
      </c>
      <c r="E626" s="9" t="e" cm="1">
        <f t="array" aca="1" ref="E626" ca="1">INDEX(INDIRECT($M626),
       MATCH(TRIM($C626), TRIM(INDIRECT($N626)), 0),
       MATCH(TRIM(E$2), TRIM(INDIRECT($O626)), 0))</f>
        <v>#N/A</v>
      </c>
      <c r="F626" s="11" t="e" cm="1">
        <f t="array" aca="1" ref="F626" ca="1">INDEX(INDIRECT($M626),
       MATCH(TRIM($C626), TRIM(INDIRECT($N626)), 0),
       MATCH(TRIM(F$2), TRIM(INDIRECT($O626)), 0))</f>
        <v>#N/A</v>
      </c>
      <c r="G626" s="11" t="e" cm="1">
        <f t="array" aca="1" ref="G626" ca="1">INDEX(INDIRECT($M626),
       MATCH(TRIM($C626), TRIM(INDIRECT($N626)), 0),
       MATCH(TRIM(G$2), TRIM(INDIRECT($O626)), 0))</f>
        <v>#N/A</v>
      </c>
      <c r="H626" s="9" t="e" cm="1">
        <f t="array" aca="1" ref="H626" ca="1">INDEX(INDIRECT($M626),
       MATCH(TRIM($C626), TRIM(INDIRECT($N626)), 0),
       MATCH(TRIM(H$2), TRIM(INDIRECT($O626)), 0))</f>
        <v>#N/A</v>
      </c>
      <c r="I626" s="11" t="e" cm="1">
        <f t="array" aca="1" ref="I626" ca="1">INDEX(INDIRECT($M626),
       MATCH(TRIM($C626), TRIM(INDIRECT($N626)), 0),
       MATCH(TRIM(I$2), TRIM(INDIRECT($O626)), 0))</f>
        <v>#N/A</v>
      </c>
      <c r="J626" s="9" t="e" cm="1">
        <f t="array" aca="1" ref="J626" ca="1">INDEX(INDIRECT($M626),
       MATCH(TRIM($C626), TRIM(INDIRECT($N626)), 0),
       MATCH(TRIM(J$2), TRIM(INDIRECT($O626)), 0))</f>
        <v>#N/A</v>
      </c>
      <c r="K626" s="11" t="e" cm="1">
        <f t="array" aca="1" ref="K626" ca="1">INDEX(INDIRECT($M626),
       MATCH(TRIM($C626), TRIM(INDIRECT($N626)), 0),
       MATCH(TRIM(K$2), TRIM(INDIRECT($O626)), 0))</f>
        <v>#N/A</v>
      </c>
      <c r="L626" s="11" t="e" cm="1">
        <f t="array" aca="1" ref="L626" ca="1">INDEX(INDIRECT($M626),
       MATCH(TRIM($C626), TRIM(INDIRECT($N626)), 0),
       MATCH(TRIM(L$2), TRIM(INDIRECT($O626)), 0))</f>
        <v>#N/A</v>
      </c>
      <c r="M626" s="5" t="str">
        <f t="shared" si="27"/>
        <v>'2024'!$N$3:$V$80</v>
      </c>
      <c r="N626" s="5" t="str">
        <f t="shared" si="28"/>
        <v>'2024'!$M$2:$M$80</v>
      </c>
      <c r="O626" s="5" t="str">
        <f t="shared" si="29"/>
        <v>'2024'!$N$2:$W$2</v>
      </c>
    </row>
    <row r="627" spans="1:15" x14ac:dyDescent="0.3">
      <c r="A627">
        <v>58</v>
      </c>
      <c r="B627" s="9">
        <v>2024</v>
      </c>
      <c r="C627" t="s">
        <v>57</v>
      </c>
      <c r="D627" s="11" cm="1">
        <f t="array" aca="1" ref="D627" ca="1">INDEX(INDIRECT($M627),
       MATCH(TRIM($C627), TRIM(INDIRECT($N627)), 0),
       MATCH(TRIM(D$2), TRIM(INDIRECT($O627)), 0))</f>
        <v>1</v>
      </c>
      <c r="E627" s="9" t="e" cm="1">
        <f t="array" aca="1" ref="E627" ca="1">INDEX(INDIRECT($M627),
       MATCH(TRIM($C627), TRIM(INDIRECT($N627)), 0),
       MATCH(TRIM(E$2), TRIM(INDIRECT($O627)), 0))</f>
        <v>#N/A</v>
      </c>
      <c r="F627" s="11" cm="1">
        <f t="array" aca="1" ref="F627" ca="1">INDEX(INDIRECT($M627),
       MATCH(TRIM($C627), TRIM(INDIRECT($N627)), 0),
       MATCH(TRIM(F$2), TRIM(INDIRECT($O627)), 0))</f>
        <v>6.5</v>
      </c>
      <c r="G627" s="11" cm="1">
        <f t="array" aca="1" ref="G627" ca="1">INDEX(INDIRECT($M627),
       MATCH(TRIM($C627), TRIM(INDIRECT($N627)), 0),
       MATCH(TRIM(G$2), TRIM(INDIRECT($O627)), 0))</f>
        <v>0</v>
      </c>
      <c r="H627" s="9" t="e" cm="1">
        <f t="array" aca="1" ref="H627" ca="1">INDEX(INDIRECT($M627),
       MATCH(TRIM($C627), TRIM(INDIRECT($N627)), 0),
       MATCH(TRIM(H$2), TRIM(INDIRECT($O627)), 0))</f>
        <v>#N/A</v>
      </c>
      <c r="I627" s="11" cm="1">
        <f t="array" aca="1" ref="I627" ca="1">INDEX(INDIRECT($M627),
       MATCH(TRIM($C627), TRIM(INDIRECT($N627)), 0),
       MATCH(TRIM(I$2), TRIM(INDIRECT($O627)), 0))</f>
        <v>0</v>
      </c>
      <c r="J627" s="9" cm="1">
        <f t="array" aca="1" ref="J627" ca="1">INDEX(INDIRECT($M627),
       MATCH(TRIM($C627), TRIM(INDIRECT($N627)), 0),
       MATCH(TRIM(J$2), TRIM(INDIRECT($O627)), 0))</f>
        <v>0</v>
      </c>
      <c r="K627" s="11" cm="1">
        <f t="array" aca="1" ref="K627" ca="1">INDEX(INDIRECT($M627),
       MATCH(TRIM($C627), TRIM(INDIRECT($N627)), 0),
       MATCH(TRIM(K$2), TRIM(INDIRECT($O627)), 0))</f>
        <v>0</v>
      </c>
      <c r="L627" s="11" cm="1">
        <f t="array" aca="1" ref="L627" ca="1">INDEX(INDIRECT($M627),
       MATCH(TRIM($C627), TRIM(INDIRECT($N627)), 0),
       MATCH(TRIM(L$2), TRIM(INDIRECT($O627)), 0))</f>
        <v>6.5</v>
      </c>
      <c r="M627" s="5" t="str">
        <f t="shared" si="27"/>
        <v>'2024'!$N$3:$V$80</v>
      </c>
      <c r="N627" s="5" t="str">
        <f t="shared" si="28"/>
        <v>'2024'!$M$2:$M$80</v>
      </c>
      <c r="O627" s="5" t="str">
        <f t="shared" si="29"/>
        <v>'2024'!$N$2:$W$2</v>
      </c>
    </row>
    <row r="628" spans="1:15" x14ac:dyDescent="0.3">
      <c r="A628">
        <v>59</v>
      </c>
      <c r="B628" s="9">
        <v>2024</v>
      </c>
      <c r="C628" t="s">
        <v>58</v>
      </c>
      <c r="D628" s="11" t="e" cm="1">
        <f t="array" aca="1" ref="D628" ca="1">INDEX(INDIRECT($M628),
       MATCH(TRIM($C628), TRIM(INDIRECT($N628)), 0),
       MATCH(TRIM(D$2), TRIM(INDIRECT($O628)), 0))</f>
        <v>#N/A</v>
      </c>
      <c r="E628" s="9" t="e" cm="1">
        <f t="array" aca="1" ref="E628" ca="1">INDEX(INDIRECT($M628),
       MATCH(TRIM($C628), TRIM(INDIRECT($N628)), 0),
       MATCH(TRIM(E$2), TRIM(INDIRECT($O628)), 0))</f>
        <v>#N/A</v>
      </c>
      <c r="F628" s="11" t="e" cm="1">
        <f t="array" aca="1" ref="F628" ca="1">INDEX(INDIRECT($M628),
       MATCH(TRIM($C628), TRIM(INDIRECT($N628)), 0),
       MATCH(TRIM(F$2), TRIM(INDIRECT($O628)), 0))</f>
        <v>#N/A</v>
      </c>
      <c r="G628" s="11" t="e" cm="1">
        <f t="array" aca="1" ref="G628" ca="1">INDEX(INDIRECT($M628),
       MATCH(TRIM($C628), TRIM(INDIRECT($N628)), 0),
       MATCH(TRIM(G$2), TRIM(INDIRECT($O628)), 0))</f>
        <v>#N/A</v>
      </c>
      <c r="H628" s="9" t="e" cm="1">
        <f t="array" aca="1" ref="H628" ca="1">INDEX(INDIRECT($M628),
       MATCH(TRIM($C628), TRIM(INDIRECT($N628)), 0),
       MATCH(TRIM(H$2), TRIM(INDIRECT($O628)), 0))</f>
        <v>#N/A</v>
      </c>
      <c r="I628" s="11" t="e" cm="1">
        <f t="array" aca="1" ref="I628" ca="1">INDEX(INDIRECT($M628),
       MATCH(TRIM($C628), TRIM(INDIRECT($N628)), 0),
       MATCH(TRIM(I$2), TRIM(INDIRECT($O628)), 0))</f>
        <v>#N/A</v>
      </c>
      <c r="J628" s="9" t="e" cm="1">
        <f t="array" aca="1" ref="J628" ca="1">INDEX(INDIRECT($M628),
       MATCH(TRIM($C628), TRIM(INDIRECT($N628)), 0),
       MATCH(TRIM(J$2), TRIM(INDIRECT($O628)), 0))</f>
        <v>#N/A</v>
      </c>
      <c r="K628" s="11" t="e" cm="1">
        <f t="array" aca="1" ref="K628" ca="1">INDEX(INDIRECT($M628),
       MATCH(TRIM($C628), TRIM(INDIRECT($N628)), 0),
       MATCH(TRIM(K$2), TRIM(INDIRECT($O628)), 0))</f>
        <v>#N/A</v>
      </c>
      <c r="L628" s="11" t="e" cm="1">
        <f t="array" aca="1" ref="L628" ca="1">INDEX(INDIRECT($M628),
       MATCH(TRIM($C628), TRIM(INDIRECT($N628)), 0),
       MATCH(TRIM(L$2), TRIM(INDIRECT($O628)), 0))</f>
        <v>#N/A</v>
      </c>
      <c r="M628" s="5" t="str">
        <f t="shared" si="27"/>
        <v>'2024'!$N$3:$V$80</v>
      </c>
      <c r="N628" s="5" t="str">
        <f t="shared" si="28"/>
        <v>'2024'!$M$2:$M$80</v>
      </c>
      <c r="O628" s="5" t="str">
        <f t="shared" si="29"/>
        <v>'2024'!$N$2:$W$2</v>
      </c>
    </row>
    <row r="629" spans="1:15" x14ac:dyDescent="0.3">
      <c r="A629">
        <v>60</v>
      </c>
      <c r="B629" s="9">
        <v>2024</v>
      </c>
      <c r="C629" t="s">
        <v>59</v>
      </c>
      <c r="D629" s="11" t="e" cm="1">
        <f t="array" aca="1" ref="D629" ca="1">INDEX(INDIRECT($M629),
       MATCH(TRIM($C629), TRIM(INDIRECT($N629)), 0),
       MATCH(TRIM(D$2), TRIM(INDIRECT($O629)), 0))</f>
        <v>#N/A</v>
      </c>
      <c r="E629" s="9" t="e" cm="1">
        <f t="array" aca="1" ref="E629" ca="1">INDEX(INDIRECT($M629),
       MATCH(TRIM($C629), TRIM(INDIRECT($N629)), 0),
       MATCH(TRIM(E$2), TRIM(INDIRECT($O629)), 0))</f>
        <v>#N/A</v>
      </c>
      <c r="F629" s="11" t="e" cm="1">
        <f t="array" aca="1" ref="F629" ca="1">INDEX(INDIRECT($M629),
       MATCH(TRIM($C629), TRIM(INDIRECT($N629)), 0),
       MATCH(TRIM(F$2), TRIM(INDIRECT($O629)), 0))</f>
        <v>#N/A</v>
      </c>
      <c r="G629" s="11" t="e" cm="1">
        <f t="array" aca="1" ref="G629" ca="1">INDEX(INDIRECT($M629),
       MATCH(TRIM($C629), TRIM(INDIRECT($N629)), 0),
       MATCH(TRIM(G$2), TRIM(INDIRECT($O629)), 0))</f>
        <v>#N/A</v>
      </c>
      <c r="H629" s="9" t="e" cm="1">
        <f t="array" aca="1" ref="H629" ca="1">INDEX(INDIRECT($M629),
       MATCH(TRIM($C629), TRIM(INDIRECT($N629)), 0),
       MATCH(TRIM(H$2), TRIM(INDIRECT($O629)), 0))</f>
        <v>#N/A</v>
      </c>
      <c r="I629" s="11" t="e" cm="1">
        <f t="array" aca="1" ref="I629" ca="1">INDEX(INDIRECT($M629),
       MATCH(TRIM($C629), TRIM(INDIRECT($N629)), 0),
       MATCH(TRIM(I$2), TRIM(INDIRECT($O629)), 0))</f>
        <v>#N/A</v>
      </c>
      <c r="J629" s="9" t="e" cm="1">
        <f t="array" aca="1" ref="J629" ca="1">INDEX(INDIRECT($M629),
       MATCH(TRIM($C629), TRIM(INDIRECT($N629)), 0),
       MATCH(TRIM(J$2), TRIM(INDIRECT($O629)), 0))</f>
        <v>#N/A</v>
      </c>
      <c r="K629" s="11" t="e" cm="1">
        <f t="array" aca="1" ref="K629" ca="1">INDEX(INDIRECT($M629),
       MATCH(TRIM($C629), TRIM(INDIRECT($N629)), 0),
       MATCH(TRIM(K$2), TRIM(INDIRECT($O629)), 0))</f>
        <v>#N/A</v>
      </c>
      <c r="L629" s="11" t="e" cm="1">
        <f t="array" aca="1" ref="L629" ca="1">INDEX(INDIRECT($M629),
       MATCH(TRIM($C629), TRIM(INDIRECT($N629)), 0),
       MATCH(TRIM(L$2), TRIM(INDIRECT($O629)), 0))</f>
        <v>#N/A</v>
      </c>
      <c r="M629" s="5" t="str">
        <f t="shared" si="27"/>
        <v>'2024'!$N$3:$V$80</v>
      </c>
      <c r="N629" s="5" t="str">
        <f t="shared" si="28"/>
        <v>'2024'!$M$2:$M$80</v>
      </c>
      <c r="O629" s="5" t="str">
        <f t="shared" si="29"/>
        <v>'2024'!$N$2:$W$2</v>
      </c>
    </row>
    <row r="630" spans="1:15" x14ac:dyDescent="0.3">
      <c r="A630">
        <v>61</v>
      </c>
      <c r="B630" s="9">
        <v>2024</v>
      </c>
      <c r="C630" t="s">
        <v>60</v>
      </c>
      <c r="D630" s="11" cm="1">
        <f t="array" aca="1" ref="D630" ca="1">INDEX(INDIRECT($M630),
       MATCH(TRIM($C630), TRIM(INDIRECT($N630)), 0),
       MATCH(TRIM(D$2), TRIM(INDIRECT($O630)), 0))</f>
        <v>1</v>
      </c>
      <c r="E630" s="9" t="e" cm="1">
        <f t="array" aca="1" ref="E630" ca="1">INDEX(INDIRECT($M630),
       MATCH(TRIM($C630), TRIM(INDIRECT($N630)), 0),
       MATCH(TRIM(E$2), TRIM(INDIRECT($O630)), 0))</f>
        <v>#N/A</v>
      </c>
      <c r="F630" s="11" cm="1">
        <f t="array" aca="1" ref="F630" ca="1">INDEX(INDIRECT($M630),
       MATCH(TRIM($C630), TRIM(INDIRECT($N630)), 0),
       MATCH(TRIM(F$2), TRIM(INDIRECT($O630)), 0))</f>
        <v>0.43668099999999999</v>
      </c>
      <c r="G630" s="11" cm="1">
        <f t="array" aca="1" ref="G630" ca="1">INDEX(INDIRECT($M630),
       MATCH(TRIM($C630), TRIM(INDIRECT($N630)), 0),
       MATCH(TRIM(G$2), TRIM(INDIRECT($O630)), 0))</f>
        <v>0</v>
      </c>
      <c r="H630" s="9" t="e" cm="1">
        <f t="array" aca="1" ref="H630" ca="1">INDEX(INDIRECT($M630),
       MATCH(TRIM($C630), TRIM(INDIRECT($N630)), 0),
       MATCH(TRIM(H$2), TRIM(INDIRECT($O630)), 0))</f>
        <v>#N/A</v>
      </c>
      <c r="I630" s="11" cm="1">
        <f t="array" aca="1" ref="I630" ca="1">INDEX(INDIRECT($M630),
       MATCH(TRIM($C630), TRIM(INDIRECT($N630)), 0),
       MATCH(TRIM(I$2), TRIM(INDIRECT($O630)), 0))</f>
        <v>0</v>
      </c>
      <c r="J630" s="9" cm="1">
        <f t="array" aca="1" ref="J630" ca="1">INDEX(INDIRECT($M630),
       MATCH(TRIM($C630), TRIM(INDIRECT($N630)), 0),
       MATCH(TRIM(J$2), TRIM(INDIRECT($O630)), 0))</f>
        <v>0</v>
      </c>
      <c r="K630" s="11" cm="1">
        <f t="array" aca="1" ref="K630" ca="1">INDEX(INDIRECT($M630),
       MATCH(TRIM($C630), TRIM(INDIRECT($N630)), 0),
       MATCH(TRIM(K$2), TRIM(INDIRECT($O630)), 0))</f>
        <v>0</v>
      </c>
      <c r="L630" s="11" cm="1">
        <f t="array" aca="1" ref="L630" ca="1">INDEX(INDIRECT($M630),
       MATCH(TRIM($C630), TRIM(INDIRECT($N630)), 0),
       MATCH(TRIM(L$2), TRIM(INDIRECT($O630)), 0))</f>
        <v>0.43668099999999999</v>
      </c>
      <c r="M630" s="5" t="str">
        <f t="shared" si="27"/>
        <v>'2024'!$N$3:$V$80</v>
      </c>
      <c r="N630" s="5" t="str">
        <f t="shared" si="28"/>
        <v>'2024'!$M$2:$M$80</v>
      </c>
      <c r="O630" s="5" t="str">
        <f t="shared" si="29"/>
        <v>'2024'!$N$2:$W$2</v>
      </c>
    </row>
    <row r="631" spans="1:15" x14ac:dyDescent="0.3">
      <c r="A631">
        <v>62</v>
      </c>
      <c r="B631" s="9">
        <v>2024</v>
      </c>
      <c r="C631" t="s">
        <v>61</v>
      </c>
      <c r="D631" s="11" t="e" cm="1">
        <f t="array" aca="1" ref="D631" ca="1">INDEX(INDIRECT($M631),
       MATCH(TRIM($C631), TRIM(INDIRECT($N631)), 0),
       MATCH(TRIM(D$2), TRIM(INDIRECT($O631)), 0))</f>
        <v>#N/A</v>
      </c>
      <c r="E631" s="9" t="e" cm="1">
        <f t="array" aca="1" ref="E631" ca="1">INDEX(INDIRECT($M631),
       MATCH(TRIM($C631), TRIM(INDIRECT($N631)), 0),
       MATCH(TRIM(E$2), TRIM(INDIRECT($O631)), 0))</f>
        <v>#N/A</v>
      </c>
      <c r="F631" s="11" t="e" cm="1">
        <f t="array" aca="1" ref="F631" ca="1">INDEX(INDIRECT($M631),
       MATCH(TRIM($C631), TRIM(INDIRECT($N631)), 0),
       MATCH(TRIM(F$2), TRIM(INDIRECT($O631)), 0))</f>
        <v>#N/A</v>
      </c>
      <c r="G631" s="11" t="e" cm="1">
        <f t="array" aca="1" ref="G631" ca="1">INDEX(INDIRECT($M631),
       MATCH(TRIM($C631), TRIM(INDIRECT($N631)), 0),
       MATCH(TRIM(G$2), TRIM(INDIRECT($O631)), 0))</f>
        <v>#N/A</v>
      </c>
      <c r="H631" s="9" t="e" cm="1">
        <f t="array" aca="1" ref="H631" ca="1">INDEX(INDIRECT($M631),
       MATCH(TRIM($C631), TRIM(INDIRECT($N631)), 0),
       MATCH(TRIM(H$2), TRIM(INDIRECT($O631)), 0))</f>
        <v>#N/A</v>
      </c>
      <c r="I631" s="11" t="e" cm="1">
        <f t="array" aca="1" ref="I631" ca="1">INDEX(INDIRECT($M631),
       MATCH(TRIM($C631), TRIM(INDIRECT($N631)), 0),
       MATCH(TRIM(I$2), TRIM(INDIRECT($O631)), 0))</f>
        <v>#N/A</v>
      </c>
      <c r="J631" s="9" t="e" cm="1">
        <f t="array" aca="1" ref="J631" ca="1">INDEX(INDIRECT($M631),
       MATCH(TRIM($C631), TRIM(INDIRECT($N631)), 0),
       MATCH(TRIM(J$2), TRIM(INDIRECT($O631)), 0))</f>
        <v>#N/A</v>
      </c>
      <c r="K631" s="11" t="e" cm="1">
        <f t="array" aca="1" ref="K631" ca="1">INDEX(INDIRECT($M631),
       MATCH(TRIM($C631), TRIM(INDIRECT($N631)), 0),
       MATCH(TRIM(K$2), TRIM(INDIRECT($O631)), 0))</f>
        <v>#N/A</v>
      </c>
      <c r="L631" s="11" t="e" cm="1">
        <f t="array" aca="1" ref="L631" ca="1">INDEX(INDIRECT($M631),
       MATCH(TRIM($C631), TRIM(INDIRECT($N631)), 0),
       MATCH(TRIM(L$2), TRIM(INDIRECT($O631)), 0))</f>
        <v>#N/A</v>
      </c>
      <c r="M631" s="5" t="str">
        <f t="shared" si="27"/>
        <v>'2024'!$N$3:$V$80</v>
      </c>
      <c r="N631" s="5" t="str">
        <f t="shared" si="28"/>
        <v>'2024'!$M$2:$M$80</v>
      </c>
      <c r="O631" s="5" t="str">
        <f t="shared" si="29"/>
        <v>'2024'!$N$2:$W$2</v>
      </c>
    </row>
    <row r="632" spans="1:15" x14ac:dyDescent="0.3">
      <c r="A632">
        <v>63</v>
      </c>
      <c r="B632" s="9">
        <v>2024</v>
      </c>
      <c r="C632" t="s">
        <v>62</v>
      </c>
      <c r="D632" s="11" cm="1">
        <f t="array" aca="1" ref="D632" ca="1">INDEX(INDIRECT($M632),
       MATCH(TRIM($C632), TRIM(INDIRECT($N632)), 0),
       MATCH(TRIM(D$2), TRIM(INDIRECT($O632)), 0))</f>
        <v>1538</v>
      </c>
      <c r="E632" s="9" cm="1">
        <f t="array" aca="1" ref="E632" ca="1">INDEX(INDIRECT($M632),
       MATCH(TRIM($C632), TRIM(INDIRECT($N632)), 0),
       MATCH(TRIM(E$2), TRIM(INDIRECT($O632)), 0))</f>
        <v>0</v>
      </c>
      <c r="F632" s="11" cm="1">
        <f t="array" aca="1" ref="F632" ca="1">INDEX(INDIRECT($M632),
       MATCH(TRIM($C632), TRIM(INDIRECT($N632)), 0),
       MATCH(TRIM(F$2), TRIM(INDIRECT($O632)), 0))</f>
        <v>9536.7541051499993</v>
      </c>
      <c r="G632" s="11" cm="1">
        <f t="array" aca="1" ref="G632" ca="1">INDEX(INDIRECT($M632),
       MATCH(TRIM($C632), TRIM(INDIRECT($N632)), 0),
       MATCH(TRIM(G$2), TRIM(INDIRECT($O632)), 0))</f>
        <v>592</v>
      </c>
      <c r="H632" s="9" cm="1">
        <f t="array" aca="1" ref="H632" ca="1">INDEX(INDIRECT($M632),
       MATCH(TRIM($C632), TRIM(INDIRECT($N632)), 0),
       MATCH(TRIM(H$2), TRIM(INDIRECT($O632)), 0))</f>
        <v>0</v>
      </c>
      <c r="I632" s="11" cm="1">
        <f t="array" aca="1" ref="I632" ca="1">INDEX(INDIRECT($M632),
       MATCH(TRIM($C632), TRIM(INDIRECT($N632)), 0),
       MATCH(TRIM(I$2), TRIM(INDIRECT($O632)), 0))</f>
        <v>3950.3507291324418</v>
      </c>
      <c r="J632" s="9" cm="1">
        <f t="array" aca="1" ref="J632" ca="1">INDEX(INDIRECT($M632),
       MATCH(TRIM($C632), TRIM(INDIRECT($N632)), 0),
       MATCH(TRIM(J$2), TRIM(INDIRECT($O632)), 0))</f>
        <v>1420</v>
      </c>
      <c r="K632" s="11" cm="1">
        <f t="array" aca="1" ref="K632" ca="1">INDEX(INDIRECT($M632),
       MATCH(TRIM($C632), TRIM(INDIRECT($N632)), 0),
       MATCH(TRIM(K$2), TRIM(INDIRECT($O632)), 0))</f>
        <v>1698.1133495698696</v>
      </c>
      <c r="L632" s="11" cm="1">
        <f t="array" aca="1" ref="L632" ca="1">INDEX(INDIRECT($M632),
       MATCH(TRIM($C632), TRIM(INDIRECT($N632)), 0),
       MATCH(TRIM(L$2), TRIM(INDIRECT($O632)), 0))</f>
        <v>15185.218183852308</v>
      </c>
      <c r="M632" s="5" t="str">
        <f t="shared" si="27"/>
        <v>'2024'!$N$3:$V$80</v>
      </c>
      <c r="N632" s="5" t="str">
        <f t="shared" si="28"/>
        <v>'2024'!$M$2:$M$80</v>
      </c>
      <c r="O632" s="5" t="str">
        <f t="shared" si="29"/>
        <v>'2024'!$N$2:$W$2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D4A18-03B9-4C8B-809E-BFCD408F03D3}">
  <sheetPr codeName="Sheet3"/>
  <dimension ref="A1:V56"/>
  <sheetViews>
    <sheetView workbookViewId="0"/>
  </sheetViews>
  <sheetFormatPr defaultRowHeight="14.4" x14ac:dyDescent="0.3"/>
  <cols>
    <col min="1" max="1" width="7" bestFit="1" customWidth="1"/>
    <col min="2" max="2" width="44.88671875" bestFit="1" customWidth="1"/>
    <col min="3" max="3" width="14.5546875" bestFit="1" customWidth="1"/>
    <col min="4" max="4" width="22.21875" bestFit="1" customWidth="1"/>
    <col min="5" max="5" width="26.33203125" bestFit="1" customWidth="1"/>
    <col min="6" max="6" width="18.33203125" bestFit="1" customWidth="1"/>
    <col min="7" max="7" width="23.77734375" bestFit="1" customWidth="1"/>
    <col min="8" max="8" width="27.77734375" bestFit="1" customWidth="1"/>
    <col min="9" max="9" width="24.21875" bestFit="1" customWidth="1"/>
    <col min="10" max="10" width="16.33203125" bestFit="1" customWidth="1"/>
    <col min="11" max="11" width="51.44140625" bestFit="1" customWidth="1"/>
    <col min="12" max="12" width="7" bestFit="1" customWidth="1"/>
    <col min="13" max="13" width="14.6640625" bestFit="1" customWidth="1"/>
    <col min="14" max="14" width="14.5546875" bestFit="1" customWidth="1"/>
    <col min="15" max="15" width="22.21875" bestFit="1" customWidth="1"/>
    <col min="16" max="16" width="26.33203125" bestFit="1" customWidth="1"/>
    <col min="17" max="17" width="18.33203125" bestFit="1" customWidth="1"/>
    <col min="18" max="18" width="23.77734375" bestFit="1" customWidth="1"/>
    <col min="19" max="19" width="27.77734375" bestFit="1" customWidth="1"/>
    <col min="20" max="20" width="24.21875" bestFit="1" customWidth="1"/>
    <col min="21" max="21" width="16.33203125" bestFit="1" customWidth="1"/>
    <col min="22" max="22" width="51.44140625" bestFit="1" customWidth="1"/>
    <col min="23" max="23" width="12" bestFit="1" customWidth="1"/>
    <col min="24" max="24" width="12.44140625" bestFit="1" customWidth="1"/>
    <col min="25" max="25" width="13.88671875" bestFit="1" customWidth="1"/>
    <col min="26" max="26" width="38.33203125" bestFit="1" customWidth="1"/>
  </cols>
  <sheetData>
    <row r="1" spans="1:22" x14ac:dyDescent="0.3">
      <c r="A1" t="s">
        <v>66</v>
      </c>
      <c r="B1" t="s">
        <v>67</v>
      </c>
      <c r="C1" t="s">
        <v>70</v>
      </c>
      <c r="F1" t="s">
        <v>68</v>
      </c>
      <c r="I1" t="s">
        <v>69</v>
      </c>
      <c r="N1" t="s">
        <v>70</v>
      </c>
      <c r="Q1" t="s">
        <v>68</v>
      </c>
      <c r="T1" t="s">
        <v>69</v>
      </c>
      <c r="V1" t="s">
        <v>71</v>
      </c>
    </row>
    <row r="2" spans="1:22" x14ac:dyDescent="0.3">
      <c r="C2" t="s">
        <v>75</v>
      </c>
      <c r="D2" t="s">
        <v>76</v>
      </c>
      <c r="E2" t="s">
        <v>72</v>
      </c>
      <c r="F2" t="s">
        <v>99</v>
      </c>
      <c r="G2" t="s">
        <v>100</v>
      </c>
      <c r="H2" t="s">
        <v>101</v>
      </c>
      <c r="I2" t="s">
        <v>73</v>
      </c>
      <c r="J2" t="s">
        <v>77</v>
      </c>
      <c r="K2" t="s">
        <v>71</v>
      </c>
      <c r="L2" t="s">
        <v>66</v>
      </c>
      <c r="M2" t="s">
        <v>74</v>
      </c>
      <c r="N2" t="s">
        <v>75</v>
      </c>
      <c r="O2" t="s">
        <v>76</v>
      </c>
      <c r="P2" t="s">
        <v>72</v>
      </c>
      <c r="Q2" t="s">
        <v>99</v>
      </c>
      <c r="R2" t="s">
        <v>100</v>
      </c>
      <c r="S2" t="s">
        <v>101</v>
      </c>
      <c r="T2" t="s">
        <v>73</v>
      </c>
      <c r="U2" t="s">
        <v>77</v>
      </c>
      <c r="V2" t="s">
        <v>71</v>
      </c>
    </row>
    <row r="3" spans="1:22" x14ac:dyDescent="0.3">
      <c r="A3">
        <v>1</v>
      </c>
      <c r="B3" t="s">
        <v>78</v>
      </c>
      <c r="C3">
        <v>1012</v>
      </c>
      <c r="D3">
        <v>9466284582</v>
      </c>
      <c r="E3">
        <v>9466.2845820000002</v>
      </c>
      <c r="F3">
        <v>616</v>
      </c>
      <c r="G3">
        <v>6962482085.25</v>
      </c>
      <c r="H3">
        <v>6962.4820852499997</v>
      </c>
      <c r="I3" t="e">
        <v>#N/A</v>
      </c>
      <c r="J3" t="e">
        <v>#N/A</v>
      </c>
      <c r="K3">
        <v>16428.766667249998</v>
      </c>
      <c r="L3">
        <v>1</v>
      </c>
      <c r="M3" t="s">
        <v>1</v>
      </c>
      <c r="N3">
        <v>606</v>
      </c>
      <c r="O3">
        <v>2982736274</v>
      </c>
      <c r="P3">
        <v>2982.7362739999999</v>
      </c>
      <c r="Q3">
        <v>191</v>
      </c>
      <c r="R3">
        <v>1117506282.4200001</v>
      </c>
      <c r="S3">
        <v>1117.5062824200002</v>
      </c>
      <c r="T3" t="e">
        <v>#N/A</v>
      </c>
      <c r="U3" t="e">
        <v>#N/A</v>
      </c>
      <c r="V3">
        <v>4100.2425564200003</v>
      </c>
    </row>
    <row r="4" spans="1:22" x14ac:dyDescent="0.3">
      <c r="A4">
        <v>2</v>
      </c>
      <c r="B4" t="s">
        <v>79</v>
      </c>
      <c r="C4">
        <v>10</v>
      </c>
      <c r="D4">
        <v>2859591155</v>
      </c>
      <c r="E4">
        <v>2859.5911550000001</v>
      </c>
      <c r="F4">
        <v>11</v>
      </c>
      <c r="G4">
        <v>-60160477</v>
      </c>
      <c r="H4">
        <v>60.160477</v>
      </c>
      <c r="I4" t="e">
        <v>#N/A</v>
      </c>
      <c r="J4" t="e">
        <v>#N/A</v>
      </c>
      <c r="K4">
        <v>2919.751632</v>
      </c>
      <c r="L4">
        <v>2</v>
      </c>
      <c r="M4" t="s">
        <v>4</v>
      </c>
      <c r="N4">
        <v>136</v>
      </c>
      <c r="O4">
        <v>150582243</v>
      </c>
      <c r="P4">
        <v>150.58224300000001</v>
      </c>
      <c r="Q4">
        <v>107</v>
      </c>
      <c r="R4">
        <v>3512455324</v>
      </c>
      <c r="S4">
        <v>3512.455324</v>
      </c>
      <c r="T4" t="e">
        <v>#N/A</v>
      </c>
      <c r="U4" t="e">
        <v>#N/A</v>
      </c>
      <c r="V4">
        <v>3663.0375669999999</v>
      </c>
    </row>
    <row r="5" spans="1:22" x14ac:dyDescent="0.3">
      <c r="A5">
        <v>3</v>
      </c>
      <c r="B5" t="s">
        <v>80</v>
      </c>
      <c r="C5">
        <v>34</v>
      </c>
      <c r="D5">
        <v>2146413268</v>
      </c>
      <c r="E5">
        <v>2146.4132679999998</v>
      </c>
      <c r="F5">
        <v>14</v>
      </c>
      <c r="G5">
        <v>248289212</v>
      </c>
      <c r="H5">
        <v>248.28921199999999</v>
      </c>
      <c r="I5" t="e">
        <v>#N/A</v>
      </c>
      <c r="J5" t="e">
        <v>#N/A</v>
      </c>
      <c r="K5">
        <v>2394.7024799999999</v>
      </c>
      <c r="L5">
        <v>3</v>
      </c>
      <c r="M5" t="s">
        <v>2</v>
      </c>
      <c r="N5">
        <v>212</v>
      </c>
      <c r="O5">
        <v>2635591980</v>
      </c>
      <c r="P5">
        <v>2635.5919800000001</v>
      </c>
      <c r="Q5">
        <v>105</v>
      </c>
      <c r="R5">
        <v>493054604</v>
      </c>
      <c r="S5">
        <v>493.05460399999998</v>
      </c>
      <c r="T5" t="e">
        <v>#N/A</v>
      </c>
      <c r="U5" t="e">
        <v>#N/A</v>
      </c>
      <c r="V5">
        <v>3128.6465840000001</v>
      </c>
    </row>
    <row r="6" spans="1:22" x14ac:dyDescent="0.3">
      <c r="A6">
        <v>4</v>
      </c>
      <c r="B6" t="s">
        <v>81</v>
      </c>
      <c r="C6">
        <v>115</v>
      </c>
      <c r="D6">
        <v>575129332</v>
      </c>
      <c r="E6">
        <v>575.12933199999998</v>
      </c>
      <c r="F6">
        <v>30</v>
      </c>
      <c r="G6">
        <v>163437685</v>
      </c>
      <c r="H6">
        <v>163.43768499999999</v>
      </c>
      <c r="I6" t="e">
        <v>#N/A</v>
      </c>
      <c r="J6" t="e">
        <v>#N/A</v>
      </c>
      <c r="K6">
        <v>738.56701699999996</v>
      </c>
      <c r="L6">
        <v>4</v>
      </c>
      <c r="M6" t="s">
        <v>33</v>
      </c>
      <c r="N6">
        <v>2</v>
      </c>
      <c r="O6">
        <v>2526800000</v>
      </c>
      <c r="P6">
        <v>2526.8000000000002</v>
      </c>
      <c r="Q6">
        <v>0</v>
      </c>
      <c r="R6">
        <v>0</v>
      </c>
      <c r="S6">
        <v>0</v>
      </c>
      <c r="T6" t="e">
        <v>#N/A</v>
      </c>
      <c r="U6" t="e">
        <v>#N/A</v>
      </c>
      <c r="V6">
        <v>2526.8000000000002</v>
      </c>
    </row>
    <row r="7" spans="1:22" x14ac:dyDescent="0.3">
      <c r="A7">
        <v>5</v>
      </c>
      <c r="B7" t="s">
        <v>82</v>
      </c>
      <c r="C7">
        <v>328</v>
      </c>
      <c r="D7">
        <v>516079367.24000001</v>
      </c>
      <c r="E7">
        <v>516.07936724000001</v>
      </c>
      <c r="F7">
        <v>67</v>
      </c>
      <c r="G7">
        <v>168351429.16999999</v>
      </c>
      <c r="H7">
        <v>168.35142916999999</v>
      </c>
      <c r="I7" t="e">
        <v>#N/A</v>
      </c>
      <c r="J7" t="e">
        <v>#N/A</v>
      </c>
      <c r="K7">
        <v>684.43079640999997</v>
      </c>
      <c r="L7">
        <v>5</v>
      </c>
      <c r="M7" t="s">
        <v>3</v>
      </c>
      <c r="N7">
        <v>104</v>
      </c>
      <c r="O7">
        <v>1472213761</v>
      </c>
      <c r="P7">
        <v>1472.213761</v>
      </c>
      <c r="Q7">
        <v>92</v>
      </c>
      <c r="R7">
        <v>332922524</v>
      </c>
      <c r="S7">
        <v>332.92252400000001</v>
      </c>
      <c r="T7" t="e">
        <v>#N/A</v>
      </c>
      <c r="U7" t="e">
        <v>#N/A</v>
      </c>
      <c r="V7">
        <v>1805.136285</v>
      </c>
    </row>
    <row r="8" spans="1:22" x14ac:dyDescent="0.3">
      <c r="A8">
        <v>6</v>
      </c>
      <c r="B8" t="s">
        <v>83</v>
      </c>
      <c r="C8">
        <v>17</v>
      </c>
      <c r="D8">
        <v>149018873</v>
      </c>
      <c r="E8">
        <v>149.01887300000001</v>
      </c>
      <c r="F8">
        <v>16</v>
      </c>
      <c r="G8">
        <v>108987838</v>
      </c>
      <c r="H8">
        <v>108.987838</v>
      </c>
      <c r="I8" t="e">
        <v>#N/A</v>
      </c>
      <c r="J8" t="e">
        <v>#N/A</v>
      </c>
      <c r="K8">
        <v>258.006711</v>
      </c>
      <c r="L8">
        <v>6</v>
      </c>
      <c r="M8" t="s">
        <v>0</v>
      </c>
      <c r="N8">
        <v>364</v>
      </c>
      <c r="O8">
        <v>943160678.24000001</v>
      </c>
      <c r="P8">
        <v>943.16067824000004</v>
      </c>
      <c r="Q8">
        <v>77</v>
      </c>
      <c r="R8">
        <v>183712309</v>
      </c>
      <c r="S8">
        <v>183.712309</v>
      </c>
      <c r="T8" t="e">
        <v>#N/A</v>
      </c>
      <c r="U8" t="e">
        <v>#N/A</v>
      </c>
      <c r="V8">
        <v>1126.8729872399999</v>
      </c>
    </row>
    <row r="9" spans="1:22" x14ac:dyDescent="0.3">
      <c r="A9">
        <v>7</v>
      </c>
      <c r="B9" t="s">
        <v>84</v>
      </c>
      <c r="C9">
        <v>215</v>
      </c>
      <c r="D9">
        <v>223986627</v>
      </c>
      <c r="E9">
        <v>223.986627</v>
      </c>
      <c r="F9">
        <v>57</v>
      </c>
      <c r="G9">
        <v>26150600</v>
      </c>
      <c r="H9">
        <v>26.150600000000001</v>
      </c>
      <c r="I9" t="e">
        <v>#N/A</v>
      </c>
      <c r="J9" t="e">
        <v>#N/A</v>
      </c>
      <c r="K9">
        <v>250.137227</v>
      </c>
      <c r="L9">
        <v>7</v>
      </c>
      <c r="M9" t="s">
        <v>5</v>
      </c>
      <c r="N9">
        <v>50</v>
      </c>
      <c r="O9">
        <v>654164626</v>
      </c>
      <c r="P9">
        <v>654.164626</v>
      </c>
      <c r="Q9">
        <v>38</v>
      </c>
      <c r="R9">
        <v>248564520</v>
      </c>
      <c r="S9">
        <v>248.56451999999999</v>
      </c>
      <c r="T9" t="e">
        <v>#N/A</v>
      </c>
      <c r="U9" t="e">
        <v>#N/A</v>
      </c>
      <c r="V9">
        <v>902.72914600000001</v>
      </c>
    </row>
    <row r="10" spans="1:22" x14ac:dyDescent="0.3">
      <c r="A10">
        <v>8</v>
      </c>
      <c r="B10" t="s">
        <v>85</v>
      </c>
      <c r="C10">
        <v>55</v>
      </c>
      <c r="D10">
        <v>72635827</v>
      </c>
      <c r="E10">
        <v>72.635827000000006</v>
      </c>
      <c r="F10">
        <v>25</v>
      </c>
      <c r="G10">
        <v>72394649</v>
      </c>
      <c r="H10">
        <v>72.394649000000001</v>
      </c>
      <c r="I10" t="e">
        <v>#N/A</v>
      </c>
      <c r="J10" t="e">
        <v>#N/A</v>
      </c>
      <c r="K10">
        <v>145.03047600000002</v>
      </c>
      <c r="L10">
        <v>8</v>
      </c>
      <c r="M10" t="s">
        <v>8</v>
      </c>
      <c r="N10">
        <v>14</v>
      </c>
      <c r="O10">
        <v>327610000</v>
      </c>
      <c r="P10">
        <v>327.61</v>
      </c>
      <c r="Q10">
        <v>22</v>
      </c>
      <c r="R10">
        <v>432099000</v>
      </c>
      <c r="S10">
        <v>432.09899999999999</v>
      </c>
      <c r="T10" t="e">
        <v>#N/A</v>
      </c>
      <c r="U10" t="e">
        <v>#N/A</v>
      </c>
      <c r="V10">
        <v>759.70900000000006</v>
      </c>
    </row>
    <row r="11" spans="1:22" x14ac:dyDescent="0.3">
      <c r="A11">
        <v>9</v>
      </c>
      <c r="B11" t="s">
        <v>86</v>
      </c>
      <c r="C11">
        <v>65</v>
      </c>
      <c r="D11">
        <v>110304869</v>
      </c>
      <c r="E11">
        <v>110.304869</v>
      </c>
      <c r="F11">
        <v>13</v>
      </c>
      <c r="G11">
        <v>29129961</v>
      </c>
      <c r="H11">
        <v>29.129961000000002</v>
      </c>
      <c r="I11" t="e">
        <v>#N/A</v>
      </c>
      <c r="J11" t="e">
        <v>#N/A</v>
      </c>
      <c r="K11">
        <v>139.43483000000001</v>
      </c>
      <c r="L11">
        <v>9</v>
      </c>
      <c r="M11" t="s">
        <v>10</v>
      </c>
      <c r="N11">
        <v>126</v>
      </c>
      <c r="O11">
        <v>383484907</v>
      </c>
      <c r="P11">
        <v>383.48490700000002</v>
      </c>
      <c r="Q11">
        <v>47</v>
      </c>
      <c r="R11">
        <v>268356416</v>
      </c>
      <c r="S11">
        <v>268.35641600000002</v>
      </c>
      <c r="T11" t="e">
        <v>#N/A</v>
      </c>
      <c r="U11" t="e">
        <v>#N/A</v>
      </c>
      <c r="V11">
        <v>651.8413230000001</v>
      </c>
    </row>
    <row r="12" spans="1:22" x14ac:dyDescent="0.3">
      <c r="A12">
        <v>10</v>
      </c>
      <c r="B12" t="s">
        <v>87</v>
      </c>
      <c r="C12">
        <v>171</v>
      </c>
      <c r="D12">
        <v>66065998</v>
      </c>
      <c r="E12">
        <v>66.065997999999993</v>
      </c>
      <c r="F12">
        <v>43</v>
      </c>
      <c r="G12">
        <v>30838715</v>
      </c>
      <c r="H12">
        <v>30.838715000000001</v>
      </c>
      <c r="I12" t="e">
        <v>#N/A</v>
      </c>
      <c r="J12" t="e">
        <v>#N/A</v>
      </c>
      <c r="K12">
        <v>96.904712999999987</v>
      </c>
      <c r="L12">
        <v>10</v>
      </c>
      <c r="M12" t="s">
        <v>6</v>
      </c>
      <c r="N12">
        <v>17</v>
      </c>
      <c r="O12">
        <v>515280000</v>
      </c>
      <c r="P12">
        <v>515.28</v>
      </c>
      <c r="Q12">
        <v>8</v>
      </c>
      <c r="R12">
        <v>25299000</v>
      </c>
      <c r="S12">
        <v>25.298999999999999</v>
      </c>
      <c r="T12" t="e">
        <v>#N/A</v>
      </c>
      <c r="U12" t="e">
        <v>#N/A</v>
      </c>
      <c r="V12">
        <v>540.57899999999995</v>
      </c>
    </row>
    <row r="13" spans="1:22" x14ac:dyDescent="0.3">
      <c r="A13">
        <v>11</v>
      </c>
      <c r="B13" t="s">
        <v>88</v>
      </c>
      <c r="C13">
        <v>25</v>
      </c>
      <c r="D13">
        <v>57345769</v>
      </c>
      <c r="E13">
        <v>57.345768999999997</v>
      </c>
      <c r="F13">
        <v>5</v>
      </c>
      <c r="G13">
        <v>-5500000</v>
      </c>
      <c r="H13">
        <v>-5.5</v>
      </c>
      <c r="I13" t="e">
        <v>#N/A</v>
      </c>
      <c r="J13" t="e">
        <v>#N/A</v>
      </c>
      <c r="K13">
        <v>51.845768999999997</v>
      </c>
      <c r="L13">
        <v>11</v>
      </c>
      <c r="M13" t="s">
        <v>7</v>
      </c>
      <c r="N13">
        <v>57</v>
      </c>
      <c r="O13">
        <v>264571571</v>
      </c>
      <c r="P13">
        <v>264.57157100000001</v>
      </c>
      <c r="Q13">
        <v>24</v>
      </c>
      <c r="R13">
        <v>182891176</v>
      </c>
      <c r="S13">
        <v>182.891176</v>
      </c>
      <c r="T13" t="e">
        <v>#N/A</v>
      </c>
      <c r="U13" t="e">
        <v>#N/A</v>
      </c>
      <c r="V13">
        <v>447.46274700000004</v>
      </c>
    </row>
    <row r="14" spans="1:22" x14ac:dyDescent="0.3">
      <c r="A14">
        <v>12</v>
      </c>
      <c r="B14" t="s">
        <v>89</v>
      </c>
      <c r="C14">
        <v>15</v>
      </c>
      <c r="D14">
        <v>27662500</v>
      </c>
      <c r="E14">
        <v>27.662500000000001</v>
      </c>
      <c r="F14">
        <v>5</v>
      </c>
      <c r="G14">
        <v>10350000</v>
      </c>
      <c r="H14">
        <v>10.35</v>
      </c>
      <c r="I14" t="e">
        <v>#N/A</v>
      </c>
      <c r="J14" t="e">
        <v>#N/A</v>
      </c>
      <c r="K14">
        <v>38.012500000000003</v>
      </c>
      <c r="L14">
        <v>12</v>
      </c>
      <c r="M14" t="s">
        <v>22</v>
      </c>
      <c r="N14">
        <v>11</v>
      </c>
      <c r="O14">
        <v>373938400</v>
      </c>
      <c r="P14">
        <v>373.9384</v>
      </c>
      <c r="Q14">
        <v>6</v>
      </c>
      <c r="R14">
        <v>64952229</v>
      </c>
      <c r="S14">
        <v>64.952229000000003</v>
      </c>
      <c r="T14" t="e">
        <v>#N/A</v>
      </c>
      <c r="U14" t="e">
        <v>#N/A</v>
      </c>
      <c r="V14">
        <v>438.89062899999999</v>
      </c>
    </row>
    <row r="15" spans="1:22" x14ac:dyDescent="0.3">
      <c r="A15">
        <v>13</v>
      </c>
      <c r="B15" t="s">
        <v>90</v>
      </c>
      <c r="C15">
        <v>40</v>
      </c>
      <c r="D15">
        <v>28842652</v>
      </c>
      <c r="E15">
        <v>28.842652000000001</v>
      </c>
      <c r="F15">
        <v>7</v>
      </c>
      <c r="G15">
        <v>361154</v>
      </c>
      <c r="H15">
        <v>0.36115399999999998</v>
      </c>
      <c r="I15" t="e">
        <v>#N/A</v>
      </c>
      <c r="J15" t="e">
        <v>#N/A</v>
      </c>
      <c r="K15">
        <v>29.203806</v>
      </c>
      <c r="L15">
        <v>13</v>
      </c>
      <c r="M15" t="s">
        <v>11</v>
      </c>
      <c r="N15">
        <v>28</v>
      </c>
      <c r="O15">
        <v>269901340</v>
      </c>
      <c r="P15">
        <v>269.90134</v>
      </c>
      <c r="Q15">
        <v>23</v>
      </c>
      <c r="R15">
        <v>137282641</v>
      </c>
      <c r="S15">
        <v>137.28264100000001</v>
      </c>
      <c r="T15" t="e">
        <v>#N/A</v>
      </c>
      <c r="U15" t="e">
        <v>#N/A</v>
      </c>
      <c r="V15">
        <v>407.18398100000002</v>
      </c>
    </row>
    <row r="16" spans="1:22" x14ac:dyDescent="0.3">
      <c r="A16">
        <v>14</v>
      </c>
      <c r="B16" t="s">
        <v>91</v>
      </c>
      <c r="C16">
        <v>3</v>
      </c>
      <c r="D16">
        <v>2200000</v>
      </c>
      <c r="E16">
        <v>2.2000000000000002</v>
      </c>
      <c r="F16">
        <v>3</v>
      </c>
      <c r="G16">
        <v>15377541</v>
      </c>
      <c r="H16">
        <v>15.377541000000001</v>
      </c>
      <c r="I16" t="e">
        <v>#N/A</v>
      </c>
      <c r="J16" t="e">
        <v>#N/A</v>
      </c>
      <c r="K16">
        <v>17.577541</v>
      </c>
      <c r="L16">
        <v>14</v>
      </c>
      <c r="M16" t="s">
        <v>13</v>
      </c>
      <c r="N16">
        <v>35</v>
      </c>
      <c r="O16">
        <v>275246605</v>
      </c>
      <c r="P16">
        <v>275.24660499999999</v>
      </c>
      <c r="Q16">
        <v>23</v>
      </c>
      <c r="R16">
        <v>104380000</v>
      </c>
      <c r="S16">
        <v>104.38</v>
      </c>
      <c r="T16" t="e">
        <v>#N/A</v>
      </c>
      <c r="U16" t="e">
        <v>#N/A</v>
      </c>
      <c r="V16">
        <v>379.62660499999998</v>
      </c>
    </row>
    <row r="17" spans="1:22" x14ac:dyDescent="0.3">
      <c r="A17">
        <v>15</v>
      </c>
      <c r="B17" t="s">
        <v>92</v>
      </c>
      <c r="C17">
        <v>10</v>
      </c>
      <c r="D17">
        <v>11320908</v>
      </c>
      <c r="E17">
        <v>11.320907999999999</v>
      </c>
      <c r="F17">
        <v>3</v>
      </c>
      <c r="G17">
        <v>2000000</v>
      </c>
      <c r="H17">
        <v>2</v>
      </c>
      <c r="I17" t="e">
        <v>#N/A</v>
      </c>
      <c r="J17" t="e">
        <v>#N/A</v>
      </c>
      <c r="K17">
        <v>13.320907999999999</v>
      </c>
      <c r="L17">
        <v>15</v>
      </c>
      <c r="M17" t="s">
        <v>9</v>
      </c>
      <c r="N17">
        <v>36</v>
      </c>
      <c r="O17">
        <v>304863564</v>
      </c>
      <c r="P17">
        <v>304.863564</v>
      </c>
      <c r="Q17">
        <v>19</v>
      </c>
      <c r="R17">
        <v>50377950</v>
      </c>
      <c r="S17">
        <v>50.377949999999998</v>
      </c>
      <c r="T17" t="e">
        <v>#N/A</v>
      </c>
      <c r="U17" t="e">
        <v>#N/A</v>
      </c>
      <c r="V17">
        <v>355.241514</v>
      </c>
    </row>
    <row r="18" spans="1:22" x14ac:dyDescent="0.3">
      <c r="A18">
        <v>16</v>
      </c>
      <c r="B18" t="s">
        <v>93</v>
      </c>
      <c r="C18">
        <v>3</v>
      </c>
      <c r="D18">
        <v>25370476</v>
      </c>
      <c r="E18">
        <v>25.370476</v>
      </c>
      <c r="F18">
        <v>0</v>
      </c>
      <c r="G18">
        <v>0</v>
      </c>
      <c r="H18">
        <v>0</v>
      </c>
      <c r="I18" t="e">
        <v>#N/A</v>
      </c>
      <c r="J18" t="e">
        <v>#N/A</v>
      </c>
      <c r="K18">
        <v>25.370476</v>
      </c>
      <c r="L18">
        <v>16</v>
      </c>
      <c r="M18" t="s">
        <v>15</v>
      </c>
      <c r="N18">
        <v>34</v>
      </c>
      <c r="O18">
        <v>270078933</v>
      </c>
      <c r="P18">
        <v>270.07893300000001</v>
      </c>
      <c r="Q18">
        <v>24</v>
      </c>
      <c r="R18">
        <v>59552420</v>
      </c>
      <c r="S18">
        <v>59.552419999999998</v>
      </c>
      <c r="T18" t="e">
        <v>#N/A</v>
      </c>
      <c r="U18" t="e">
        <v>#N/A</v>
      </c>
      <c r="V18">
        <v>329.63135299999999</v>
      </c>
    </row>
    <row r="19" spans="1:22" x14ac:dyDescent="0.3">
      <c r="A19">
        <v>17</v>
      </c>
      <c r="B19" t="s">
        <v>94</v>
      </c>
      <c r="C19">
        <v>1</v>
      </c>
      <c r="D19">
        <v>2500000</v>
      </c>
      <c r="E19">
        <v>2.5</v>
      </c>
      <c r="F19">
        <v>2</v>
      </c>
      <c r="G19">
        <v>350000</v>
      </c>
      <c r="H19">
        <v>0.35</v>
      </c>
      <c r="I19" t="e">
        <v>#N/A</v>
      </c>
      <c r="J19" t="e">
        <v>#N/A</v>
      </c>
      <c r="K19">
        <v>2.85</v>
      </c>
      <c r="L19">
        <v>17</v>
      </c>
      <c r="M19" t="s">
        <v>16</v>
      </c>
      <c r="N19">
        <v>24</v>
      </c>
      <c r="O19">
        <v>95872000</v>
      </c>
      <c r="P19">
        <v>95.872</v>
      </c>
      <c r="Q19">
        <v>20</v>
      </c>
      <c r="R19">
        <v>164387466</v>
      </c>
      <c r="S19">
        <v>164.38746599999999</v>
      </c>
      <c r="T19" t="e">
        <v>#N/A</v>
      </c>
      <c r="U19" t="e">
        <v>#N/A</v>
      </c>
      <c r="V19">
        <v>260.25946599999997</v>
      </c>
    </row>
    <row r="20" spans="1:22" x14ac:dyDescent="0.3">
      <c r="A20">
        <v>18</v>
      </c>
      <c r="B20" t="s">
        <v>95</v>
      </c>
      <c r="C20">
        <v>0</v>
      </c>
      <c r="D20">
        <v>0</v>
      </c>
      <c r="E20">
        <v>0</v>
      </c>
      <c r="F20">
        <v>1</v>
      </c>
      <c r="G20">
        <v>1122581</v>
      </c>
      <c r="H20">
        <v>1.1225810000000001</v>
      </c>
      <c r="I20" t="e">
        <v>#N/A</v>
      </c>
      <c r="J20" t="e">
        <v>#N/A</v>
      </c>
      <c r="K20">
        <v>1.1225810000000001</v>
      </c>
      <c r="L20">
        <v>18</v>
      </c>
      <c r="M20" t="s">
        <v>25</v>
      </c>
      <c r="N20">
        <v>18</v>
      </c>
      <c r="O20">
        <v>178859228</v>
      </c>
      <c r="P20">
        <v>178.859228</v>
      </c>
      <c r="Q20">
        <v>7</v>
      </c>
      <c r="R20">
        <v>77349940</v>
      </c>
      <c r="S20">
        <v>77.349940000000004</v>
      </c>
      <c r="T20" t="e">
        <v>#N/A</v>
      </c>
      <c r="U20" t="e">
        <v>#N/A</v>
      </c>
      <c r="V20">
        <v>256.20916799999998</v>
      </c>
    </row>
    <row r="21" spans="1:22" x14ac:dyDescent="0.3">
      <c r="A21">
        <v>19</v>
      </c>
      <c r="B21" t="s">
        <v>96</v>
      </c>
      <c r="C21">
        <v>1</v>
      </c>
      <c r="D21">
        <v>290000</v>
      </c>
      <c r="E21">
        <v>0.28999999999999998</v>
      </c>
      <c r="F21">
        <v>0</v>
      </c>
      <c r="G21">
        <v>0</v>
      </c>
      <c r="H21">
        <v>0</v>
      </c>
      <c r="I21" t="e">
        <v>#N/A</v>
      </c>
      <c r="J21" t="e">
        <v>#N/A</v>
      </c>
      <c r="K21">
        <v>0.28999999999999998</v>
      </c>
      <c r="L21">
        <v>19</v>
      </c>
      <c r="M21" t="s">
        <v>12</v>
      </c>
      <c r="N21">
        <v>26</v>
      </c>
      <c r="O21">
        <v>203850281</v>
      </c>
      <c r="P21">
        <v>203.850281</v>
      </c>
      <c r="Q21">
        <v>9</v>
      </c>
      <c r="R21">
        <v>22276455</v>
      </c>
      <c r="S21">
        <v>22.276454999999999</v>
      </c>
      <c r="T21" t="e">
        <v>#N/A</v>
      </c>
      <c r="U21" t="e">
        <v>#N/A</v>
      </c>
      <c r="V21">
        <v>226.12673599999999</v>
      </c>
    </row>
    <row r="22" spans="1:22" x14ac:dyDescent="0.3">
      <c r="A22" t="s">
        <v>97</v>
      </c>
      <c r="C22">
        <v>2120</v>
      </c>
      <c r="D22">
        <v>16341042203.24</v>
      </c>
      <c r="E22">
        <v>16341.042203240002</v>
      </c>
      <c r="F22">
        <v>918</v>
      </c>
      <c r="G22">
        <v>7773962973.4200001</v>
      </c>
      <c r="H22">
        <v>7894.2839274199996</v>
      </c>
      <c r="I22" t="e">
        <v>#N/A</v>
      </c>
      <c r="J22" t="e">
        <v>#N/A</v>
      </c>
      <c r="K22">
        <v>24235.32613066</v>
      </c>
      <c r="L22">
        <v>20</v>
      </c>
      <c r="M22" t="s">
        <v>21</v>
      </c>
      <c r="N22">
        <v>15</v>
      </c>
      <c r="O22">
        <v>196463000</v>
      </c>
      <c r="P22">
        <v>196.46299999999999</v>
      </c>
      <c r="Q22">
        <v>2</v>
      </c>
      <c r="R22">
        <v>9826320</v>
      </c>
      <c r="S22">
        <v>9.8263200000000008</v>
      </c>
      <c r="T22" t="e">
        <v>#N/A</v>
      </c>
      <c r="U22" t="e">
        <v>#N/A</v>
      </c>
      <c r="V22">
        <v>206.28932</v>
      </c>
    </row>
    <row r="23" spans="1:22" x14ac:dyDescent="0.3">
      <c r="L23">
        <v>21</v>
      </c>
      <c r="M23" t="s">
        <v>41</v>
      </c>
      <c r="N23">
        <v>2</v>
      </c>
      <c r="O23">
        <v>157432000</v>
      </c>
      <c r="P23">
        <v>157.43199999999999</v>
      </c>
      <c r="Q23">
        <v>4</v>
      </c>
      <c r="R23">
        <v>16200000</v>
      </c>
      <c r="S23">
        <v>16.2</v>
      </c>
      <c r="T23" t="e">
        <v>#N/A</v>
      </c>
      <c r="U23" t="e">
        <v>#N/A</v>
      </c>
      <c r="V23">
        <v>173.63199999999998</v>
      </c>
    </row>
    <row r="24" spans="1:22" x14ac:dyDescent="0.3">
      <c r="L24">
        <v>22</v>
      </c>
      <c r="M24" t="s">
        <v>42</v>
      </c>
      <c r="N24">
        <v>10</v>
      </c>
      <c r="O24">
        <v>120958789</v>
      </c>
      <c r="P24">
        <v>120.958789</v>
      </c>
      <c r="Q24">
        <v>1</v>
      </c>
      <c r="R24">
        <v>41276965</v>
      </c>
      <c r="S24">
        <v>41.276964999999997</v>
      </c>
      <c r="T24" t="e">
        <v>#N/A</v>
      </c>
      <c r="U24" t="e">
        <v>#N/A</v>
      </c>
      <c r="V24">
        <v>162.23575399999999</v>
      </c>
    </row>
    <row r="25" spans="1:22" x14ac:dyDescent="0.3">
      <c r="L25">
        <v>23</v>
      </c>
      <c r="M25" t="s">
        <v>20</v>
      </c>
      <c r="N25">
        <v>8</v>
      </c>
      <c r="O25">
        <v>78560943</v>
      </c>
      <c r="P25">
        <v>78.560942999999995</v>
      </c>
      <c r="Q25">
        <v>3</v>
      </c>
      <c r="R25">
        <v>61948781</v>
      </c>
      <c r="S25">
        <v>61.948780999999997</v>
      </c>
      <c r="T25" t="e">
        <v>#N/A</v>
      </c>
      <c r="U25" t="e">
        <v>#N/A</v>
      </c>
      <c r="V25">
        <v>140.50972400000001</v>
      </c>
    </row>
    <row r="26" spans="1:22" x14ac:dyDescent="0.3">
      <c r="L26">
        <v>24</v>
      </c>
      <c r="M26" t="s">
        <v>40</v>
      </c>
      <c r="N26">
        <v>15</v>
      </c>
      <c r="O26">
        <v>104660000</v>
      </c>
      <c r="P26">
        <v>104.66</v>
      </c>
      <c r="Q26">
        <v>2</v>
      </c>
      <c r="R26">
        <v>11000000</v>
      </c>
      <c r="S26">
        <v>11</v>
      </c>
      <c r="T26" t="e">
        <v>#N/A</v>
      </c>
      <c r="U26" t="e">
        <v>#N/A</v>
      </c>
      <c r="V26">
        <v>115.66</v>
      </c>
    </row>
    <row r="27" spans="1:22" x14ac:dyDescent="0.3">
      <c r="L27">
        <v>25</v>
      </c>
      <c r="M27" t="s">
        <v>19</v>
      </c>
      <c r="N27">
        <v>13</v>
      </c>
      <c r="O27">
        <v>89076000</v>
      </c>
      <c r="P27">
        <v>89.075999999999993</v>
      </c>
      <c r="Q27">
        <v>5</v>
      </c>
      <c r="R27">
        <v>5913000</v>
      </c>
      <c r="S27">
        <v>5.9130000000000003</v>
      </c>
      <c r="T27" t="e">
        <v>#N/A</v>
      </c>
      <c r="U27" t="e">
        <v>#N/A</v>
      </c>
      <c r="V27">
        <v>94.98899999999999</v>
      </c>
    </row>
    <row r="28" spans="1:22" x14ac:dyDescent="0.3">
      <c r="L28">
        <v>26</v>
      </c>
      <c r="M28" t="s">
        <v>39</v>
      </c>
      <c r="N28">
        <v>9</v>
      </c>
      <c r="O28">
        <v>92226205</v>
      </c>
      <c r="P28">
        <v>92.226204999999993</v>
      </c>
      <c r="Q28">
        <v>1</v>
      </c>
      <c r="R28">
        <v>1600000</v>
      </c>
      <c r="S28">
        <v>1.6</v>
      </c>
      <c r="T28" t="e">
        <v>#N/A</v>
      </c>
      <c r="U28" t="e">
        <v>#N/A</v>
      </c>
      <c r="V28">
        <v>93.826204999999987</v>
      </c>
    </row>
    <row r="29" spans="1:22" x14ac:dyDescent="0.3">
      <c r="L29">
        <v>27</v>
      </c>
      <c r="M29" t="s">
        <v>17</v>
      </c>
      <c r="N29">
        <v>6</v>
      </c>
      <c r="O29">
        <v>55096000</v>
      </c>
      <c r="P29">
        <v>55.095999999999997</v>
      </c>
      <c r="Q29">
        <v>6</v>
      </c>
      <c r="R29">
        <v>37014893</v>
      </c>
      <c r="S29">
        <v>37.014893000000001</v>
      </c>
      <c r="T29" t="e">
        <v>#N/A</v>
      </c>
      <c r="U29" t="e">
        <v>#N/A</v>
      </c>
      <c r="V29">
        <v>92.110893000000004</v>
      </c>
    </row>
    <row r="30" spans="1:22" x14ac:dyDescent="0.3">
      <c r="L30">
        <v>28</v>
      </c>
      <c r="M30" t="s">
        <v>26</v>
      </c>
      <c r="N30">
        <v>2</v>
      </c>
      <c r="O30">
        <v>64304155</v>
      </c>
      <c r="P30">
        <v>64.304154999999994</v>
      </c>
      <c r="Q30">
        <v>4</v>
      </c>
      <c r="R30">
        <v>26500000</v>
      </c>
      <c r="S30">
        <v>26.5</v>
      </c>
      <c r="T30" t="e">
        <v>#N/A</v>
      </c>
      <c r="U30" t="e">
        <v>#N/A</v>
      </c>
      <c r="V30">
        <v>90.804154999999994</v>
      </c>
    </row>
    <row r="31" spans="1:22" x14ac:dyDescent="0.3">
      <c r="L31">
        <v>29</v>
      </c>
      <c r="M31" t="s">
        <v>48</v>
      </c>
      <c r="N31">
        <v>2</v>
      </c>
      <c r="O31">
        <v>78700000</v>
      </c>
      <c r="P31">
        <v>78.7</v>
      </c>
      <c r="Q31">
        <v>0</v>
      </c>
      <c r="R31">
        <v>0</v>
      </c>
      <c r="S31">
        <v>0</v>
      </c>
      <c r="T31" t="e">
        <v>#N/A</v>
      </c>
      <c r="U31" t="e">
        <v>#N/A</v>
      </c>
      <c r="V31">
        <v>78.7</v>
      </c>
    </row>
    <row r="32" spans="1:22" x14ac:dyDescent="0.3">
      <c r="L32">
        <v>30</v>
      </c>
      <c r="M32" t="s">
        <v>34</v>
      </c>
      <c r="N32">
        <v>7</v>
      </c>
      <c r="O32">
        <v>44106853</v>
      </c>
      <c r="P32">
        <v>44.106853000000001</v>
      </c>
      <c r="Q32">
        <v>5</v>
      </c>
      <c r="R32">
        <v>14289900</v>
      </c>
      <c r="S32">
        <v>14.289899999999999</v>
      </c>
      <c r="T32" t="e">
        <v>#N/A</v>
      </c>
      <c r="U32" t="e">
        <v>#N/A</v>
      </c>
      <c r="V32">
        <v>58.396753000000004</v>
      </c>
    </row>
    <row r="33" spans="12:22" x14ac:dyDescent="0.3">
      <c r="L33">
        <v>31</v>
      </c>
      <c r="M33" t="s">
        <v>24</v>
      </c>
      <c r="N33">
        <v>6</v>
      </c>
      <c r="O33">
        <v>53608857</v>
      </c>
      <c r="P33">
        <v>53.608857</v>
      </c>
      <c r="Q33">
        <v>2</v>
      </c>
      <c r="R33">
        <v>2050000</v>
      </c>
      <c r="S33">
        <v>2.0499999999999998</v>
      </c>
      <c r="T33" t="e">
        <v>#N/A</v>
      </c>
      <c r="U33" t="e">
        <v>#N/A</v>
      </c>
      <c r="V33">
        <v>55.658856999999998</v>
      </c>
    </row>
    <row r="34" spans="12:22" x14ac:dyDescent="0.3">
      <c r="L34">
        <v>32</v>
      </c>
      <c r="M34" t="s">
        <v>38</v>
      </c>
      <c r="N34">
        <v>8</v>
      </c>
      <c r="O34">
        <v>49638220</v>
      </c>
      <c r="P34">
        <v>49.638219999999997</v>
      </c>
      <c r="Q34">
        <v>0</v>
      </c>
      <c r="R34">
        <v>0</v>
      </c>
      <c r="S34">
        <v>0</v>
      </c>
      <c r="T34" t="e">
        <v>#N/A</v>
      </c>
      <c r="U34" t="e">
        <v>#N/A</v>
      </c>
      <c r="V34">
        <v>49.638219999999997</v>
      </c>
    </row>
    <row r="35" spans="12:22" x14ac:dyDescent="0.3">
      <c r="L35">
        <v>33</v>
      </c>
      <c r="M35" t="s">
        <v>14</v>
      </c>
      <c r="N35">
        <v>59</v>
      </c>
      <c r="O35">
        <v>52587792</v>
      </c>
      <c r="P35">
        <v>52.587792</v>
      </c>
      <c r="Q35">
        <v>17</v>
      </c>
      <c r="R35">
        <v>-8305598</v>
      </c>
      <c r="S35">
        <v>-8.3055979999999998</v>
      </c>
      <c r="T35" t="e">
        <v>#N/A</v>
      </c>
      <c r="U35" t="e">
        <v>#N/A</v>
      </c>
      <c r="V35">
        <v>44.282194000000004</v>
      </c>
    </row>
    <row r="36" spans="12:22" x14ac:dyDescent="0.3">
      <c r="L36">
        <v>34</v>
      </c>
      <c r="M36" t="s">
        <v>18</v>
      </c>
      <c r="N36">
        <v>7</v>
      </c>
      <c r="O36">
        <v>43975742</v>
      </c>
      <c r="P36">
        <v>43.975741999999997</v>
      </c>
      <c r="Q36">
        <v>0</v>
      </c>
      <c r="R36">
        <v>0</v>
      </c>
      <c r="S36">
        <v>0</v>
      </c>
      <c r="T36" t="e">
        <v>#N/A</v>
      </c>
      <c r="U36" t="e">
        <v>#N/A</v>
      </c>
      <c r="V36">
        <v>43.975741999999997</v>
      </c>
    </row>
    <row r="37" spans="12:22" x14ac:dyDescent="0.3">
      <c r="L37">
        <v>35</v>
      </c>
      <c r="M37" t="s">
        <v>28</v>
      </c>
      <c r="N37">
        <v>8</v>
      </c>
      <c r="O37">
        <v>38054545</v>
      </c>
      <c r="P37">
        <v>38.054544999999997</v>
      </c>
      <c r="Q37">
        <v>5</v>
      </c>
      <c r="R37">
        <v>5423794</v>
      </c>
      <c r="S37">
        <v>5.423794</v>
      </c>
      <c r="T37" t="e">
        <v>#N/A</v>
      </c>
      <c r="U37" t="e">
        <v>#N/A</v>
      </c>
      <c r="V37">
        <v>43.478338999999998</v>
      </c>
    </row>
    <row r="38" spans="12:22" x14ac:dyDescent="0.3">
      <c r="L38">
        <v>36</v>
      </c>
      <c r="M38" t="s">
        <v>23</v>
      </c>
      <c r="N38">
        <v>4</v>
      </c>
      <c r="O38">
        <v>49985714</v>
      </c>
      <c r="P38">
        <v>49.985714000000002</v>
      </c>
      <c r="Q38">
        <v>3</v>
      </c>
      <c r="R38">
        <v>-10000000</v>
      </c>
      <c r="S38">
        <v>-10</v>
      </c>
      <c r="T38" t="e">
        <v>#N/A</v>
      </c>
      <c r="U38" t="e">
        <v>#N/A</v>
      </c>
      <c r="V38">
        <v>39.985714000000002</v>
      </c>
    </row>
    <row r="39" spans="12:22" x14ac:dyDescent="0.3">
      <c r="L39">
        <v>37</v>
      </c>
      <c r="M39" t="s">
        <v>44</v>
      </c>
      <c r="N39">
        <v>2</v>
      </c>
      <c r="O39">
        <v>33000000</v>
      </c>
      <c r="P39">
        <v>33</v>
      </c>
      <c r="Q39">
        <v>0</v>
      </c>
      <c r="R39">
        <v>0</v>
      </c>
      <c r="S39">
        <v>0</v>
      </c>
      <c r="T39" t="e">
        <v>#N/A</v>
      </c>
      <c r="U39" t="e">
        <v>#N/A</v>
      </c>
      <c r="V39">
        <v>33</v>
      </c>
    </row>
    <row r="40" spans="12:22" x14ac:dyDescent="0.3">
      <c r="L40">
        <v>38</v>
      </c>
      <c r="M40" t="s">
        <v>51</v>
      </c>
      <c r="N40">
        <v>3</v>
      </c>
      <c r="O40">
        <v>20750000</v>
      </c>
      <c r="P40">
        <v>20.75</v>
      </c>
      <c r="Q40">
        <v>1</v>
      </c>
      <c r="R40">
        <v>10000000</v>
      </c>
      <c r="S40">
        <v>10</v>
      </c>
      <c r="T40" t="e">
        <v>#N/A</v>
      </c>
      <c r="U40" t="e">
        <v>#N/A</v>
      </c>
      <c r="V40">
        <v>30.75</v>
      </c>
    </row>
    <row r="41" spans="12:22" x14ac:dyDescent="0.3">
      <c r="L41">
        <v>39</v>
      </c>
      <c r="M41" t="s">
        <v>36</v>
      </c>
      <c r="N41">
        <v>0</v>
      </c>
      <c r="O41">
        <v>0</v>
      </c>
      <c r="P41">
        <v>0</v>
      </c>
      <c r="Q41">
        <v>1</v>
      </c>
      <c r="R41">
        <v>25000000</v>
      </c>
      <c r="S41">
        <v>25</v>
      </c>
      <c r="T41" t="e">
        <v>#N/A</v>
      </c>
      <c r="U41" t="e">
        <v>#N/A</v>
      </c>
      <c r="V41">
        <v>25</v>
      </c>
    </row>
    <row r="42" spans="12:22" x14ac:dyDescent="0.3">
      <c r="L42">
        <v>40</v>
      </c>
      <c r="M42" t="s">
        <v>29</v>
      </c>
      <c r="N42">
        <v>6</v>
      </c>
      <c r="O42">
        <v>24100000</v>
      </c>
      <c r="P42">
        <v>24.1</v>
      </c>
      <c r="Q42">
        <v>0</v>
      </c>
      <c r="R42">
        <v>0</v>
      </c>
      <c r="S42">
        <v>0</v>
      </c>
      <c r="T42" t="e">
        <v>#N/A</v>
      </c>
      <c r="U42" t="e">
        <v>#N/A</v>
      </c>
      <c r="V42">
        <v>24.1</v>
      </c>
    </row>
    <row r="43" spans="12:22" x14ac:dyDescent="0.3">
      <c r="L43">
        <v>41</v>
      </c>
      <c r="M43" t="s">
        <v>37</v>
      </c>
      <c r="N43">
        <v>5</v>
      </c>
      <c r="O43">
        <v>17901809</v>
      </c>
      <c r="P43">
        <v>17.901809</v>
      </c>
      <c r="Q43">
        <v>0</v>
      </c>
      <c r="R43">
        <v>0</v>
      </c>
      <c r="S43">
        <v>0</v>
      </c>
      <c r="T43" t="e">
        <v>#N/A</v>
      </c>
      <c r="U43" t="e">
        <v>#N/A</v>
      </c>
      <c r="V43">
        <v>17.901809</v>
      </c>
    </row>
    <row r="44" spans="12:22" x14ac:dyDescent="0.3">
      <c r="L44">
        <v>42</v>
      </c>
      <c r="M44" t="s">
        <v>55</v>
      </c>
      <c r="N44">
        <v>2</v>
      </c>
      <c r="O44">
        <v>1225000</v>
      </c>
      <c r="P44">
        <v>1.2250000000000001</v>
      </c>
      <c r="Q44">
        <v>1</v>
      </c>
      <c r="R44">
        <v>15377541</v>
      </c>
      <c r="S44">
        <v>15.377541000000001</v>
      </c>
      <c r="T44" t="e">
        <v>#N/A</v>
      </c>
      <c r="U44" t="e">
        <v>#N/A</v>
      </c>
      <c r="V44">
        <v>16.602541000000002</v>
      </c>
    </row>
    <row r="45" spans="12:22" x14ac:dyDescent="0.3">
      <c r="L45">
        <v>43</v>
      </c>
      <c r="M45" t="s">
        <v>98</v>
      </c>
      <c r="N45">
        <v>1</v>
      </c>
      <c r="O45">
        <v>15000000</v>
      </c>
      <c r="P45">
        <v>15</v>
      </c>
      <c r="Q45">
        <v>0</v>
      </c>
      <c r="R45">
        <v>0</v>
      </c>
      <c r="S45">
        <v>0</v>
      </c>
      <c r="T45" t="e">
        <v>#N/A</v>
      </c>
      <c r="U45" t="e">
        <v>#N/A</v>
      </c>
      <c r="V45">
        <v>15</v>
      </c>
    </row>
    <row r="46" spans="12:22" x14ac:dyDescent="0.3">
      <c r="L46">
        <v>44</v>
      </c>
      <c r="M46" t="s">
        <v>32</v>
      </c>
      <c r="N46">
        <v>1</v>
      </c>
      <c r="O46">
        <v>6000000</v>
      </c>
      <c r="P46">
        <v>6</v>
      </c>
      <c r="Q46">
        <v>1</v>
      </c>
      <c r="R46">
        <v>7000000</v>
      </c>
      <c r="S46">
        <v>7</v>
      </c>
      <c r="T46" t="e">
        <v>#N/A</v>
      </c>
      <c r="U46" t="e">
        <v>#N/A</v>
      </c>
      <c r="V46">
        <v>13</v>
      </c>
    </row>
    <row r="47" spans="12:22" x14ac:dyDescent="0.3">
      <c r="L47">
        <v>45</v>
      </c>
      <c r="M47" t="s">
        <v>27</v>
      </c>
      <c r="N47">
        <v>4</v>
      </c>
      <c r="O47">
        <v>12821500</v>
      </c>
      <c r="P47">
        <v>12.8215</v>
      </c>
      <c r="Q47">
        <v>0</v>
      </c>
      <c r="R47">
        <v>0</v>
      </c>
      <c r="S47">
        <v>0</v>
      </c>
      <c r="T47" t="e">
        <v>#N/A</v>
      </c>
      <c r="U47" t="e">
        <v>#N/A</v>
      </c>
      <c r="V47">
        <v>12.8215</v>
      </c>
    </row>
    <row r="48" spans="12:22" x14ac:dyDescent="0.3">
      <c r="L48">
        <v>46</v>
      </c>
      <c r="M48" t="s">
        <v>47</v>
      </c>
      <c r="N48">
        <v>1</v>
      </c>
      <c r="O48">
        <v>190381</v>
      </c>
      <c r="P48">
        <v>0.19038099999999999</v>
      </c>
      <c r="Q48">
        <v>2</v>
      </c>
      <c r="R48">
        <v>10237676</v>
      </c>
      <c r="S48">
        <v>10.237676</v>
      </c>
      <c r="T48" t="e">
        <v>#N/A</v>
      </c>
      <c r="U48" t="e">
        <v>#N/A</v>
      </c>
      <c r="V48">
        <v>10.428057000000001</v>
      </c>
    </row>
    <row r="49" spans="12:22" x14ac:dyDescent="0.3">
      <c r="L49">
        <v>47</v>
      </c>
      <c r="M49" t="s">
        <v>43</v>
      </c>
      <c r="N49">
        <v>5</v>
      </c>
      <c r="O49">
        <v>7615094</v>
      </c>
      <c r="P49">
        <v>7.615094</v>
      </c>
      <c r="Q49">
        <v>4</v>
      </c>
      <c r="R49">
        <v>2500000</v>
      </c>
      <c r="S49">
        <v>2.5</v>
      </c>
      <c r="T49" t="e">
        <v>#N/A</v>
      </c>
      <c r="U49" t="e">
        <v>#N/A</v>
      </c>
      <c r="V49">
        <v>10.115093999999999</v>
      </c>
    </row>
    <row r="50" spans="12:22" x14ac:dyDescent="0.3">
      <c r="L50">
        <v>48</v>
      </c>
      <c r="M50" t="s">
        <v>31</v>
      </c>
      <c r="N50">
        <v>0</v>
      </c>
      <c r="O50">
        <v>0</v>
      </c>
      <c r="P50">
        <v>0</v>
      </c>
      <c r="Q50">
        <v>3</v>
      </c>
      <c r="R50">
        <v>5691000</v>
      </c>
      <c r="S50">
        <v>5.6909999999999998</v>
      </c>
      <c r="T50" t="e">
        <v>#N/A</v>
      </c>
      <c r="U50" t="e">
        <v>#N/A</v>
      </c>
      <c r="V50">
        <v>5.6909999999999998</v>
      </c>
    </row>
    <row r="51" spans="12:22" x14ac:dyDescent="0.3">
      <c r="L51">
        <v>49</v>
      </c>
      <c r="M51" t="s">
        <v>46</v>
      </c>
      <c r="N51">
        <v>0</v>
      </c>
      <c r="O51">
        <v>0</v>
      </c>
      <c r="P51">
        <v>0</v>
      </c>
      <c r="Q51">
        <v>2</v>
      </c>
      <c r="R51">
        <v>5399905</v>
      </c>
      <c r="S51">
        <v>5.3999050000000004</v>
      </c>
      <c r="T51" t="e">
        <v>#N/A</v>
      </c>
      <c r="U51" t="e">
        <v>#N/A</v>
      </c>
      <c r="V51">
        <v>5.3999050000000004</v>
      </c>
    </row>
    <row r="52" spans="12:22" x14ac:dyDescent="0.3">
      <c r="L52">
        <v>50</v>
      </c>
      <c r="M52" t="s">
        <v>61</v>
      </c>
      <c r="N52">
        <v>5</v>
      </c>
      <c r="O52">
        <v>3000003</v>
      </c>
      <c r="P52">
        <v>3.000003</v>
      </c>
      <c r="Q52">
        <v>0</v>
      </c>
      <c r="R52">
        <v>0</v>
      </c>
      <c r="S52">
        <v>0</v>
      </c>
      <c r="T52" t="e">
        <v>#N/A</v>
      </c>
      <c r="U52" t="e">
        <v>#N/A</v>
      </c>
      <c r="V52">
        <v>3.000003</v>
      </c>
    </row>
    <row r="53" spans="12:22" x14ac:dyDescent="0.3">
      <c r="L53">
        <v>51</v>
      </c>
      <c r="M53" t="s">
        <v>45</v>
      </c>
      <c r="N53">
        <v>1</v>
      </c>
      <c r="O53">
        <v>888889</v>
      </c>
      <c r="P53">
        <v>0.88888900000000004</v>
      </c>
      <c r="Q53">
        <v>0</v>
      </c>
      <c r="R53">
        <v>0</v>
      </c>
      <c r="S53">
        <v>0</v>
      </c>
      <c r="T53" t="e">
        <v>#N/A</v>
      </c>
      <c r="U53" t="e">
        <v>#N/A</v>
      </c>
      <c r="V53">
        <v>0.88888900000000004</v>
      </c>
    </row>
    <row r="54" spans="12:22" x14ac:dyDescent="0.3">
      <c r="L54">
        <v>52</v>
      </c>
      <c r="M54" t="s">
        <v>30</v>
      </c>
      <c r="N54">
        <v>1</v>
      </c>
      <c r="O54">
        <v>10000</v>
      </c>
      <c r="P54">
        <v>0.01</v>
      </c>
      <c r="Q54">
        <v>1</v>
      </c>
      <c r="R54">
        <v>598540</v>
      </c>
      <c r="S54">
        <v>0.59853999999999996</v>
      </c>
      <c r="T54" t="e">
        <v>#N/A</v>
      </c>
      <c r="U54" t="e">
        <v>#N/A</v>
      </c>
      <c r="V54">
        <v>0.60853999999999997</v>
      </c>
    </row>
    <row r="55" spans="12:22" x14ac:dyDescent="0.3">
      <c r="L55">
        <v>53</v>
      </c>
      <c r="M55" t="s">
        <v>50</v>
      </c>
      <c r="N55">
        <v>2</v>
      </c>
      <c r="O55">
        <v>298321</v>
      </c>
      <c r="P55">
        <v>0.298321</v>
      </c>
      <c r="Q55">
        <v>0</v>
      </c>
      <c r="R55">
        <v>0</v>
      </c>
      <c r="S55">
        <v>0</v>
      </c>
      <c r="T55" t="e">
        <v>#N/A</v>
      </c>
      <c r="U55" t="e">
        <v>#N/A</v>
      </c>
      <c r="V55">
        <v>0.298321</v>
      </c>
    </row>
    <row r="56" spans="12:22" x14ac:dyDescent="0.3">
      <c r="L56" t="s">
        <v>97</v>
      </c>
      <c r="N56">
        <v>2120</v>
      </c>
      <c r="O56">
        <v>16341042203.24</v>
      </c>
      <c r="P56">
        <v>16341.042203240004</v>
      </c>
      <c r="Q56">
        <v>918</v>
      </c>
      <c r="R56">
        <v>7773962973.4200001</v>
      </c>
      <c r="S56">
        <v>7773.9629734199989</v>
      </c>
      <c r="T56" t="e">
        <v>#N/A</v>
      </c>
      <c r="U56" t="e">
        <v>#N/A</v>
      </c>
      <c r="V56">
        <v>24115.005176660008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utoFitAndRemoveEmptyRowsCols">
                <anchor moveWithCells="1" sizeWithCells="1">
                  <from>
                    <xdr:col>1</xdr:col>
                    <xdr:colOff>0</xdr:colOff>
                    <xdr:row>23</xdr:row>
                    <xdr:rowOff>60960</xdr:rowOff>
                  </from>
                  <to>
                    <xdr:col>1</xdr:col>
                    <xdr:colOff>1874520</xdr:colOff>
                    <xdr:row>26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68358-6CC9-408B-A88B-077BE7013D1C}">
  <sheetPr codeName="Sheet4"/>
  <dimension ref="A1:V60"/>
  <sheetViews>
    <sheetView topLeftCell="R1" workbookViewId="0">
      <selection activeCell="V1" sqref="A1:V2"/>
    </sheetView>
  </sheetViews>
  <sheetFormatPr defaultRowHeight="14.4" x14ac:dyDescent="0.3"/>
  <cols>
    <col min="1" max="1" width="7" bestFit="1" customWidth="1"/>
    <col min="2" max="2" width="44.88671875" bestFit="1" customWidth="1"/>
    <col min="3" max="3" width="14.5546875" bestFit="1" customWidth="1"/>
    <col min="4" max="4" width="22.21875" bestFit="1" customWidth="1"/>
    <col min="5" max="5" width="26.33203125" bestFit="1" customWidth="1"/>
    <col min="6" max="6" width="18.33203125" bestFit="1" customWidth="1"/>
    <col min="7" max="7" width="23.77734375" bestFit="1" customWidth="1"/>
    <col min="8" max="8" width="27.77734375" bestFit="1" customWidth="1"/>
    <col min="9" max="9" width="24.21875" bestFit="1" customWidth="1"/>
    <col min="10" max="10" width="16.33203125" bestFit="1" customWidth="1"/>
    <col min="11" max="11" width="51.44140625" bestFit="1" customWidth="1"/>
    <col min="12" max="12" width="7" bestFit="1" customWidth="1"/>
    <col min="13" max="13" width="14.6640625" bestFit="1" customWidth="1"/>
    <col min="14" max="14" width="14.5546875" bestFit="1" customWidth="1"/>
    <col min="15" max="15" width="22.21875" bestFit="1" customWidth="1"/>
    <col min="16" max="16" width="26.33203125" bestFit="1" customWidth="1"/>
    <col min="17" max="17" width="18.33203125" bestFit="1" customWidth="1"/>
    <col min="18" max="18" width="23.77734375" bestFit="1" customWidth="1"/>
    <col min="19" max="19" width="27.77734375" bestFit="1" customWidth="1"/>
    <col min="20" max="20" width="24.21875" bestFit="1" customWidth="1"/>
    <col min="21" max="21" width="16.33203125" bestFit="1" customWidth="1"/>
    <col min="22" max="22" width="51.44140625" bestFit="1" customWidth="1"/>
    <col min="23" max="23" width="12" bestFit="1" customWidth="1"/>
    <col min="24" max="24" width="12.44140625" bestFit="1" customWidth="1"/>
    <col min="25" max="25" width="13.88671875" bestFit="1" customWidth="1"/>
    <col min="26" max="26" width="38.33203125" bestFit="1" customWidth="1"/>
  </cols>
  <sheetData>
    <row r="1" spans="1:22" x14ac:dyDescent="0.3">
      <c r="A1" t="s">
        <v>66</v>
      </c>
      <c r="B1" t="s">
        <v>67</v>
      </c>
      <c r="C1" t="s">
        <v>70</v>
      </c>
      <c r="F1" t="s">
        <v>68</v>
      </c>
      <c r="I1" t="s">
        <v>69</v>
      </c>
      <c r="N1" t="s">
        <v>70</v>
      </c>
      <c r="Q1" t="s">
        <v>68</v>
      </c>
      <c r="T1" t="s">
        <v>69</v>
      </c>
      <c r="V1" t="s">
        <v>71</v>
      </c>
    </row>
    <row r="2" spans="1:22" x14ac:dyDescent="0.3">
      <c r="C2" t="s">
        <v>75</v>
      </c>
      <c r="D2" t="s">
        <v>76</v>
      </c>
      <c r="E2" t="s">
        <v>72</v>
      </c>
      <c r="F2" t="s">
        <v>99</v>
      </c>
      <c r="G2" t="s">
        <v>100</v>
      </c>
      <c r="H2" t="s">
        <v>101</v>
      </c>
      <c r="I2" t="s">
        <v>73</v>
      </c>
      <c r="J2" t="s">
        <v>77</v>
      </c>
      <c r="K2" t="s">
        <v>71</v>
      </c>
      <c r="L2" t="s">
        <v>66</v>
      </c>
      <c r="M2" t="s">
        <v>74</v>
      </c>
      <c r="N2" t="s">
        <v>75</v>
      </c>
      <c r="O2" t="s">
        <v>76</v>
      </c>
      <c r="P2" t="s">
        <v>72</v>
      </c>
      <c r="Q2" t="s">
        <v>99</v>
      </c>
      <c r="R2" t="s">
        <v>100</v>
      </c>
      <c r="S2" t="s">
        <v>101</v>
      </c>
      <c r="T2" t="s">
        <v>73</v>
      </c>
      <c r="U2" t="s">
        <v>77</v>
      </c>
      <c r="V2" t="s">
        <v>71</v>
      </c>
    </row>
    <row r="3" spans="1:22" x14ac:dyDescent="0.3">
      <c r="A3">
        <v>1</v>
      </c>
      <c r="B3" t="s">
        <v>78</v>
      </c>
      <c r="C3">
        <v>1020</v>
      </c>
      <c r="D3">
        <v>9812574442.4599991</v>
      </c>
      <c r="E3">
        <v>9812.5744424599998</v>
      </c>
      <c r="F3">
        <v>861</v>
      </c>
      <c r="G3">
        <v>5132552895.4974222</v>
      </c>
      <c r="H3">
        <v>5132.5528954974225</v>
      </c>
      <c r="I3">
        <v>290</v>
      </c>
      <c r="J3">
        <v>593.51127417754572</v>
      </c>
      <c r="K3">
        <v>15538.63861213497</v>
      </c>
      <c r="L3">
        <v>1</v>
      </c>
      <c r="M3" t="s">
        <v>1</v>
      </c>
      <c r="N3">
        <v>836</v>
      </c>
      <c r="O3">
        <v>1006691073.6822222</v>
      </c>
      <c r="P3">
        <v>1006.6910736822223</v>
      </c>
      <c r="Q3">
        <v>222</v>
      </c>
      <c r="R3">
        <v>619073748.53992188</v>
      </c>
      <c r="S3">
        <v>619.07374853992189</v>
      </c>
      <c r="T3">
        <v>1935</v>
      </c>
      <c r="U3">
        <v>1802.5627847909493</v>
      </c>
      <c r="V3">
        <v>3428.3276070130933</v>
      </c>
    </row>
    <row r="4" spans="1:22" x14ac:dyDescent="0.3">
      <c r="A4">
        <v>2</v>
      </c>
      <c r="B4" t="s">
        <v>79</v>
      </c>
      <c r="C4">
        <v>2</v>
      </c>
      <c r="D4">
        <v>127226755</v>
      </c>
      <c r="E4">
        <v>127.226755</v>
      </c>
      <c r="F4">
        <v>3</v>
      </c>
      <c r="G4">
        <v>3021188</v>
      </c>
      <c r="H4">
        <v>3.021188</v>
      </c>
      <c r="I4">
        <v>1</v>
      </c>
      <c r="J4">
        <v>2.177777777777778</v>
      </c>
      <c r="K4">
        <v>132.42572077777777</v>
      </c>
      <c r="L4">
        <v>2</v>
      </c>
      <c r="M4" t="s">
        <v>5</v>
      </c>
      <c r="N4">
        <v>52</v>
      </c>
      <c r="O4">
        <v>2464322981</v>
      </c>
      <c r="P4">
        <v>2464.3229809999998</v>
      </c>
      <c r="Q4">
        <v>38</v>
      </c>
      <c r="R4">
        <v>429243946</v>
      </c>
      <c r="S4">
        <v>429.24394599999999</v>
      </c>
      <c r="T4">
        <v>27</v>
      </c>
      <c r="U4">
        <v>96.343049852533326</v>
      </c>
      <c r="V4">
        <v>2989.909976852533</v>
      </c>
    </row>
    <row r="5" spans="1:22" x14ac:dyDescent="0.3">
      <c r="A5">
        <v>3</v>
      </c>
      <c r="B5" t="s">
        <v>80</v>
      </c>
      <c r="C5">
        <v>59</v>
      </c>
      <c r="D5">
        <v>1522667121</v>
      </c>
      <c r="E5">
        <v>1522.667121</v>
      </c>
      <c r="F5">
        <v>12</v>
      </c>
      <c r="G5">
        <v>-559051055</v>
      </c>
      <c r="H5">
        <v>-559.05105500000002</v>
      </c>
      <c r="I5">
        <v>80</v>
      </c>
      <c r="J5">
        <v>722.54828649613296</v>
      </c>
      <c r="K5">
        <v>1686.1643524961328</v>
      </c>
      <c r="L5">
        <v>3</v>
      </c>
      <c r="M5" t="s">
        <v>0</v>
      </c>
      <c r="N5">
        <v>453</v>
      </c>
      <c r="O5">
        <v>1922761198.6666665</v>
      </c>
      <c r="P5">
        <v>1922.7611986666666</v>
      </c>
      <c r="Q5">
        <v>159</v>
      </c>
      <c r="R5">
        <v>504468849</v>
      </c>
      <c r="S5">
        <v>504.46884899999998</v>
      </c>
      <c r="T5">
        <v>228</v>
      </c>
      <c r="U5">
        <v>367.21449842488914</v>
      </c>
      <c r="V5">
        <v>2794.4445460915558</v>
      </c>
    </row>
    <row r="6" spans="1:22" x14ac:dyDescent="0.3">
      <c r="A6">
        <v>4</v>
      </c>
      <c r="B6" t="s">
        <v>81</v>
      </c>
      <c r="C6">
        <v>124</v>
      </c>
      <c r="D6">
        <v>388508822</v>
      </c>
      <c r="E6">
        <v>388.50882200000001</v>
      </c>
      <c r="F6">
        <v>47</v>
      </c>
      <c r="G6">
        <v>56214006</v>
      </c>
      <c r="H6">
        <v>56.214005999999998</v>
      </c>
      <c r="I6">
        <v>131</v>
      </c>
      <c r="J6">
        <v>165.68352099044458</v>
      </c>
      <c r="K6">
        <v>610.4063489904446</v>
      </c>
      <c r="L6">
        <v>4</v>
      </c>
      <c r="M6" t="s">
        <v>2</v>
      </c>
      <c r="N6">
        <v>256</v>
      </c>
      <c r="O6">
        <v>1630516441</v>
      </c>
      <c r="P6">
        <v>1630.516441</v>
      </c>
      <c r="Q6">
        <v>130</v>
      </c>
      <c r="R6">
        <v>641974756</v>
      </c>
      <c r="S6">
        <v>641.97475599999996</v>
      </c>
      <c r="T6">
        <v>25</v>
      </c>
      <c r="U6">
        <v>94.716414222222241</v>
      </c>
      <c r="V6">
        <v>2367.2076112222221</v>
      </c>
    </row>
    <row r="7" spans="1:22" x14ac:dyDescent="0.3">
      <c r="A7">
        <v>5</v>
      </c>
      <c r="B7" t="s">
        <v>82</v>
      </c>
      <c r="C7">
        <v>505</v>
      </c>
      <c r="D7">
        <v>367036754</v>
      </c>
      <c r="E7">
        <v>367.03675399999997</v>
      </c>
      <c r="F7">
        <v>99</v>
      </c>
      <c r="G7">
        <v>320722418</v>
      </c>
      <c r="H7">
        <v>320.722418</v>
      </c>
      <c r="I7">
        <v>1269</v>
      </c>
      <c r="J7">
        <v>1211.4524106815938</v>
      </c>
      <c r="K7">
        <v>1899.2115826815939</v>
      </c>
      <c r="L7">
        <v>5</v>
      </c>
      <c r="M7" t="s">
        <v>3</v>
      </c>
      <c r="N7">
        <v>91</v>
      </c>
      <c r="O7">
        <v>1043736196</v>
      </c>
      <c r="P7">
        <v>1043.7361960000001</v>
      </c>
      <c r="Q7">
        <v>136</v>
      </c>
      <c r="R7">
        <v>921047472.47000003</v>
      </c>
      <c r="S7">
        <v>921.04747247</v>
      </c>
      <c r="T7">
        <v>55</v>
      </c>
      <c r="U7">
        <v>273.440880997568</v>
      </c>
      <c r="V7">
        <v>2238.2245494675681</v>
      </c>
    </row>
    <row r="8" spans="1:22" x14ac:dyDescent="0.3">
      <c r="A8">
        <v>6</v>
      </c>
      <c r="B8" t="s">
        <v>83</v>
      </c>
      <c r="C8">
        <v>12</v>
      </c>
      <c r="D8">
        <v>44397064</v>
      </c>
      <c r="E8">
        <v>44.397064</v>
      </c>
      <c r="F8">
        <v>14</v>
      </c>
      <c r="G8">
        <v>34905580</v>
      </c>
      <c r="H8">
        <v>34.90558</v>
      </c>
      <c r="I8">
        <v>9</v>
      </c>
      <c r="J8">
        <v>20.16729252266666</v>
      </c>
      <c r="K8">
        <v>99.469936522666657</v>
      </c>
      <c r="L8">
        <v>6</v>
      </c>
      <c r="M8" t="s">
        <v>7</v>
      </c>
      <c r="N8">
        <v>53</v>
      </c>
      <c r="O8">
        <v>937508229</v>
      </c>
      <c r="P8">
        <v>937.50822900000003</v>
      </c>
      <c r="Q8">
        <v>20</v>
      </c>
      <c r="R8">
        <v>71063412.1875</v>
      </c>
      <c r="S8">
        <v>71.063412187500006</v>
      </c>
      <c r="T8">
        <v>10</v>
      </c>
      <c r="U8">
        <v>1.459111111111111</v>
      </c>
      <c r="V8">
        <v>1010.0307522986112</v>
      </c>
    </row>
    <row r="9" spans="1:22" x14ac:dyDescent="0.3">
      <c r="A9">
        <v>7</v>
      </c>
      <c r="B9" t="s">
        <v>84</v>
      </c>
      <c r="C9">
        <v>282</v>
      </c>
      <c r="D9">
        <v>436452791</v>
      </c>
      <c r="E9">
        <v>436.45279099999999</v>
      </c>
      <c r="F9">
        <v>65</v>
      </c>
      <c r="G9">
        <v>316949270</v>
      </c>
      <c r="H9">
        <v>316.94927000000001</v>
      </c>
      <c r="I9">
        <v>212</v>
      </c>
      <c r="J9">
        <v>179.67632271688893</v>
      </c>
      <c r="K9">
        <v>933.07838371688899</v>
      </c>
      <c r="L9">
        <v>7</v>
      </c>
      <c r="M9" t="s">
        <v>4</v>
      </c>
      <c r="N9">
        <v>185</v>
      </c>
      <c r="O9">
        <v>578636698</v>
      </c>
      <c r="P9">
        <v>578.63669800000002</v>
      </c>
      <c r="Q9">
        <v>130</v>
      </c>
      <c r="R9">
        <v>271487966</v>
      </c>
      <c r="S9">
        <v>271.48796599999997</v>
      </c>
      <c r="T9">
        <v>24</v>
      </c>
      <c r="U9">
        <v>49.869343466666678</v>
      </c>
      <c r="V9">
        <v>899.99400746666663</v>
      </c>
    </row>
    <row r="10" spans="1:22" x14ac:dyDescent="0.3">
      <c r="A10">
        <v>8</v>
      </c>
      <c r="B10" t="s">
        <v>85</v>
      </c>
      <c r="C10">
        <v>88</v>
      </c>
      <c r="D10">
        <v>703938422</v>
      </c>
      <c r="E10">
        <v>703.93842199999995</v>
      </c>
      <c r="F10">
        <v>22</v>
      </c>
      <c r="G10">
        <v>-28997718</v>
      </c>
      <c r="H10">
        <v>-28.997717999999999</v>
      </c>
      <c r="I10">
        <v>119</v>
      </c>
      <c r="J10">
        <v>207.19296205493336</v>
      </c>
      <c r="K10">
        <v>882.13366605493331</v>
      </c>
      <c r="L10">
        <v>8</v>
      </c>
      <c r="M10" t="s">
        <v>10</v>
      </c>
      <c r="N10">
        <v>122</v>
      </c>
      <c r="O10">
        <v>296851039</v>
      </c>
      <c r="P10">
        <v>296.85103900000001</v>
      </c>
      <c r="Q10">
        <v>95</v>
      </c>
      <c r="R10">
        <v>448847553</v>
      </c>
      <c r="S10">
        <v>448.847553</v>
      </c>
      <c r="T10">
        <v>32</v>
      </c>
      <c r="U10">
        <v>77.214848459511117</v>
      </c>
      <c r="V10">
        <v>822.91344045951109</v>
      </c>
    </row>
    <row r="11" spans="1:22" x14ac:dyDescent="0.3">
      <c r="A11">
        <v>9</v>
      </c>
      <c r="B11" t="s">
        <v>86</v>
      </c>
      <c r="C11">
        <v>97</v>
      </c>
      <c r="D11">
        <v>278142327</v>
      </c>
      <c r="E11">
        <v>278.14232700000002</v>
      </c>
      <c r="F11">
        <v>11</v>
      </c>
      <c r="G11">
        <v>58022597</v>
      </c>
      <c r="H11">
        <v>58.022596999999998</v>
      </c>
      <c r="I11">
        <v>135</v>
      </c>
      <c r="J11">
        <v>70.527602163288947</v>
      </c>
      <c r="K11">
        <v>406.69252616328902</v>
      </c>
      <c r="L11">
        <v>9</v>
      </c>
      <c r="M11" t="s">
        <v>9</v>
      </c>
      <c r="N11">
        <v>31</v>
      </c>
      <c r="O11">
        <v>604333365</v>
      </c>
      <c r="P11">
        <v>604.33336499999996</v>
      </c>
      <c r="Q11">
        <v>29</v>
      </c>
      <c r="R11">
        <v>100698750</v>
      </c>
      <c r="S11">
        <v>100.69875</v>
      </c>
      <c r="T11">
        <v>0</v>
      </c>
      <c r="U11">
        <v>0</v>
      </c>
      <c r="V11">
        <v>705.03211499999998</v>
      </c>
    </row>
    <row r="12" spans="1:22" x14ac:dyDescent="0.3">
      <c r="A12">
        <v>10</v>
      </c>
      <c r="B12" t="s">
        <v>87</v>
      </c>
      <c r="C12">
        <v>195</v>
      </c>
      <c r="D12">
        <v>103117113</v>
      </c>
      <c r="E12">
        <v>103.117113</v>
      </c>
      <c r="F12">
        <v>46</v>
      </c>
      <c r="G12">
        <v>233215651</v>
      </c>
      <c r="H12">
        <v>233.21565100000001</v>
      </c>
      <c r="I12">
        <v>120</v>
      </c>
      <c r="J12">
        <v>32.937145097555565</v>
      </c>
      <c r="K12">
        <v>369.26990909755557</v>
      </c>
      <c r="L12">
        <v>10</v>
      </c>
      <c r="M12" t="s">
        <v>6</v>
      </c>
      <c r="N12">
        <v>24</v>
      </c>
      <c r="O12">
        <v>273866538</v>
      </c>
      <c r="P12">
        <v>273.86653799999999</v>
      </c>
      <c r="Q12">
        <v>25</v>
      </c>
      <c r="R12">
        <v>427571970</v>
      </c>
      <c r="S12">
        <v>427.57197000000002</v>
      </c>
      <c r="T12">
        <v>0</v>
      </c>
      <c r="U12">
        <v>0</v>
      </c>
      <c r="V12">
        <v>701.43850799999996</v>
      </c>
    </row>
    <row r="13" spans="1:22" x14ac:dyDescent="0.3">
      <c r="A13">
        <v>11</v>
      </c>
      <c r="B13" t="s">
        <v>88</v>
      </c>
      <c r="C13">
        <v>58</v>
      </c>
      <c r="D13">
        <v>45507586</v>
      </c>
      <c r="E13">
        <v>45.507586000000003</v>
      </c>
      <c r="F13">
        <v>12</v>
      </c>
      <c r="G13">
        <v>23828707</v>
      </c>
      <c r="H13">
        <v>23.828707000000001</v>
      </c>
      <c r="I13">
        <v>68</v>
      </c>
      <c r="J13">
        <v>91.016793494977847</v>
      </c>
      <c r="K13">
        <v>160.35308649497784</v>
      </c>
      <c r="L13">
        <v>11</v>
      </c>
      <c r="M13" t="s">
        <v>23</v>
      </c>
      <c r="N13">
        <v>2</v>
      </c>
      <c r="O13">
        <v>159217157</v>
      </c>
      <c r="P13">
        <v>159.21715699999999</v>
      </c>
      <c r="Q13">
        <v>1</v>
      </c>
      <c r="R13">
        <v>95500000</v>
      </c>
      <c r="S13">
        <v>95.5</v>
      </c>
      <c r="T13">
        <v>4</v>
      </c>
      <c r="U13">
        <v>307.05649653857779</v>
      </c>
      <c r="V13">
        <v>561.77365353857772</v>
      </c>
    </row>
    <row r="14" spans="1:22" x14ac:dyDescent="0.3">
      <c r="A14">
        <v>12</v>
      </c>
      <c r="B14" t="s">
        <v>89</v>
      </c>
      <c r="C14">
        <v>5</v>
      </c>
      <c r="D14">
        <v>55760000</v>
      </c>
      <c r="E14">
        <v>55.76</v>
      </c>
      <c r="F14">
        <v>7</v>
      </c>
      <c r="G14">
        <v>9765018</v>
      </c>
      <c r="H14">
        <v>9.7650179999999995</v>
      </c>
      <c r="I14">
        <v>6</v>
      </c>
      <c r="J14">
        <v>2.2262146793777773</v>
      </c>
      <c r="K14">
        <v>67.751232679377779</v>
      </c>
      <c r="L14">
        <v>12</v>
      </c>
      <c r="M14" t="s">
        <v>22</v>
      </c>
      <c r="N14">
        <v>10</v>
      </c>
      <c r="O14">
        <v>517735387</v>
      </c>
      <c r="P14">
        <v>517.73538699999995</v>
      </c>
      <c r="Q14">
        <v>0</v>
      </c>
      <c r="R14">
        <v>0</v>
      </c>
      <c r="S14">
        <v>0</v>
      </c>
      <c r="T14">
        <v>8</v>
      </c>
      <c r="U14">
        <v>37.890186666666665</v>
      </c>
      <c r="V14">
        <v>555.62557366666658</v>
      </c>
    </row>
    <row r="15" spans="1:22" x14ac:dyDescent="0.3">
      <c r="A15">
        <v>13</v>
      </c>
      <c r="B15" t="s">
        <v>90</v>
      </c>
      <c r="C15">
        <v>70</v>
      </c>
      <c r="D15">
        <v>47322737</v>
      </c>
      <c r="E15">
        <v>47.322736999999996</v>
      </c>
      <c r="F15">
        <v>9</v>
      </c>
      <c r="G15">
        <v>-215128</v>
      </c>
      <c r="H15">
        <v>-0.21512800000000001</v>
      </c>
      <c r="I15">
        <v>56</v>
      </c>
      <c r="J15">
        <v>13.34687989133333</v>
      </c>
      <c r="K15">
        <v>60.454488891333327</v>
      </c>
      <c r="L15">
        <v>13</v>
      </c>
      <c r="M15" t="s">
        <v>8</v>
      </c>
      <c r="N15">
        <v>18</v>
      </c>
      <c r="O15">
        <v>259623980</v>
      </c>
      <c r="P15">
        <v>259.62398000000002</v>
      </c>
      <c r="Q15">
        <v>13</v>
      </c>
      <c r="R15">
        <v>201930610</v>
      </c>
      <c r="S15">
        <v>201.93061</v>
      </c>
      <c r="T15">
        <v>15</v>
      </c>
      <c r="U15">
        <v>70.183162526888893</v>
      </c>
      <c r="V15">
        <v>531.73775252688893</v>
      </c>
    </row>
    <row r="16" spans="1:22" x14ac:dyDescent="0.3">
      <c r="A16">
        <v>14</v>
      </c>
      <c r="B16" t="s">
        <v>91</v>
      </c>
      <c r="C16">
        <v>13</v>
      </c>
      <c r="D16">
        <v>485094024</v>
      </c>
      <c r="E16">
        <v>485.09402399999999</v>
      </c>
      <c r="F16">
        <v>5</v>
      </c>
      <c r="G16">
        <v>2305000</v>
      </c>
      <c r="H16">
        <v>2.3050000000000002</v>
      </c>
      <c r="I16">
        <v>4</v>
      </c>
      <c r="J16">
        <v>0.86304444444444428</v>
      </c>
      <c r="K16">
        <v>488.26206844444442</v>
      </c>
      <c r="L16">
        <v>14</v>
      </c>
      <c r="M16" t="s">
        <v>11</v>
      </c>
      <c r="N16">
        <v>29</v>
      </c>
      <c r="O16">
        <v>129591018</v>
      </c>
      <c r="P16">
        <v>129.59101799999999</v>
      </c>
      <c r="Q16">
        <v>27</v>
      </c>
      <c r="R16">
        <v>242152685</v>
      </c>
      <c r="S16">
        <v>242.15268499999999</v>
      </c>
      <c r="T16">
        <v>11</v>
      </c>
      <c r="U16">
        <v>44.010951111111119</v>
      </c>
      <c r="V16">
        <v>415.75465411111111</v>
      </c>
    </row>
    <row r="17" spans="1:22" x14ac:dyDescent="0.3">
      <c r="A17">
        <v>15</v>
      </c>
      <c r="B17" t="s">
        <v>92</v>
      </c>
      <c r="C17">
        <v>10</v>
      </c>
      <c r="D17">
        <v>11237391</v>
      </c>
      <c r="E17">
        <v>11.237391000000001</v>
      </c>
      <c r="F17">
        <v>3</v>
      </c>
      <c r="G17">
        <v>2670000</v>
      </c>
      <c r="H17">
        <v>2.67</v>
      </c>
      <c r="I17">
        <v>9</v>
      </c>
      <c r="J17">
        <v>38.166753869111105</v>
      </c>
      <c r="K17">
        <v>52.074144869111109</v>
      </c>
      <c r="L17">
        <v>15</v>
      </c>
      <c r="M17" t="s">
        <v>17</v>
      </c>
      <c r="N17">
        <v>14</v>
      </c>
      <c r="O17">
        <v>388483218</v>
      </c>
      <c r="P17">
        <v>388.48321800000002</v>
      </c>
      <c r="Q17">
        <v>10</v>
      </c>
      <c r="R17">
        <v>24996748</v>
      </c>
      <c r="S17">
        <v>24.996748</v>
      </c>
      <c r="T17">
        <v>3</v>
      </c>
      <c r="U17">
        <v>1.0515555555555556</v>
      </c>
      <c r="V17">
        <v>414.53152155555563</v>
      </c>
    </row>
    <row r="18" spans="1:22" x14ac:dyDescent="0.3">
      <c r="A18">
        <v>16</v>
      </c>
      <c r="B18" t="s">
        <v>93</v>
      </c>
      <c r="C18">
        <v>1</v>
      </c>
      <c r="D18">
        <v>31500000</v>
      </c>
      <c r="E18">
        <v>31.5</v>
      </c>
      <c r="F18">
        <v>1</v>
      </c>
      <c r="G18">
        <v>37153552</v>
      </c>
      <c r="H18">
        <v>37.153551999999998</v>
      </c>
      <c r="I18">
        <v>2</v>
      </c>
      <c r="J18">
        <v>1.3688933333333335</v>
      </c>
      <c r="K18">
        <v>70.022445333333323</v>
      </c>
      <c r="L18">
        <v>16</v>
      </c>
      <c r="M18" t="s">
        <v>15</v>
      </c>
      <c r="N18">
        <v>42</v>
      </c>
      <c r="O18">
        <v>313804060</v>
      </c>
      <c r="P18">
        <v>313.80405999999999</v>
      </c>
      <c r="Q18">
        <v>33</v>
      </c>
      <c r="R18">
        <v>60180284</v>
      </c>
      <c r="S18">
        <v>60.180284</v>
      </c>
      <c r="T18">
        <v>15</v>
      </c>
      <c r="U18">
        <v>18.407022222222224</v>
      </c>
      <c r="V18">
        <v>392.39136622222219</v>
      </c>
    </row>
    <row r="19" spans="1:22" x14ac:dyDescent="0.3">
      <c r="A19">
        <v>17</v>
      </c>
      <c r="B19" t="s">
        <v>94</v>
      </c>
      <c r="C19">
        <v>2</v>
      </c>
      <c r="D19">
        <v>210588503</v>
      </c>
      <c r="E19">
        <v>210.588503</v>
      </c>
      <c r="F19">
        <v>6</v>
      </c>
      <c r="G19">
        <v>118129908</v>
      </c>
      <c r="H19">
        <v>118.129908</v>
      </c>
      <c r="I19">
        <v>4</v>
      </c>
      <c r="J19">
        <v>1.0816888888888887</v>
      </c>
      <c r="K19">
        <v>329.80009988888889</v>
      </c>
      <c r="L19">
        <v>17</v>
      </c>
      <c r="M19" t="s">
        <v>42</v>
      </c>
      <c r="N19">
        <v>9</v>
      </c>
      <c r="O19">
        <v>244841603</v>
      </c>
      <c r="P19">
        <v>244.84160299999999</v>
      </c>
      <c r="Q19">
        <v>2</v>
      </c>
      <c r="R19">
        <v>133470389</v>
      </c>
      <c r="S19">
        <v>133.47038900000001</v>
      </c>
      <c r="T19">
        <v>3</v>
      </c>
      <c r="U19">
        <v>12.952444444444444</v>
      </c>
      <c r="V19">
        <v>391.26443644444447</v>
      </c>
    </row>
    <row r="20" spans="1:22" x14ac:dyDescent="0.3">
      <c r="A20">
        <v>18</v>
      </c>
      <c r="B20" t="s">
        <v>95</v>
      </c>
      <c r="C20">
        <v>12</v>
      </c>
      <c r="D20">
        <v>511023497.88888884</v>
      </c>
      <c r="E20">
        <v>511.02349788888881</v>
      </c>
      <c r="F20">
        <v>1</v>
      </c>
      <c r="G20">
        <v>8980</v>
      </c>
      <c r="H20">
        <v>8.9800000000000001E-3</v>
      </c>
      <c r="I20">
        <v>32</v>
      </c>
      <c r="J20">
        <v>71.377951467555548</v>
      </c>
      <c r="K20">
        <v>582.41042935644441</v>
      </c>
      <c r="L20">
        <v>18</v>
      </c>
      <c r="M20" t="s">
        <v>13</v>
      </c>
      <c r="N20">
        <v>30</v>
      </c>
      <c r="O20">
        <v>274121552</v>
      </c>
      <c r="P20">
        <v>274.12155200000001</v>
      </c>
      <c r="Q20">
        <v>18</v>
      </c>
      <c r="R20">
        <v>103312737.30000001</v>
      </c>
      <c r="S20">
        <v>103.31273730000001</v>
      </c>
      <c r="T20">
        <v>18</v>
      </c>
      <c r="U20">
        <v>11.853939177333332</v>
      </c>
      <c r="V20">
        <v>389.2882284773334</v>
      </c>
    </row>
    <row r="21" spans="1:22" x14ac:dyDescent="0.3">
      <c r="A21">
        <v>19</v>
      </c>
      <c r="B21" t="s">
        <v>96</v>
      </c>
      <c r="C21">
        <v>1</v>
      </c>
      <c r="D21">
        <v>150000</v>
      </c>
      <c r="E21">
        <v>0.15</v>
      </c>
      <c r="F21">
        <v>1</v>
      </c>
      <c r="G21">
        <v>3900000</v>
      </c>
      <c r="H21">
        <v>3.9</v>
      </c>
      <c r="I21">
        <v>0</v>
      </c>
      <c r="J21">
        <v>0</v>
      </c>
      <c r="K21">
        <v>4.05</v>
      </c>
      <c r="L21">
        <v>19</v>
      </c>
      <c r="M21" t="s">
        <v>40</v>
      </c>
      <c r="N21">
        <v>14</v>
      </c>
      <c r="O21">
        <v>259147300</v>
      </c>
      <c r="P21">
        <v>259.14729999999997</v>
      </c>
      <c r="Q21">
        <v>12</v>
      </c>
      <c r="R21">
        <v>23223318</v>
      </c>
      <c r="S21">
        <v>23.223317999999999</v>
      </c>
      <c r="T21">
        <v>4</v>
      </c>
      <c r="U21">
        <v>21.983022222222225</v>
      </c>
      <c r="V21">
        <v>304.35364022222223</v>
      </c>
    </row>
    <row r="22" spans="1:22" x14ac:dyDescent="0.3">
      <c r="A22" t="s">
        <v>97</v>
      </c>
      <c r="C22">
        <v>2556</v>
      </c>
      <c r="D22">
        <v>15182245350.348888</v>
      </c>
      <c r="E22">
        <v>15182.24535034889</v>
      </c>
      <c r="F22">
        <v>1225</v>
      </c>
      <c r="G22">
        <v>5765100869.4974222</v>
      </c>
      <c r="H22">
        <v>5765.1008694974225</v>
      </c>
      <c r="I22">
        <v>2547</v>
      </c>
      <c r="J22">
        <v>3425.3228147478508</v>
      </c>
      <c r="K22">
        <v>24372.669034594164</v>
      </c>
      <c r="L22">
        <v>20</v>
      </c>
      <c r="M22" t="s">
        <v>33</v>
      </c>
      <c r="N22">
        <v>7</v>
      </c>
      <c r="O22">
        <v>256503212</v>
      </c>
      <c r="P22">
        <v>256.50321200000002</v>
      </c>
      <c r="Q22">
        <v>0</v>
      </c>
      <c r="R22">
        <v>0</v>
      </c>
      <c r="S22">
        <v>0</v>
      </c>
      <c r="T22">
        <v>0</v>
      </c>
      <c r="U22">
        <v>0</v>
      </c>
      <c r="V22">
        <v>256.50321200000002</v>
      </c>
    </row>
    <row r="23" spans="1:22" x14ac:dyDescent="0.3">
      <c r="L23">
        <v>21</v>
      </c>
      <c r="M23" t="s">
        <v>37</v>
      </c>
      <c r="N23">
        <v>8</v>
      </c>
      <c r="O23">
        <v>225989827</v>
      </c>
      <c r="P23">
        <v>225.98982699999999</v>
      </c>
      <c r="Q23">
        <v>1</v>
      </c>
      <c r="R23">
        <v>1117911</v>
      </c>
      <c r="S23">
        <v>1.1179110000000001</v>
      </c>
      <c r="T23">
        <v>3</v>
      </c>
      <c r="U23">
        <v>14.003022222222222</v>
      </c>
      <c r="V23">
        <v>241.11076022222221</v>
      </c>
    </row>
    <row r="24" spans="1:22" x14ac:dyDescent="0.3">
      <c r="L24">
        <v>22</v>
      </c>
      <c r="M24" t="s">
        <v>18</v>
      </c>
      <c r="N24">
        <v>15</v>
      </c>
      <c r="O24">
        <v>163763110</v>
      </c>
      <c r="P24">
        <v>163.76311000000001</v>
      </c>
      <c r="Q24">
        <v>11</v>
      </c>
      <c r="R24">
        <v>69604750</v>
      </c>
      <c r="S24">
        <v>69.604749999999996</v>
      </c>
      <c r="T24">
        <v>1</v>
      </c>
      <c r="U24">
        <v>0.04</v>
      </c>
      <c r="V24">
        <v>233.40786</v>
      </c>
    </row>
    <row r="25" spans="1:22" x14ac:dyDescent="0.3">
      <c r="L25">
        <v>23</v>
      </c>
      <c r="M25" t="s">
        <v>19</v>
      </c>
      <c r="N25">
        <v>13</v>
      </c>
      <c r="O25">
        <v>95870699</v>
      </c>
      <c r="P25">
        <v>95.870699000000002</v>
      </c>
      <c r="Q25">
        <v>17</v>
      </c>
      <c r="R25">
        <v>102306383</v>
      </c>
      <c r="S25">
        <v>102.306383</v>
      </c>
      <c r="T25">
        <v>1</v>
      </c>
      <c r="U25">
        <v>0.68666666666666665</v>
      </c>
      <c r="V25">
        <v>198.86374866666665</v>
      </c>
    </row>
    <row r="26" spans="1:22" x14ac:dyDescent="0.3">
      <c r="L26">
        <v>24</v>
      </c>
      <c r="M26" t="s">
        <v>12</v>
      </c>
      <c r="N26">
        <v>23</v>
      </c>
      <c r="O26">
        <v>132202997</v>
      </c>
      <c r="P26">
        <v>132.20299700000001</v>
      </c>
      <c r="Q26">
        <v>15</v>
      </c>
      <c r="R26">
        <v>24687975</v>
      </c>
      <c r="S26">
        <v>24.687975000000002</v>
      </c>
      <c r="T26">
        <v>8</v>
      </c>
      <c r="U26">
        <v>7.4610408888888884</v>
      </c>
      <c r="V26">
        <v>164.35201288888891</v>
      </c>
    </row>
    <row r="27" spans="1:22" x14ac:dyDescent="0.3">
      <c r="L27">
        <v>25</v>
      </c>
      <c r="M27" t="s">
        <v>27</v>
      </c>
      <c r="N27">
        <v>7</v>
      </c>
      <c r="O27">
        <v>136661537</v>
      </c>
      <c r="P27">
        <v>136.66153700000001</v>
      </c>
      <c r="Q27">
        <v>3</v>
      </c>
      <c r="R27">
        <v>6300000</v>
      </c>
      <c r="S27">
        <v>6.3</v>
      </c>
      <c r="T27">
        <v>0</v>
      </c>
      <c r="U27">
        <v>0</v>
      </c>
      <c r="V27">
        <v>142.96153700000002</v>
      </c>
    </row>
    <row r="28" spans="1:22" x14ac:dyDescent="0.3">
      <c r="L28">
        <v>26</v>
      </c>
      <c r="M28" t="s">
        <v>25</v>
      </c>
      <c r="N28">
        <v>18</v>
      </c>
      <c r="O28">
        <v>122888765</v>
      </c>
      <c r="P28">
        <v>122.88876500000001</v>
      </c>
      <c r="Q28">
        <v>4</v>
      </c>
      <c r="R28">
        <v>14958000</v>
      </c>
      <c r="S28">
        <v>14.958</v>
      </c>
      <c r="T28">
        <v>1</v>
      </c>
      <c r="U28">
        <v>1.8133333333333331E-2</v>
      </c>
      <c r="V28">
        <v>137.86489833333334</v>
      </c>
    </row>
    <row r="29" spans="1:22" x14ac:dyDescent="0.3">
      <c r="L29">
        <v>27</v>
      </c>
      <c r="M29" t="s">
        <v>16</v>
      </c>
      <c r="N29">
        <v>20</v>
      </c>
      <c r="O29">
        <v>50616340</v>
      </c>
      <c r="P29">
        <v>50.616340000000001</v>
      </c>
      <c r="Q29">
        <v>18</v>
      </c>
      <c r="R29">
        <v>54586320</v>
      </c>
      <c r="S29">
        <v>54.586320000000001</v>
      </c>
      <c r="T29">
        <v>0</v>
      </c>
      <c r="U29">
        <v>0</v>
      </c>
      <c r="V29">
        <v>105.20266000000001</v>
      </c>
    </row>
    <row r="30" spans="1:22" x14ac:dyDescent="0.3">
      <c r="L30">
        <v>28</v>
      </c>
      <c r="M30" t="s">
        <v>14</v>
      </c>
      <c r="N30">
        <v>74</v>
      </c>
      <c r="O30">
        <v>78018255</v>
      </c>
      <c r="P30">
        <v>78.018254999999996</v>
      </c>
      <c r="Q30">
        <v>11</v>
      </c>
      <c r="R30">
        <v>-10038796</v>
      </c>
      <c r="S30">
        <v>-10.038796</v>
      </c>
      <c r="T30">
        <v>33</v>
      </c>
      <c r="U30">
        <v>29.286006157733336</v>
      </c>
      <c r="V30">
        <v>97.265465157733331</v>
      </c>
    </row>
    <row r="31" spans="1:22" x14ac:dyDescent="0.3">
      <c r="L31">
        <v>29</v>
      </c>
      <c r="M31" t="s">
        <v>28</v>
      </c>
      <c r="N31">
        <v>5</v>
      </c>
      <c r="O31">
        <v>89241000</v>
      </c>
      <c r="P31">
        <v>89.241</v>
      </c>
      <c r="Q31">
        <v>2</v>
      </c>
      <c r="R31">
        <v>940000</v>
      </c>
      <c r="S31">
        <v>0.94</v>
      </c>
      <c r="T31">
        <v>0</v>
      </c>
      <c r="U31">
        <v>0</v>
      </c>
      <c r="V31">
        <v>90.180999999999997</v>
      </c>
    </row>
    <row r="32" spans="1:22" x14ac:dyDescent="0.3">
      <c r="L32">
        <v>30</v>
      </c>
      <c r="M32" t="s">
        <v>30</v>
      </c>
      <c r="N32">
        <v>3</v>
      </c>
      <c r="O32">
        <v>71519598</v>
      </c>
      <c r="P32">
        <v>71.519598000000002</v>
      </c>
      <c r="Q32">
        <v>3</v>
      </c>
      <c r="R32">
        <v>14100000</v>
      </c>
      <c r="S32">
        <v>14.1</v>
      </c>
      <c r="T32">
        <v>3</v>
      </c>
      <c r="U32">
        <v>2.6836731996444447</v>
      </c>
      <c r="V32">
        <v>88.303271199644442</v>
      </c>
    </row>
    <row r="33" spans="12:22" x14ac:dyDescent="0.3">
      <c r="L33">
        <v>31</v>
      </c>
      <c r="M33" t="s">
        <v>34</v>
      </c>
      <c r="N33">
        <v>10</v>
      </c>
      <c r="O33">
        <v>81988197</v>
      </c>
      <c r="P33">
        <v>81.988197</v>
      </c>
      <c r="Q33">
        <v>1</v>
      </c>
      <c r="R33">
        <v>2606151</v>
      </c>
      <c r="S33">
        <v>2.6061510000000001</v>
      </c>
      <c r="T33">
        <v>2</v>
      </c>
      <c r="U33">
        <v>0.68179999999999996</v>
      </c>
      <c r="V33">
        <v>85.276147999999992</v>
      </c>
    </row>
    <row r="34" spans="12:22" x14ac:dyDescent="0.3">
      <c r="L34">
        <v>32</v>
      </c>
      <c r="M34" t="s">
        <v>21</v>
      </c>
      <c r="N34">
        <v>9</v>
      </c>
      <c r="O34">
        <v>72490000</v>
      </c>
      <c r="P34">
        <v>72.489999999999995</v>
      </c>
      <c r="Q34">
        <v>0</v>
      </c>
      <c r="R34">
        <v>0</v>
      </c>
      <c r="S34">
        <v>0</v>
      </c>
      <c r="T34">
        <v>0</v>
      </c>
      <c r="U34">
        <v>0</v>
      </c>
      <c r="V34">
        <v>72.489999999999995</v>
      </c>
    </row>
    <row r="35" spans="12:22" x14ac:dyDescent="0.3">
      <c r="L35">
        <v>33</v>
      </c>
      <c r="M35" t="s">
        <v>36</v>
      </c>
      <c r="N35">
        <v>0</v>
      </c>
      <c r="O35">
        <v>0</v>
      </c>
      <c r="P35">
        <v>0</v>
      </c>
      <c r="Q35">
        <v>2</v>
      </c>
      <c r="R35">
        <v>70000000</v>
      </c>
      <c r="S35">
        <v>70</v>
      </c>
      <c r="T35">
        <v>0</v>
      </c>
      <c r="U35">
        <v>0</v>
      </c>
      <c r="V35">
        <v>70</v>
      </c>
    </row>
    <row r="36" spans="12:22" x14ac:dyDescent="0.3">
      <c r="L36">
        <v>34</v>
      </c>
      <c r="M36" t="s">
        <v>24</v>
      </c>
      <c r="N36">
        <v>8</v>
      </c>
      <c r="O36">
        <v>6322000</v>
      </c>
      <c r="P36">
        <v>6.3220000000000001</v>
      </c>
      <c r="Q36">
        <v>4</v>
      </c>
      <c r="R36">
        <v>39200000</v>
      </c>
      <c r="S36">
        <v>39.200000000000003</v>
      </c>
      <c r="T36">
        <v>49</v>
      </c>
      <c r="U36">
        <v>22.532239999999991</v>
      </c>
      <c r="V36">
        <v>68.054239999999993</v>
      </c>
    </row>
    <row r="37" spans="12:22" x14ac:dyDescent="0.3">
      <c r="L37">
        <v>35</v>
      </c>
      <c r="M37" t="s">
        <v>38</v>
      </c>
      <c r="N37">
        <v>9</v>
      </c>
      <c r="O37">
        <v>32927804</v>
      </c>
      <c r="P37">
        <v>32.927804000000002</v>
      </c>
      <c r="Q37">
        <v>4</v>
      </c>
      <c r="R37">
        <v>13736401</v>
      </c>
      <c r="S37">
        <v>13.736401000000001</v>
      </c>
      <c r="T37">
        <v>4</v>
      </c>
      <c r="U37">
        <v>7.3550848888888902</v>
      </c>
      <c r="V37">
        <v>54.019289888888892</v>
      </c>
    </row>
    <row r="38" spans="12:22" x14ac:dyDescent="0.3">
      <c r="L38">
        <v>36</v>
      </c>
      <c r="M38" t="s">
        <v>46</v>
      </c>
      <c r="N38">
        <v>0</v>
      </c>
      <c r="O38">
        <v>0</v>
      </c>
      <c r="P38">
        <v>0</v>
      </c>
      <c r="Q38">
        <v>2</v>
      </c>
      <c r="R38">
        <v>38977416</v>
      </c>
      <c r="S38">
        <v>38.977415999999998</v>
      </c>
      <c r="T38">
        <v>3</v>
      </c>
      <c r="U38">
        <v>5.6822168888888891</v>
      </c>
      <c r="V38">
        <v>44.659632888888886</v>
      </c>
    </row>
    <row r="39" spans="12:22" x14ac:dyDescent="0.3">
      <c r="L39">
        <v>37</v>
      </c>
      <c r="M39" t="s">
        <v>55</v>
      </c>
      <c r="N39">
        <v>3</v>
      </c>
      <c r="O39">
        <v>21433333</v>
      </c>
      <c r="P39">
        <v>21.433333000000001</v>
      </c>
      <c r="Q39">
        <v>0</v>
      </c>
      <c r="R39">
        <v>0</v>
      </c>
      <c r="S39">
        <v>0</v>
      </c>
      <c r="T39">
        <v>1</v>
      </c>
      <c r="U39">
        <v>21.061288888888889</v>
      </c>
      <c r="V39">
        <v>42.494621888888886</v>
      </c>
    </row>
    <row r="40" spans="12:22" x14ac:dyDescent="0.3">
      <c r="L40">
        <v>38</v>
      </c>
      <c r="M40" t="s">
        <v>43</v>
      </c>
      <c r="N40">
        <v>0</v>
      </c>
      <c r="O40">
        <v>0</v>
      </c>
      <c r="P40">
        <v>0</v>
      </c>
      <c r="Q40">
        <v>6</v>
      </c>
      <c r="R40">
        <v>39494692</v>
      </c>
      <c r="S40">
        <v>39.494692000000001</v>
      </c>
      <c r="T40">
        <v>10</v>
      </c>
      <c r="U40">
        <v>1.9488444444444442</v>
      </c>
      <c r="V40">
        <v>41.443536444444447</v>
      </c>
    </row>
    <row r="41" spans="12:22" x14ac:dyDescent="0.3">
      <c r="L41">
        <v>39</v>
      </c>
      <c r="M41" t="s">
        <v>41</v>
      </c>
      <c r="N41">
        <v>6</v>
      </c>
      <c r="O41">
        <v>29281818</v>
      </c>
      <c r="P41">
        <v>29.281818000000001</v>
      </c>
      <c r="Q41">
        <v>2</v>
      </c>
      <c r="R41">
        <v>710526</v>
      </c>
      <c r="S41">
        <v>0.71052599999999999</v>
      </c>
      <c r="T41">
        <v>2</v>
      </c>
      <c r="U41">
        <v>2.36</v>
      </c>
      <c r="V41">
        <v>32.352344000000002</v>
      </c>
    </row>
    <row r="42" spans="12:22" x14ac:dyDescent="0.3">
      <c r="L42">
        <v>40</v>
      </c>
      <c r="M42" t="s">
        <v>98</v>
      </c>
      <c r="N42">
        <v>1</v>
      </c>
      <c r="O42">
        <v>31500000</v>
      </c>
      <c r="P42">
        <v>31.5</v>
      </c>
      <c r="Q42">
        <v>0</v>
      </c>
      <c r="R42">
        <v>0</v>
      </c>
      <c r="S42">
        <v>0</v>
      </c>
      <c r="T42">
        <v>0</v>
      </c>
      <c r="U42">
        <v>0</v>
      </c>
      <c r="V42">
        <v>31.5</v>
      </c>
    </row>
    <row r="43" spans="12:22" x14ac:dyDescent="0.3">
      <c r="L43">
        <v>41</v>
      </c>
      <c r="M43" t="s">
        <v>20</v>
      </c>
      <c r="N43">
        <v>9</v>
      </c>
      <c r="O43">
        <v>28393314</v>
      </c>
      <c r="P43">
        <v>28.393314</v>
      </c>
      <c r="Q43">
        <v>1</v>
      </c>
      <c r="R43">
        <v>700000</v>
      </c>
      <c r="S43">
        <v>0.7</v>
      </c>
      <c r="T43">
        <v>1</v>
      </c>
      <c r="U43">
        <v>1.151111111111111</v>
      </c>
      <c r="V43">
        <v>30.244425111111109</v>
      </c>
    </row>
    <row r="44" spans="12:22" x14ac:dyDescent="0.3">
      <c r="L44">
        <v>42</v>
      </c>
      <c r="M44" t="s">
        <v>54</v>
      </c>
      <c r="N44">
        <v>2</v>
      </c>
      <c r="O44">
        <v>379070</v>
      </c>
      <c r="P44">
        <v>0.37907000000000002</v>
      </c>
      <c r="Q44">
        <v>2</v>
      </c>
      <c r="R44">
        <v>25938936</v>
      </c>
      <c r="S44">
        <v>25.938936000000002</v>
      </c>
      <c r="T44">
        <v>0</v>
      </c>
      <c r="U44">
        <v>0</v>
      </c>
      <c r="V44">
        <v>26.318006</v>
      </c>
    </row>
    <row r="45" spans="12:22" x14ac:dyDescent="0.3">
      <c r="L45">
        <v>43</v>
      </c>
      <c r="M45" t="s">
        <v>29</v>
      </c>
      <c r="N45">
        <v>9</v>
      </c>
      <c r="O45">
        <v>96300000</v>
      </c>
      <c r="P45">
        <v>96.3</v>
      </c>
      <c r="Q45">
        <v>4</v>
      </c>
      <c r="R45">
        <v>-74318182</v>
      </c>
      <c r="S45">
        <v>-74.318181999999993</v>
      </c>
      <c r="T45">
        <v>0</v>
      </c>
      <c r="U45">
        <v>0</v>
      </c>
      <c r="V45">
        <v>21.981818000000004</v>
      </c>
    </row>
    <row r="46" spans="12:22" x14ac:dyDescent="0.3">
      <c r="L46">
        <v>44</v>
      </c>
      <c r="M46" t="s">
        <v>47</v>
      </c>
      <c r="N46">
        <v>3</v>
      </c>
      <c r="O46">
        <v>17903425</v>
      </c>
      <c r="P46">
        <v>17.903424999999999</v>
      </c>
      <c r="Q46">
        <v>0</v>
      </c>
      <c r="R46">
        <v>0</v>
      </c>
      <c r="S46">
        <v>0</v>
      </c>
      <c r="T46">
        <v>2</v>
      </c>
      <c r="U46">
        <v>0.50177777777777777</v>
      </c>
      <c r="V46">
        <v>18.405202777777777</v>
      </c>
    </row>
    <row r="47" spans="12:22" x14ac:dyDescent="0.3">
      <c r="L47">
        <v>45</v>
      </c>
      <c r="M47" t="s">
        <v>56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2</v>
      </c>
      <c r="U47">
        <v>11.086424933333333</v>
      </c>
      <c r="V47">
        <v>11.086424933333333</v>
      </c>
    </row>
    <row r="48" spans="12:22" x14ac:dyDescent="0.3">
      <c r="L48">
        <v>46</v>
      </c>
      <c r="M48" t="s">
        <v>39</v>
      </c>
      <c r="N48">
        <v>1</v>
      </c>
      <c r="O48">
        <v>22472</v>
      </c>
      <c r="P48">
        <v>2.2471999999999999E-2</v>
      </c>
      <c r="Q48">
        <v>2</v>
      </c>
      <c r="R48">
        <v>3100000</v>
      </c>
      <c r="S48">
        <v>3.1</v>
      </c>
      <c r="T48">
        <v>1</v>
      </c>
      <c r="U48">
        <v>7.5248826666666666</v>
      </c>
      <c r="V48">
        <v>10.647354666666667</v>
      </c>
    </row>
    <row r="49" spans="12:22" x14ac:dyDescent="0.3">
      <c r="L49">
        <v>47</v>
      </c>
      <c r="M49" t="s">
        <v>61</v>
      </c>
      <c r="N49">
        <v>1</v>
      </c>
      <c r="O49">
        <v>3000000</v>
      </c>
      <c r="P49">
        <v>3</v>
      </c>
      <c r="Q49">
        <v>5</v>
      </c>
      <c r="R49">
        <v>5765500</v>
      </c>
      <c r="S49">
        <v>5.7655000000000003</v>
      </c>
      <c r="T49">
        <v>0</v>
      </c>
      <c r="U49">
        <v>0</v>
      </c>
      <c r="V49">
        <v>8.7654999999999994</v>
      </c>
    </row>
    <row r="50" spans="12:22" x14ac:dyDescent="0.3">
      <c r="L50">
        <v>48</v>
      </c>
      <c r="M50" t="s">
        <v>52</v>
      </c>
      <c r="N50">
        <v>2</v>
      </c>
      <c r="O50">
        <v>7791817</v>
      </c>
      <c r="P50">
        <v>7.791817</v>
      </c>
      <c r="Q50">
        <v>0</v>
      </c>
      <c r="R50">
        <v>0</v>
      </c>
      <c r="S50">
        <v>0</v>
      </c>
      <c r="T50">
        <v>0</v>
      </c>
      <c r="U50">
        <v>0</v>
      </c>
      <c r="V50">
        <v>7.791817</v>
      </c>
    </row>
    <row r="51" spans="12:22" x14ac:dyDescent="0.3">
      <c r="L51">
        <v>49</v>
      </c>
      <c r="M51" t="s">
        <v>26</v>
      </c>
      <c r="N51">
        <v>10</v>
      </c>
      <c r="O51">
        <v>2825200</v>
      </c>
      <c r="P51">
        <v>2.8252000000000002</v>
      </c>
      <c r="Q51">
        <v>2</v>
      </c>
      <c r="R51">
        <v>3620000</v>
      </c>
      <c r="S51">
        <v>3.62</v>
      </c>
      <c r="T51">
        <v>0</v>
      </c>
      <c r="U51">
        <v>0</v>
      </c>
      <c r="V51">
        <v>6.4451999999999998</v>
      </c>
    </row>
    <row r="52" spans="12:22" x14ac:dyDescent="0.3">
      <c r="L52">
        <v>50</v>
      </c>
      <c r="M52" t="s">
        <v>49</v>
      </c>
      <c r="N52">
        <v>3</v>
      </c>
      <c r="O52">
        <v>5963503</v>
      </c>
      <c r="P52">
        <v>5.9635030000000002</v>
      </c>
      <c r="Q52">
        <v>0</v>
      </c>
      <c r="R52">
        <v>0</v>
      </c>
      <c r="S52">
        <v>0</v>
      </c>
      <c r="T52">
        <v>0</v>
      </c>
      <c r="U52">
        <v>0</v>
      </c>
      <c r="V52">
        <v>5.9635030000000002</v>
      </c>
    </row>
    <row r="53" spans="12:22" x14ac:dyDescent="0.3">
      <c r="L53">
        <v>51</v>
      </c>
      <c r="M53" t="s">
        <v>32</v>
      </c>
      <c r="N53">
        <v>1</v>
      </c>
      <c r="O53">
        <v>5000000</v>
      </c>
      <c r="P53">
        <v>5</v>
      </c>
      <c r="Q53">
        <v>0</v>
      </c>
      <c r="R53">
        <v>0</v>
      </c>
      <c r="S53">
        <v>0</v>
      </c>
      <c r="T53">
        <v>0</v>
      </c>
      <c r="U53">
        <v>0</v>
      </c>
      <c r="V53">
        <v>5</v>
      </c>
    </row>
    <row r="54" spans="12:22" x14ac:dyDescent="0.3">
      <c r="L54">
        <v>52</v>
      </c>
      <c r="M54" t="s">
        <v>44</v>
      </c>
      <c r="N54">
        <v>2</v>
      </c>
      <c r="O54">
        <v>4773404</v>
      </c>
      <c r="P54">
        <v>4.7734040000000002</v>
      </c>
      <c r="Q54">
        <v>0</v>
      </c>
      <c r="R54">
        <v>0</v>
      </c>
      <c r="S54">
        <v>0</v>
      </c>
      <c r="T54">
        <v>0</v>
      </c>
      <c r="U54">
        <v>0</v>
      </c>
      <c r="V54">
        <v>4.7734040000000002</v>
      </c>
    </row>
    <row r="55" spans="12:22" x14ac:dyDescent="0.3">
      <c r="L55">
        <v>53</v>
      </c>
      <c r="M55" t="s">
        <v>45</v>
      </c>
      <c r="N55">
        <v>1</v>
      </c>
      <c r="O55">
        <v>4000000</v>
      </c>
      <c r="P55">
        <v>4</v>
      </c>
      <c r="Q55">
        <v>0</v>
      </c>
      <c r="R55">
        <v>0</v>
      </c>
      <c r="S55">
        <v>0</v>
      </c>
      <c r="T55">
        <v>0</v>
      </c>
      <c r="U55">
        <v>0</v>
      </c>
      <c r="V55">
        <v>4</v>
      </c>
    </row>
    <row r="56" spans="12:22" x14ac:dyDescent="0.3">
      <c r="L56">
        <v>54</v>
      </c>
      <c r="M56" t="s">
        <v>48</v>
      </c>
      <c r="N56">
        <v>1</v>
      </c>
      <c r="O56">
        <v>655619</v>
      </c>
      <c r="P56">
        <v>0.65561899999999995</v>
      </c>
      <c r="Q56">
        <v>1</v>
      </c>
      <c r="R56">
        <v>1000000</v>
      </c>
      <c r="S56">
        <v>1</v>
      </c>
      <c r="T56">
        <v>3</v>
      </c>
      <c r="U56">
        <v>1.048888888888889</v>
      </c>
      <c r="V56">
        <v>2.7045078888888892</v>
      </c>
    </row>
    <row r="57" spans="12:22" x14ac:dyDescent="0.3">
      <c r="L57">
        <v>55</v>
      </c>
      <c r="M57" t="s">
        <v>51</v>
      </c>
      <c r="N57">
        <v>1</v>
      </c>
      <c r="O57">
        <v>230000</v>
      </c>
      <c r="P57">
        <v>0.23</v>
      </c>
      <c r="Q57">
        <v>0</v>
      </c>
      <c r="R57">
        <v>0</v>
      </c>
      <c r="S57">
        <v>0</v>
      </c>
      <c r="T57">
        <v>0</v>
      </c>
      <c r="U57">
        <v>0</v>
      </c>
      <c r="V57">
        <v>0.23</v>
      </c>
    </row>
    <row r="58" spans="12:22" x14ac:dyDescent="0.3">
      <c r="L58">
        <v>56</v>
      </c>
      <c r="M58" t="s">
        <v>58</v>
      </c>
      <c r="N58">
        <v>0</v>
      </c>
      <c r="O58">
        <v>0</v>
      </c>
      <c r="P58">
        <v>0</v>
      </c>
      <c r="Q58">
        <v>1</v>
      </c>
      <c r="R58">
        <v>-1300000</v>
      </c>
      <c r="S58">
        <v>-1.3</v>
      </c>
      <c r="T58">
        <v>0</v>
      </c>
      <c r="U58">
        <v>0</v>
      </c>
      <c r="V58">
        <v>-1.3</v>
      </c>
    </row>
    <row r="59" spans="12:22" x14ac:dyDescent="0.3">
      <c r="L59">
        <v>57</v>
      </c>
      <c r="M59" t="s">
        <v>62</v>
      </c>
      <c r="N59">
        <v>0</v>
      </c>
      <c r="O59">
        <v>0</v>
      </c>
      <c r="P59">
        <v>0</v>
      </c>
      <c r="Q59">
        <v>1</v>
      </c>
      <c r="R59">
        <v>-2938308</v>
      </c>
      <c r="S59">
        <v>-2.9383080000000001</v>
      </c>
      <c r="T59">
        <v>0</v>
      </c>
      <c r="U59">
        <v>0</v>
      </c>
      <c r="V59">
        <v>-2.9383080000000001</v>
      </c>
    </row>
    <row r="60" spans="12:22" x14ac:dyDescent="0.3">
      <c r="L60" t="s">
        <v>97</v>
      </c>
      <c r="N60">
        <v>2556</v>
      </c>
      <c r="O60">
        <v>15182245350.348888</v>
      </c>
      <c r="P60">
        <v>15182.245350348892</v>
      </c>
      <c r="Q60">
        <v>1225</v>
      </c>
      <c r="R60">
        <v>5765100869.4974222</v>
      </c>
      <c r="S60">
        <v>5765.1008694974234</v>
      </c>
      <c r="T60">
        <v>2547</v>
      </c>
      <c r="U60">
        <v>3425.3228147478521</v>
      </c>
      <c r="V60">
        <v>24372.669034594157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FFB11-497D-47CB-ABE2-502952B377D0}">
  <sheetPr codeName="Sheet5"/>
  <dimension ref="A1:W62"/>
  <sheetViews>
    <sheetView topLeftCell="J1" workbookViewId="0">
      <selection sqref="A1:V2"/>
    </sheetView>
  </sheetViews>
  <sheetFormatPr defaultRowHeight="14.4" x14ac:dyDescent="0.3"/>
  <cols>
    <col min="1" max="1" width="7" bestFit="1" customWidth="1"/>
    <col min="2" max="2" width="44.88671875" bestFit="1" customWidth="1"/>
    <col min="3" max="3" width="14.5546875" bestFit="1" customWidth="1"/>
    <col min="4" max="4" width="22.21875" bestFit="1" customWidth="1"/>
    <col min="5" max="5" width="26.33203125" bestFit="1" customWidth="1"/>
    <col min="6" max="6" width="18.33203125" bestFit="1" customWidth="1"/>
    <col min="7" max="7" width="23.77734375" bestFit="1" customWidth="1"/>
    <col min="8" max="8" width="27.77734375" bestFit="1" customWidth="1"/>
    <col min="9" max="9" width="23.6640625" bestFit="1" customWidth="1"/>
    <col min="10" max="10" width="32.6640625" bestFit="1" customWidth="1"/>
    <col min="11" max="11" width="51.44140625" bestFit="1" customWidth="1"/>
    <col min="12" max="12" width="7" bestFit="1" customWidth="1"/>
    <col min="13" max="13" width="14.6640625" bestFit="1" customWidth="1"/>
    <col min="14" max="14" width="14.5546875" bestFit="1" customWidth="1"/>
    <col min="15" max="15" width="22.21875" bestFit="1" customWidth="1"/>
    <col min="16" max="16" width="26.33203125" bestFit="1" customWidth="1"/>
    <col min="17" max="17" width="18.33203125" bestFit="1" customWidth="1"/>
    <col min="18" max="18" width="23.77734375" bestFit="1" customWidth="1"/>
    <col min="19" max="19" width="27.77734375" bestFit="1" customWidth="1"/>
    <col min="20" max="20" width="23.6640625" bestFit="1" customWidth="1"/>
    <col min="21" max="21" width="32.6640625" bestFit="1" customWidth="1"/>
    <col min="22" max="22" width="51.44140625" bestFit="1" customWidth="1"/>
    <col min="23" max="23" width="2" bestFit="1" customWidth="1"/>
    <col min="24" max="24" width="12.44140625" bestFit="1" customWidth="1"/>
    <col min="25" max="25" width="13.88671875" bestFit="1" customWidth="1"/>
    <col min="26" max="26" width="38.33203125" bestFit="1" customWidth="1"/>
  </cols>
  <sheetData>
    <row r="1" spans="1:22" x14ac:dyDescent="0.3">
      <c r="A1" t="s">
        <v>66</v>
      </c>
      <c r="B1" t="s">
        <v>67</v>
      </c>
      <c r="C1" t="s">
        <v>70</v>
      </c>
      <c r="F1" t="s">
        <v>68</v>
      </c>
      <c r="I1" t="s">
        <v>69</v>
      </c>
      <c r="N1" t="s">
        <v>70</v>
      </c>
      <c r="Q1" t="s">
        <v>68</v>
      </c>
      <c r="T1" t="s">
        <v>69</v>
      </c>
      <c r="V1" t="s">
        <v>71</v>
      </c>
    </row>
    <row r="2" spans="1:22" x14ac:dyDescent="0.3">
      <c r="C2" t="s">
        <v>75</v>
      </c>
      <c r="D2" t="s">
        <v>76</v>
      </c>
      <c r="E2" t="s">
        <v>72</v>
      </c>
      <c r="F2" t="s">
        <v>99</v>
      </c>
      <c r="G2" t="s">
        <v>100</v>
      </c>
      <c r="H2" t="s">
        <v>101</v>
      </c>
      <c r="I2" t="s">
        <v>73</v>
      </c>
      <c r="J2" t="s">
        <v>77</v>
      </c>
      <c r="K2" t="s">
        <v>71</v>
      </c>
      <c r="L2" t="s">
        <v>66</v>
      </c>
      <c r="M2" t="s">
        <v>74</v>
      </c>
      <c r="N2" t="s">
        <v>75</v>
      </c>
      <c r="O2" t="s">
        <v>76</v>
      </c>
      <c r="P2" t="s">
        <v>72</v>
      </c>
      <c r="Q2" t="s">
        <v>99</v>
      </c>
      <c r="R2" t="s">
        <v>100</v>
      </c>
      <c r="S2" t="s">
        <v>101</v>
      </c>
      <c r="T2" t="s">
        <v>73</v>
      </c>
      <c r="U2" t="s">
        <v>77</v>
      </c>
      <c r="V2" t="s">
        <v>71</v>
      </c>
    </row>
    <row r="3" spans="1:22" x14ac:dyDescent="0.3">
      <c r="A3">
        <v>1</v>
      </c>
      <c r="B3" t="s">
        <v>78</v>
      </c>
      <c r="C3">
        <v>932</v>
      </c>
      <c r="D3">
        <v>6860360754.4200001</v>
      </c>
      <c r="E3">
        <v>6860.3607544200004</v>
      </c>
      <c r="F3">
        <v>761</v>
      </c>
      <c r="G3">
        <v>7271266055.4125004</v>
      </c>
      <c r="H3">
        <v>7271.2660554125005</v>
      </c>
      <c r="I3">
        <v>1365</v>
      </c>
      <c r="J3">
        <v>1744.3586046300925</v>
      </c>
      <c r="K3">
        <v>15875.985414462593</v>
      </c>
      <c r="L3">
        <v>1</v>
      </c>
      <c r="M3" t="s">
        <v>1</v>
      </c>
      <c r="N3">
        <v>864</v>
      </c>
      <c r="O3">
        <v>2313953722</v>
      </c>
      <c r="P3">
        <v>2313.9537220000002</v>
      </c>
      <c r="Q3">
        <v>247</v>
      </c>
      <c r="R3">
        <v>1000110378.0843754</v>
      </c>
      <c r="S3">
        <v>1000.1103780843754</v>
      </c>
      <c r="T3">
        <v>2788</v>
      </c>
      <c r="U3">
        <v>3191.8967027639928</v>
      </c>
      <c r="V3">
        <v>6505.960802848369</v>
      </c>
    </row>
    <row r="4" spans="1:22" x14ac:dyDescent="0.3">
      <c r="A4">
        <v>2</v>
      </c>
      <c r="B4" t="s">
        <v>79</v>
      </c>
      <c r="C4">
        <v>13</v>
      </c>
      <c r="D4">
        <v>8369300518</v>
      </c>
      <c r="E4">
        <v>8369.300518</v>
      </c>
      <c r="F4">
        <v>5</v>
      </c>
      <c r="G4">
        <v>4765167</v>
      </c>
      <c r="H4">
        <v>4.7651669999999999</v>
      </c>
      <c r="I4">
        <v>0</v>
      </c>
      <c r="J4">
        <v>0</v>
      </c>
      <c r="K4">
        <v>8374.0656849999996</v>
      </c>
      <c r="L4">
        <v>2</v>
      </c>
      <c r="M4" t="s">
        <v>4</v>
      </c>
      <c r="N4">
        <v>184</v>
      </c>
      <c r="O4">
        <v>371706124</v>
      </c>
      <c r="P4">
        <v>371.70612399999999</v>
      </c>
      <c r="Q4">
        <v>136</v>
      </c>
      <c r="R4">
        <v>2888338859</v>
      </c>
      <c r="S4">
        <v>2888.338859</v>
      </c>
      <c r="T4">
        <v>125</v>
      </c>
      <c r="U4">
        <v>144.4900418548888</v>
      </c>
      <c r="V4">
        <v>3404.5350248548884</v>
      </c>
    </row>
    <row r="5" spans="1:22" x14ac:dyDescent="0.3">
      <c r="A5">
        <v>3</v>
      </c>
      <c r="B5" t="s">
        <v>80</v>
      </c>
      <c r="C5">
        <v>65</v>
      </c>
      <c r="D5">
        <v>2238927782</v>
      </c>
      <c r="E5">
        <v>2238.9277820000002</v>
      </c>
      <c r="F5">
        <v>23</v>
      </c>
      <c r="G5">
        <v>281335282</v>
      </c>
      <c r="H5">
        <v>281.33528200000001</v>
      </c>
      <c r="I5">
        <v>107</v>
      </c>
      <c r="J5">
        <v>533.35920129964438</v>
      </c>
      <c r="K5">
        <v>3053.6222652996448</v>
      </c>
      <c r="L5">
        <v>3</v>
      </c>
      <c r="M5" t="s">
        <v>18</v>
      </c>
      <c r="N5">
        <v>15</v>
      </c>
      <c r="O5">
        <v>3159396191</v>
      </c>
      <c r="P5">
        <v>3159.3961909999998</v>
      </c>
      <c r="Q5">
        <v>5</v>
      </c>
      <c r="R5">
        <v>5800000</v>
      </c>
      <c r="S5">
        <v>5.8</v>
      </c>
      <c r="T5">
        <v>7</v>
      </c>
      <c r="U5">
        <v>6.5136666666666647</v>
      </c>
      <c r="V5">
        <v>3171.7098576666667</v>
      </c>
    </row>
    <row r="6" spans="1:22" x14ac:dyDescent="0.3">
      <c r="A6">
        <v>4</v>
      </c>
      <c r="B6" t="s">
        <v>81</v>
      </c>
      <c r="C6">
        <v>122</v>
      </c>
      <c r="D6">
        <v>171747621</v>
      </c>
      <c r="E6">
        <v>171.74762100000001</v>
      </c>
      <c r="F6">
        <v>48</v>
      </c>
      <c r="G6">
        <v>102508873</v>
      </c>
      <c r="H6">
        <v>102.50887299999999</v>
      </c>
      <c r="I6">
        <v>224</v>
      </c>
      <c r="J6">
        <v>858.78513767526067</v>
      </c>
      <c r="K6">
        <v>1133.0416316752608</v>
      </c>
      <c r="L6">
        <v>4</v>
      </c>
      <c r="M6" t="s">
        <v>2</v>
      </c>
      <c r="N6">
        <v>189</v>
      </c>
      <c r="O6">
        <v>1356456322</v>
      </c>
      <c r="P6">
        <v>1356.456322</v>
      </c>
      <c r="Q6">
        <v>132</v>
      </c>
      <c r="R6">
        <v>1117004174</v>
      </c>
      <c r="S6">
        <v>1117.0041739999999</v>
      </c>
      <c r="T6">
        <v>392</v>
      </c>
      <c r="U6">
        <v>324.71449687216892</v>
      </c>
      <c r="V6">
        <v>2798.1749928721688</v>
      </c>
    </row>
    <row r="7" spans="1:22" x14ac:dyDescent="0.3">
      <c r="A7">
        <v>5</v>
      </c>
      <c r="B7" t="s">
        <v>82</v>
      </c>
      <c r="C7">
        <v>585</v>
      </c>
      <c r="D7">
        <v>492997756</v>
      </c>
      <c r="E7">
        <v>492.99775599999998</v>
      </c>
      <c r="F7">
        <v>111</v>
      </c>
      <c r="G7">
        <v>114845192.875</v>
      </c>
      <c r="H7">
        <v>114.845192875</v>
      </c>
      <c r="I7">
        <v>1945</v>
      </c>
      <c r="J7">
        <v>1837.8362789198191</v>
      </c>
      <c r="K7">
        <v>2445.6792277948189</v>
      </c>
      <c r="L7">
        <v>5</v>
      </c>
      <c r="M7" t="s">
        <v>0</v>
      </c>
      <c r="N7">
        <v>542</v>
      </c>
      <c r="O7">
        <v>1111247023</v>
      </c>
      <c r="P7">
        <v>1111.2470229999999</v>
      </c>
      <c r="Q7">
        <v>167</v>
      </c>
      <c r="R7">
        <v>662726899.12890625</v>
      </c>
      <c r="S7">
        <v>662.72689912890621</v>
      </c>
      <c r="T7">
        <v>637</v>
      </c>
      <c r="U7">
        <v>1006.952710087837</v>
      </c>
      <c r="V7">
        <v>2780.9266322167432</v>
      </c>
    </row>
    <row r="8" spans="1:22" x14ac:dyDescent="0.3">
      <c r="A8">
        <v>6</v>
      </c>
      <c r="B8" t="s">
        <v>83</v>
      </c>
      <c r="C8">
        <v>17</v>
      </c>
      <c r="D8">
        <v>179311750</v>
      </c>
      <c r="E8">
        <v>179.31174999999999</v>
      </c>
      <c r="F8">
        <v>14</v>
      </c>
      <c r="G8">
        <v>2585778</v>
      </c>
      <c r="H8">
        <v>2.5857779999999999</v>
      </c>
      <c r="I8">
        <v>29</v>
      </c>
      <c r="J8">
        <v>9.6498348203555562</v>
      </c>
      <c r="K8">
        <v>191.54736282035554</v>
      </c>
      <c r="L8">
        <v>6</v>
      </c>
      <c r="M8" t="s">
        <v>24</v>
      </c>
      <c r="N8">
        <v>4</v>
      </c>
      <c r="O8">
        <v>2584857631</v>
      </c>
      <c r="P8">
        <v>2584.8576309999999</v>
      </c>
      <c r="Q8">
        <v>2</v>
      </c>
      <c r="R8">
        <v>13500000</v>
      </c>
      <c r="S8">
        <v>13.5</v>
      </c>
      <c r="T8">
        <v>55</v>
      </c>
      <c r="U8">
        <v>28.044428888888902</v>
      </c>
      <c r="V8">
        <v>2626.4020598888887</v>
      </c>
    </row>
    <row r="9" spans="1:22" x14ac:dyDescent="0.3">
      <c r="A9">
        <v>7</v>
      </c>
      <c r="B9" t="s">
        <v>84</v>
      </c>
      <c r="C9">
        <v>324</v>
      </c>
      <c r="D9">
        <v>390258682</v>
      </c>
      <c r="E9">
        <v>390.25868200000002</v>
      </c>
      <c r="F9">
        <v>71</v>
      </c>
      <c r="G9">
        <v>138465459.75390625</v>
      </c>
      <c r="H9">
        <v>138.46545975390626</v>
      </c>
      <c r="I9">
        <v>428</v>
      </c>
      <c r="J9">
        <v>499.34308206081437</v>
      </c>
      <c r="K9">
        <v>1028.0672238147206</v>
      </c>
      <c r="L9">
        <v>7</v>
      </c>
      <c r="M9" t="s">
        <v>40</v>
      </c>
      <c r="N9">
        <v>16</v>
      </c>
      <c r="O9">
        <v>2134297243</v>
      </c>
      <c r="P9">
        <v>2134.297243</v>
      </c>
      <c r="Q9">
        <v>10</v>
      </c>
      <c r="R9">
        <v>92080707</v>
      </c>
      <c r="S9">
        <v>92.080707000000004</v>
      </c>
      <c r="T9">
        <v>10</v>
      </c>
      <c r="U9">
        <v>77.602603555555547</v>
      </c>
      <c r="V9">
        <v>2303.9805535555556</v>
      </c>
    </row>
    <row r="10" spans="1:22" x14ac:dyDescent="0.3">
      <c r="A10">
        <v>8</v>
      </c>
      <c r="B10" t="s">
        <v>85</v>
      </c>
      <c r="C10">
        <v>74</v>
      </c>
      <c r="D10">
        <v>173167584</v>
      </c>
      <c r="E10">
        <v>173.16758400000001</v>
      </c>
      <c r="F10">
        <v>29</v>
      </c>
      <c r="G10">
        <v>143289019</v>
      </c>
      <c r="H10">
        <v>143.289019</v>
      </c>
      <c r="I10">
        <v>137</v>
      </c>
      <c r="J10">
        <v>70.116303256800009</v>
      </c>
      <c r="K10">
        <v>386.57290625679997</v>
      </c>
      <c r="L10">
        <v>8</v>
      </c>
      <c r="M10" t="s">
        <v>3</v>
      </c>
      <c r="N10">
        <v>83</v>
      </c>
      <c r="O10">
        <v>1002383241</v>
      </c>
      <c r="P10">
        <v>1002.383241</v>
      </c>
      <c r="Q10">
        <v>81</v>
      </c>
      <c r="R10">
        <v>307757675</v>
      </c>
      <c r="S10">
        <v>307.75767500000001</v>
      </c>
      <c r="T10">
        <v>181</v>
      </c>
      <c r="U10">
        <v>453.858825008748</v>
      </c>
      <c r="V10">
        <v>1763.9997410087481</v>
      </c>
    </row>
    <row r="11" spans="1:22" x14ac:dyDescent="0.3">
      <c r="A11">
        <v>9</v>
      </c>
      <c r="B11" t="s">
        <v>86</v>
      </c>
      <c r="C11">
        <v>106</v>
      </c>
      <c r="D11">
        <v>122495264</v>
      </c>
      <c r="E11">
        <v>122.49526400000001</v>
      </c>
      <c r="F11">
        <v>29</v>
      </c>
      <c r="G11">
        <v>110483147</v>
      </c>
      <c r="H11">
        <v>110.483147</v>
      </c>
      <c r="I11">
        <v>222</v>
      </c>
      <c r="J11">
        <v>280.21662452973356</v>
      </c>
      <c r="K11">
        <v>513.19503552973356</v>
      </c>
      <c r="L11">
        <v>9</v>
      </c>
      <c r="M11" t="s">
        <v>44</v>
      </c>
      <c r="N11">
        <v>7</v>
      </c>
      <c r="O11">
        <v>1342302760</v>
      </c>
      <c r="P11">
        <v>1342.30276</v>
      </c>
      <c r="Q11">
        <v>2</v>
      </c>
      <c r="R11">
        <v>-28992392</v>
      </c>
      <c r="S11">
        <v>-28.992391999999999</v>
      </c>
      <c r="T11">
        <v>2</v>
      </c>
      <c r="U11">
        <v>3.0222222222222223E-2</v>
      </c>
      <c r="V11">
        <v>1313.3405902222221</v>
      </c>
    </row>
    <row r="12" spans="1:22" x14ac:dyDescent="0.3">
      <c r="A12">
        <v>10</v>
      </c>
      <c r="B12" t="s">
        <v>87</v>
      </c>
      <c r="C12">
        <v>182</v>
      </c>
      <c r="D12">
        <v>140778447</v>
      </c>
      <c r="E12">
        <v>140.778447</v>
      </c>
      <c r="F12">
        <v>52</v>
      </c>
      <c r="G12">
        <v>45400725.296875</v>
      </c>
      <c r="H12">
        <v>45.400725296875002</v>
      </c>
      <c r="I12">
        <v>246</v>
      </c>
      <c r="J12">
        <v>50.511319523392885</v>
      </c>
      <c r="K12">
        <v>236.69049182026788</v>
      </c>
      <c r="L12">
        <v>10</v>
      </c>
      <c r="M12" t="s">
        <v>6</v>
      </c>
      <c r="N12">
        <v>24</v>
      </c>
      <c r="O12">
        <v>722900529</v>
      </c>
      <c r="P12">
        <v>722.90052900000001</v>
      </c>
      <c r="Q12">
        <v>30</v>
      </c>
      <c r="R12">
        <v>268087561.125</v>
      </c>
      <c r="S12">
        <v>268.08756112499998</v>
      </c>
      <c r="T12">
        <v>28</v>
      </c>
      <c r="U12">
        <v>18.261193237644441</v>
      </c>
      <c r="V12">
        <v>1009.2492833626444</v>
      </c>
    </row>
    <row r="13" spans="1:22" x14ac:dyDescent="0.3">
      <c r="A13">
        <v>11</v>
      </c>
      <c r="B13" t="s">
        <v>88</v>
      </c>
      <c r="C13">
        <v>66</v>
      </c>
      <c r="D13">
        <v>24105858</v>
      </c>
      <c r="E13">
        <v>24.105858000000001</v>
      </c>
      <c r="F13">
        <v>11</v>
      </c>
      <c r="G13">
        <v>10888233</v>
      </c>
      <c r="H13">
        <v>10.888233</v>
      </c>
      <c r="I13">
        <v>139</v>
      </c>
      <c r="J13">
        <v>74.03411390422221</v>
      </c>
      <c r="K13">
        <v>109.02820490422221</v>
      </c>
      <c r="L13">
        <v>11</v>
      </c>
      <c r="M13" t="s">
        <v>5</v>
      </c>
      <c r="N13">
        <v>57</v>
      </c>
      <c r="O13">
        <v>220719288</v>
      </c>
      <c r="P13">
        <v>220.71928800000001</v>
      </c>
      <c r="Q13">
        <v>41</v>
      </c>
      <c r="R13">
        <v>622753894</v>
      </c>
      <c r="S13">
        <v>622.75389399999995</v>
      </c>
      <c r="T13">
        <v>35</v>
      </c>
      <c r="U13">
        <v>41.413495051377765</v>
      </c>
      <c r="V13">
        <v>884.88667705137777</v>
      </c>
    </row>
    <row r="14" spans="1:22" x14ac:dyDescent="0.3">
      <c r="A14">
        <v>12</v>
      </c>
      <c r="B14" t="s">
        <v>89</v>
      </c>
      <c r="C14">
        <v>8</v>
      </c>
      <c r="D14">
        <v>24829000</v>
      </c>
      <c r="E14">
        <v>24.829000000000001</v>
      </c>
      <c r="F14">
        <v>5</v>
      </c>
      <c r="G14">
        <v>1069500</v>
      </c>
      <c r="H14">
        <v>1.0694999999999999</v>
      </c>
      <c r="I14">
        <v>20</v>
      </c>
      <c r="J14">
        <v>22.837555517155554</v>
      </c>
      <c r="K14">
        <v>48.736055517155556</v>
      </c>
      <c r="L14">
        <v>12</v>
      </c>
      <c r="M14" t="s">
        <v>7</v>
      </c>
      <c r="N14">
        <v>69</v>
      </c>
      <c r="O14">
        <v>764901738</v>
      </c>
      <c r="P14">
        <v>764.90173800000002</v>
      </c>
      <c r="Q14">
        <v>18</v>
      </c>
      <c r="R14">
        <v>18267070</v>
      </c>
      <c r="S14">
        <v>18.26707</v>
      </c>
      <c r="T14">
        <v>36</v>
      </c>
      <c r="U14">
        <v>72.355732577733335</v>
      </c>
      <c r="V14">
        <v>855.52454057773332</v>
      </c>
    </row>
    <row r="15" spans="1:22" x14ac:dyDescent="0.3">
      <c r="A15">
        <v>13</v>
      </c>
      <c r="B15" t="s">
        <v>90</v>
      </c>
      <c r="C15">
        <v>59</v>
      </c>
      <c r="D15">
        <v>60404872</v>
      </c>
      <c r="E15">
        <v>60.404871999999997</v>
      </c>
      <c r="F15">
        <v>11</v>
      </c>
      <c r="G15">
        <v>-3223392</v>
      </c>
      <c r="H15">
        <v>-3.223392</v>
      </c>
      <c r="I15">
        <v>77</v>
      </c>
      <c r="J15">
        <v>59.572779077333323</v>
      </c>
      <c r="K15">
        <v>116.75425907733333</v>
      </c>
      <c r="L15">
        <v>13</v>
      </c>
      <c r="M15" t="s">
        <v>8</v>
      </c>
      <c r="N15">
        <v>25</v>
      </c>
      <c r="O15">
        <v>204272550</v>
      </c>
      <c r="P15">
        <v>204.27255</v>
      </c>
      <c r="Q15">
        <v>15</v>
      </c>
      <c r="R15">
        <v>242973221</v>
      </c>
      <c r="S15">
        <v>242.973221</v>
      </c>
      <c r="T15">
        <v>34</v>
      </c>
      <c r="U15">
        <v>80.236279642204465</v>
      </c>
      <c r="V15">
        <v>527.48205064220451</v>
      </c>
    </row>
    <row r="16" spans="1:22" x14ac:dyDescent="0.3">
      <c r="A16">
        <v>14</v>
      </c>
      <c r="B16" t="s">
        <v>91</v>
      </c>
      <c r="C16">
        <v>12</v>
      </c>
      <c r="D16">
        <v>566696325</v>
      </c>
      <c r="E16">
        <v>566.696325</v>
      </c>
      <c r="F16">
        <v>2</v>
      </c>
      <c r="G16">
        <v>1300000</v>
      </c>
      <c r="H16">
        <v>1.3</v>
      </c>
      <c r="I16">
        <v>0</v>
      </c>
      <c r="J16">
        <v>0</v>
      </c>
      <c r="K16">
        <v>567.99632499999996</v>
      </c>
      <c r="L16">
        <v>14</v>
      </c>
      <c r="M16" t="s">
        <v>15</v>
      </c>
      <c r="N16">
        <v>37</v>
      </c>
      <c r="O16">
        <v>360638191</v>
      </c>
      <c r="P16">
        <v>360.63819100000001</v>
      </c>
      <c r="Q16">
        <v>44</v>
      </c>
      <c r="R16">
        <v>144156323</v>
      </c>
      <c r="S16">
        <v>144.15632299999999</v>
      </c>
      <c r="T16">
        <v>36</v>
      </c>
      <c r="U16">
        <v>16.81128308813334</v>
      </c>
      <c r="V16">
        <v>521.60579708813339</v>
      </c>
    </row>
    <row r="17" spans="1:22" x14ac:dyDescent="0.3">
      <c r="A17">
        <v>15</v>
      </c>
      <c r="B17" t="s">
        <v>92</v>
      </c>
      <c r="C17">
        <v>14</v>
      </c>
      <c r="D17">
        <v>162313798</v>
      </c>
      <c r="E17">
        <v>162.31379799999999</v>
      </c>
      <c r="F17">
        <v>10</v>
      </c>
      <c r="G17">
        <v>106587979</v>
      </c>
      <c r="H17">
        <v>106.587979</v>
      </c>
      <c r="I17">
        <v>21</v>
      </c>
      <c r="J17">
        <v>118.63081956266663</v>
      </c>
      <c r="K17">
        <v>387.53259656266664</v>
      </c>
      <c r="L17">
        <v>15</v>
      </c>
      <c r="M17" t="s">
        <v>16</v>
      </c>
      <c r="N17">
        <v>24</v>
      </c>
      <c r="O17">
        <v>369908832</v>
      </c>
      <c r="P17">
        <v>369.90883200000002</v>
      </c>
      <c r="Q17">
        <v>21</v>
      </c>
      <c r="R17">
        <v>111068512</v>
      </c>
      <c r="S17">
        <v>111.068512</v>
      </c>
      <c r="T17">
        <v>22</v>
      </c>
      <c r="U17">
        <v>30.798152331111108</v>
      </c>
      <c r="V17">
        <v>511.77549633111113</v>
      </c>
    </row>
    <row r="18" spans="1:22" x14ac:dyDescent="0.3">
      <c r="A18">
        <v>16</v>
      </c>
      <c r="B18" t="s">
        <v>93</v>
      </c>
      <c r="C18">
        <v>2</v>
      </c>
      <c r="D18">
        <v>1279016043</v>
      </c>
      <c r="E18">
        <v>1279.0160430000001</v>
      </c>
      <c r="F18">
        <v>0</v>
      </c>
      <c r="G18">
        <v>0</v>
      </c>
      <c r="H18">
        <v>0</v>
      </c>
      <c r="I18">
        <v>4</v>
      </c>
      <c r="J18">
        <v>9.8836134992000009</v>
      </c>
      <c r="K18">
        <v>1288.8996564992001</v>
      </c>
      <c r="L18">
        <v>16</v>
      </c>
      <c r="M18" t="s">
        <v>10</v>
      </c>
      <c r="N18">
        <v>97</v>
      </c>
      <c r="O18">
        <v>207805994</v>
      </c>
      <c r="P18">
        <v>207.805994</v>
      </c>
      <c r="Q18">
        <v>81</v>
      </c>
      <c r="R18">
        <v>136401080</v>
      </c>
      <c r="S18">
        <v>136.40108000000001</v>
      </c>
      <c r="T18">
        <v>164</v>
      </c>
      <c r="U18">
        <v>166.72280505795572</v>
      </c>
      <c r="V18">
        <v>510.92987905795576</v>
      </c>
    </row>
    <row r="19" spans="1:22" x14ac:dyDescent="0.3">
      <c r="A19">
        <v>17</v>
      </c>
      <c r="B19" t="s">
        <v>94</v>
      </c>
      <c r="C19">
        <v>6</v>
      </c>
      <c r="D19">
        <v>18504747</v>
      </c>
      <c r="E19">
        <v>18.504746999999998</v>
      </c>
      <c r="F19">
        <v>4</v>
      </c>
      <c r="G19">
        <v>15407480</v>
      </c>
      <c r="H19">
        <v>15.40748</v>
      </c>
      <c r="I19">
        <v>6</v>
      </c>
      <c r="J19">
        <v>3.812133333333334</v>
      </c>
      <c r="K19">
        <v>37.724360333333337</v>
      </c>
      <c r="L19">
        <v>17</v>
      </c>
      <c r="M19" t="s">
        <v>29</v>
      </c>
      <c r="N19">
        <v>7</v>
      </c>
      <c r="O19">
        <v>313839000</v>
      </c>
      <c r="P19">
        <v>313.839</v>
      </c>
      <c r="Q19">
        <v>2</v>
      </c>
      <c r="R19">
        <v>60750000</v>
      </c>
      <c r="S19">
        <v>60.75</v>
      </c>
      <c r="T19">
        <v>0</v>
      </c>
      <c r="U19">
        <v>0</v>
      </c>
      <c r="V19">
        <v>374.589</v>
      </c>
    </row>
    <row r="20" spans="1:22" x14ac:dyDescent="0.3">
      <c r="A20">
        <v>18</v>
      </c>
      <c r="B20" t="s">
        <v>95</v>
      </c>
      <c r="C20">
        <v>3</v>
      </c>
      <c r="D20">
        <v>176500</v>
      </c>
      <c r="E20">
        <v>0.17649999999999999</v>
      </c>
      <c r="F20">
        <v>2</v>
      </c>
      <c r="G20">
        <v>69867550</v>
      </c>
      <c r="H20">
        <v>69.867549999999994</v>
      </c>
      <c r="I20">
        <v>32</v>
      </c>
      <c r="J20">
        <v>18.167150813111117</v>
      </c>
      <c r="K20">
        <v>88.21120081311112</v>
      </c>
      <c r="L20">
        <v>18</v>
      </c>
      <c r="M20" t="s">
        <v>11</v>
      </c>
      <c r="N20">
        <v>48</v>
      </c>
      <c r="O20">
        <v>247935844</v>
      </c>
      <c r="P20">
        <v>247.935844</v>
      </c>
      <c r="Q20">
        <v>27</v>
      </c>
      <c r="R20">
        <v>83332779</v>
      </c>
      <c r="S20">
        <v>83.332779000000002</v>
      </c>
      <c r="T20">
        <v>37</v>
      </c>
      <c r="U20">
        <v>34.878995689688878</v>
      </c>
      <c r="V20">
        <v>366.1476186896889</v>
      </c>
    </row>
    <row r="21" spans="1:22" x14ac:dyDescent="0.3">
      <c r="A21">
        <v>19</v>
      </c>
      <c r="B21" t="s">
        <v>96</v>
      </c>
      <c r="C21">
        <v>1</v>
      </c>
      <c r="D21">
        <v>500000</v>
      </c>
      <c r="E21">
        <v>0.5</v>
      </c>
      <c r="F21">
        <v>0</v>
      </c>
      <c r="G21">
        <v>0</v>
      </c>
      <c r="H21">
        <v>0</v>
      </c>
      <c r="I21">
        <v>0</v>
      </c>
      <c r="J21">
        <v>0</v>
      </c>
      <c r="K21">
        <v>0.5</v>
      </c>
      <c r="L21">
        <v>19</v>
      </c>
      <c r="M21" t="s">
        <v>30</v>
      </c>
      <c r="N21">
        <v>3</v>
      </c>
      <c r="O21">
        <v>265767759</v>
      </c>
      <c r="P21">
        <v>265.76775900000001</v>
      </c>
      <c r="Q21">
        <v>0</v>
      </c>
      <c r="R21">
        <v>0</v>
      </c>
      <c r="S21">
        <v>0</v>
      </c>
      <c r="T21">
        <v>4</v>
      </c>
      <c r="U21">
        <v>0.35228568888888884</v>
      </c>
      <c r="V21">
        <v>266.12004468888892</v>
      </c>
    </row>
    <row r="22" spans="1:22" x14ac:dyDescent="0.3">
      <c r="A22" t="s">
        <v>97</v>
      </c>
      <c r="C22">
        <v>2591</v>
      </c>
      <c r="D22">
        <v>21275893301.419998</v>
      </c>
      <c r="E22">
        <v>21275.893301420001</v>
      </c>
      <c r="F22">
        <v>1188</v>
      </c>
      <c r="G22">
        <v>8416842049.3382816</v>
      </c>
      <c r="H22">
        <v>8416.84204933828</v>
      </c>
      <c r="I22">
        <v>5002</v>
      </c>
      <c r="J22">
        <v>6191.114552422935</v>
      </c>
      <c r="K22">
        <v>35883.84990318121</v>
      </c>
      <c r="L22">
        <v>20</v>
      </c>
      <c r="M22" t="s">
        <v>9</v>
      </c>
      <c r="N22">
        <v>18</v>
      </c>
      <c r="O22">
        <v>119108690</v>
      </c>
      <c r="P22">
        <v>119.10869</v>
      </c>
      <c r="Q22">
        <v>19</v>
      </c>
      <c r="R22">
        <v>104644243</v>
      </c>
      <c r="S22">
        <v>104.644243</v>
      </c>
      <c r="T22">
        <v>16</v>
      </c>
      <c r="U22">
        <v>20.844702517466665</v>
      </c>
      <c r="V22">
        <v>244.59763551746664</v>
      </c>
    </row>
    <row r="23" spans="1:22" x14ac:dyDescent="0.3">
      <c r="L23">
        <v>21</v>
      </c>
      <c r="M23" t="s">
        <v>48</v>
      </c>
      <c r="N23">
        <v>4</v>
      </c>
      <c r="O23">
        <v>237015955</v>
      </c>
      <c r="P23">
        <v>237.01595499999999</v>
      </c>
      <c r="Q23">
        <v>0</v>
      </c>
      <c r="R23">
        <v>0</v>
      </c>
      <c r="S23">
        <v>0</v>
      </c>
      <c r="T23">
        <v>2</v>
      </c>
      <c r="U23">
        <v>1.1297777777777778</v>
      </c>
      <c r="V23">
        <v>238.14573277777777</v>
      </c>
    </row>
    <row r="24" spans="1:22" x14ac:dyDescent="0.3">
      <c r="L24">
        <v>22</v>
      </c>
      <c r="M24" t="s">
        <v>41</v>
      </c>
      <c r="N24">
        <v>4</v>
      </c>
      <c r="O24">
        <v>168407227</v>
      </c>
      <c r="P24">
        <v>168.40722700000001</v>
      </c>
      <c r="Q24">
        <v>5</v>
      </c>
      <c r="R24">
        <v>43950000</v>
      </c>
      <c r="S24">
        <v>43.95</v>
      </c>
      <c r="T24">
        <v>13</v>
      </c>
      <c r="U24">
        <v>23.796619935955544</v>
      </c>
      <c r="V24">
        <v>236.15384693595556</v>
      </c>
    </row>
    <row r="25" spans="1:22" x14ac:dyDescent="0.3">
      <c r="L25">
        <v>23</v>
      </c>
      <c r="M25" t="s">
        <v>28</v>
      </c>
      <c r="N25">
        <v>8</v>
      </c>
      <c r="O25">
        <v>126173000</v>
      </c>
      <c r="P25">
        <v>126.173</v>
      </c>
      <c r="Q25">
        <v>4</v>
      </c>
      <c r="R25">
        <v>56096000</v>
      </c>
      <c r="S25">
        <v>56.095999999999997</v>
      </c>
      <c r="T25">
        <v>7</v>
      </c>
      <c r="U25">
        <v>51.795555555555552</v>
      </c>
      <c r="V25">
        <v>234.06455555555556</v>
      </c>
    </row>
    <row r="26" spans="1:22" x14ac:dyDescent="0.3">
      <c r="L26">
        <v>24</v>
      </c>
      <c r="M26" t="s">
        <v>19</v>
      </c>
      <c r="N26">
        <v>15</v>
      </c>
      <c r="O26">
        <v>153488364</v>
      </c>
      <c r="P26">
        <v>153.48836399999999</v>
      </c>
      <c r="Q26">
        <v>16</v>
      </c>
      <c r="R26">
        <v>73716667</v>
      </c>
      <c r="S26">
        <v>73.716667000000001</v>
      </c>
      <c r="T26">
        <v>4</v>
      </c>
      <c r="U26">
        <v>2.9471882000000003</v>
      </c>
      <c r="V26">
        <v>230.15221919999999</v>
      </c>
    </row>
    <row r="27" spans="1:22" x14ac:dyDescent="0.3">
      <c r="L27">
        <v>25</v>
      </c>
      <c r="M27" t="s">
        <v>55</v>
      </c>
      <c r="N27">
        <v>2</v>
      </c>
      <c r="O27">
        <v>56072530</v>
      </c>
      <c r="P27">
        <v>56.07253</v>
      </c>
      <c r="Q27">
        <v>0</v>
      </c>
      <c r="R27">
        <v>0</v>
      </c>
      <c r="S27">
        <v>0</v>
      </c>
      <c r="T27">
        <v>8</v>
      </c>
      <c r="U27">
        <v>155.84578222222223</v>
      </c>
      <c r="V27">
        <v>211.91831222222223</v>
      </c>
    </row>
    <row r="28" spans="1:22" x14ac:dyDescent="0.3">
      <c r="L28">
        <v>26</v>
      </c>
      <c r="M28" t="s">
        <v>13</v>
      </c>
      <c r="N28">
        <v>44</v>
      </c>
      <c r="O28">
        <v>108806296</v>
      </c>
      <c r="P28">
        <v>108.806296</v>
      </c>
      <c r="Q28">
        <v>7</v>
      </c>
      <c r="R28">
        <v>54100000</v>
      </c>
      <c r="S28">
        <v>54.1</v>
      </c>
      <c r="T28">
        <v>52</v>
      </c>
      <c r="U28">
        <v>40.522424491244443</v>
      </c>
      <c r="V28">
        <v>203.42872049124443</v>
      </c>
    </row>
    <row r="29" spans="1:22" x14ac:dyDescent="0.3">
      <c r="L29">
        <v>27</v>
      </c>
      <c r="M29" t="s">
        <v>34</v>
      </c>
      <c r="N29">
        <v>9</v>
      </c>
      <c r="O29">
        <v>117221335</v>
      </c>
      <c r="P29">
        <v>117.221335</v>
      </c>
      <c r="Q29">
        <v>4</v>
      </c>
      <c r="R29">
        <v>31702293</v>
      </c>
      <c r="S29">
        <v>31.702293000000001</v>
      </c>
      <c r="T29">
        <v>7</v>
      </c>
      <c r="U29">
        <v>1.2519777777777779</v>
      </c>
      <c r="V29">
        <v>150.17560577777778</v>
      </c>
    </row>
    <row r="30" spans="1:22" x14ac:dyDescent="0.3">
      <c r="L30">
        <v>28</v>
      </c>
      <c r="M30" t="s">
        <v>17</v>
      </c>
      <c r="N30">
        <v>6</v>
      </c>
      <c r="O30">
        <v>68621019</v>
      </c>
      <c r="P30">
        <v>68.621019000000004</v>
      </c>
      <c r="Q30">
        <v>7</v>
      </c>
      <c r="R30">
        <v>67300000</v>
      </c>
      <c r="S30">
        <v>67.3</v>
      </c>
      <c r="T30">
        <v>10</v>
      </c>
      <c r="U30">
        <v>14.129623984444446</v>
      </c>
      <c r="V30">
        <v>150.05064298444444</v>
      </c>
    </row>
    <row r="31" spans="1:22" x14ac:dyDescent="0.3">
      <c r="L31">
        <v>29</v>
      </c>
      <c r="M31" t="s">
        <v>33</v>
      </c>
      <c r="N31">
        <v>4</v>
      </c>
      <c r="O31">
        <v>144924200</v>
      </c>
      <c r="P31">
        <v>144.92420000000001</v>
      </c>
      <c r="Q31">
        <v>1</v>
      </c>
      <c r="R31">
        <v>-5090000</v>
      </c>
      <c r="S31">
        <v>-5.09</v>
      </c>
      <c r="T31">
        <v>7</v>
      </c>
      <c r="U31">
        <v>3.4619733333333338</v>
      </c>
      <c r="V31">
        <v>143.29617333333334</v>
      </c>
    </row>
    <row r="32" spans="1:22" x14ac:dyDescent="0.3">
      <c r="L32">
        <v>30</v>
      </c>
      <c r="M32" t="s">
        <v>14</v>
      </c>
      <c r="N32">
        <v>66</v>
      </c>
      <c r="O32">
        <v>115862408</v>
      </c>
      <c r="P32">
        <v>115.862408</v>
      </c>
      <c r="Q32">
        <v>6</v>
      </c>
      <c r="R32">
        <v>938566</v>
      </c>
      <c r="S32">
        <v>0.93856600000000001</v>
      </c>
      <c r="T32">
        <v>111</v>
      </c>
      <c r="U32">
        <v>25.769633608844437</v>
      </c>
      <c r="V32">
        <v>142.57060760884443</v>
      </c>
    </row>
    <row r="33" spans="12:22" x14ac:dyDescent="0.3">
      <c r="L33">
        <v>31</v>
      </c>
      <c r="M33" t="s">
        <v>25</v>
      </c>
      <c r="N33">
        <v>18</v>
      </c>
      <c r="O33">
        <v>112648191</v>
      </c>
      <c r="P33">
        <v>112.648191</v>
      </c>
      <c r="Q33">
        <v>4</v>
      </c>
      <c r="R33">
        <v>9500261</v>
      </c>
      <c r="S33">
        <v>9.5002610000000001</v>
      </c>
      <c r="T33">
        <v>18</v>
      </c>
      <c r="U33">
        <v>12.849209799199999</v>
      </c>
      <c r="V33">
        <v>134.99766179919999</v>
      </c>
    </row>
    <row r="34" spans="12:22" x14ac:dyDescent="0.3">
      <c r="L34">
        <v>32</v>
      </c>
      <c r="M34" t="s">
        <v>27</v>
      </c>
      <c r="N34">
        <v>3</v>
      </c>
      <c r="O34">
        <v>55311782</v>
      </c>
      <c r="P34">
        <v>55.311782000000001</v>
      </c>
      <c r="Q34">
        <v>5</v>
      </c>
      <c r="R34">
        <v>72411979</v>
      </c>
      <c r="S34">
        <v>72.411979000000002</v>
      </c>
      <c r="T34">
        <v>0</v>
      </c>
      <c r="U34">
        <v>0</v>
      </c>
      <c r="V34">
        <v>127.723761</v>
      </c>
    </row>
    <row r="35" spans="12:22" x14ac:dyDescent="0.3">
      <c r="L35">
        <v>33</v>
      </c>
      <c r="M35" t="s">
        <v>21</v>
      </c>
      <c r="N35">
        <v>4</v>
      </c>
      <c r="O35">
        <v>123323812</v>
      </c>
      <c r="P35">
        <v>123.323812</v>
      </c>
      <c r="Q35">
        <v>0</v>
      </c>
      <c r="R35">
        <v>0</v>
      </c>
      <c r="S35">
        <v>0</v>
      </c>
      <c r="T35">
        <v>2</v>
      </c>
      <c r="U35">
        <v>0.15921940622222222</v>
      </c>
      <c r="V35">
        <v>123.48303140622222</v>
      </c>
    </row>
    <row r="36" spans="12:22" x14ac:dyDescent="0.3">
      <c r="L36">
        <v>34</v>
      </c>
      <c r="M36" t="s">
        <v>12</v>
      </c>
      <c r="N36">
        <v>12</v>
      </c>
      <c r="O36">
        <v>13809475.42</v>
      </c>
      <c r="P36">
        <v>13.80947542</v>
      </c>
      <c r="Q36">
        <v>17</v>
      </c>
      <c r="R36">
        <v>85102316</v>
      </c>
      <c r="S36">
        <v>85.102316000000002</v>
      </c>
      <c r="T36">
        <v>18</v>
      </c>
      <c r="U36">
        <v>7.01478</v>
      </c>
      <c r="V36">
        <v>105.92657142</v>
      </c>
    </row>
    <row r="37" spans="12:22" x14ac:dyDescent="0.3">
      <c r="L37">
        <v>35</v>
      </c>
      <c r="M37" t="s">
        <v>38</v>
      </c>
      <c r="N37">
        <v>11</v>
      </c>
      <c r="O37">
        <v>96262748</v>
      </c>
      <c r="P37">
        <v>96.262748000000002</v>
      </c>
      <c r="Q37">
        <v>7</v>
      </c>
      <c r="R37">
        <v>-4109230</v>
      </c>
      <c r="S37">
        <v>-4.1092300000000002</v>
      </c>
      <c r="T37">
        <v>10</v>
      </c>
      <c r="U37">
        <v>7.3537464018222245</v>
      </c>
      <c r="V37">
        <v>99.507264401822226</v>
      </c>
    </row>
    <row r="38" spans="12:22" x14ac:dyDescent="0.3">
      <c r="L38">
        <v>36</v>
      </c>
      <c r="M38" t="s">
        <v>42</v>
      </c>
      <c r="N38">
        <v>7</v>
      </c>
      <c r="O38">
        <v>16413853</v>
      </c>
      <c r="P38">
        <v>16.413853</v>
      </c>
      <c r="Q38">
        <v>2</v>
      </c>
      <c r="R38">
        <v>40549836</v>
      </c>
      <c r="S38">
        <v>40.549835999999999</v>
      </c>
      <c r="T38">
        <v>13</v>
      </c>
      <c r="U38">
        <v>41.943220769244469</v>
      </c>
      <c r="V38">
        <v>98.906909769244464</v>
      </c>
    </row>
    <row r="39" spans="12:22" x14ac:dyDescent="0.3">
      <c r="L39">
        <v>37</v>
      </c>
      <c r="M39" t="s">
        <v>47</v>
      </c>
      <c r="N39">
        <v>4</v>
      </c>
      <c r="O39">
        <v>51008810</v>
      </c>
      <c r="P39">
        <v>51.008809999999997</v>
      </c>
      <c r="Q39">
        <v>2</v>
      </c>
      <c r="R39">
        <v>1648659</v>
      </c>
      <c r="S39">
        <v>1.6486590000000001</v>
      </c>
      <c r="T39">
        <v>4</v>
      </c>
      <c r="U39">
        <v>23.806666666666672</v>
      </c>
      <c r="V39">
        <v>76.464135666666664</v>
      </c>
    </row>
    <row r="40" spans="12:22" x14ac:dyDescent="0.3">
      <c r="L40">
        <v>38</v>
      </c>
      <c r="M40" t="s">
        <v>43</v>
      </c>
      <c r="N40">
        <v>7</v>
      </c>
      <c r="O40">
        <v>59533333</v>
      </c>
      <c r="P40">
        <v>59.533332999999999</v>
      </c>
      <c r="Q40">
        <v>4</v>
      </c>
      <c r="R40">
        <v>3832489</v>
      </c>
      <c r="S40">
        <v>3.8324889999999998</v>
      </c>
      <c r="T40">
        <v>40</v>
      </c>
      <c r="U40">
        <v>9.2376932371555558</v>
      </c>
      <c r="V40">
        <v>72.603515237155563</v>
      </c>
    </row>
    <row r="41" spans="12:22" x14ac:dyDescent="0.3">
      <c r="L41">
        <v>39</v>
      </c>
      <c r="M41" t="s">
        <v>51</v>
      </c>
      <c r="N41">
        <v>2</v>
      </c>
      <c r="O41">
        <v>49500000</v>
      </c>
      <c r="P41">
        <v>49.5</v>
      </c>
      <c r="Q41">
        <v>1</v>
      </c>
      <c r="R41">
        <v>9000000</v>
      </c>
      <c r="S41">
        <v>9</v>
      </c>
      <c r="T41">
        <v>2</v>
      </c>
      <c r="U41">
        <v>1.7488888888888889</v>
      </c>
      <c r="V41">
        <v>60.248888888888892</v>
      </c>
    </row>
    <row r="42" spans="12:22" x14ac:dyDescent="0.3">
      <c r="L42">
        <v>40</v>
      </c>
      <c r="M42" t="s">
        <v>22</v>
      </c>
      <c r="N42">
        <v>7</v>
      </c>
      <c r="O42">
        <v>52323922</v>
      </c>
      <c r="P42">
        <v>52.323922000000003</v>
      </c>
      <c r="Q42">
        <v>3</v>
      </c>
      <c r="R42">
        <v>3731000</v>
      </c>
      <c r="S42">
        <v>3.7309999999999999</v>
      </c>
      <c r="T42">
        <v>13</v>
      </c>
      <c r="U42">
        <v>3.6928476444444445</v>
      </c>
      <c r="V42">
        <v>59.747769644444446</v>
      </c>
    </row>
    <row r="43" spans="12:22" x14ac:dyDescent="0.3">
      <c r="L43">
        <v>41</v>
      </c>
      <c r="M43" t="s">
        <v>61</v>
      </c>
      <c r="N43">
        <v>4</v>
      </c>
      <c r="O43">
        <v>28616000</v>
      </c>
      <c r="P43">
        <v>28.616</v>
      </c>
      <c r="Q43">
        <v>1</v>
      </c>
      <c r="R43">
        <v>10000000</v>
      </c>
      <c r="S43">
        <v>10</v>
      </c>
      <c r="T43">
        <v>2</v>
      </c>
      <c r="U43">
        <v>0.10602462222222223</v>
      </c>
      <c r="V43">
        <v>38.722024622222222</v>
      </c>
    </row>
    <row r="44" spans="12:22" x14ac:dyDescent="0.3">
      <c r="L44">
        <v>42</v>
      </c>
      <c r="M44" t="s">
        <v>26</v>
      </c>
      <c r="N44">
        <v>6</v>
      </c>
      <c r="O44">
        <v>12554720</v>
      </c>
      <c r="P44">
        <v>12.55472</v>
      </c>
      <c r="Q44">
        <v>3</v>
      </c>
      <c r="R44">
        <v>10900000</v>
      </c>
      <c r="S44">
        <v>10.9</v>
      </c>
      <c r="T44">
        <v>9</v>
      </c>
      <c r="U44">
        <v>6.9347196325333327</v>
      </c>
      <c r="V44">
        <v>30.389439632533335</v>
      </c>
    </row>
    <row r="45" spans="12:22" x14ac:dyDescent="0.3">
      <c r="L45">
        <v>43</v>
      </c>
      <c r="M45" t="s">
        <v>37</v>
      </c>
      <c r="N45">
        <v>4</v>
      </c>
      <c r="O45">
        <v>8403809</v>
      </c>
      <c r="P45">
        <v>8.4038090000000008</v>
      </c>
      <c r="Q45">
        <v>1</v>
      </c>
      <c r="R45">
        <v>5623275</v>
      </c>
      <c r="S45">
        <v>5.6232749999999996</v>
      </c>
      <c r="T45">
        <v>12</v>
      </c>
      <c r="U45">
        <v>12.853773887057777</v>
      </c>
      <c r="V45">
        <v>26.880857887057779</v>
      </c>
    </row>
    <row r="46" spans="12:22" x14ac:dyDescent="0.3">
      <c r="L46">
        <v>44</v>
      </c>
      <c r="M46" t="s">
        <v>58</v>
      </c>
      <c r="N46">
        <v>1</v>
      </c>
      <c r="O46">
        <v>23479000</v>
      </c>
      <c r="P46">
        <v>23.478999999999999</v>
      </c>
      <c r="Q46">
        <v>0</v>
      </c>
      <c r="R46">
        <v>0</v>
      </c>
      <c r="S46">
        <v>0</v>
      </c>
      <c r="T46">
        <v>1</v>
      </c>
      <c r="U46">
        <v>0.1367026798222222</v>
      </c>
      <c r="V46">
        <v>23.61570267982222</v>
      </c>
    </row>
    <row r="47" spans="12:22" x14ac:dyDescent="0.3">
      <c r="L47">
        <v>45</v>
      </c>
      <c r="M47" t="s">
        <v>35</v>
      </c>
      <c r="N47">
        <v>2</v>
      </c>
      <c r="O47">
        <v>32411000</v>
      </c>
      <c r="P47">
        <v>32.411000000000001</v>
      </c>
      <c r="Q47">
        <v>1</v>
      </c>
      <c r="R47">
        <v>-11428000</v>
      </c>
      <c r="S47">
        <v>-11.428000000000001</v>
      </c>
      <c r="T47">
        <v>1</v>
      </c>
      <c r="U47">
        <v>0</v>
      </c>
      <c r="V47">
        <v>20.983000000000001</v>
      </c>
    </row>
    <row r="48" spans="12:22" x14ac:dyDescent="0.3">
      <c r="L48">
        <v>46</v>
      </c>
      <c r="M48" t="s">
        <v>32</v>
      </c>
      <c r="N48">
        <v>1</v>
      </c>
      <c r="O48">
        <v>20000000</v>
      </c>
      <c r="P48">
        <v>20</v>
      </c>
      <c r="Q48">
        <v>0</v>
      </c>
      <c r="R48">
        <v>0</v>
      </c>
      <c r="S48">
        <v>0</v>
      </c>
      <c r="T48">
        <v>0</v>
      </c>
      <c r="U48">
        <v>0</v>
      </c>
      <c r="V48">
        <v>20</v>
      </c>
    </row>
    <row r="49" spans="12:23" x14ac:dyDescent="0.3">
      <c r="L49">
        <v>47</v>
      </c>
      <c r="M49" t="s">
        <v>54</v>
      </c>
      <c r="N49">
        <v>2</v>
      </c>
      <c r="O49">
        <v>8145000</v>
      </c>
      <c r="P49">
        <v>8.1449999999999996</v>
      </c>
      <c r="Q49">
        <v>2</v>
      </c>
      <c r="R49">
        <v>3632000</v>
      </c>
      <c r="S49">
        <v>3.6320000000000001</v>
      </c>
      <c r="T49">
        <v>3</v>
      </c>
      <c r="U49">
        <v>6.571827777777778</v>
      </c>
      <c r="V49">
        <v>18.348827777777778</v>
      </c>
    </row>
    <row r="50" spans="12:23" x14ac:dyDescent="0.3">
      <c r="L50">
        <v>48</v>
      </c>
      <c r="M50" t="s">
        <v>57</v>
      </c>
      <c r="N50">
        <v>2</v>
      </c>
      <c r="O50">
        <v>13830000</v>
      </c>
      <c r="P50">
        <v>13.83</v>
      </c>
      <c r="Q50">
        <v>1</v>
      </c>
      <c r="R50">
        <v>300000</v>
      </c>
      <c r="S50">
        <v>0.3</v>
      </c>
      <c r="T50">
        <v>1</v>
      </c>
      <c r="U50">
        <v>1.0068888888888887</v>
      </c>
      <c r="V50">
        <v>15.13688888888889</v>
      </c>
    </row>
    <row r="51" spans="12:23" x14ac:dyDescent="0.3">
      <c r="L51">
        <v>49</v>
      </c>
      <c r="M51" t="s">
        <v>59</v>
      </c>
      <c r="N51">
        <v>1</v>
      </c>
      <c r="O51">
        <v>10000000</v>
      </c>
      <c r="P51">
        <v>10</v>
      </c>
      <c r="Q51">
        <v>1</v>
      </c>
      <c r="R51">
        <v>-2100000</v>
      </c>
      <c r="S51">
        <v>-2.1</v>
      </c>
      <c r="T51">
        <v>1</v>
      </c>
      <c r="U51">
        <v>0.26666666666666666</v>
      </c>
      <c r="V51">
        <v>8.1666666666666679</v>
      </c>
    </row>
    <row r="52" spans="12:23" x14ac:dyDescent="0.3">
      <c r="L52">
        <v>50</v>
      </c>
      <c r="M52" t="s">
        <v>39</v>
      </c>
      <c r="N52">
        <v>1</v>
      </c>
      <c r="O52">
        <v>197345</v>
      </c>
      <c r="P52">
        <v>0.19734499999999999</v>
      </c>
      <c r="Q52">
        <v>0</v>
      </c>
      <c r="R52">
        <v>0</v>
      </c>
      <c r="S52">
        <v>0</v>
      </c>
      <c r="T52">
        <v>4</v>
      </c>
      <c r="U52">
        <v>7.7307530173777783</v>
      </c>
      <c r="V52">
        <v>7.9280980173777786</v>
      </c>
    </row>
    <row r="53" spans="12:23" x14ac:dyDescent="0.3">
      <c r="L53">
        <v>51</v>
      </c>
      <c r="M53" t="s">
        <v>20</v>
      </c>
      <c r="N53">
        <v>5</v>
      </c>
      <c r="O53">
        <v>1620545</v>
      </c>
      <c r="P53">
        <v>1.6205449999999999</v>
      </c>
      <c r="Q53">
        <v>0</v>
      </c>
      <c r="R53">
        <v>0</v>
      </c>
      <c r="S53">
        <v>0</v>
      </c>
      <c r="T53">
        <v>8</v>
      </c>
      <c r="U53">
        <v>4.8918643511111108</v>
      </c>
      <c r="V53">
        <v>6.5124093511111107</v>
      </c>
    </row>
    <row r="54" spans="12:23" x14ac:dyDescent="0.3">
      <c r="L54">
        <v>52</v>
      </c>
      <c r="M54" t="s">
        <v>53</v>
      </c>
      <c r="N54">
        <v>1</v>
      </c>
      <c r="O54">
        <v>3000000</v>
      </c>
      <c r="P54">
        <v>3</v>
      </c>
      <c r="Q54">
        <v>0</v>
      </c>
      <c r="R54">
        <v>0</v>
      </c>
      <c r="S54">
        <v>0</v>
      </c>
      <c r="T54">
        <v>1</v>
      </c>
      <c r="U54">
        <v>2.8</v>
      </c>
      <c r="V54">
        <v>5.8</v>
      </c>
    </row>
    <row r="55" spans="12:23" x14ac:dyDescent="0.3">
      <c r="L55">
        <v>53</v>
      </c>
      <c r="M55" t="s">
        <v>56</v>
      </c>
      <c r="N55">
        <v>3</v>
      </c>
      <c r="O55">
        <v>4516000</v>
      </c>
      <c r="P55">
        <v>4.516</v>
      </c>
      <c r="Q55">
        <v>0</v>
      </c>
      <c r="R55">
        <v>0</v>
      </c>
      <c r="S55">
        <v>0</v>
      </c>
      <c r="T55">
        <v>2</v>
      </c>
      <c r="U55">
        <v>0.45093333333333335</v>
      </c>
      <c r="V55">
        <v>4.9669333333333334</v>
      </c>
    </row>
    <row r="56" spans="12:23" x14ac:dyDescent="0.3">
      <c r="L56">
        <v>54</v>
      </c>
      <c r="M56" t="s">
        <v>45</v>
      </c>
      <c r="N56">
        <v>0</v>
      </c>
      <c r="O56">
        <v>0</v>
      </c>
      <c r="P56">
        <v>0</v>
      </c>
      <c r="Q56">
        <v>1</v>
      </c>
      <c r="R56">
        <v>4000000</v>
      </c>
      <c r="S56">
        <v>4</v>
      </c>
      <c r="T56">
        <v>0</v>
      </c>
      <c r="U56">
        <v>0</v>
      </c>
      <c r="V56">
        <v>4</v>
      </c>
    </row>
    <row r="57" spans="12:23" x14ac:dyDescent="0.3">
      <c r="L57">
        <v>55</v>
      </c>
      <c r="M57" t="s">
        <v>52</v>
      </c>
      <c r="N57">
        <v>1</v>
      </c>
      <c r="O57">
        <v>2200000</v>
      </c>
      <c r="P57">
        <v>2.2000000000000002</v>
      </c>
      <c r="Q57">
        <v>0</v>
      </c>
      <c r="R57">
        <v>0</v>
      </c>
      <c r="S57">
        <v>0</v>
      </c>
      <c r="T57">
        <v>3</v>
      </c>
      <c r="U57">
        <v>1.21</v>
      </c>
      <c r="V57">
        <v>3.41</v>
      </c>
    </row>
    <row r="58" spans="12:23" x14ac:dyDescent="0.3">
      <c r="L58">
        <v>56</v>
      </c>
      <c r="M58" t="s">
        <v>46</v>
      </c>
      <c r="N58">
        <v>1</v>
      </c>
      <c r="O58">
        <v>2800000</v>
      </c>
      <c r="P58">
        <v>2.8</v>
      </c>
      <c r="Q58">
        <v>0</v>
      </c>
      <c r="R58">
        <v>0</v>
      </c>
      <c r="S58">
        <v>0</v>
      </c>
      <c r="T58">
        <v>0</v>
      </c>
      <c r="U58">
        <v>0</v>
      </c>
      <c r="V58">
        <v>2.8</v>
      </c>
    </row>
    <row r="59" spans="12:23" x14ac:dyDescent="0.3">
      <c r="L59">
        <v>57</v>
      </c>
      <c r="M59" t="s">
        <v>23</v>
      </c>
      <c r="N59">
        <v>3</v>
      </c>
      <c r="O59">
        <v>1630000</v>
      </c>
      <c r="P59">
        <v>1.63</v>
      </c>
      <c r="Q59">
        <v>1</v>
      </c>
      <c r="R59">
        <v>370000</v>
      </c>
      <c r="S59">
        <v>0.37</v>
      </c>
      <c r="T59">
        <v>2</v>
      </c>
      <c r="U59">
        <v>0.64336906222222223</v>
      </c>
      <c r="V59">
        <v>2.6433690622222223</v>
      </c>
    </row>
    <row r="60" spans="12:23" x14ac:dyDescent="0.3">
      <c r="L60">
        <v>58</v>
      </c>
      <c r="M60" t="s">
        <v>49</v>
      </c>
      <c r="N60">
        <v>1</v>
      </c>
      <c r="O60">
        <v>445494</v>
      </c>
      <c r="P60">
        <v>0.445494</v>
      </c>
      <c r="Q60">
        <v>1</v>
      </c>
      <c r="R60">
        <v>402955</v>
      </c>
      <c r="S60">
        <v>0.40295500000000001</v>
      </c>
      <c r="T60">
        <v>1</v>
      </c>
      <c r="U60">
        <v>0.24888888888888888</v>
      </c>
      <c r="V60">
        <v>1.0973378888888889</v>
      </c>
    </row>
    <row r="61" spans="12:23" x14ac:dyDescent="0.3">
      <c r="L61">
        <v>59</v>
      </c>
      <c r="M61" t="s">
        <v>36</v>
      </c>
      <c r="N61">
        <v>2</v>
      </c>
      <c r="O61">
        <v>917456</v>
      </c>
      <c r="P61">
        <v>0.91745600000000005</v>
      </c>
      <c r="Q61">
        <v>0</v>
      </c>
      <c r="R61">
        <v>0</v>
      </c>
      <c r="S61">
        <v>0</v>
      </c>
      <c r="T61">
        <v>1</v>
      </c>
      <c r="U61">
        <v>2.6666666666666668E-2</v>
      </c>
      <c r="V61">
        <v>0.94412266666666667</v>
      </c>
    </row>
    <row r="62" spans="12:23" x14ac:dyDescent="0.3">
      <c r="L62" t="s">
        <v>97</v>
      </c>
      <c r="N62">
        <v>2591</v>
      </c>
      <c r="O62">
        <v>21275893301.419998</v>
      </c>
      <c r="P62">
        <v>21275.893301420001</v>
      </c>
      <c r="Q62">
        <v>1188</v>
      </c>
      <c r="R62">
        <v>8416842049.3382816</v>
      </c>
      <c r="S62">
        <v>8416.84204933828</v>
      </c>
      <c r="T62">
        <v>5002</v>
      </c>
      <c r="U62">
        <v>6191.1145319785464</v>
      </c>
      <c r="V62">
        <v>35883.84988273686</v>
      </c>
      <c r="W6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AAF5A-3835-4116-BF2C-73027524724D}">
  <sheetPr codeName="Sheet6"/>
  <dimension ref="A1:W65"/>
  <sheetViews>
    <sheetView topLeftCell="P16" workbookViewId="0">
      <selection activeCell="V24" sqref="V24"/>
    </sheetView>
  </sheetViews>
  <sheetFormatPr defaultRowHeight="14.4" x14ac:dyDescent="0.3"/>
  <cols>
    <col min="1" max="1" width="7" bestFit="1" customWidth="1"/>
    <col min="2" max="2" width="44.88671875" bestFit="1" customWidth="1"/>
    <col min="3" max="3" width="14.5546875" bestFit="1" customWidth="1"/>
    <col min="4" max="4" width="22.21875" bestFit="1" customWidth="1"/>
    <col min="5" max="5" width="26.33203125" bestFit="1" customWidth="1"/>
    <col min="6" max="6" width="18.33203125" bestFit="1" customWidth="1"/>
    <col min="7" max="7" width="23.77734375" bestFit="1" customWidth="1"/>
    <col min="8" max="8" width="27.77734375" bestFit="1" customWidth="1"/>
    <col min="9" max="9" width="23.6640625" bestFit="1" customWidth="1"/>
    <col min="10" max="10" width="32.6640625" bestFit="1" customWidth="1"/>
    <col min="11" max="11" width="51.44140625" bestFit="1" customWidth="1"/>
    <col min="12" max="12" width="7" bestFit="1" customWidth="1"/>
    <col min="13" max="13" width="14.6640625" bestFit="1" customWidth="1"/>
    <col min="14" max="14" width="14.5546875" bestFit="1" customWidth="1"/>
    <col min="15" max="15" width="22.21875" bestFit="1" customWidth="1"/>
    <col min="16" max="16" width="26.33203125" bestFit="1" customWidth="1"/>
    <col min="17" max="17" width="18.33203125" bestFit="1" customWidth="1"/>
    <col min="18" max="18" width="23.77734375" bestFit="1" customWidth="1"/>
    <col min="19" max="19" width="27.77734375" bestFit="1" customWidth="1"/>
    <col min="20" max="20" width="23.6640625" bestFit="1" customWidth="1"/>
    <col min="21" max="21" width="32.6640625" bestFit="1" customWidth="1"/>
    <col min="22" max="22" width="51.44140625" bestFit="1" customWidth="1"/>
    <col min="23" max="23" width="2" bestFit="1" customWidth="1"/>
    <col min="24" max="24" width="12.44140625" bestFit="1" customWidth="1"/>
    <col min="25" max="25" width="13.88671875" bestFit="1" customWidth="1"/>
    <col min="26" max="26" width="38.33203125" bestFit="1" customWidth="1"/>
  </cols>
  <sheetData>
    <row r="1" spans="1:22" x14ac:dyDescent="0.3">
      <c r="A1" t="s">
        <v>66</v>
      </c>
      <c r="B1" t="s">
        <v>67</v>
      </c>
      <c r="C1" t="s">
        <v>70</v>
      </c>
      <c r="F1" t="s">
        <v>68</v>
      </c>
      <c r="I1" t="s">
        <v>69</v>
      </c>
      <c r="N1" t="s">
        <v>70</v>
      </c>
      <c r="Q1" t="s">
        <v>68</v>
      </c>
      <c r="T1" t="s">
        <v>69</v>
      </c>
      <c r="V1" t="s">
        <v>71</v>
      </c>
    </row>
    <row r="2" spans="1:22" x14ac:dyDescent="0.3">
      <c r="C2" t="s">
        <v>75</v>
      </c>
      <c r="D2" t="s">
        <v>76</v>
      </c>
      <c r="E2" t="s">
        <v>72</v>
      </c>
      <c r="F2" t="s">
        <v>99</v>
      </c>
      <c r="G2" t="s">
        <v>100</v>
      </c>
      <c r="H2" t="s">
        <v>101</v>
      </c>
      <c r="I2" t="s">
        <v>73</v>
      </c>
      <c r="J2" t="s">
        <v>77</v>
      </c>
      <c r="K2" t="s">
        <v>71</v>
      </c>
      <c r="L2" t="s">
        <v>66</v>
      </c>
      <c r="M2" t="s">
        <v>74</v>
      </c>
      <c r="N2" t="s">
        <v>75</v>
      </c>
      <c r="O2" t="s">
        <v>76</v>
      </c>
      <c r="P2" t="s">
        <v>72</v>
      </c>
      <c r="Q2" t="s">
        <v>99</v>
      </c>
      <c r="R2" t="s">
        <v>100</v>
      </c>
      <c r="S2" t="s">
        <v>101</v>
      </c>
      <c r="T2" t="s">
        <v>73</v>
      </c>
      <c r="U2" t="s">
        <v>77</v>
      </c>
      <c r="V2" t="s">
        <v>71</v>
      </c>
    </row>
    <row r="3" spans="1:22" x14ac:dyDescent="0.3">
      <c r="A3">
        <v>1</v>
      </c>
      <c r="B3" t="s">
        <v>78</v>
      </c>
      <c r="C3">
        <v>1065</v>
      </c>
      <c r="D3">
        <v>9067458901.3600006</v>
      </c>
      <c r="E3">
        <v>9067.4589013599998</v>
      </c>
      <c r="F3">
        <v>743</v>
      </c>
      <c r="G3">
        <v>5093781230.5610552</v>
      </c>
      <c r="H3">
        <v>5093.7812305610551</v>
      </c>
      <c r="I3">
        <v>1528</v>
      </c>
      <c r="J3">
        <v>2426.7983857663912</v>
      </c>
      <c r="K3">
        <v>16588.038517687448</v>
      </c>
      <c r="L3">
        <v>1</v>
      </c>
      <c r="M3" t="s">
        <v>0</v>
      </c>
      <c r="N3">
        <v>622</v>
      </c>
      <c r="O3">
        <v>5041052588</v>
      </c>
      <c r="P3">
        <v>5041.0525879999996</v>
      </c>
      <c r="Q3">
        <v>167</v>
      </c>
      <c r="R3">
        <v>775133566</v>
      </c>
      <c r="S3">
        <v>775.13356599999997</v>
      </c>
      <c r="T3">
        <v>803</v>
      </c>
      <c r="U3">
        <v>1703.1276567214888</v>
      </c>
      <c r="V3">
        <v>7519.3138107214882</v>
      </c>
    </row>
    <row r="4" spans="1:22" x14ac:dyDescent="0.3">
      <c r="A4">
        <v>2</v>
      </c>
      <c r="B4" t="s">
        <v>79</v>
      </c>
      <c r="C4">
        <v>19</v>
      </c>
      <c r="D4">
        <v>1631330648</v>
      </c>
      <c r="E4">
        <v>1631.3306480000001</v>
      </c>
      <c r="F4">
        <v>2</v>
      </c>
      <c r="G4">
        <v>-3651078</v>
      </c>
      <c r="H4">
        <v>-3.651078</v>
      </c>
      <c r="I4">
        <v>0</v>
      </c>
      <c r="J4">
        <v>0</v>
      </c>
      <c r="K4">
        <v>1627.67957</v>
      </c>
      <c r="L4">
        <v>2</v>
      </c>
      <c r="M4" t="s">
        <v>1</v>
      </c>
      <c r="N4">
        <v>1029</v>
      </c>
      <c r="O4">
        <v>784811386.36000001</v>
      </c>
      <c r="P4">
        <v>784.81138636000003</v>
      </c>
      <c r="Q4">
        <v>254</v>
      </c>
      <c r="R4">
        <v>170723791</v>
      </c>
      <c r="S4">
        <v>170.72379100000001</v>
      </c>
      <c r="T4">
        <v>3710</v>
      </c>
      <c r="U4">
        <v>4993.1112594317137</v>
      </c>
      <c r="V4">
        <v>5948.6464367917142</v>
      </c>
    </row>
    <row r="5" spans="1:22" x14ac:dyDescent="0.3">
      <c r="A5">
        <v>3</v>
      </c>
      <c r="B5" t="s">
        <v>80</v>
      </c>
      <c r="C5">
        <v>92</v>
      </c>
      <c r="D5">
        <v>5216777980</v>
      </c>
      <c r="E5">
        <v>5216.7779799999998</v>
      </c>
      <c r="F5">
        <v>31</v>
      </c>
      <c r="G5">
        <v>727437252</v>
      </c>
      <c r="H5">
        <v>727.43725199999994</v>
      </c>
      <c r="I5">
        <v>147</v>
      </c>
      <c r="J5">
        <v>671.10970676258262</v>
      </c>
      <c r="K5">
        <v>6615.324938762582</v>
      </c>
      <c r="L5">
        <v>3</v>
      </c>
      <c r="M5" t="s">
        <v>5</v>
      </c>
      <c r="N5">
        <v>111</v>
      </c>
      <c r="O5">
        <v>723844601</v>
      </c>
      <c r="P5">
        <v>723.84460100000001</v>
      </c>
      <c r="Q5">
        <v>50</v>
      </c>
      <c r="R5">
        <v>1829642359</v>
      </c>
      <c r="S5">
        <v>1829.6423589999999</v>
      </c>
      <c r="T5">
        <v>57</v>
      </c>
      <c r="U5">
        <v>540.0050670535918</v>
      </c>
      <c r="V5">
        <v>3093.4920270535922</v>
      </c>
    </row>
    <row r="6" spans="1:22" x14ac:dyDescent="0.3">
      <c r="A6">
        <v>4</v>
      </c>
      <c r="B6" t="s">
        <v>81</v>
      </c>
      <c r="C6">
        <v>114</v>
      </c>
      <c r="D6">
        <v>217669265</v>
      </c>
      <c r="E6">
        <v>217.669265</v>
      </c>
      <c r="F6">
        <v>38</v>
      </c>
      <c r="G6">
        <v>26743485</v>
      </c>
      <c r="H6">
        <v>26.743485</v>
      </c>
      <c r="I6">
        <v>255</v>
      </c>
      <c r="J6">
        <v>938.66062011893166</v>
      </c>
      <c r="K6">
        <v>1183.0733701189317</v>
      </c>
      <c r="L6">
        <v>4</v>
      </c>
      <c r="M6" t="s">
        <v>2</v>
      </c>
      <c r="N6">
        <v>215</v>
      </c>
      <c r="O6">
        <v>1216584859</v>
      </c>
      <c r="P6">
        <v>1216.5848590000001</v>
      </c>
      <c r="Q6">
        <v>135</v>
      </c>
      <c r="R6">
        <v>548371823.84000003</v>
      </c>
      <c r="S6">
        <v>548.37182384000005</v>
      </c>
      <c r="T6">
        <v>492</v>
      </c>
      <c r="U6">
        <v>562.20352383799388</v>
      </c>
      <c r="V6">
        <v>2327.1602066779942</v>
      </c>
    </row>
    <row r="7" spans="1:22" x14ac:dyDescent="0.3">
      <c r="A7">
        <v>5</v>
      </c>
      <c r="B7" t="s">
        <v>82</v>
      </c>
      <c r="C7">
        <v>757</v>
      </c>
      <c r="D7">
        <v>704533419</v>
      </c>
      <c r="E7">
        <v>704.53341899999998</v>
      </c>
      <c r="F7">
        <v>119</v>
      </c>
      <c r="G7">
        <v>105263028</v>
      </c>
      <c r="H7">
        <v>105.26302800000001</v>
      </c>
      <c r="I7">
        <v>2829</v>
      </c>
      <c r="J7">
        <v>2863.1118280000023</v>
      </c>
      <c r="K7">
        <v>3672.9082750000025</v>
      </c>
      <c r="L7">
        <v>5</v>
      </c>
      <c r="M7" t="s">
        <v>8</v>
      </c>
      <c r="N7">
        <v>45</v>
      </c>
      <c r="O7">
        <v>1803512051</v>
      </c>
      <c r="P7">
        <v>1803.5120509999999</v>
      </c>
      <c r="Q7">
        <v>25</v>
      </c>
      <c r="R7">
        <v>148429004</v>
      </c>
      <c r="S7">
        <v>148.42900399999999</v>
      </c>
      <c r="T7">
        <v>60</v>
      </c>
      <c r="U7">
        <v>162.73866982821247</v>
      </c>
      <c r="V7">
        <v>2114.6797248282123</v>
      </c>
    </row>
    <row r="8" spans="1:22" x14ac:dyDescent="0.3">
      <c r="A8">
        <v>6</v>
      </c>
      <c r="B8" t="s">
        <v>83</v>
      </c>
      <c r="C8">
        <v>11</v>
      </c>
      <c r="D8">
        <v>71154916</v>
      </c>
      <c r="E8">
        <v>71.154916</v>
      </c>
      <c r="F8">
        <v>14</v>
      </c>
      <c r="G8">
        <v>61160616</v>
      </c>
      <c r="H8">
        <v>61.160615999999997</v>
      </c>
      <c r="I8">
        <v>28</v>
      </c>
      <c r="J8">
        <v>8.5322779675047862</v>
      </c>
      <c r="K8">
        <v>140.84780996750479</v>
      </c>
      <c r="L8">
        <v>6</v>
      </c>
      <c r="M8" t="s">
        <v>3</v>
      </c>
      <c r="N8">
        <v>125</v>
      </c>
      <c r="O8">
        <v>988993579</v>
      </c>
      <c r="P8">
        <v>988.99357899999995</v>
      </c>
      <c r="Q8">
        <v>21</v>
      </c>
      <c r="R8">
        <v>63211621</v>
      </c>
      <c r="S8">
        <v>63.211621000000001</v>
      </c>
      <c r="T8">
        <v>211</v>
      </c>
      <c r="U8">
        <v>403.37421130749152</v>
      </c>
      <c r="V8">
        <v>1455.5794113074915</v>
      </c>
    </row>
    <row r="9" spans="1:22" x14ac:dyDescent="0.3">
      <c r="A9">
        <v>7</v>
      </c>
      <c r="B9" t="s">
        <v>84</v>
      </c>
      <c r="C9">
        <v>386</v>
      </c>
      <c r="D9">
        <v>183365170</v>
      </c>
      <c r="E9">
        <v>183.36517000000001</v>
      </c>
      <c r="F9">
        <v>88</v>
      </c>
      <c r="G9">
        <v>144045329</v>
      </c>
      <c r="H9">
        <v>144.04532900000001</v>
      </c>
      <c r="I9">
        <v>584</v>
      </c>
      <c r="J9">
        <v>1820.0035041070746</v>
      </c>
      <c r="K9">
        <v>2147.4140031070747</v>
      </c>
      <c r="L9">
        <v>7</v>
      </c>
      <c r="M9" t="s">
        <v>20</v>
      </c>
      <c r="N9">
        <v>8</v>
      </c>
      <c r="O9">
        <v>27693595</v>
      </c>
      <c r="P9">
        <v>27.693594999999998</v>
      </c>
      <c r="Q9">
        <v>5</v>
      </c>
      <c r="R9">
        <v>1139999096</v>
      </c>
      <c r="S9">
        <v>1139.999096</v>
      </c>
      <c r="T9">
        <v>16</v>
      </c>
      <c r="U9">
        <v>104.69344224938001</v>
      </c>
      <c r="V9">
        <v>1272.38613324938</v>
      </c>
    </row>
    <row r="10" spans="1:22" x14ac:dyDescent="0.3">
      <c r="A10">
        <v>8</v>
      </c>
      <c r="B10" t="s">
        <v>85</v>
      </c>
      <c r="C10">
        <v>73</v>
      </c>
      <c r="D10">
        <v>206470370</v>
      </c>
      <c r="E10">
        <v>206.47037</v>
      </c>
      <c r="F10">
        <v>24</v>
      </c>
      <c r="G10">
        <v>52898810</v>
      </c>
      <c r="H10">
        <v>52.898809999999997</v>
      </c>
      <c r="I10">
        <v>131</v>
      </c>
      <c r="J10">
        <v>146.16498301128743</v>
      </c>
      <c r="K10">
        <v>405.53416301128743</v>
      </c>
      <c r="L10">
        <v>8</v>
      </c>
      <c r="M10" t="s">
        <v>4</v>
      </c>
      <c r="N10">
        <v>173</v>
      </c>
      <c r="O10">
        <v>394690566</v>
      </c>
      <c r="P10">
        <v>394.69056599999999</v>
      </c>
      <c r="Q10">
        <v>116</v>
      </c>
      <c r="R10">
        <v>677553165.13999999</v>
      </c>
      <c r="S10">
        <v>677.55316514000003</v>
      </c>
      <c r="T10">
        <v>156</v>
      </c>
      <c r="U10">
        <v>51.753875643488804</v>
      </c>
      <c r="V10">
        <v>1123.9976067834887</v>
      </c>
    </row>
    <row r="11" spans="1:22" x14ac:dyDescent="0.3">
      <c r="A11">
        <v>9</v>
      </c>
      <c r="B11" t="s">
        <v>86</v>
      </c>
      <c r="C11">
        <v>102</v>
      </c>
      <c r="D11">
        <v>27363603</v>
      </c>
      <c r="E11">
        <v>27.363603000000001</v>
      </c>
      <c r="F11">
        <v>21</v>
      </c>
      <c r="G11">
        <v>59820955</v>
      </c>
      <c r="H11">
        <v>59.820954999999998</v>
      </c>
      <c r="I11">
        <v>311</v>
      </c>
      <c r="J11">
        <v>491.34076173368044</v>
      </c>
      <c r="K11">
        <v>578.52531973368048</v>
      </c>
      <c r="L11">
        <v>9</v>
      </c>
      <c r="M11" t="s">
        <v>6</v>
      </c>
      <c r="N11">
        <v>30</v>
      </c>
      <c r="O11">
        <v>453319630</v>
      </c>
      <c r="P11">
        <v>453.31963000000002</v>
      </c>
      <c r="Q11">
        <v>27</v>
      </c>
      <c r="R11">
        <v>317531788</v>
      </c>
      <c r="S11">
        <v>317.53178800000001</v>
      </c>
      <c r="T11">
        <v>43</v>
      </c>
      <c r="U11">
        <v>65.971710406174438</v>
      </c>
      <c r="V11">
        <v>836.82312840617442</v>
      </c>
    </row>
    <row r="12" spans="1:22" x14ac:dyDescent="0.3">
      <c r="A12">
        <v>10</v>
      </c>
      <c r="B12" t="s">
        <v>87</v>
      </c>
      <c r="C12">
        <v>243</v>
      </c>
      <c r="D12">
        <v>273715241</v>
      </c>
      <c r="E12">
        <v>273.71524099999999</v>
      </c>
      <c r="F12">
        <v>47</v>
      </c>
      <c r="G12">
        <v>90798181</v>
      </c>
      <c r="H12">
        <v>90.798181</v>
      </c>
      <c r="I12">
        <v>321</v>
      </c>
      <c r="J12">
        <v>196.35722740521683</v>
      </c>
      <c r="K12">
        <v>560.8706494052168</v>
      </c>
      <c r="L12">
        <v>10</v>
      </c>
      <c r="M12" t="s">
        <v>10</v>
      </c>
      <c r="N12">
        <v>86</v>
      </c>
      <c r="O12">
        <v>275097046</v>
      </c>
      <c r="P12">
        <v>275.09704599999998</v>
      </c>
      <c r="Q12">
        <v>88</v>
      </c>
      <c r="R12">
        <v>220073323</v>
      </c>
      <c r="S12">
        <v>220.07332299999999</v>
      </c>
      <c r="T12">
        <v>166</v>
      </c>
      <c r="U12">
        <v>193.11031603076967</v>
      </c>
      <c r="V12">
        <v>688.28068503076963</v>
      </c>
    </row>
    <row r="13" spans="1:22" x14ac:dyDescent="0.3">
      <c r="A13">
        <v>11</v>
      </c>
      <c r="B13" t="s">
        <v>88</v>
      </c>
      <c r="C13">
        <v>77</v>
      </c>
      <c r="D13">
        <v>52956787</v>
      </c>
      <c r="E13">
        <v>52.956786999999998</v>
      </c>
      <c r="F13">
        <v>13</v>
      </c>
      <c r="G13">
        <v>64570304</v>
      </c>
      <c r="H13">
        <v>64.570303999999993</v>
      </c>
      <c r="I13">
        <v>170</v>
      </c>
      <c r="J13">
        <v>96.441131219535293</v>
      </c>
      <c r="K13">
        <v>213.96822221953528</v>
      </c>
      <c r="L13">
        <v>11</v>
      </c>
      <c r="M13" t="s">
        <v>11</v>
      </c>
      <c r="N13">
        <v>44</v>
      </c>
      <c r="O13">
        <v>235980639</v>
      </c>
      <c r="P13">
        <v>235.980639</v>
      </c>
      <c r="Q13">
        <v>28</v>
      </c>
      <c r="R13">
        <v>299182802.58105469</v>
      </c>
      <c r="S13">
        <v>299.18280258105466</v>
      </c>
      <c r="T13">
        <v>50</v>
      </c>
      <c r="U13">
        <v>61.845554545580008</v>
      </c>
      <c r="V13">
        <v>597.00899612663477</v>
      </c>
    </row>
    <row r="14" spans="1:22" x14ac:dyDescent="0.3">
      <c r="A14">
        <v>12</v>
      </c>
      <c r="B14" t="s">
        <v>89</v>
      </c>
      <c r="C14">
        <v>9</v>
      </c>
      <c r="D14">
        <v>3953647</v>
      </c>
      <c r="E14">
        <v>3.9536470000000001</v>
      </c>
      <c r="F14">
        <v>3</v>
      </c>
      <c r="G14">
        <v>377400</v>
      </c>
      <c r="H14">
        <v>0.37740000000000001</v>
      </c>
      <c r="I14">
        <v>18</v>
      </c>
      <c r="J14">
        <v>3.4347732448880004</v>
      </c>
      <c r="K14">
        <v>7.7658202448880003</v>
      </c>
      <c r="L14">
        <v>12</v>
      </c>
      <c r="M14" t="s">
        <v>7</v>
      </c>
      <c r="N14">
        <v>67</v>
      </c>
      <c r="O14">
        <v>183782447</v>
      </c>
      <c r="P14">
        <v>183.78244699999999</v>
      </c>
      <c r="Q14">
        <v>36</v>
      </c>
      <c r="R14">
        <v>318891064</v>
      </c>
      <c r="S14">
        <v>318.89106399999997</v>
      </c>
      <c r="T14">
        <v>44</v>
      </c>
      <c r="U14">
        <v>40.323069181133988</v>
      </c>
      <c r="V14">
        <v>542.99658018113394</v>
      </c>
    </row>
    <row r="15" spans="1:22" x14ac:dyDescent="0.3">
      <c r="A15">
        <v>13</v>
      </c>
      <c r="B15" t="s">
        <v>90</v>
      </c>
      <c r="C15">
        <v>70</v>
      </c>
      <c r="D15">
        <v>30969474</v>
      </c>
      <c r="E15">
        <v>30.969474000000002</v>
      </c>
      <c r="F15">
        <v>14</v>
      </c>
      <c r="G15">
        <v>30884192</v>
      </c>
      <c r="H15">
        <v>30.884191999999999</v>
      </c>
      <c r="I15">
        <v>92</v>
      </c>
      <c r="J15">
        <v>28.866062511456995</v>
      </c>
      <c r="K15">
        <v>90.719728511456992</v>
      </c>
      <c r="L15">
        <v>13</v>
      </c>
      <c r="M15" t="s">
        <v>16</v>
      </c>
      <c r="N15">
        <v>29</v>
      </c>
      <c r="O15">
        <v>348654025</v>
      </c>
      <c r="P15">
        <v>348.65402499999999</v>
      </c>
      <c r="Q15">
        <v>20</v>
      </c>
      <c r="R15">
        <v>96975824</v>
      </c>
      <c r="S15">
        <v>96.975824000000003</v>
      </c>
      <c r="T15">
        <v>32</v>
      </c>
      <c r="U15">
        <v>35.051236407670011</v>
      </c>
      <c r="V15">
        <v>480.68108540766997</v>
      </c>
    </row>
    <row r="16" spans="1:22" x14ac:dyDescent="0.3">
      <c r="A16">
        <v>14</v>
      </c>
      <c r="B16" t="s">
        <v>91</v>
      </c>
      <c r="C16">
        <v>7</v>
      </c>
      <c r="D16">
        <v>232391990</v>
      </c>
      <c r="E16">
        <v>232.39198999999999</v>
      </c>
      <c r="F16">
        <v>3</v>
      </c>
      <c r="G16">
        <v>10192138</v>
      </c>
      <c r="H16">
        <v>10.192138</v>
      </c>
      <c r="I16">
        <v>9</v>
      </c>
      <c r="J16">
        <v>16.624275333300002</v>
      </c>
      <c r="K16">
        <v>259.2084033333</v>
      </c>
      <c r="L16">
        <v>14</v>
      </c>
      <c r="M16" t="s">
        <v>15</v>
      </c>
      <c r="N16">
        <v>29</v>
      </c>
      <c r="O16">
        <v>127537938</v>
      </c>
      <c r="P16">
        <v>127.537938</v>
      </c>
      <c r="Q16">
        <v>47</v>
      </c>
      <c r="R16">
        <v>277837860</v>
      </c>
      <c r="S16">
        <v>277.83785999999998</v>
      </c>
      <c r="T16">
        <v>55</v>
      </c>
      <c r="U16">
        <v>73.042708667826005</v>
      </c>
      <c r="V16">
        <v>478.41850666782597</v>
      </c>
    </row>
    <row r="17" spans="1:22" x14ac:dyDescent="0.3">
      <c r="A17">
        <v>15</v>
      </c>
      <c r="B17" t="s">
        <v>92</v>
      </c>
      <c r="C17">
        <v>7</v>
      </c>
      <c r="D17">
        <v>14170000</v>
      </c>
      <c r="E17">
        <v>14.17</v>
      </c>
      <c r="F17">
        <v>4</v>
      </c>
      <c r="G17">
        <v>3412280</v>
      </c>
      <c r="H17">
        <v>3.41228</v>
      </c>
      <c r="I17">
        <v>33</v>
      </c>
      <c r="J17">
        <v>115.226668197729</v>
      </c>
      <c r="K17">
        <v>132.80894819772899</v>
      </c>
      <c r="L17">
        <v>15</v>
      </c>
      <c r="M17" t="s">
        <v>25</v>
      </c>
      <c r="N17">
        <v>29</v>
      </c>
      <c r="O17">
        <v>322856122</v>
      </c>
      <c r="P17">
        <v>322.85612200000003</v>
      </c>
      <c r="Q17">
        <v>5</v>
      </c>
      <c r="R17">
        <v>107975704</v>
      </c>
      <c r="S17">
        <v>107.97570399999999</v>
      </c>
      <c r="T17">
        <v>24</v>
      </c>
      <c r="U17">
        <v>31.099206433623902</v>
      </c>
      <c r="V17">
        <v>461.93103243362395</v>
      </c>
    </row>
    <row r="18" spans="1:22" x14ac:dyDescent="0.3">
      <c r="A18">
        <v>16</v>
      </c>
      <c r="B18" t="s">
        <v>93</v>
      </c>
      <c r="C18">
        <v>2</v>
      </c>
      <c r="D18">
        <v>25396887</v>
      </c>
      <c r="E18">
        <v>25.396887</v>
      </c>
      <c r="F18">
        <v>0</v>
      </c>
      <c r="G18">
        <v>0</v>
      </c>
      <c r="H18">
        <v>0</v>
      </c>
      <c r="I18">
        <v>0</v>
      </c>
      <c r="J18">
        <v>0</v>
      </c>
      <c r="K18">
        <v>25.396887</v>
      </c>
      <c r="L18">
        <v>16</v>
      </c>
      <c r="M18" t="s">
        <v>12</v>
      </c>
      <c r="N18">
        <v>14</v>
      </c>
      <c r="O18">
        <v>387088987</v>
      </c>
      <c r="P18">
        <v>387.08898699999997</v>
      </c>
      <c r="Q18">
        <v>16</v>
      </c>
      <c r="R18">
        <v>33881873</v>
      </c>
      <c r="S18">
        <v>33.881872999999999</v>
      </c>
      <c r="T18">
        <v>22</v>
      </c>
      <c r="U18">
        <v>24.508203396900004</v>
      </c>
      <c r="V18">
        <v>445.47906339689996</v>
      </c>
    </row>
    <row r="19" spans="1:22" x14ac:dyDescent="0.3">
      <c r="A19">
        <v>17</v>
      </c>
      <c r="B19" t="s">
        <v>94</v>
      </c>
      <c r="C19">
        <v>7</v>
      </c>
      <c r="D19">
        <v>6198139</v>
      </c>
      <c r="E19">
        <v>6.1981390000000003</v>
      </c>
      <c r="F19">
        <v>1</v>
      </c>
      <c r="G19">
        <v>1124999936</v>
      </c>
      <c r="H19">
        <v>1124.9999359999999</v>
      </c>
      <c r="I19">
        <v>9</v>
      </c>
      <c r="J19">
        <v>2.4369575557500003</v>
      </c>
      <c r="K19">
        <v>1133.6350325557501</v>
      </c>
      <c r="L19">
        <v>17</v>
      </c>
      <c r="M19" t="s">
        <v>9</v>
      </c>
      <c r="N19">
        <v>42</v>
      </c>
      <c r="O19">
        <v>329865656</v>
      </c>
      <c r="P19">
        <v>329.865656</v>
      </c>
      <c r="Q19">
        <v>32</v>
      </c>
      <c r="R19">
        <v>91670955</v>
      </c>
      <c r="S19">
        <v>91.670955000000006</v>
      </c>
      <c r="T19">
        <v>21</v>
      </c>
      <c r="U19">
        <v>15.212370916983001</v>
      </c>
      <c r="V19">
        <v>436.74898191698298</v>
      </c>
    </row>
    <row r="20" spans="1:22" x14ac:dyDescent="0.3">
      <c r="A20">
        <v>18</v>
      </c>
      <c r="B20" t="s">
        <v>95</v>
      </c>
      <c r="C20">
        <v>5</v>
      </c>
      <c r="D20">
        <v>10296055</v>
      </c>
      <c r="E20">
        <v>10.296055000000001</v>
      </c>
      <c r="F20">
        <v>4</v>
      </c>
      <c r="G20">
        <v>3920849</v>
      </c>
      <c r="H20">
        <v>3.920849</v>
      </c>
      <c r="I20">
        <v>31</v>
      </c>
      <c r="J20">
        <v>67.619067331629992</v>
      </c>
      <c r="K20">
        <v>81.835971331629992</v>
      </c>
      <c r="L20">
        <v>18</v>
      </c>
      <c r="M20" t="s">
        <v>30</v>
      </c>
      <c r="N20">
        <v>8</v>
      </c>
      <c r="O20">
        <v>387530106</v>
      </c>
      <c r="P20">
        <v>387.53010599999999</v>
      </c>
      <c r="Q20">
        <v>0</v>
      </c>
      <c r="R20">
        <v>0</v>
      </c>
      <c r="S20">
        <v>0</v>
      </c>
      <c r="T20">
        <v>5</v>
      </c>
      <c r="U20">
        <v>14.118503577777799</v>
      </c>
      <c r="V20">
        <v>401.64860957777779</v>
      </c>
    </row>
    <row r="21" spans="1:22" x14ac:dyDescent="0.3">
      <c r="A21">
        <v>19</v>
      </c>
      <c r="B21" t="s">
        <v>96</v>
      </c>
      <c r="C21" t="e">
        <v>#N/A</v>
      </c>
      <c r="D21" t="e">
        <v>#N/A</v>
      </c>
      <c r="E21" t="e">
        <v>#N/A</v>
      </c>
      <c r="F21" t="e">
        <v>#N/A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L21">
        <v>19</v>
      </c>
      <c r="M21" t="s">
        <v>22</v>
      </c>
      <c r="N21">
        <v>7</v>
      </c>
      <c r="O21">
        <v>385735268</v>
      </c>
      <c r="P21">
        <v>385.73526800000002</v>
      </c>
      <c r="Q21">
        <v>0</v>
      </c>
      <c r="R21">
        <v>0</v>
      </c>
      <c r="S21">
        <v>0</v>
      </c>
      <c r="T21">
        <v>12</v>
      </c>
      <c r="U21">
        <v>12.409848879506669</v>
      </c>
      <c r="V21">
        <v>398.1451168795067</v>
      </c>
    </row>
    <row r="22" spans="1:22" x14ac:dyDescent="0.3">
      <c r="A22" t="s">
        <v>97</v>
      </c>
      <c r="C22">
        <v>3046</v>
      </c>
      <c r="D22">
        <v>17976172492.360001</v>
      </c>
      <c r="E22">
        <v>17976.172492359998</v>
      </c>
      <c r="F22">
        <v>1169</v>
      </c>
      <c r="G22">
        <v>7596654907.5610552</v>
      </c>
      <c r="H22">
        <v>7596.6549075610556</v>
      </c>
      <c r="I22">
        <v>6496</v>
      </c>
      <c r="J22">
        <v>9892.728230266961</v>
      </c>
      <c r="K22">
        <v>35465.555630188028</v>
      </c>
      <c r="L22">
        <v>20</v>
      </c>
      <c r="M22" t="s">
        <v>41</v>
      </c>
      <c r="N22">
        <v>4</v>
      </c>
      <c r="O22">
        <v>382811668</v>
      </c>
      <c r="P22">
        <v>382.811668</v>
      </c>
      <c r="Q22">
        <v>5</v>
      </c>
      <c r="R22">
        <v>-4313869</v>
      </c>
      <c r="S22">
        <v>-4.3138690000000004</v>
      </c>
      <c r="T22">
        <v>12</v>
      </c>
      <c r="U22">
        <v>16.46035647643</v>
      </c>
      <c r="V22">
        <v>394.95815547642997</v>
      </c>
    </row>
    <row r="23" spans="1:22" x14ac:dyDescent="0.3">
      <c r="L23">
        <v>21</v>
      </c>
      <c r="M23" t="s">
        <v>13</v>
      </c>
      <c r="N23">
        <v>59</v>
      </c>
      <c r="O23">
        <v>268450247</v>
      </c>
      <c r="P23">
        <v>268.45024699999999</v>
      </c>
      <c r="Q23">
        <v>5</v>
      </c>
      <c r="R23">
        <v>87195239</v>
      </c>
      <c r="S23">
        <v>87.195239000000001</v>
      </c>
      <c r="T23">
        <v>61</v>
      </c>
      <c r="U23">
        <v>29.538277249431005</v>
      </c>
      <c r="V23">
        <v>385.18376324943102</v>
      </c>
    </row>
    <row r="24" spans="1:22" x14ac:dyDescent="0.3">
      <c r="L24">
        <v>22</v>
      </c>
      <c r="M24" t="s">
        <v>31</v>
      </c>
      <c r="N24">
        <v>1</v>
      </c>
      <c r="O24">
        <v>365760000</v>
      </c>
      <c r="P24">
        <v>365.76</v>
      </c>
      <c r="Q24">
        <v>1</v>
      </c>
      <c r="R24">
        <v>1960000</v>
      </c>
      <c r="S24">
        <v>1.96</v>
      </c>
      <c r="T24">
        <v>1</v>
      </c>
      <c r="U24">
        <v>0.3484444444</v>
      </c>
      <c r="V24">
        <v>368.06844444439997</v>
      </c>
    </row>
    <row r="25" spans="1:22" x14ac:dyDescent="0.3">
      <c r="L25">
        <v>23</v>
      </c>
      <c r="M25" t="s">
        <v>29</v>
      </c>
      <c r="N25">
        <v>14</v>
      </c>
      <c r="O25">
        <v>356337581</v>
      </c>
      <c r="P25">
        <v>356.337581</v>
      </c>
      <c r="Q25">
        <v>1</v>
      </c>
      <c r="R25">
        <v>10000000</v>
      </c>
      <c r="S25">
        <v>10</v>
      </c>
      <c r="T25">
        <v>1</v>
      </c>
      <c r="U25">
        <v>4.8888888890000003E-2</v>
      </c>
      <c r="V25">
        <v>366.38646988889002</v>
      </c>
    </row>
    <row r="26" spans="1:22" x14ac:dyDescent="0.3">
      <c r="L26">
        <v>24</v>
      </c>
      <c r="M26" t="s">
        <v>18</v>
      </c>
      <c r="N26">
        <v>16</v>
      </c>
      <c r="O26">
        <v>52417620</v>
      </c>
      <c r="P26">
        <v>52.417619999999999</v>
      </c>
      <c r="Q26">
        <v>2</v>
      </c>
      <c r="R26">
        <v>14300000</v>
      </c>
      <c r="S26">
        <v>14.3</v>
      </c>
      <c r="T26">
        <v>21</v>
      </c>
      <c r="U26">
        <v>297.95747975712004</v>
      </c>
      <c r="V26">
        <v>364.67509975712005</v>
      </c>
    </row>
    <row r="27" spans="1:22" x14ac:dyDescent="0.3">
      <c r="L27">
        <v>25</v>
      </c>
      <c r="M27" t="s">
        <v>44</v>
      </c>
      <c r="N27">
        <v>4</v>
      </c>
      <c r="O27">
        <v>353588553</v>
      </c>
      <c r="P27">
        <v>353.58855299999999</v>
      </c>
      <c r="Q27">
        <v>1</v>
      </c>
      <c r="R27">
        <v>-217391</v>
      </c>
      <c r="S27">
        <v>-0.217391</v>
      </c>
      <c r="T27">
        <v>2</v>
      </c>
      <c r="U27">
        <v>0.52444444449000005</v>
      </c>
      <c r="V27">
        <v>353.89560644448994</v>
      </c>
    </row>
    <row r="28" spans="1:22" x14ac:dyDescent="0.3">
      <c r="L28">
        <v>26</v>
      </c>
      <c r="M28" t="s">
        <v>14</v>
      </c>
      <c r="N28">
        <v>102</v>
      </c>
      <c r="O28">
        <v>267962115</v>
      </c>
      <c r="P28">
        <v>267.96211499999998</v>
      </c>
      <c r="Q28">
        <v>9</v>
      </c>
      <c r="R28">
        <v>1102725</v>
      </c>
      <c r="S28">
        <v>1.102725</v>
      </c>
      <c r="T28">
        <v>180</v>
      </c>
      <c r="U28">
        <v>42.744157609056295</v>
      </c>
      <c r="V28">
        <v>311.80899760905629</v>
      </c>
    </row>
    <row r="29" spans="1:22" x14ac:dyDescent="0.3">
      <c r="L29">
        <v>27</v>
      </c>
      <c r="M29" t="s">
        <v>40</v>
      </c>
      <c r="N29">
        <v>15</v>
      </c>
      <c r="O29">
        <v>137478485</v>
      </c>
      <c r="P29">
        <v>137.47848500000001</v>
      </c>
      <c r="Q29">
        <v>9</v>
      </c>
      <c r="R29">
        <v>34200000</v>
      </c>
      <c r="S29">
        <v>34.200000000000003</v>
      </c>
      <c r="T29">
        <v>13</v>
      </c>
      <c r="U29">
        <v>107.11479711116</v>
      </c>
      <c r="V29">
        <v>278.79328211116001</v>
      </c>
    </row>
    <row r="30" spans="1:22" x14ac:dyDescent="0.3">
      <c r="L30">
        <v>28</v>
      </c>
      <c r="M30" t="s">
        <v>17</v>
      </c>
      <c r="N30">
        <v>10</v>
      </c>
      <c r="O30">
        <v>103161301</v>
      </c>
      <c r="P30">
        <v>103.16130099999999</v>
      </c>
      <c r="Q30">
        <v>14</v>
      </c>
      <c r="R30">
        <v>106182000</v>
      </c>
      <c r="S30">
        <v>106.182</v>
      </c>
      <c r="T30">
        <v>9</v>
      </c>
      <c r="U30">
        <v>37.620386552730004</v>
      </c>
      <c r="V30">
        <v>246.96368755272999</v>
      </c>
    </row>
    <row r="31" spans="1:22" x14ac:dyDescent="0.3">
      <c r="L31">
        <v>29</v>
      </c>
      <c r="M31" t="s">
        <v>61</v>
      </c>
      <c r="N31">
        <v>2</v>
      </c>
      <c r="O31">
        <v>200087652</v>
      </c>
      <c r="P31">
        <v>200.08765199999999</v>
      </c>
      <c r="Q31">
        <v>2</v>
      </c>
      <c r="R31">
        <v>12000000</v>
      </c>
      <c r="S31">
        <v>12</v>
      </c>
      <c r="T31">
        <v>8</v>
      </c>
      <c r="U31">
        <v>3.0736335112399997</v>
      </c>
      <c r="V31">
        <v>215.16128551123998</v>
      </c>
    </row>
    <row r="32" spans="1:22" x14ac:dyDescent="0.3">
      <c r="L32">
        <v>30</v>
      </c>
      <c r="M32" t="s">
        <v>28</v>
      </c>
      <c r="N32">
        <v>12</v>
      </c>
      <c r="O32">
        <v>115081992</v>
      </c>
      <c r="P32">
        <v>115.081992</v>
      </c>
      <c r="Q32">
        <v>6</v>
      </c>
      <c r="R32">
        <v>51548154</v>
      </c>
      <c r="S32">
        <v>51.548153999999997</v>
      </c>
      <c r="T32">
        <v>8</v>
      </c>
      <c r="U32">
        <v>40.563545666669995</v>
      </c>
      <c r="V32">
        <v>207.19369166666999</v>
      </c>
    </row>
    <row r="33" spans="12:22" x14ac:dyDescent="0.3">
      <c r="L33">
        <v>31</v>
      </c>
      <c r="M33" t="s">
        <v>27</v>
      </c>
      <c r="N33">
        <v>11</v>
      </c>
      <c r="O33">
        <v>158999110</v>
      </c>
      <c r="P33">
        <v>158.99911</v>
      </c>
      <c r="Q33">
        <v>5</v>
      </c>
      <c r="R33">
        <v>11038373</v>
      </c>
      <c r="S33">
        <v>11.038373</v>
      </c>
      <c r="T33">
        <v>2</v>
      </c>
      <c r="U33">
        <v>0.71666666663000012</v>
      </c>
      <c r="V33">
        <v>170.75414966663001</v>
      </c>
    </row>
    <row r="34" spans="12:22" x14ac:dyDescent="0.3">
      <c r="L34">
        <v>32</v>
      </c>
      <c r="M34" t="s">
        <v>19</v>
      </c>
      <c r="N34">
        <v>13</v>
      </c>
      <c r="O34">
        <v>96118842</v>
      </c>
      <c r="P34">
        <v>96.118842000000001</v>
      </c>
      <c r="Q34">
        <v>10</v>
      </c>
      <c r="R34">
        <v>60332158</v>
      </c>
      <c r="S34">
        <v>60.332158</v>
      </c>
      <c r="T34">
        <v>14</v>
      </c>
      <c r="U34">
        <v>8.8858413362899995</v>
      </c>
      <c r="V34">
        <v>165.33684133628998</v>
      </c>
    </row>
    <row r="35" spans="12:22" x14ac:dyDescent="0.3">
      <c r="L35">
        <v>33</v>
      </c>
      <c r="M35" t="s">
        <v>34</v>
      </c>
      <c r="N35">
        <v>9</v>
      </c>
      <c r="O35">
        <v>142019134</v>
      </c>
      <c r="P35">
        <v>142.01913400000001</v>
      </c>
      <c r="Q35">
        <v>2</v>
      </c>
      <c r="R35">
        <v>308298</v>
      </c>
      <c r="S35">
        <v>0.30829800000000002</v>
      </c>
      <c r="T35">
        <v>11</v>
      </c>
      <c r="U35">
        <v>14.909894555500001</v>
      </c>
      <c r="V35">
        <v>157.2373265555</v>
      </c>
    </row>
    <row r="36" spans="12:22" x14ac:dyDescent="0.3">
      <c r="L36">
        <v>34</v>
      </c>
      <c r="M36" t="s">
        <v>33</v>
      </c>
      <c r="N36">
        <v>2</v>
      </c>
      <c r="O36">
        <v>150158072</v>
      </c>
      <c r="P36">
        <v>150.158072</v>
      </c>
      <c r="Q36">
        <v>0</v>
      </c>
      <c r="R36">
        <v>0</v>
      </c>
      <c r="S36">
        <v>0</v>
      </c>
      <c r="T36">
        <v>5</v>
      </c>
      <c r="U36">
        <v>0.66627200006667997</v>
      </c>
      <c r="V36">
        <v>150.82434400006667</v>
      </c>
    </row>
    <row r="37" spans="12:22" x14ac:dyDescent="0.3">
      <c r="L37">
        <v>35</v>
      </c>
      <c r="M37" t="s">
        <v>42</v>
      </c>
      <c r="N37">
        <v>8</v>
      </c>
      <c r="O37">
        <v>98257753</v>
      </c>
      <c r="P37">
        <v>98.257752999999994</v>
      </c>
      <c r="Q37">
        <v>0</v>
      </c>
      <c r="R37">
        <v>0</v>
      </c>
      <c r="S37">
        <v>0</v>
      </c>
      <c r="T37">
        <v>13</v>
      </c>
      <c r="U37">
        <v>34.502341211400001</v>
      </c>
      <c r="V37">
        <v>132.7600942114</v>
      </c>
    </row>
    <row r="38" spans="12:22" x14ac:dyDescent="0.3">
      <c r="L38">
        <v>36</v>
      </c>
      <c r="M38" t="s">
        <v>24</v>
      </c>
      <c r="N38">
        <v>7</v>
      </c>
      <c r="O38">
        <v>8197943</v>
      </c>
      <c r="P38">
        <v>8.1979430000000004</v>
      </c>
      <c r="Q38">
        <v>5</v>
      </c>
      <c r="R38">
        <v>4650000</v>
      </c>
      <c r="S38">
        <v>4.6500000000000004</v>
      </c>
      <c r="T38">
        <v>43</v>
      </c>
      <c r="U38">
        <v>78.051350436700005</v>
      </c>
      <c r="V38">
        <v>90.899293436700006</v>
      </c>
    </row>
    <row r="39" spans="12:22" x14ac:dyDescent="0.3">
      <c r="L39">
        <v>37</v>
      </c>
      <c r="M39" t="s">
        <v>32</v>
      </c>
      <c r="N39">
        <v>3</v>
      </c>
      <c r="O39">
        <v>89756031</v>
      </c>
      <c r="P39">
        <v>89.756030999999993</v>
      </c>
      <c r="Q39">
        <v>0</v>
      </c>
      <c r="R39">
        <v>0</v>
      </c>
      <c r="S39">
        <v>0</v>
      </c>
      <c r="T39">
        <v>0</v>
      </c>
      <c r="U39">
        <v>0</v>
      </c>
      <c r="V39">
        <v>89.756030999999993</v>
      </c>
    </row>
    <row r="40" spans="12:22" x14ac:dyDescent="0.3">
      <c r="L40">
        <v>38</v>
      </c>
      <c r="M40" t="s">
        <v>38</v>
      </c>
      <c r="N40">
        <v>6</v>
      </c>
      <c r="O40">
        <v>31310575</v>
      </c>
      <c r="P40">
        <v>31.310575</v>
      </c>
      <c r="Q40">
        <v>7</v>
      </c>
      <c r="R40">
        <v>10236893</v>
      </c>
      <c r="S40">
        <v>10.236893</v>
      </c>
      <c r="T40">
        <v>10</v>
      </c>
      <c r="U40">
        <v>14.516666771570003</v>
      </c>
      <c r="V40">
        <v>56.064134771570004</v>
      </c>
    </row>
    <row r="41" spans="12:22" x14ac:dyDescent="0.3">
      <c r="L41">
        <v>39</v>
      </c>
      <c r="M41" t="s">
        <v>58</v>
      </c>
      <c r="N41">
        <v>1</v>
      </c>
      <c r="O41">
        <v>48752475</v>
      </c>
      <c r="P41">
        <v>48.752474999999997</v>
      </c>
      <c r="Q41">
        <v>0</v>
      </c>
      <c r="R41">
        <v>0</v>
      </c>
      <c r="S41">
        <v>0</v>
      </c>
      <c r="T41">
        <v>0</v>
      </c>
      <c r="U41">
        <v>0</v>
      </c>
      <c r="V41">
        <v>48.752474999999997</v>
      </c>
    </row>
    <row r="42" spans="12:22" x14ac:dyDescent="0.3">
      <c r="L42">
        <v>40</v>
      </c>
      <c r="M42" t="s">
        <v>35</v>
      </c>
      <c r="N42">
        <v>2</v>
      </c>
      <c r="O42">
        <v>37144000</v>
      </c>
      <c r="P42">
        <v>37.143999999999998</v>
      </c>
      <c r="Q42">
        <v>0</v>
      </c>
      <c r="R42">
        <v>0</v>
      </c>
      <c r="S42">
        <v>0</v>
      </c>
      <c r="T42">
        <v>1</v>
      </c>
      <c r="U42">
        <v>0.51030799999999998</v>
      </c>
      <c r="V42">
        <v>37.654308</v>
      </c>
    </row>
    <row r="43" spans="12:22" x14ac:dyDescent="0.3">
      <c r="L43">
        <v>41</v>
      </c>
      <c r="M43" t="s">
        <v>37</v>
      </c>
      <c r="N43">
        <v>6</v>
      </c>
      <c r="O43">
        <v>4736842</v>
      </c>
      <c r="P43">
        <v>4.7368420000000002</v>
      </c>
      <c r="Q43">
        <v>1</v>
      </c>
      <c r="R43">
        <v>30609422</v>
      </c>
      <c r="S43">
        <v>30.609421999999999</v>
      </c>
      <c r="T43">
        <v>14</v>
      </c>
      <c r="U43">
        <v>2.0953074648600003</v>
      </c>
      <c r="V43">
        <v>37.441571464859997</v>
      </c>
    </row>
    <row r="44" spans="12:22" x14ac:dyDescent="0.3">
      <c r="L44">
        <v>42</v>
      </c>
      <c r="M44" t="s">
        <v>55</v>
      </c>
      <c r="N44">
        <v>2</v>
      </c>
      <c r="O44">
        <v>13070250</v>
      </c>
      <c r="P44">
        <v>13.07025</v>
      </c>
      <c r="Q44">
        <v>2</v>
      </c>
      <c r="R44">
        <v>18497583</v>
      </c>
      <c r="S44">
        <v>18.497582999999999</v>
      </c>
      <c r="T44">
        <v>3</v>
      </c>
      <c r="U44">
        <v>0.133337777744444</v>
      </c>
      <c r="V44">
        <v>31.701170777744444</v>
      </c>
    </row>
    <row r="45" spans="12:22" x14ac:dyDescent="0.3">
      <c r="L45">
        <v>43</v>
      </c>
      <c r="M45" t="s">
        <v>51</v>
      </c>
      <c r="N45">
        <v>2</v>
      </c>
      <c r="O45">
        <v>2020000</v>
      </c>
      <c r="P45">
        <v>2.02</v>
      </c>
      <c r="Q45">
        <v>1</v>
      </c>
      <c r="R45">
        <v>2466979</v>
      </c>
      <c r="S45">
        <v>2.4669789999999998</v>
      </c>
      <c r="T45">
        <v>2</v>
      </c>
      <c r="U45">
        <v>25.006666666666998</v>
      </c>
      <c r="V45">
        <v>29.493645666667</v>
      </c>
    </row>
    <row r="46" spans="12:22" x14ac:dyDescent="0.3">
      <c r="L46">
        <v>44</v>
      </c>
      <c r="M46" t="s">
        <v>46</v>
      </c>
      <c r="N46">
        <v>1</v>
      </c>
      <c r="O46">
        <v>21369965</v>
      </c>
      <c r="P46">
        <v>21.369965000000001</v>
      </c>
      <c r="Q46">
        <v>1</v>
      </c>
      <c r="R46">
        <v>3630035</v>
      </c>
      <c r="S46">
        <v>3.6300349999999999</v>
      </c>
      <c r="T46">
        <v>5</v>
      </c>
      <c r="U46">
        <v>1.5877619999999999</v>
      </c>
      <c r="V46">
        <v>26.587762000000001</v>
      </c>
    </row>
    <row r="47" spans="12:22" x14ac:dyDescent="0.3">
      <c r="L47">
        <v>45</v>
      </c>
      <c r="M47" t="s">
        <v>21</v>
      </c>
      <c r="N47">
        <v>5</v>
      </c>
      <c r="O47">
        <v>24682000</v>
      </c>
      <c r="P47">
        <v>24.681999999999999</v>
      </c>
      <c r="Q47">
        <v>0</v>
      </c>
      <c r="R47">
        <v>0</v>
      </c>
      <c r="S47">
        <v>0</v>
      </c>
      <c r="T47">
        <v>3</v>
      </c>
      <c r="U47">
        <v>0.99969033736000001</v>
      </c>
      <c r="V47">
        <v>25.681690337359999</v>
      </c>
    </row>
    <row r="48" spans="12:22" x14ac:dyDescent="0.3">
      <c r="L48">
        <v>46</v>
      </c>
      <c r="M48" t="s">
        <v>26</v>
      </c>
      <c r="N48">
        <v>0</v>
      </c>
      <c r="O48">
        <v>0</v>
      </c>
      <c r="P48">
        <v>0</v>
      </c>
      <c r="Q48">
        <v>1</v>
      </c>
      <c r="R48">
        <v>407695</v>
      </c>
      <c r="S48">
        <v>0.40769499999999997</v>
      </c>
      <c r="T48">
        <v>7</v>
      </c>
      <c r="U48">
        <v>18.708610086700002</v>
      </c>
      <c r="V48">
        <v>19.116305086700002</v>
      </c>
    </row>
    <row r="49" spans="12:23" x14ac:dyDescent="0.3">
      <c r="L49">
        <v>47</v>
      </c>
      <c r="M49" t="s">
        <v>23</v>
      </c>
      <c r="N49">
        <v>5</v>
      </c>
      <c r="O49">
        <v>13850000</v>
      </c>
      <c r="P49">
        <v>13.85</v>
      </c>
      <c r="Q49">
        <v>1</v>
      </c>
      <c r="R49">
        <v>165000</v>
      </c>
      <c r="S49">
        <v>0.16500000000000001</v>
      </c>
      <c r="T49">
        <v>3</v>
      </c>
      <c r="U49">
        <v>1.6201553555600001</v>
      </c>
      <c r="V49">
        <v>15.635155355559998</v>
      </c>
    </row>
    <row r="50" spans="12:23" x14ac:dyDescent="0.3">
      <c r="L50">
        <v>48</v>
      </c>
      <c r="M50" t="s">
        <v>52</v>
      </c>
      <c r="N50">
        <v>1</v>
      </c>
      <c r="O50">
        <v>900000</v>
      </c>
      <c r="P50">
        <v>0.9</v>
      </c>
      <c r="Q50">
        <v>1</v>
      </c>
      <c r="R50">
        <v>10000000</v>
      </c>
      <c r="S50">
        <v>10</v>
      </c>
      <c r="T50">
        <v>6</v>
      </c>
      <c r="U50">
        <v>3.0010326356300006</v>
      </c>
      <c r="V50">
        <v>13.901032635630001</v>
      </c>
    </row>
    <row r="51" spans="12:23" x14ac:dyDescent="0.3">
      <c r="L51">
        <v>49</v>
      </c>
      <c r="M51" t="s">
        <v>49</v>
      </c>
      <c r="N51">
        <v>1</v>
      </c>
      <c r="O51">
        <v>2000000</v>
      </c>
      <c r="P51">
        <v>2</v>
      </c>
      <c r="Q51">
        <v>1</v>
      </c>
      <c r="R51">
        <v>9000000</v>
      </c>
      <c r="S51">
        <v>9</v>
      </c>
      <c r="T51">
        <v>0</v>
      </c>
      <c r="U51">
        <v>0</v>
      </c>
      <c r="V51">
        <v>11</v>
      </c>
    </row>
    <row r="52" spans="12:23" x14ac:dyDescent="0.3">
      <c r="L52">
        <v>50</v>
      </c>
      <c r="M52" t="s">
        <v>43</v>
      </c>
      <c r="N52">
        <v>2</v>
      </c>
      <c r="O52">
        <v>5400000</v>
      </c>
      <c r="P52">
        <v>5.4</v>
      </c>
      <c r="Q52">
        <v>2</v>
      </c>
      <c r="R52">
        <v>369994</v>
      </c>
      <c r="S52">
        <v>0.36999399999999999</v>
      </c>
      <c r="T52">
        <v>34</v>
      </c>
      <c r="U52">
        <v>4.6515455444400002</v>
      </c>
      <c r="V52">
        <v>10.421539544440002</v>
      </c>
    </row>
    <row r="53" spans="12:23" x14ac:dyDescent="0.3">
      <c r="L53">
        <v>51</v>
      </c>
      <c r="M53" t="s">
        <v>48</v>
      </c>
      <c r="N53">
        <v>1</v>
      </c>
      <c r="O53">
        <v>1000000</v>
      </c>
      <c r="P53">
        <v>1</v>
      </c>
      <c r="Q53">
        <v>0</v>
      </c>
      <c r="R53">
        <v>0</v>
      </c>
      <c r="S53">
        <v>0</v>
      </c>
      <c r="T53">
        <v>9</v>
      </c>
      <c r="U53">
        <v>7.2355976667000013</v>
      </c>
      <c r="V53">
        <v>8.2355976667000022</v>
      </c>
    </row>
    <row r="54" spans="12:23" x14ac:dyDescent="0.3">
      <c r="L54">
        <v>52</v>
      </c>
      <c r="M54" t="s">
        <v>47</v>
      </c>
      <c r="N54">
        <v>1</v>
      </c>
      <c r="O54">
        <v>1000000</v>
      </c>
      <c r="P54">
        <v>1</v>
      </c>
      <c r="Q54">
        <v>0</v>
      </c>
      <c r="R54">
        <v>0</v>
      </c>
      <c r="S54">
        <v>0</v>
      </c>
      <c r="T54">
        <v>4</v>
      </c>
      <c r="U54">
        <v>6.3462086666999999</v>
      </c>
      <c r="V54">
        <v>7.3462086666999999</v>
      </c>
    </row>
    <row r="55" spans="12:23" x14ac:dyDescent="0.3">
      <c r="L55">
        <v>53</v>
      </c>
      <c r="M55" t="s">
        <v>36</v>
      </c>
      <c r="N55">
        <v>1</v>
      </c>
      <c r="O55">
        <v>2898000</v>
      </c>
      <c r="P55">
        <v>2.8980000000000001</v>
      </c>
      <c r="Q55">
        <v>1</v>
      </c>
      <c r="R55">
        <v>3000000</v>
      </c>
      <c r="S55">
        <v>3</v>
      </c>
      <c r="T55">
        <v>0</v>
      </c>
      <c r="U55">
        <v>0</v>
      </c>
      <c r="V55">
        <v>5.8979999999999997</v>
      </c>
    </row>
    <row r="56" spans="12:23" x14ac:dyDescent="0.3">
      <c r="L56">
        <v>54</v>
      </c>
      <c r="M56" t="s">
        <v>39</v>
      </c>
      <c r="N56">
        <v>2</v>
      </c>
      <c r="O56">
        <v>319111</v>
      </c>
      <c r="P56">
        <v>0.31911099999999998</v>
      </c>
      <c r="Q56">
        <v>0</v>
      </c>
      <c r="R56">
        <v>0</v>
      </c>
      <c r="S56">
        <v>0</v>
      </c>
      <c r="T56">
        <v>4</v>
      </c>
      <c r="U56">
        <v>1.8906527952000001</v>
      </c>
      <c r="V56">
        <v>2.2097637952000002</v>
      </c>
    </row>
    <row r="57" spans="12:23" x14ac:dyDescent="0.3">
      <c r="L57">
        <v>55</v>
      </c>
      <c r="M57" t="s">
        <v>57</v>
      </c>
      <c r="N57">
        <v>0</v>
      </c>
      <c r="O57">
        <v>0</v>
      </c>
      <c r="P57">
        <v>0</v>
      </c>
      <c r="Q57">
        <v>1</v>
      </c>
      <c r="R57">
        <v>900000</v>
      </c>
      <c r="S57">
        <v>0.9</v>
      </c>
      <c r="T57">
        <v>2</v>
      </c>
      <c r="U57">
        <v>1.1976538399999999</v>
      </c>
      <c r="V57">
        <v>2.09765384</v>
      </c>
    </row>
    <row r="58" spans="12:23" x14ac:dyDescent="0.3">
      <c r="L58">
        <v>56</v>
      </c>
      <c r="M58" t="s">
        <v>54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2</v>
      </c>
      <c r="U58">
        <v>0.83555555559999994</v>
      </c>
      <c r="V58">
        <v>0.83555555559999994</v>
      </c>
    </row>
    <row r="59" spans="12:23" x14ac:dyDescent="0.3">
      <c r="L59">
        <v>57</v>
      </c>
      <c r="M59" t="s">
        <v>45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</v>
      </c>
      <c r="U59">
        <v>0.70666666669999989</v>
      </c>
      <c r="V59">
        <v>0.70666666669999989</v>
      </c>
    </row>
    <row r="60" spans="12:23" x14ac:dyDescent="0.3">
      <c r="L60">
        <v>58</v>
      </c>
      <c r="M60" t="s">
        <v>56</v>
      </c>
      <c r="N60">
        <v>2</v>
      </c>
      <c r="O60">
        <v>444086</v>
      </c>
      <c r="P60">
        <v>0.44408599999999998</v>
      </c>
      <c r="Q60">
        <v>0</v>
      </c>
      <c r="R60">
        <v>0</v>
      </c>
      <c r="S60">
        <v>0</v>
      </c>
      <c r="T60">
        <v>2</v>
      </c>
      <c r="U60">
        <v>0.19760000002</v>
      </c>
      <c r="V60">
        <v>0.64168600001999998</v>
      </c>
    </row>
    <row r="61" spans="12:23" x14ac:dyDescent="0.3">
      <c r="L61">
        <v>59</v>
      </c>
      <c r="M61" t="s">
        <v>50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0.06</v>
      </c>
      <c r="V61">
        <v>0.06</v>
      </c>
    </row>
    <row r="62" spans="12:23" x14ac:dyDescent="0.3">
      <c r="L62">
        <v>60</v>
      </c>
      <c r="M62" t="s">
        <v>59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 t="e">
        <v>#N/A</v>
      </c>
      <c r="W62">
        <v>0</v>
      </c>
    </row>
    <row r="63" spans="12:23" x14ac:dyDescent="0.3">
      <c r="L63">
        <v>61</v>
      </c>
      <c r="M63" t="s">
        <v>53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 t="e">
        <v>#N/A</v>
      </c>
    </row>
    <row r="64" spans="12:23" x14ac:dyDescent="0.3">
      <c r="L64" t="s">
        <v>97</v>
      </c>
      <c r="N64">
        <v>3046</v>
      </c>
      <c r="O64">
        <v>17976172492.360001</v>
      </c>
      <c r="P64">
        <v>17976.172492359998</v>
      </c>
      <c r="Q64">
        <v>1169</v>
      </c>
      <c r="R64">
        <v>7596654907.5610552</v>
      </c>
      <c r="S64">
        <v>7596.6549075610537</v>
      </c>
      <c r="T64">
        <v>6496</v>
      </c>
      <c r="U64">
        <v>9892.7282302669628</v>
      </c>
      <c r="V64">
        <v>35465.555630188006</v>
      </c>
      <c r="W64">
        <v>0</v>
      </c>
    </row>
    <row r="65" customFormat="1" x14ac:dyDescent="0.3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E2B5-FF47-4F12-AC3E-316D6032FF44}">
  <sheetPr codeName="Sheet7"/>
  <dimension ref="A1:W65"/>
  <sheetViews>
    <sheetView workbookViewId="0">
      <selection sqref="A1:V2"/>
    </sheetView>
  </sheetViews>
  <sheetFormatPr defaultRowHeight="14.4" x14ac:dyDescent="0.3"/>
  <cols>
    <col min="1" max="1" width="7" bestFit="1" customWidth="1"/>
    <col min="2" max="2" width="44.88671875" bestFit="1" customWidth="1"/>
    <col min="3" max="3" width="14.5546875" bestFit="1" customWidth="1"/>
    <col min="4" max="4" width="22.21875" bestFit="1" customWidth="1"/>
    <col min="5" max="5" width="26.33203125" bestFit="1" customWidth="1"/>
    <col min="6" max="6" width="20" bestFit="1" customWidth="1"/>
    <col min="7" max="7" width="24.109375" bestFit="1" customWidth="1"/>
    <col min="8" max="8" width="27.77734375" bestFit="1" customWidth="1"/>
    <col min="9" max="9" width="23.6640625" bestFit="1" customWidth="1"/>
    <col min="10" max="10" width="32.6640625" bestFit="1" customWidth="1"/>
    <col min="11" max="11" width="51.44140625" bestFit="1" customWidth="1"/>
    <col min="12" max="12" width="7" bestFit="1" customWidth="1"/>
    <col min="13" max="13" width="14.6640625" bestFit="1" customWidth="1"/>
    <col min="14" max="14" width="14.5546875" bestFit="1" customWidth="1"/>
    <col min="15" max="15" width="22.21875" bestFit="1" customWidth="1"/>
    <col min="16" max="16" width="26.33203125" bestFit="1" customWidth="1"/>
    <col min="17" max="17" width="20" bestFit="1" customWidth="1"/>
    <col min="18" max="18" width="24.109375" bestFit="1" customWidth="1"/>
    <col min="19" max="19" width="27.77734375" bestFit="1" customWidth="1"/>
    <col min="20" max="20" width="23.6640625" bestFit="1" customWidth="1"/>
    <col min="21" max="21" width="32.6640625" bestFit="1" customWidth="1"/>
    <col min="22" max="22" width="51.44140625" bestFit="1" customWidth="1"/>
    <col min="23" max="23" width="2" bestFit="1" customWidth="1"/>
    <col min="24" max="24" width="12.44140625" bestFit="1" customWidth="1"/>
    <col min="25" max="25" width="13.88671875" bestFit="1" customWidth="1"/>
    <col min="26" max="26" width="38.33203125" bestFit="1" customWidth="1"/>
  </cols>
  <sheetData>
    <row r="1" spans="1:22" x14ac:dyDescent="0.3">
      <c r="A1" t="s">
        <v>66</v>
      </c>
      <c r="B1" t="s">
        <v>67</v>
      </c>
      <c r="C1" t="s">
        <v>70</v>
      </c>
      <c r="F1" t="s">
        <v>68</v>
      </c>
      <c r="I1" t="s">
        <v>69</v>
      </c>
      <c r="N1" t="s">
        <v>70</v>
      </c>
      <c r="Q1" t="s">
        <v>68</v>
      </c>
      <c r="T1" t="s">
        <v>69</v>
      </c>
      <c r="V1" t="s">
        <v>71</v>
      </c>
    </row>
    <row r="2" spans="1:22" x14ac:dyDescent="0.3">
      <c r="C2" t="s">
        <v>75</v>
      </c>
      <c r="D2" t="s">
        <v>76</v>
      </c>
      <c r="E2" t="s">
        <v>72</v>
      </c>
      <c r="F2" t="s">
        <v>99</v>
      </c>
      <c r="G2" t="s">
        <v>100</v>
      </c>
      <c r="H2" t="s">
        <v>101</v>
      </c>
      <c r="I2" t="s">
        <v>73</v>
      </c>
      <c r="J2" t="s">
        <v>77</v>
      </c>
      <c r="K2" t="s">
        <v>71</v>
      </c>
      <c r="L2" t="s">
        <v>66</v>
      </c>
      <c r="M2" t="s">
        <v>74</v>
      </c>
      <c r="N2" t="s">
        <v>75</v>
      </c>
      <c r="O2" t="s">
        <v>76</v>
      </c>
      <c r="P2" t="s">
        <v>72</v>
      </c>
      <c r="Q2" t="s">
        <v>99</v>
      </c>
      <c r="R2" t="s">
        <v>100</v>
      </c>
      <c r="S2" t="s">
        <v>101</v>
      </c>
      <c r="T2" t="s">
        <v>73</v>
      </c>
      <c r="U2" t="s">
        <v>77</v>
      </c>
      <c r="V2" t="s">
        <v>71</v>
      </c>
    </row>
    <row r="3" spans="1:22" x14ac:dyDescent="0.3">
      <c r="A3">
        <v>1</v>
      </c>
      <c r="B3" t="s">
        <v>78</v>
      </c>
      <c r="C3">
        <v>1314</v>
      </c>
      <c r="D3">
        <v>12093140778.809999</v>
      </c>
      <c r="E3">
        <v>12093.140778809999</v>
      </c>
      <c r="F3">
        <v>861</v>
      </c>
      <c r="G3">
        <v>5381984527.6149998</v>
      </c>
      <c r="H3">
        <v>5381.9845276149999</v>
      </c>
      <c r="I3">
        <v>2261</v>
      </c>
      <c r="J3">
        <v>7086.6569118203215</v>
      </c>
      <c r="K3">
        <v>24561.78221824532</v>
      </c>
      <c r="L3">
        <v>1</v>
      </c>
      <c r="M3" t="s">
        <v>0</v>
      </c>
      <c r="N3">
        <v>879</v>
      </c>
      <c r="O3">
        <v>1382055954</v>
      </c>
      <c r="P3">
        <v>1382.0559539999999</v>
      </c>
      <c r="Q3">
        <v>196</v>
      </c>
      <c r="R3">
        <v>600037635</v>
      </c>
      <c r="S3">
        <v>600.03763500000002</v>
      </c>
      <c r="T3">
        <v>1351</v>
      </c>
      <c r="U3">
        <v>6472.5960542594948</v>
      </c>
      <c r="V3">
        <v>8454.6896432594949</v>
      </c>
    </row>
    <row r="4" spans="1:22" x14ac:dyDescent="0.3">
      <c r="A4">
        <v>2</v>
      </c>
      <c r="B4" t="s">
        <v>79</v>
      </c>
      <c r="C4">
        <v>15</v>
      </c>
      <c r="D4">
        <v>722595074</v>
      </c>
      <c r="E4">
        <v>722.59507399999995</v>
      </c>
      <c r="F4">
        <v>2</v>
      </c>
      <c r="G4">
        <v>-14912069</v>
      </c>
      <c r="H4">
        <v>-14.912069000000001</v>
      </c>
      <c r="I4">
        <v>62</v>
      </c>
      <c r="J4">
        <v>302.41933139761676</v>
      </c>
      <c r="K4">
        <v>1010.1023363976167</v>
      </c>
      <c r="L4">
        <v>2</v>
      </c>
      <c r="M4" t="s">
        <v>1</v>
      </c>
      <c r="N4">
        <v>1320</v>
      </c>
      <c r="O4">
        <v>1841346344</v>
      </c>
      <c r="P4">
        <v>1841.346344</v>
      </c>
      <c r="Q4">
        <v>309</v>
      </c>
      <c r="R4">
        <v>858738429.99000001</v>
      </c>
      <c r="S4">
        <v>858.73842998999999</v>
      </c>
      <c r="T4">
        <v>5720</v>
      </c>
      <c r="U4">
        <v>5595.3255619566271</v>
      </c>
      <c r="V4">
        <v>8295.410335946628</v>
      </c>
    </row>
    <row r="5" spans="1:22" x14ac:dyDescent="0.3">
      <c r="A5">
        <v>3</v>
      </c>
      <c r="B5" t="s">
        <v>80</v>
      </c>
      <c r="C5">
        <v>123</v>
      </c>
      <c r="D5">
        <v>1817969227</v>
      </c>
      <c r="E5">
        <v>1817.969227</v>
      </c>
      <c r="F5">
        <v>28</v>
      </c>
      <c r="G5">
        <v>-693726840</v>
      </c>
      <c r="H5">
        <v>-693.72684000000004</v>
      </c>
      <c r="I5">
        <v>397</v>
      </c>
      <c r="J5">
        <v>2751.7861623715471</v>
      </c>
      <c r="K5">
        <v>3876.0285493715473</v>
      </c>
      <c r="L5">
        <v>3</v>
      </c>
      <c r="M5" t="s">
        <v>2</v>
      </c>
      <c r="N5">
        <v>243</v>
      </c>
      <c r="O5">
        <v>1546586669</v>
      </c>
      <c r="P5">
        <v>1546.586669</v>
      </c>
      <c r="Q5">
        <v>150</v>
      </c>
      <c r="R5">
        <v>951390013.3125</v>
      </c>
      <c r="S5">
        <v>951.39001331249995</v>
      </c>
      <c r="T5">
        <v>626</v>
      </c>
      <c r="U5">
        <v>914.82839685026192</v>
      </c>
      <c r="V5">
        <v>3412.805079162762</v>
      </c>
    </row>
    <row r="6" spans="1:22" x14ac:dyDescent="0.3">
      <c r="A6">
        <v>4</v>
      </c>
      <c r="B6" t="s">
        <v>81</v>
      </c>
      <c r="C6">
        <v>134</v>
      </c>
      <c r="D6">
        <v>322432307</v>
      </c>
      <c r="E6">
        <v>322.43230699999998</v>
      </c>
      <c r="F6">
        <v>45</v>
      </c>
      <c r="G6">
        <v>81720233</v>
      </c>
      <c r="H6">
        <v>81.720232999999993</v>
      </c>
      <c r="I6">
        <v>521</v>
      </c>
      <c r="J6">
        <v>574.87779107998836</v>
      </c>
      <c r="K6">
        <v>979.0303310799884</v>
      </c>
      <c r="L6">
        <v>4</v>
      </c>
      <c r="M6" t="s">
        <v>3</v>
      </c>
      <c r="N6">
        <v>121</v>
      </c>
      <c r="O6">
        <v>1296698693</v>
      </c>
      <c r="P6">
        <v>1296.698693</v>
      </c>
      <c r="Q6">
        <v>63</v>
      </c>
      <c r="R6">
        <v>-162862129</v>
      </c>
      <c r="S6">
        <v>-162.86212900000001</v>
      </c>
      <c r="T6">
        <v>275</v>
      </c>
      <c r="U6">
        <v>1009.5526234594804</v>
      </c>
      <c r="V6">
        <v>2143.3891874594801</v>
      </c>
    </row>
    <row r="7" spans="1:22" x14ac:dyDescent="0.3">
      <c r="A7">
        <v>5</v>
      </c>
      <c r="B7" t="s">
        <v>82</v>
      </c>
      <c r="C7">
        <v>1105</v>
      </c>
      <c r="D7">
        <v>880798245</v>
      </c>
      <c r="E7">
        <v>880.79824499999995</v>
      </c>
      <c r="F7">
        <v>182</v>
      </c>
      <c r="G7">
        <v>279325102.75</v>
      </c>
      <c r="H7">
        <v>279.32510274999999</v>
      </c>
      <c r="I7">
        <v>3292</v>
      </c>
      <c r="J7">
        <v>1427.9764534072897</v>
      </c>
      <c r="K7">
        <v>2588.0998011572897</v>
      </c>
      <c r="L7">
        <v>5</v>
      </c>
      <c r="M7" t="s">
        <v>4</v>
      </c>
      <c r="N7">
        <v>247</v>
      </c>
      <c r="O7">
        <v>833872442</v>
      </c>
      <c r="P7">
        <v>833.87244199999998</v>
      </c>
      <c r="Q7">
        <v>162</v>
      </c>
      <c r="R7">
        <v>663345687.75</v>
      </c>
      <c r="S7">
        <v>663.34568775000002</v>
      </c>
      <c r="T7">
        <v>263</v>
      </c>
      <c r="U7">
        <v>85.377926424497758</v>
      </c>
      <c r="V7">
        <v>1582.5960561744978</v>
      </c>
    </row>
    <row r="8" spans="1:22" x14ac:dyDescent="0.3">
      <c r="A8">
        <v>6</v>
      </c>
      <c r="B8" t="s">
        <v>83</v>
      </c>
      <c r="C8">
        <v>16</v>
      </c>
      <c r="D8">
        <v>72956870</v>
      </c>
      <c r="E8">
        <v>72.956869999999995</v>
      </c>
      <c r="F8">
        <v>10</v>
      </c>
      <c r="G8">
        <v>7425660</v>
      </c>
      <c r="H8">
        <v>7.4256599999999997</v>
      </c>
      <c r="I8">
        <v>54</v>
      </c>
      <c r="J8">
        <v>18.932666475780504</v>
      </c>
      <c r="K8">
        <v>99.315196475780496</v>
      </c>
      <c r="L8">
        <v>6</v>
      </c>
      <c r="M8" t="s">
        <v>5</v>
      </c>
      <c r="N8">
        <v>87</v>
      </c>
      <c r="O8">
        <v>595129594</v>
      </c>
      <c r="P8">
        <v>595.129594</v>
      </c>
      <c r="Q8">
        <v>55</v>
      </c>
      <c r="R8">
        <v>686479005.3125</v>
      </c>
      <c r="S8">
        <v>686.47900531250002</v>
      </c>
      <c r="T8">
        <v>109</v>
      </c>
      <c r="U8">
        <v>101.9318101494152</v>
      </c>
      <c r="V8">
        <v>1383.5404094619153</v>
      </c>
    </row>
    <row r="9" spans="1:22" x14ac:dyDescent="0.3">
      <c r="A9">
        <v>7</v>
      </c>
      <c r="B9" t="s">
        <v>84</v>
      </c>
      <c r="C9">
        <v>493</v>
      </c>
      <c r="D9">
        <v>330262134</v>
      </c>
      <c r="E9">
        <v>330.262134</v>
      </c>
      <c r="F9">
        <v>104</v>
      </c>
      <c r="G9">
        <v>144794798</v>
      </c>
      <c r="H9">
        <v>144.79479799999999</v>
      </c>
      <c r="I9">
        <v>1129</v>
      </c>
      <c r="J9">
        <v>1091.5198734039484</v>
      </c>
      <c r="K9">
        <v>1566.5768054039484</v>
      </c>
      <c r="L9">
        <v>7</v>
      </c>
      <c r="M9" t="s">
        <v>6</v>
      </c>
      <c r="N9">
        <v>35</v>
      </c>
      <c r="O9">
        <v>860200000</v>
      </c>
      <c r="P9">
        <v>860.2</v>
      </c>
      <c r="Q9">
        <v>34</v>
      </c>
      <c r="R9">
        <v>329287424</v>
      </c>
      <c r="S9">
        <v>329.28742399999999</v>
      </c>
      <c r="T9">
        <v>39</v>
      </c>
      <c r="U9">
        <v>63.992713295845924</v>
      </c>
      <c r="V9">
        <v>1253.4801372958459</v>
      </c>
    </row>
    <row r="10" spans="1:22" x14ac:dyDescent="0.3">
      <c r="A10">
        <v>8</v>
      </c>
      <c r="B10" t="s">
        <v>85</v>
      </c>
      <c r="C10">
        <v>100</v>
      </c>
      <c r="D10">
        <v>122382873</v>
      </c>
      <c r="E10">
        <v>122.382873</v>
      </c>
      <c r="F10">
        <v>24</v>
      </c>
      <c r="G10">
        <v>56732462</v>
      </c>
      <c r="H10">
        <v>56.732461999999998</v>
      </c>
      <c r="I10">
        <v>285</v>
      </c>
      <c r="J10">
        <v>166.94645322589508</v>
      </c>
      <c r="K10">
        <v>346.0617882258951</v>
      </c>
      <c r="L10">
        <v>8</v>
      </c>
      <c r="M10" t="s">
        <v>7</v>
      </c>
      <c r="N10">
        <v>76</v>
      </c>
      <c r="O10">
        <v>787726948</v>
      </c>
      <c r="P10">
        <v>787.72694799999999</v>
      </c>
      <c r="Q10">
        <v>35</v>
      </c>
      <c r="R10">
        <v>287594484</v>
      </c>
      <c r="S10">
        <v>287.59448400000002</v>
      </c>
      <c r="T10">
        <v>54</v>
      </c>
      <c r="U10">
        <v>26.744633736487266</v>
      </c>
      <c r="V10">
        <v>1102.0660657364872</v>
      </c>
    </row>
    <row r="11" spans="1:22" x14ac:dyDescent="0.3">
      <c r="A11">
        <v>9</v>
      </c>
      <c r="B11" t="s">
        <v>86</v>
      </c>
      <c r="C11">
        <v>103</v>
      </c>
      <c r="D11">
        <v>39046531</v>
      </c>
      <c r="E11">
        <v>39.046531000000002</v>
      </c>
      <c r="F11">
        <v>23</v>
      </c>
      <c r="G11">
        <v>37994035.510009766</v>
      </c>
      <c r="H11">
        <v>37.994035510009766</v>
      </c>
      <c r="I11">
        <v>710</v>
      </c>
      <c r="J11">
        <v>411.84625273737606</v>
      </c>
      <c r="K11">
        <v>488.8868192473858</v>
      </c>
      <c r="L11">
        <v>9</v>
      </c>
      <c r="M11" t="s">
        <v>8</v>
      </c>
      <c r="N11">
        <v>49</v>
      </c>
      <c r="O11">
        <v>621265045</v>
      </c>
      <c r="P11">
        <v>621.26504499999999</v>
      </c>
      <c r="Q11">
        <v>26</v>
      </c>
      <c r="R11">
        <v>397137449</v>
      </c>
      <c r="S11">
        <v>397.137449</v>
      </c>
      <c r="T11">
        <v>45</v>
      </c>
      <c r="U11">
        <v>66.948439898667431</v>
      </c>
      <c r="V11">
        <v>1085.3509338986673</v>
      </c>
    </row>
    <row r="12" spans="1:22" x14ac:dyDescent="0.3">
      <c r="A12">
        <v>10</v>
      </c>
      <c r="B12" t="s">
        <v>87</v>
      </c>
      <c r="C12">
        <v>302</v>
      </c>
      <c r="D12">
        <v>85369682</v>
      </c>
      <c r="E12">
        <v>85.369681999999997</v>
      </c>
      <c r="F12">
        <v>61</v>
      </c>
      <c r="G12">
        <v>195367240</v>
      </c>
      <c r="H12">
        <v>195.36724000000001</v>
      </c>
      <c r="I12">
        <v>557</v>
      </c>
      <c r="J12">
        <v>255.86090739917245</v>
      </c>
      <c r="K12">
        <v>536.5978293991725</v>
      </c>
      <c r="L12">
        <v>10</v>
      </c>
      <c r="M12" t="s">
        <v>9</v>
      </c>
      <c r="N12">
        <v>61</v>
      </c>
      <c r="O12">
        <v>720376496</v>
      </c>
      <c r="P12">
        <v>720.37649599999997</v>
      </c>
      <c r="Q12">
        <v>44</v>
      </c>
      <c r="R12">
        <v>108433722</v>
      </c>
      <c r="S12">
        <v>108.433722</v>
      </c>
      <c r="T12">
        <v>30</v>
      </c>
      <c r="U12">
        <v>14.354668314845824</v>
      </c>
      <c r="V12">
        <v>843.16488631484583</v>
      </c>
    </row>
    <row r="13" spans="1:22" x14ac:dyDescent="0.3">
      <c r="A13">
        <v>11</v>
      </c>
      <c r="B13" t="s">
        <v>88</v>
      </c>
      <c r="C13">
        <v>63</v>
      </c>
      <c r="D13">
        <v>32451189</v>
      </c>
      <c r="E13">
        <v>32.451188999999999</v>
      </c>
      <c r="F13">
        <v>13</v>
      </c>
      <c r="G13">
        <v>9955748</v>
      </c>
      <c r="H13">
        <v>9.9557479999999998</v>
      </c>
      <c r="I13">
        <v>238</v>
      </c>
      <c r="J13">
        <v>81.195045937913775</v>
      </c>
      <c r="K13">
        <v>123.60198293791377</v>
      </c>
      <c r="L13">
        <v>11</v>
      </c>
      <c r="M13" t="s">
        <v>10</v>
      </c>
      <c r="N13">
        <v>146</v>
      </c>
      <c r="O13">
        <v>290911187</v>
      </c>
      <c r="P13">
        <v>290.91118699999998</v>
      </c>
      <c r="Q13">
        <v>99</v>
      </c>
      <c r="R13">
        <v>246911634</v>
      </c>
      <c r="S13">
        <v>246.91163399999999</v>
      </c>
      <c r="T13">
        <v>203</v>
      </c>
      <c r="U13">
        <v>259.94161039496311</v>
      </c>
      <c r="V13">
        <v>797.76443139496314</v>
      </c>
    </row>
    <row r="14" spans="1:22" x14ac:dyDescent="0.3">
      <c r="A14">
        <v>12</v>
      </c>
      <c r="B14" t="s">
        <v>89</v>
      </c>
      <c r="C14">
        <v>11</v>
      </c>
      <c r="D14">
        <v>36751848</v>
      </c>
      <c r="E14">
        <v>36.751848000000003</v>
      </c>
      <c r="F14">
        <v>2</v>
      </c>
      <c r="G14">
        <v>2200000</v>
      </c>
      <c r="H14">
        <v>2.2000000000000002</v>
      </c>
      <c r="I14">
        <v>31</v>
      </c>
      <c r="J14">
        <v>8.1178674580865771</v>
      </c>
      <c r="K14">
        <v>47.069715458086584</v>
      </c>
      <c r="L14">
        <v>12</v>
      </c>
      <c r="M14" t="s">
        <v>11</v>
      </c>
      <c r="N14">
        <v>67</v>
      </c>
      <c r="O14">
        <v>463699929</v>
      </c>
      <c r="P14">
        <v>463.699929</v>
      </c>
      <c r="Q14">
        <v>16</v>
      </c>
      <c r="R14">
        <v>153339734</v>
      </c>
      <c r="S14">
        <v>153.33973399999999</v>
      </c>
      <c r="T14">
        <v>84</v>
      </c>
      <c r="U14">
        <v>66.920957043798481</v>
      </c>
      <c r="V14">
        <v>683.96062004379849</v>
      </c>
    </row>
    <row r="15" spans="1:22" x14ac:dyDescent="0.3">
      <c r="A15">
        <v>13</v>
      </c>
      <c r="B15" t="s">
        <v>90</v>
      </c>
      <c r="C15">
        <v>71</v>
      </c>
      <c r="D15">
        <v>24961926</v>
      </c>
      <c r="E15">
        <v>24.961925999999998</v>
      </c>
      <c r="F15">
        <v>12</v>
      </c>
      <c r="G15">
        <v>9363256</v>
      </c>
      <c r="H15">
        <v>9.3632559999999998</v>
      </c>
      <c r="I15">
        <v>172</v>
      </c>
      <c r="J15">
        <v>30.301657034080264</v>
      </c>
      <c r="K15">
        <v>64.626839034080263</v>
      </c>
      <c r="L15">
        <v>13</v>
      </c>
      <c r="M15" t="s">
        <v>12</v>
      </c>
      <c r="N15">
        <v>18</v>
      </c>
      <c r="O15">
        <v>361838962</v>
      </c>
      <c r="P15">
        <v>361.83896199999998</v>
      </c>
      <c r="Q15">
        <v>19</v>
      </c>
      <c r="R15">
        <v>223893365</v>
      </c>
      <c r="S15">
        <v>223.89336499999999</v>
      </c>
      <c r="T15">
        <v>19</v>
      </c>
      <c r="U15">
        <v>20.557838834782611</v>
      </c>
      <c r="V15">
        <v>606.29016583478256</v>
      </c>
    </row>
    <row r="16" spans="1:22" x14ac:dyDescent="0.3">
      <c r="A16">
        <v>14</v>
      </c>
      <c r="B16" t="s">
        <v>91</v>
      </c>
      <c r="C16">
        <v>6</v>
      </c>
      <c r="D16">
        <v>125027636</v>
      </c>
      <c r="E16">
        <v>125.027636</v>
      </c>
      <c r="F16">
        <v>6</v>
      </c>
      <c r="G16">
        <v>78222671</v>
      </c>
      <c r="H16">
        <v>78.222671000000005</v>
      </c>
      <c r="I16">
        <v>19</v>
      </c>
      <c r="J16">
        <v>46.015563153022441</v>
      </c>
      <c r="K16">
        <v>249.26587015302246</v>
      </c>
      <c r="L16">
        <v>14</v>
      </c>
      <c r="M16" t="s">
        <v>13</v>
      </c>
      <c r="N16">
        <v>60</v>
      </c>
      <c r="O16">
        <v>527748075</v>
      </c>
      <c r="P16">
        <v>527.74807499999997</v>
      </c>
      <c r="Q16">
        <v>5</v>
      </c>
      <c r="R16">
        <v>8299739</v>
      </c>
      <c r="S16">
        <v>8.2997390000000006</v>
      </c>
      <c r="T16">
        <v>69</v>
      </c>
      <c r="U16">
        <v>45.03316522947825</v>
      </c>
      <c r="V16">
        <v>581.08097922947832</v>
      </c>
    </row>
    <row r="17" spans="1:22" x14ac:dyDescent="0.3">
      <c r="A17">
        <v>15</v>
      </c>
      <c r="B17" t="s">
        <v>92</v>
      </c>
      <c r="C17">
        <v>6</v>
      </c>
      <c r="D17">
        <v>17300000</v>
      </c>
      <c r="E17">
        <v>17.3</v>
      </c>
      <c r="F17">
        <v>3</v>
      </c>
      <c r="G17">
        <v>2928883</v>
      </c>
      <c r="H17">
        <v>2.9288829999999999</v>
      </c>
      <c r="I17">
        <v>41</v>
      </c>
      <c r="J17">
        <v>191.21945574009573</v>
      </c>
      <c r="K17">
        <v>211.44833874009572</v>
      </c>
      <c r="L17">
        <v>15</v>
      </c>
      <c r="M17" t="s">
        <v>14</v>
      </c>
      <c r="N17">
        <v>131</v>
      </c>
      <c r="O17">
        <v>386378323</v>
      </c>
      <c r="P17">
        <v>386.37832300000002</v>
      </c>
      <c r="Q17">
        <v>14</v>
      </c>
      <c r="R17">
        <v>3203393.5100097656</v>
      </c>
      <c r="S17">
        <v>3.2033935100097657</v>
      </c>
      <c r="T17">
        <v>263</v>
      </c>
      <c r="U17">
        <v>124.68823958395218</v>
      </c>
      <c r="V17">
        <v>514.26995609396204</v>
      </c>
    </row>
    <row r="18" spans="1:22" x14ac:dyDescent="0.3">
      <c r="A18">
        <v>16</v>
      </c>
      <c r="B18" t="s">
        <v>93</v>
      </c>
      <c r="C18">
        <v>2</v>
      </c>
      <c r="D18">
        <v>1903773</v>
      </c>
      <c r="E18">
        <v>1.9037729999999999</v>
      </c>
      <c r="F18">
        <v>2</v>
      </c>
      <c r="G18">
        <v>28025113</v>
      </c>
      <c r="H18">
        <v>28.025113000000001</v>
      </c>
      <c r="I18">
        <v>8</v>
      </c>
      <c r="J18">
        <v>5.6593194171614689</v>
      </c>
      <c r="K18">
        <v>35.588205417161468</v>
      </c>
      <c r="L18">
        <v>16</v>
      </c>
      <c r="M18" t="s">
        <v>15</v>
      </c>
      <c r="N18">
        <v>44</v>
      </c>
      <c r="O18">
        <v>468845440</v>
      </c>
      <c r="P18">
        <v>468.84544</v>
      </c>
      <c r="Q18">
        <v>44</v>
      </c>
      <c r="R18">
        <v>-53320792</v>
      </c>
      <c r="S18">
        <v>-53.320791999999997</v>
      </c>
      <c r="T18">
        <v>69</v>
      </c>
      <c r="U18">
        <v>44.658765839456059</v>
      </c>
      <c r="V18">
        <v>460.18341383945608</v>
      </c>
    </row>
    <row r="19" spans="1:22" x14ac:dyDescent="0.3">
      <c r="A19">
        <v>17</v>
      </c>
      <c r="B19" t="s">
        <v>94</v>
      </c>
      <c r="C19">
        <v>6</v>
      </c>
      <c r="D19">
        <v>8273202</v>
      </c>
      <c r="E19">
        <v>8.2732019999999995</v>
      </c>
      <c r="F19">
        <v>1</v>
      </c>
      <c r="G19">
        <v>2652174</v>
      </c>
      <c r="H19">
        <v>2.652174</v>
      </c>
      <c r="I19">
        <v>26</v>
      </c>
      <c r="J19">
        <v>51.812667069363577</v>
      </c>
      <c r="K19">
        <v>62.738043069363577</v>
      </c>
      <c r="L19">
        <v>17</v>
      </c>
      <c r="M19" t="s">
        <v>16</v>
      </c>
      <c r="N19">
        <v>41</v>
      </c>
      <c r="O19">
        <v>296563966</v>
      </c>
      <c r="P19">
        <v>296.56396599999999</v>
      </c>
      <c r="Q19">
        <v>25</v>
      </c>
      <c r="R19">
        <v>105296380</v>
      </c>
      <c r="S19">
        <v>105.29638</v>
      </c>
      <c r="T19">
        <v>41</v>
      </c>
      <c r="U19">
        <v>47.116762559375616</v>
      </c>
      <c r="V19">
        <v>448.97710855937561</v>
      </c>
    </row>
    <row r="20" spans="1:22" x14ac:dyDescent="0.3">
      <c r="A20">
        <v>18</v>
      </c>
      <c r="B20" t="s">
        <v>95</v>
      </c>
      <c r="C20">
        <v>12</v>
      </c>
      <c r="D20">
        <v>11548062</v>
      </c>
      <c r="E20">
        <v>11.548062</v>
      </c>
      <c r="F20">
        <v>2</v>
      </c>
      <c r="G20">
        <v>191974944</v>
      </c>
      <c r="H20">
        <v>191.97494399999999</v>
      </c>
      <c r="I20">
        <v>39</v>
      </c>
      <c r="J20">
        <v>968.33753936078949</v>
      </c>
      <c r="K20">
        <v>1171.8605453607895</v>
      </c>
      <c r="L20">
        <v>18</v>
      </c>
      <c r="M20" t="s">
        <v>17</v>
      </c>
      <c r="N20">
        <v>4</v>
      </c>
      <c r="O20">
        <v>349765554</v>
      </c>
      <c r="P20">
        <v>349.76555400000001</v>
      </c>
      <c r="Q20">
        <v>8</v>
      </c>
      <c r="R20">
        <v>37500000</v>
      </c>
      <c r="S20">
        <v>37.5</v>
      </c>
      <c r="T20">
        <v>10</v>
      </c>
      <c r="U20">
        <v>8.0637536919184036</v>
      </c>
      <c r="V20">
        <v>395.32930769191842</v>
      </c>
    </row>
    <row r="21" spans="1:22" x14ac:dyDescent="0.3">
      <c r="A21">
        <v>19</v>
      </c>
      <c r="B21" t="s">
        <v>96</v>
      </c>
      <c r="C21">
        <v>1</v>
      </c>
      <c r="D21">
        <v>431044</v>
      </c>
      <c r="E21">
        <v>0.43104399999999998</v>
      </c>
      <c r="F21">
        <v>0</v>
      </c>
      <c r="G21">
        <v>0</v>
      </c>
      <c r="H21">
        <v>0</v>
      </c>
      <c r="I21">
        <v>0</v>
      </c>
      <c r="J21">
        <v>0</v>
      </c>
      <c r="K21">
        <v>0.43104399999999998</v>
      </c>
      <c r="L21">
        <v>19</v>
      </c>
      <c r="M21" t="s">
        <v>18</v>
      </c>
      <c r="N21">
        <v>25</v>
      </c>
      <c r="O21">
        <v>311029668</v>
      </c>
      <c r="P21">
        <v>311.02966800000002</v>
      </c>
      <c r="Q21">
        <v>4</v>
      </c>
      <c r="R21">
        <v>24068422</v>
      </c>
      <c r="S21">
        <v>24.068422000000002</v>
      </c>
      <c r="T21">
        <v>22</v>
      </c>
      <c r="U21">
        <v>14.903750663960547</v>
      </c>
      <c r="V21">
        <v>350.00184066396054</v>
      </c>
    </row>
    <row r="22" spans="1:22" x14ac:dyDescent="0.3">
      <c r="A22" t="s">
        <v>97</v>
      </c>
      <c r="C22">
        <v>3883</v>
      </c>
      <c r="D22">
        <v>16745602401.809999</v>
      </c>
      <c r="E22">
        <v>16745.60240181</v>
      </c>
      <c r="F22">
        <v>1381</v>
      </c>
      <c r="G22">
        <v>5802027938.8750095</v>
      </c>
      <c r="H22">
        <v>5802.0279388750077</v>
      </c>
      <c r="I22">
        <v>9842</v>
      </c>
      <c r="J22">
        <v>15471.48191848945</v>
      </c>
      <c r="K22">
        <v>38019.112259174464</v>
      </c>
      <c r="L22">
        <v>20</v>
      </c>
      <c r="M22" t="s">
        <v>19</v>
      </c>
      <c r="N22">
        <v>33</v>
      </c>
      <c r="O22">
        <v>142134538</v>
      </c>
      <c r="P22">
        <v>142.13453799999999</v>
      </c>
      <c r="Q22">
        <v>12</v>
      </c>
      <c r="R22">
        <v>190314300</v>
      </c>
      <c r="S22">
        <v>190.3143</v>
      </c>
      <c r="T22">
        <v>15</v>
      </c>
      <c r="U22">
        <v>16.000796650663577</v>
      </c>
      <c r="V22">
        <v>348.4496346506636</v>
      </c>
    </row>
    <row r="23" spans="1:22" x14ac:dyDescent="0.3">
      <c r="L23">
        <v>21</v>
      </c>
      <c r="M23" t="s">
        <v>20</v>
      </c>
      <c r="N23">
        <v>12</v>
      </c>
      <c r="O23">
        <v>293413415</v>
      </c>
      <c r="P23">
        <v>293.41341499999999</v>
      </c>
      <c r="Q23">
        <v>5</v>
      </c>
      <c r="R23">
        <v>27297347</v>
      </c>
      <c r="S23">
        <v>27.297346999999998</v>
      </c>
      <c r="T23">
        <v>19</v>
      </c>
      <c r="U23">
        <v>2.5634755158973381</v>
      </c>
      <c r="V23">
        <v>323.27423751589731</v>
      </c>
    </row>
    <row r="24" spans="1:22" x14ac:dyDescent="0.3">
      <c r="L24">
        <v>22</v>
      </c>
      <c r="M24" t="s">
        <v>21</v>
      </c>
      <c r="N24">
        <v>11</v>
      </c>
      <c r="O24">
        <v>312579394</v>
      </c>
      <c r="P24">
        <v>312.57939399999998</v>
      </c>
      <c r="Q24">
        <v>0</v>
      </c>
      <c r="R24">
        <v>0</v>
      </c>
      <c r="S24">
        <v>0</v>
      </c>
      <c r="T24">
        <v>10</v>
      </c>
      <c r="U24">
        <v>2.4710068104347784</v>
      </c>
      <c r="V24">
        <v>315.05040081043478</v>
      </c>
    </row>
    <row r="25" spans="1:22" x14ac:dyDescent="0.3">
      <c r="L25">
        <v>23</v>
      </c>
      <c r="M25" t="s">
        <v>22</v>
      </c>
      <c r="N25">
        <v>16</v>
      </c>
      <c r="O25">
        <v>171003832</v>
      </c>
      <c r="P25">
        <v>171.00383199999999</v>
      </c>
      <c r="Q25">
        <v>1</v>
      </c>
      <c r="R25">
        <v>13500000</v>
      </c>
      <c r="S25">
        <v>13.5</v>
      </c>
      <c r="T25">
        <v>27</v>
      </c>
      <c r="U25">
        <v>57.606900695652158</v>
      </c>
      <c r="V25">
        <v>242.11073269565213</v>
      </c>
    </row>
    <row r="26" spans="1:22" x14ac:dyDescent="0.3">
      <c r="L26">
        <v>24</v>
      </c>
      <c r="M26" t="s">
        <v>23</v>
      </c>
      <c r="N26">
        <v>1</v>
      </c>
      <c r="O26">
        <v>216752174</v>
      </c>
      <c r="P26">
        <v>216.752174</v>
      </c>
      <c r="Q26">
        <v>1</v>
      </c>
      <c r="R26">
        <v>-250000</v>
      </c>
      <c r="S26">
        <v>-0.25</v>
      </c>
      <c r="T26">
        <v>2</v>
      </c>
      <c r="U26">
        <v>6.4982180616740104E-2</v>
      </c>
      <c r="V26">
        <v>216.56715618061673</v>
      </c>
    </row>
    <row r="27" spans="1:22" x14ac:dyDescent="0.3">
      <c r="L27">
        <v>25</v>
      </c>
      <c r="M27" t="s">
        <v>24</v>
      </c>
      <c r="N27">
        <v>8</v>
      </c>
      <c r="O27">
        <v>109714617</v>
      </c>
      <c r="P27">
        <v>109.714617</v>
      </c>
      <c r="Q27">
        <v>1</v>
      </c>
      <c r="R27">
        <v>600000</v>
      </c>
      <c r="S27">
        <v>0.6</v>
      </c>
      <c r="T27">
        <v>128</v>
      </c>
      <c r="U27">
        <v>89.172538934524994</v>
      </c>
      <c r="V27">
        <v>199.48715593452499</v>
      </c>
    </row>
    <row r="28" spans="1:22" x14ac:dyDescent="0.3">
      <c r="L28">
        <v>26</v>
      </c>
      <c r="M28" t="s">
        <v>25</v>
      </c>
      <c r="N28">
        <v>26</v>
      </c>
      <c r="O28">
        <v>158421761</v>
      </c>
      <c r="P28">
        <v>158.421761</v>
      </c>
      <c r="Q28">
        <v>10</v>
      </c>
      <c r="R28">
        <v>-9251521</v>
      </c>
      <c r="S28">
        <v>-9.2515210000000003</v>
      </c>
      <c r="T28">
        <v>34</v>
      </c>
      <c r="U28">
        <v>31.524898473248438</v>
      </c>
      <c r="V28">
        <v>180.69513847324845</v>
      </c>
    </row>
    <row r="29" spans="1:22" x14ac:dyDescent="0.3">
      <c r="L29">
        <v>27</v>
      </c>
      <c r="M29" t="s">
        <v>26</v>
      </c>
      <c r="N29">
        <v>8</v>
      </c>
      <c r="O29">
        <v>155853465</v>
      </c>
      <c r="P29">
        <v>155.853465</v>
      </c>
      <c r="Q29">
        <v>2</v>
      </c>
      <c r="R29">
        <v>2095000</v>
      </c>
      <c r="S29">
        <v>2.0950000000000002</v>
      </c>
      <c r="T29">
        <v>28</v>
      </c>
      <c r="U29">
        <v>22.219010962076197</v>
      </c>
      <c r="V29">
        <v>180.1674759620762</v>
      </c>
    </row>
    <row r="30" spans="1:22" x14ac:dyDescent="0.3">
      <c r="L30">
        <v>28</v>
      </c>
      <c r="M30" t="s">
        <v>27</v>
      </c>
      <c r="N30">
        <v>18</v>
      </c>
      <c r="O30">
        <v>131573101</v>
      </c>
      <c r="P30">
        <v>131.57310100000001</v>
      </c>
      <c r="Q30">
        <v>3</v>
      </c>
      <c r="R30">
        <v>6700000</v>
      </c>
      <c r="S30">
        <v>6.7</v>
      </c>
      <c r="T30">
        <v>9</v>
      </c>
      <c r="U30">
        <v>12.222562539168749</v>
      </c>
      <c r="V30">
        <v>150.49566353916873</v>
      </c>
    </row>
    <row r="31" spans="1:22" x14ac:dyDescent="0.3">
      <c r="L31">
        <v>29</v>
      </c>
      <c r="M31" t="s">
        <v>28</v>
      </c>
      <c r="N31">
        <v>7</v>
      </c>
      <c r="O31">
        <v>120007913</v>
      </c>
      <c r="P31">
        <v>120.007913</v>
      </c>
      <c r="Q31">
        <v>3</v>
      </c>
      <c r="R31">
        <v>23036600</v>
      </c>
      <c r="S31">
        <v>23.0366</v>
      </c>
      <c r="T31">
        <v>10</v>
      </c>
      <c r="U31">
        <v>4.9173171731538021</v>
      </c>
      <c r="V31">
        <v>147.9618301731538</v>
      </c>
    </row>
    <row r="32" spans="1:22" x14ac:dyDescent="0.3">
      <c r="L32">
        <v>30</v>
      </c>
      <c r="M32" t="s">
        <v>29</v>
      </c>
      <c r="N32">
        <v>4</v>
      </c>
      <c r="O32">
        <v>49500000</v>
      </c>
      <c r="P32">
        <v>49.5</v>
      </c>
      <c r="Q32">
        <v>5</v>
      </c>
      <c r="R32">
        <v>63400000</v>
      </c>
      <c r="S32">
        <v>63.4</v>
      </c>
      <c r="T32">
        <v>2</v>
      </c>
      <c r="U32">
        <v>21.871514521739158</v>
      </c>
      <c r="V32">
        <v>134.77151452173916</v>
      </c>
    </row>
    <row r="33" spans="12:22" x14ac:dyDescent="0.3">
      <c r="L33">
        <v>31</v>
      </c>
      <c r="M33" t="s">
        <v>30</v>
      </c>
      <c r="N33">
        <v>3</v>
      </c>
      <c r="O33">
        <v>114628839</v>
      </c>
      <c r="P33">
        <v>114.628839</v>
      </c>
      <c r="Q33">
        <v>0</v>
      </c>
      <c r="R33">
        <v>0</v>
      </c>
      <c r="S33">
        <v>0</v>
      </c>
      <c r="T33">
        <v>10</v>
      </c>
      <c r="U33">
        <v>15.547659173913045</v>
      </c>
      <c r="V33">
        <v>130.17649817391305</v>
      </c>
    </row>
    <row r="34" spans="12:22" x14ac:dyDescent="0.3">
      <c r="L34">
        <v>32</v>
      </c>
      <c r="M34" t="s">
        <v>31</v>
      </c>
      <c r="N34">
        <v>2</v>
      </c>
      <c r="O34">
        <v>113468460</v>
      </c>
      <c r="P34">
        <v>113.46845999999999</v>
      </c>
      <c r="Q34">
        <v>0</v>
      </c>
      <c r="R34">
        <v>0</v>
      </c>
      <c r="S34">
        <v>0</v>
      </c>
      <c r="T34">
        <v>2</v>
      </c>
      <c r="U34">
        <v>0.67913043478260793</v>
      </c>
      <c r="V34">
        <v>114.1475904347826</v>
      </c>
    </row>
    <row r="35" spans="12:22" x14ac:dyDescent="0.3">
      <c r="L35">
        <v>33</v>
      </c>
      <c r="M35" t="s">
        <v>32</v>
      </c>
      <c r="N35">
        <v>5</v>
      </c>
      <c r="O35">
        <v>112053943</v>
      </c>
      <c r="P35">
        <v>112.053943</v>
      </c>
      <c r="Q35">
        <v>0</v>
      </c>
      <c r="R35">
        <v>0</v>
      </c>
      <c r="S35">
        <v>0</v>
      </c>
      <c r="T35">
        <v>2</v>
      </c>
      <c r="U35">
        <v>0.2815217391304351</v>
      </c>
      <c r="V35">
        <v>112.33546473913044</v>
      </c>
    </row>
    <row r="36" spans="12:22" x14ac:dyDescent="0.3">
      <c r="L36">
        <v>34</v>
      </c>
      <c r="M36" t="s">
        <v>33</v>
      </c>
      <c r="N36">
        <v>4</v>
      </c>
      <c r="O36">
        <v>99470000</v>
      </c>
      <c r="P36">
        <v>99.47</v>
      </c>
      <c r="Q36">
        <v>0</v>
      </c>
      <c r="R36">
        <v>0</v>
      </c>
      <c r="S36">
        <v>0</v>
      </c>
      <c r="T36">
        <v>7</v>
      </c>
      <c r="U36">
        <v>11.016250637869568</v>
      </c>
      <c r="V36">
        <v>110.48625063786957</v>
      </c>
    </row>
    <row r="37" spans="12:22" x14ac:dyDescent="0.3">
      <c r="L37">
        <v>35</v>
      </c>
      <c r="M37" t="s">
        <v>34</v>
      </c>
      <c r="N37">
        <v>6</v>
      </c>
      <c r="O37">
        <v>80562794</v>
      </c>
      <c r="P37">
        <v>80.562793999999997</v>
      </c>
      <c r="Q37">
        <v>3</v>
      </c>
      <c r="R37">
        <v>-14486847</v>
      </c>
      <c r="S37">
        <v>-14.486846999999999</v>
      </c>
      <c r="T37">
        <v>14</v>
      </c>
      <c r="U37">
        <v>24.579379380019152</v>
      </c>
      <c r="V37">
        <v>90.655326380019147</v>
      </c>
    </row>
    <row r="38" spans="12:22" x14ac:dyDescent="0.3">
      <c r="L38">
        <v>36</v>
      </c>
      <c r="M38" t="s">
        <v>35</v>
      </c>
      <c r="N38">
        <v>2</v>
      </c>
      <c r="O38">
        <v>79500000</v>
      </c>
      <c r="P38">
        <v>79.5</v>
      </c>
      <c r="Q38">
        <v>0</v>
      </c>
      <c r="R38">
        <v>0</v>
      </c>
      <c r="S38">
        <v>0</v>
      </c>
      <c r="T38">
        <v>2</v>
      </c>
      <c r="U38">
        <v>0.71324478260869606</v>
      </c>
      <c r="V38">
        <v>80.213244782608697</v>
      </c>
    </row>
    <row r="39" spans="12:22" x14ac:dyDescent="0.3">
      <c r="L39">
        <v>37</v>
      </c>
      <c r="M39" t="s">
        <v>36</v>
      </c>
      <c r="N39">
        <v>2</v>
      </c>
      <c r="O39">
        <v>69700000</v>
      </c>
      <c r="P39">
        <v>69.7</v>
      </c>
      <c r="Q39">
        <v>0</v>
      </c>
      <c r="R39">
        <v>0</v>
      </c>
      <c r="S39">
        <v>0</v>
      </c>
      <c r="T39">
        <v>3</v>
      </c>
      <c r="U39">
        <v>1.3391304347826121</v>
      </c>
      <c r="V39">
        <v>71.039130434782621</v>
      </c>
    </row>
    <row r="40" spans="12:22" x14ac:dyDescent="0.3">
      <c r="L40">
        <v>38</v>
      </c>
      <c r="M40" t="s">
        <v>37</v>
      </c>
      <c r="N40">
        <v>7</v>
      </c>
      <c r="O40">
        <v>42732556</v>
      </c>
      <c r="P40">
        <v>42.732556000000002</v>
      </c>
      <c r="Q40">
        <v>3</v>
      </c>
      <c r="R40">
        <v>238763</v>
      </c>
      <c r="S40">
        <v>0.238763</v>
      </c>
      <c r="T40">
        <v>18</v>
      </c>
      <c r="U40">
        <v>25.820979947826089</v>
      </c>
      <c r="V40">
        <v>68.792298947826083</v>
      </c>
    </row>
    <row r="41" spans="12:22" x14ac:dyDescent="0.3">
      <c r="L41">
        <v>39</v>
      </c>
      <c r="M41" t="s">
        <v>38</v>
      </c>
      <c r="N41">
        <v>7</v>
      </c>
      <c r="O41">
        <v>28541409</v>
      </c>
      <c r="P41">
        <v>28.541409000000002</v>
      </c>
      <c r="Q41">
        <v>5</v>
      </c>
      <c r="R41">
        <v>28274271</v>
      </c>
      <c r="S41">
        <v>28.274270999999999</v>
      </c>
      <c r="T41">
        <v>13</v>
      </c>
      <c r="U41">
        <v>9.5167811263474444</v>
      </c>
      <c r="V41">
        <v>66.33246112634744</v>
      </c>
    </row>
    <row r="42" spans="12:22" x14ac:dyDescent="0.3">
      <c r="L42">
        <v>40</v>
      </c>
      <c r="M42" t="s">
        <v>39</v>
      </c>
      <c r="N42">
        <v>2</v>
      </c>
      <c r="O42">
        <v>57924629</v>
      </c>
      <c r="P42">
        <v>57.924629000000003</v>
      </c>
      <c r="Q42">
        <v>1</v>
      </c>
      <c r="R42">
        <v>1600000</v>
      </c>
      <c r="S42">
        <v>1.6</v>
      </c>
      <c r="T42">
        <v>9</v>
      </c>
      <c r="U42">
        <v>5.8552871898103866</v>
      </c>
      <c r="V42">
        <v>65.379916189810388</v>
      </c>
    </row>
    <row r="43" spans="12:22" x14ac:dyDescent="0.3">
      <c r="L43">
        <v>41</v>
      </c>
      <c r="M43" t="s">
        <v>40</v>
      </c>
      <c r="N43">
        <v>9</v>
      </c>
      <c r="O43">
        <v>21766200</v>
      </c>
      <c r="P43">
        <v>21.766200000000001</v>
      </c>
      <c r="Q43">
        <v>5</v>
      </c>
      <c r="R43">
        <v>5540330</v>
      </c>
      <c r="S43">
        <v>5.54033</v>
      </c>
      <c r="T43">
        <v>19</v>
      </c>
      <c r="U43">
        <v>37.416044029565235</v>
      </c>
      <c r="V43">
        <v>64.722574029565237</v>
      </c>
    </row>
    <row r="44" spans="12:22" x14ac:dyDescent="0.3">
      <c r="L44">
        <v>42</v>
      </c>
      <c r="M44" t="s">
        <v>41</v>
      </c>
      <c r="N44">
        <v>3</v>
      </c>
      <c r="O44">
        <v>16500000</v>
      </c>
      <c r="P44">
        <v>16.5</v>
      </c>
      <c r="Q44">
        <v>2</v>
      </c>
      <c r="R44">
        <v>4000000</v>
      </c>
      <c r="S44">
        <v>4</v>
      </c>
      <c r="T44">
        <v>10</v>
      </c>
      <c r="U44">
        <v>39.236911388452405</v>
      </c>
      <c r="V44">
        <v>59.736911388452405</v>
      </c>
    </row>
    <row r="45" spans="12:22" x14ac:dyDescent="0.3">
      <c r="L45">
        <v>43</v>
      </c>
      <c r="M45" t="s">
        <v>42</v>
      </c>
      <c r="N45">
        <v>7</v>
      </c>
      <c r="O45">
        <v>14313801</v>
      </c>
      <c r="P45">
        <v>14.313801</v>
      </c>
      <c r="Q45">
        <v>0</v>
      </c>
      <c r="R45">
        <v>0</v>
      </c>
      <c r="S45">
        <v>0</v>
      </c>
      <c r="T45">
        <v>22</v>
      </c>
      <c r="U45">
        <v>18.327568525292296</v>
      </c>
      <c r="V45">
        <v>32.641369525292298</v>
      </c>
    </row>
    <row r="46" spans="12:22" x14ac:dyDescent="0.3">
      <c r="L46">
        <v>44</v>
      </c>
      <c r="M46" t="s">
        <v>43</v>
      </c>
      <c r="N46">
        <v>3</v>
      </c>
      <c r="O46">
        <v>9058843</v>
      </c>
      <c r="P46">
        <v>9.0588429999999995</v>
      </c>
      <c r="Q46">
        <v>3</v>
      </c>
      <c r="R46">
        <v>1365097</v>
      </c>
      <c r="S46">
        <v>1.365097</v>
      </c>
      <c r="T46">
        <v>69</v>
      </c>
      <c r="U46">
        <v>14.060151173489185</v>
      </c>
      <c r="V46">
        <v>24.484091173489183</v>
      </c>
    </row>
    <row r="47" spans="12:22" x14ac:dyDescent="0.3">
      <c r="L47">
        <v>45</v>
      </c>
      <c r="M47" t="s">
        <v>44</v>
      </c>
      <c r="N47">
        <v>5</v>
      </c>
      <c r="O47">
        <v>8936123</v>
      </c>
      <c r="P47">
        <v>8.9361230000000003</v>
      </c>
      <c r="Q47">
        <v>1</v>
      </c>
      <c r="R47">
        <v>8669000</v>
      </c>
      <c r="S47">
        <v>8.6690000000000005</v>
      </c>
      <c r="T47">
        <v>20</v>
      </c>
      <c r="U47">
        <v>3.0630293616165467</v>
      </c>
      <c r="V47">
        <v>20.668152361616546</v>
      </c>
    </row>
    <row r="48" spans="12:22" x14ac:dyDescent="0.3">
      <c r="L48">
        <v>46</v>
      </c>
      <c r="M48" t="s">
        <v>45</v>
      </c>
      <c r="N48">
        <v>1</v>
      </c>
      <c r="O48">
        <v>20000000</v>
      </c>
      <c r="P48">
        <v>20</v>
      </c>
      <c r="Q48">
        <v>0</v>
      </c>
      <c r="R48">
        <v>0</v>
      </c>
      <c r="S48">
        <v>0</v>
      </c>
      <c r="T48">
        <v>0</v>
      </c>
      <c r="U48">
        <v>0</v>
      </c>
      <c r="V48">
        <v>20</v>
      </c>
    </row>
    <row r="49" spans="12:23" x14ac:dyDescent="0.3">
      <c r="L49">
        <v>47</v>
      </c>
      <c r="M49" t="s">
        <v>46</v>
      </c>
      <c r="N49">
        <v>6</v>
      </c>
      <c r="O49">
        <v>13899000</v>
      </c>
      <c r="P49">
        <v>13.898999999999999</v>
      </c>
      <c r="Q49">
        <v>0</v>
      </c>
      <c r="R49">
        <v>0</v>
      </c>
      <c r="S49">
        <v>0</v>
      </c>
      <c r="T49">
        <v>4</v>
      </c>
      <c r="U49">
        <v>2.6994150000000001</v>
      </c>
      <c r="V49">
        <v>16.598414999999999</v>
      </c>
    </row>
    <row r="50" spans="12:23" x14ac:dyDescent="0.3">
      <c r="L50">
        <v>48</v>
      </c>
      <c r="M50" t="s">
        <v>47</v>
      </c>
      <c r="N50">
        <v>2</v>
      </c>
      <c r="O50">
        <v>11505000</v>
      </c>
      <c r="P50">
        <v>11.505000000000001</v>
      </c>
      <c r="Q50">
        <v>0</v>
      </c>
      <c r="R50">
        <v>0</v>
      </c>
      <c r="S50">
        <v>0</v>
      </c>
      <c r="T50">
        <v>4</v>
      </c>
      <c r="U50">
        <v>1.5199153478260869</v>
      </c>
      <c r="V50">
        <v>13.024915347826088</v>
      </c>
    </row>
    <row r="51" spans="12:23" x14ac:dyDescent="0.3">
      <c r="L51">
        <v>49</v>
      </c>
      <c r="M51" t="s">
        <v>48</v>
      </c>
      <c r="N51">
        <v>3</v>
      </c>
      <c r="O51">
        <v>4426773</v>
      </c>
      <c r="P51">
        <v>4.4267729999999998</v>
      </c>
      <c r="Q51">
        <v>1</v>
      </c>
      <c r="R51">
        <v>1112002</v>
      </c>
      <c r="S51">
        <v>1.1120019999999999</v>
      </c>
      <c r="T51">
        <v>7</v>
      </c>
      <c r="U51">
        <v>1.75739472</v>
      </c>
      <c r="V51">
        <v>7.2961697199999991</v>
      </c>
    </row>
    <row r="52" spans="12:23" x14ac:dyDescent="0.3">
      <c r="L52">
        <v>50</v>
      </c>
      <c r="M52" t="s">
        <v>49</v>
      </c>
      <c r="N52">
        <v>1</v>
      </c>
      <c r="O52">
        <v>775000</v>
      </c>
      <c r="P52">
        <v>0.77500000000000002</v>
      </c>
      <c r="Q52">
        <v>0</v>
      </c>
      <c r="R52">
        <v>0</v>
      </c>
      <c r="S52">
        <v>0</v>
      </c>
      <c r="T52">
        <v>2</v>
      </c>
      <c r="U52">
        <v>4.8526331908695663</v>
      </c>
      <c r="V52">
        <v>5.6276331908695667</v>
      </c>
    </row>
    <row r="53" spans="12:23" x14ac:dyDescent="0.3">
      <c r="L53">
        <v>51</v>
      </c>
      <c r="M53" t="s">
        <v>50</v>
      </c>
      <c r="N53">
        <v>1</v>
      </c>
      <c r="O53">
        <v>4321532.8099999996</v>
      </c>
      <c r="P53">
        <v>4.3215328099999999</v>
      </c>
      <c r="Q53">
        <v>0</v>
      </c>
      <c r="R53">
        <v>0</v>
      </c>
      <c r="S53">
        <v>0</v>
      </c>
      <c r="T53">
        <v>1</v>
      </c>
      <c r="U53">
        <v>5.8695652173912899E-2</v>
      </c>
      <c r="V53">
        <v>4.3802284621739132</v>
      </c>
    </row>
    <row r="54" spans="12:23" x14ac:dyDescent="0.3">
      <c r="L54">
        <v>52</v>
      </c>
      <c r="M54" t="s">
        <v>51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2</v>
      </c>
      <c r="U54">
        <v>2.5630434782608646</v>
      </c>
      <c r="V54">
        <v>2.5630434782608646</v>
      </c>
    </row>
    <row r="55" spans="12:23" x14ac:dyDescent="0.3">
      <c r="L55">
        <v>53</v>
      </c>
      <c r="M55" t="s">
        <v>52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4</v>
      </c>
      <c r="U55">
        <v>1.3871664049032764</v>
      </c>
      <c r="V55">
        <v>1.3871664049032764</v>
      </c>
    </row>
    <row r="56" spans="12:23" x14ac:dyDescent="0.3">
      <c r="L56">
        <v>54</v>
      </c>
      <c r="M56" t="s">
        <v>53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1</v>
      </c>
      <c r="U56">
        <v>1.2173913043478299</v>
      </c>
      <c r="V56">
        <v>1.2173913043478299</v>
      </c>
    </row>
    <row r="57" spans="12:23" x14ac:dyDescent="0.3">
      <c r="L57">
        <v>55</v>
      </c>
      <c r="M57" t="s">
        <v>54</v>
      </c>
      <c r="N57">
        <v>1</v>
      </c>
      <c r="O57">
        <v>865000</v>
      </c>
      <c r="P57">
        <v>0.86499999999999999</v>
      </c>
      <c r="Q57">
        <v>0</v>
      </c>
      <c r="R57">
        <v>0</v>
      </c>
      <c r="S57">
        <v>0</v>
      </c>
      <c r="T57">
        <v>2</v>
      </c>
      <c r="U57">
        <v>7.9216625167592397E-2</v>
      </c>
      <c r="V57">
        <v>0.94421662516759242</v>
      </c>
    </row>
    <row r="58" spans="12:23" x14ac:dyDescent="0.3">
      <c r="L58">
        <v>56</v>
      </c>
      <c r="M58" t="s">
        <v>55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5</v>
      </c>
      <c r="U58">
        <v>0.77661673913043472</v>
      </c>
      <c r="V58">
        <v>0.77661673913043472</v>
      </c>
    </row>
    <row r="59" spans="12:23" x14ac:dyDescent="0.3">
      <c r="L59">
        <v>57</v>
      </c>
      <c r="M59" t="s">
        <v>56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</v>
      </c>
      <c r="U59">
        <v>0.50232299999999996</v>
      </c>
      <c r="V59">
        <v>0.50232299999999996</v>
      </c>
    </row>
    <row r="60" spans="12:23" x14ac:dyDescent="0.3">
      <c r="L60">
        <v>58</v>
      </c>
      <c r="M60" t="s">
        <v>57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2</v>
      </c>
      <c r="U60">
        <v>0.37914130434782639</v>
      </c>
      <c r="V60">
        <v>0.37914130434782639</v>
      </c>
    </row>
    <row r="61" spans="12:23" x14ac:dyDescent="0.3">
      <c r="L61">
        <v>59</v>
      </c>
      <c r="M61" t="s">
        <v>58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0.13722870895652201</v>
      </c>
      <c r="V61">
        <v>0.13722870895652201</v>
      </c>
    </row>
    <row r="62" spans="12:23" x14ac:dyDescent="0.3">
      <c r="L62">
        <v>60</v>
      </c>
      <c r="M62" t="s">
        <v>59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</v>
      </c>
      <c r="U62">
        <v>7.0730434782608695E-2</v>
      </c>
      <c r="V62">
        <v>7.0730434782608695E-2</v>
      </c>
      <c r="W62">
        <v>0</v>
      </c>
    </row>
    <row r="63" spans="12:23" x14ac:dyDescent="0.3">
      <c r="L63">
        <v>61</v>
      </c>
      <c r="M63" t="s">
        <v>60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5.21739130434783E-2</v>
      </c>
      <c r="V63">
        <v>5.21739130434783E-2</v>
      </c>
    </row>
    <row r="64" spans="12:23" x14ac:dyDescent="0.3">
      <c r="L64">
        <v>62</v>
      </c>
      <c r="M64" t="s">
        <v>61</v>
      </c>
      <c r="N64">
        <v>3</v>
      </c>
      <c r="O64">
        <v>17659000</v>
      </c>
      <c r="P64">
        <v>17.658999999999999</v>
      </c>
      <c r="Q64">
        <v>6</v>
      </c>
      <c r="R64">
        <v>-20500000</v>
      </c>
      <c r="S64">
        <v>-20.5</v>
      </c>
      <c r="T64">
        <v>7</v>
      </c>
      <c r="U64">
        <v>1.8030866956521743</v>
      </c>
      <c r="V64">
        <v>-1.0379133043478268</v>
      </c>
      <c r="W64">
        <v>0</v>
      </c>
    </row>
    <row r="65" spans="12:22" x14ac:dyDescent="0.3">
      <c r="L65" t="s">
        <v>97</v>
      </c>
      <c r="N65">
        <v>3883</v>
      </c>
      <c r="O65">
        <v>16745602401.809999</v>
      </c>
      <c r="P65">
        <v>16745.60240181</v>
      </c>
      <c r="Q65">
        <v>1381</v>
      </c>
      <c r="R65">
        <v>5802027938.8750095</v>
      </c>
      <c r="S65">
        <v>5802.0279388750096</v>
      </c>
      <c r="T65">
        <v>9842</v>
      </c>
      <c r="U65">
        <v>15471.48191848945</v>
      </c>
      <c r="V65">
        <v>38019.112259174435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15492-981C-4111-B055-09D980A4C402}">
  <sheetPr codeName="Sheet8"/>
  <dimension ref="A1:W66"/>
  <sheetViews>
    <sheetView workbookViewId="0">
      <selection sqref="A1:V2"/>
    </sheetView>
  </sheetViews>
  <sheetFormatPr defaultRowHeight="14.4" x14ac:dyDescent="0.3"/>
  <cols>
    <col min="1" max="1" width="7" bestFit="1" customWidth="1"/>
    <col min="2" max="2" width="44.88671875" bestFit="1" customWidth="1"/>
    <col min="3" max="3" width="14.5546875" bestFit="1" customWidth="1"/>
    <col min="4" max="4" width="22.21875" bestFit="1" customWidth="1"/>
    <col min="5" max="5" width="26.33203125" bestFit="1" customWidth="1"/>
    <col min="6" max="6" width="20" bestFit="1" customWidth="1"/>
    <col min="7" max="7" width="24.109375" bestFit="1" customWidth="1"/>
    <col min="8" max="8" width="27.77734375" bestFit="1" customWidth="1"/>
    <col min="9" max="9" width="23.6640625" bestFit="1" customWidth="1"/>
    <col min="10" max="10" width="32.6640625" bestFit="1" customWidth="1"/>
    <col min="11" max="11" width="51.44140625" bestFit="1" customWidth="1"/>
    <col min="12" max="12" width="7" bestFit="1" customWidth="1"/>
    <col min="13" max="13" width="14.6640625" bestFit="1" customWidth="1"/>
    <col min="14" max="14" width="14.5546875" bestFit="1" customWidth="1"/>
    <col min="15" max="15" width="22.21875" bestFit="1" customWidth="1"/>
    <col min="16" max="16" width="26.33203125" bestFit="1" customWidth="1"/>
    <col min="17" max="17" width="20" bestFit="1" customWidth="1"/>
    <col min="18" max="18" width="24.109375" bestFit="1" customWidth="1"/>
    <col min="19" max="19" width="27.77734375" bestFit="1" customWidth="1"/>
    <col min="20" max="20" width="23.6640625" bestFit="1" customWidth="1"/>
    <col min="21" max="21" width="32.6640625" bestFit="1" customWidth="1"/>
    <col min="22" max="22" width="51.44140625" bestFit="1" customWidth="1"/>
    <col min="23" max="23" width="2" bestFit="1" customWidth="1"/>
    <col min="24" max="24" width="12.44140625" bestFit="1" customWidth="1"/>
    <col min="25" max="25" width="13.88671875" bestFit="1" customWidth="1"/>
    <col min="26" max="26" width="39.109375" bestFit="1" customWidth="1"/>
  </cols>
  <sheetData>
    <row r="1" spans="1:22" x14ac:dyDescent="0.3">
      <c r="A1" t="s">
        <v>66</v>
      </c>
      <c r="B1" t="s">
        <v>67</v>
      </c>
      <c r="C1" t="s">
        <v>70</v>
      </c>
      <c r="F1" t="s">
        <v>68</v>
      </c>
      <c r="I1" t="s">
        <v>69</v>
      </c>
      <c r="N1" t="s">
        <v>70</v>
      </c>
      <c r="Q1" t="s">
        <v>68</v>
      </c>
      <c r="T1" t="s">
        <v>69</v>
      </c>
      <c r="V1" t="s">
        <v>71</v>
      </c>
    </row>
    <row r="2" spans="1:22" x14ac:dyDescent="0.3">
      <c r="C2" t="s">
        <v>75</v>
      </c>
      <c r="D2" t="s">
        <v>76</v>
      </c>
      <c r="E2" t="s">
        <v>72</v>
      </c>
      <c r="F2" t="s">
        <v>99</v>
      </c>
      <c r="G2" t="s">
        <v>100</v>
      </c>
      <c r="H2" t="s">
        <v>101</v>
      </c>
      <c r="I2" t="s">
        <v>73</v>
      </c>
      <c r="J2" t="s">
        <v>77</v>
      </c>
      <c r="K2" t="s">
        <v>71</v>
      </c>
      <c r="L2" t="s">
        <v>66</v>
      </c>
      <c r="M2" t="s">
        <v>74</v>
      </c>
      <c r="N2" t="s">
        <v>75</v>
      </c>
      <c r="O2" t="s">
        <v>76</v>
      </c>
      <c r="P2" t="s">
        <v>72</v>
      </c>
      <c r="Q2" t="s">
        <v>99</v>
      </c>
      <c r="R2" t="s">
        <v>100</v>
      </c>
      <c r="S2" t="s">
        <v>101</v>
      </c>
      <c r="T2" t="s">
        <v>73</v>
      </c>
      <c r="U2" t="s">
        <v>77</v>
      </c>
      <c r="V2" t="s">
        <v>71</v>
      </c>
    </row>
    <row r="3" spans="1:22" x14ac:dyDescent="0.3">
      <c r="A3">
        <v>1</v>
      </c>
      <c r="B3" t="s">
        <v>78</v>
      </c>
      <c r="C3">
        <v>800</v>
      </c>
      <c r="D3" t="e">
        <v>#N/A</v>
      </c>
      <c r="E3">
        <v>7190.7741480000004</v>
      </c>
      <c r="F3">
        <v>680</v>
      </c>
      <c r="G3" t="e">
        <v>#N/A</v>
      </c>
      <c r="H3">
        <v>4593.8566406787504</v>
      </c>
      <c r="I3">
        <v>1268</v>
      </c>
      <c r="J3">
        <v>1816.4634590623748</v>
      </c>
      <c r="K3">
        <v>13601.094247741126</v>
      </c>
      <c r="L3">
        <v>1</v>
      </c>
      <c r="M3" t="s">
        <v>0</v>
      </c>
      <c r="N3">
        <v>496</v>
      </c>
      <c r="O3" t="e">
        <v>#N/A</v>
      </c>
      <c r="P3">
        <v>711.81440099999998</v>
      </c>
      <c r="Q3">
        <v>158</v>
      </c>
      <c r="R3" t="e">
        <v>#N/A</v>
      </c>
      <c r="S3">
        <v>1261.906729</v>
      </c>
      <c r="T3">
        <v>751</v>
      </c>
      <c r="U3">
        <v>1611.8166879687797</v>
      </c>
      <c r="V3">
        <v>3585.5378179687796</v>
      </c>
    </row>
    <row r="4" spans="1:22" x14ac:dyDescent="0.3">
      <c r="A4">
        <v>2</v>
      </c>
      <c r="B4" t="s">
        <v>79</v>
      </c>
      <c r="C4">
        <v>20</v>
      </c>
      <c r="D4" t="e">
        <v>#N/A</v>
      </c>
      <c r="E4">
        <v>5080.8133260000004</v>
      </c>
      <c r="F4">
        <v>8</v>
      </c>
      <c r="G4" t="e">
        <v>#N/A</v>
      </c>
      <c r="H4">
        <v>-137.469289</v>
      </c>
      <c r="I4">
        <v>45</v>
      </c>
      <c r="J4">
        <v>199.22343076989497</v>
      </c>
      <c r="K4">
        <v>5142.5674677698953</v>
      </c>
      <c r="L4">
        <v>2</v>
      </c>
      <c r="M4" t="s">
        <v>1</v>
      </c>
      <c r="N4">
        <v>950</v>
      </c>
      <c r="O4" t="e">
        <v>#N/A</v>
      </c>
      <c r="P4">
        <v>637.68200999999999</v>
      </c>
      <c r="Q4">
        <v>250</v>
      </c>
      <c r="R4" t="e">
        <v>#N/A</v>
      </c>
      <c r="S4">
        <v>540.86544097843739</v>
      </c>
      <c r="T4">
        <v>3640</v>
      </c>
      <c r="U4">
        <v>3177.3834984953105</v>
      </c>
      <c r="V4">
        <v>4355.9309494737481</v>
      </c>
    </row>
    <row r="5" spans="1:22" x14ac:dyDescent="0.3">
      <c r="A5">
        <v>3</v>
      </c>
      <c r="B5" t="s">
        <v>80</v>
      </c>
      <c r="C5">
        <v>70</v>
      </c>
      <c r="D5" t="e">
        <v>#N/A</v>
      </c>
      <c r="E5">
        <v>987.412103</v>
      </c>
      <c r="F5">
        <v>32</v>
      </c>
      <c r="G5" t="e">
        <v>#N/A</v>
      </c>
      <c r="H5">
        <v>1256.075787</v>
      </c>
      <c r="I5">
        <v>229</v>
      </c>
      <c r="J5">
        <v>1941.4578675752098</v>
      </c>
      <c r="K5">
        <v>4184.9457575752094</v>
      </c>
      <c r="L5">
        <v>3</v>
      </c>
      <c r="M5" t="s">
        <v>2</v>
      </c>
      <c r="N5">
        <v>133</v>
      </c>
      <c r="O5" t="e">
        <v>#N/A</v>
      </c>
      <c r="P5">
        <v>783.902917</v>
      </c>
      <c r="Q5">
        <v>92</v>
      </c>
      <c r="R5" t="e">
        <v>#N/A</v>
      </c>
      <c r="S5">
        <v>317.639096</v>
      </c>
      <c r="T5">
        <v>395</v>
      </c>
      <c r="U5">
        <v>782.12474032583987</v>
      </c>
      <c r="V5">
        <v>1883.6667533258399</v>
      </c>
    </row>
    <row r="6" spans="1:22" x14ac:dyDescent="0.3">
      <c r="A6">
        <v>4</v>
      </c>
      <c r="B6" t="s">
        <v>81</v>
      </c>
      <c r="C6">
        <v>79</v>
      </c>
      <c r="D6" t="e">
        <v>#N/A</v>
      </c>
      <c r="E6">
        <v>237.24400800000001</v>
      </c>
      <c r="F6">
        <v>29</v>
      </c>
      <c r="G6" t="e">
        <v>#N/A</v>
      </c>
      <c r="H6">
        <v>78.886713999999998</v>
      </c>
      <c r="I6">
        <v>233</v>
      </c>
      <c r="J6">
        <v>243.71684897701022</v>
      </c>
      <c r="K6">
        <v>559.84757097701026</v>
      </c>
      <c r="L6">
        <v>4</v>
      </c>
      <c r="M6" t="s">
        <v>3</v>
      </c>
      <c r="N6">
        <v>69</v>
      </c>
      <c r="O6" t="e">
        <v>#N/A</v>
      </c>
      <c r="P6">
        <v>405.03560499999998</v>
      </c>
      <c r="Q6">
        <v>38</v>
      </c>
      <c r="R6" t="e">
        <v>#N/A</v>
      </c>
      <c r="S6">
        <v>160.48677518</v>
      </c>
      <c r="T6">
        <v>142</v>
      </c>
      <c r="U6">
        <v>362.82623019624987</v>
      </c>
      <c r="V6">
        <v>928.34861037624989</v>
      </c>
    </row>
    <row r="7" spans="1:22" x14ac:dyDescent="0.3">
      <c r="A7">
        <v>5</v>
      </c>
      <c r="B7" t="s">
        <v>82</v>
      </c>
      <c r="C7">
        <v>704</v>
      </c>
      <c r="D7" t="e">
        <v>#N/A</v>
      </c>
      <c r="E7">
        <v>431.18400700000001</v>
      </c>
      <c r="F7">
        <v>164</v>
      </c>
      <c r="G7" t="e">
        <v>#N/A</v>
      </c>
      <c r="H7">
        <v>234.24452517968751</v>
      </c>
      <c r="I7">
        <v>2264</v>
      </c>
      <c r="J7">
        <v>980.21474146658818</v>
      </c>
      <c r="K7">
        <v>1645.6432736462757</v>
      </c>
      <c r="L7">
        <v>5</v>
      </c>
      <c r="M7" t="s">
        <v>4</v>
      </c>
      <c r="N7">
        <v>153</v>
      </c>
      <c r="O7" t="e">
        <v>#N/A</v>
      </c>
      <c r="P7">
        <v>429.96638000000002</v>
      </c>
      <c r="Q7">
        <v>99</v>
      </c>
      <c r="R7" t="e">
        <v>#N/A</v>
      </c>
      <c r="S7">
        <v>381.87388728906251</v>
      </c>
      <c r="T7">
        <v>162</v>
      </c>
      <c r="U7">
        <v>89.352225716314891</v>
      </c>
      <c r="V7">
        <v>901.1924930053774</v>
      </c>
    </row>
    <row r="8" spans="1:22" x14ac:dyDescent="0.3">
      <c r="A8">
        <v>6</v>
      </c>
      <c r="B8" t="s">
        <v>83</v>
      </c>
      <c r="C8">
        <v>12</v>
      </c>
      <c r="D8" t="e">
        <v>#N/A</v>
      </c>
      <c r="E8">
        <v>103.087824</v>
      </c>
      <c r="F8">
        <v>16</v>
      </c>
      <c r="G8" t="e">
        <v>#N/A</v>
      </c>
      <c r="H8">
        <v>79.645726999999994</v>
      </c>
      <c r="I8">
        <v>29</v>
      </c>
      <c r="J8">
        <v>27.901327174916069</v>
      </c>
      <c r="K8">
        <v>210.63487817491605</v>
      </c>
      <c r="L8">
        <v>6</v>
      </c>
      <c r="M8" t="s">
        <v>5</v>
      </c>
      <c r="N8">
        <v>79</v>
      </c>
      <c r="O8" t="e">
        <v>#N/A</v>
      </c>
      <c r="P8">
        <v>1064.1280420000001</v>
      </c>
      <c r="Q8">
        <v>28</v>
      </c>
      <c r="R8" t="e">
        <v>#N/A</v>
      </c>
      <c r="S8">
        <v>376.66604100000001</v>
      </c>
      <c r="T8">
        <v>72</v>
      </c>
      <c r="U8">
        <v>69.757297109768956</v>
      </c>
      <c r="V8">
        <v>1510.5513801097691</v>
      </c>
    </row>
    <row r="9" spans="1:22" x14ac:dyDescent="0.3">
      <c r="A9">
        <v>7</v>
      </c>
      <c r="B9" t="s">
        <v>84</v>
      </c>
      <c r="C9">
        <v>376</v>
      </c>
      <c r="D9" t="e">
        <v>#N/A</v>
      </c>
      <c r="E9">
        <v>169.296008</v>
      </c>
      <c r="F9">
        <v>87</v>
      </c>
      <c r="G9" t="e">
        <v>#N/A</v>
      </c>
      <c r="H9">
        <v>114.2967586015625</v>
      </c>
      <c r="I9">
        <v>825</v>
      </c>
      <c r="J9">
        <v>1062.9645251899863</v>
      </c>
      <c r="K9">
        <v>1346.5572917915488</v>
      </c>
      <c r="L9">
        <v>7</v>
      </c>
      <c r="M9" t="s">
        <v>6</v>
      </c>
      <c r="N9">
        <v>15</v>
      </c>
      <c r="O9" t="e">
        <v>#N/A</v>
      </c>
      <c r="P9">
        <v>388.15810199999999</v>
      </c>
      <c r="Q9">
        <v>29</v>
      </c>
      <c r="R9" t="e">
        <v>#N/A</v>
      </c>
      <c r="S9">
        <v>121.910752</v>
      </c>
      <c r="T9">
        <v>34</v>
      </c>
      <c r="U9">
        <v>37.996946061191366</v>
      </c>
      <c r="V9">
        <v>548.06580006119134</v>
      </c>
    </row>
    <row r="10" spans="1:22" x14ac:dyDescent="0.3">
      <c r="A10">
        <v>8</v>
      </c>
      <c r="B10" t="s">
        <v>85</v>
      </c>
      <c r="C10">
        <v>59</v>
      </c>
      <c r="D10" t="e">
        <v>#N/A</v>
      </c>
      <c r="E10">
        <v>169.231087</v>
      </c>
      <c r="F10">
        <v>19</v>
      </c>
      <c r="G10" t="e">
        <v>#N/A</v>
      </c>
      <c r="H10">
        <v>43.165264000000001</v>
      </c>
      <c r="I10">
        <v>155</v>
      </c>
      <c r="J10">
        <v>399.52523492744166</v>
      </c>
      <c r="K10">
        <v>611.9215859274417</v>
      </c>
      <c r="L10">
        <v>8</v>
      </c>
      <c r="M10" t="s">
        <v>7</v>
      </c>
      <c r="N10">
        <v>35</v>
      </c>
      <c r="O10" t="e">
        <v>#N/A</v>
      </c>
      <c r="P10">
        <v>395.29562800000002</v>
      </c>
      <c r="Q10">
        <v>55</v>
      </c>
      <c r="R10" t="e">
        <v>#N/A</v>
      </c>
      <c r="S10">
        <v>432.49199399999998</v>
      </c>
      <c r="T10">
        <v>39</v>
      </c>
      <c r="U10">
        <v>66.901709251387615</v>
      </c>
      <c r="V10">
        <v>894.68933125138767</v>
      </c>
    </row>
    <row r="11" spans="1:22" x14ac:dyDescent="0.3">
      <c r="A11">
        <v>9</v>
      </c>
      <c r="B11" t="s">
        <v>86</v>
      </c>
      <c r="C11">
        <v>57</v>
      </c>
      <c r="D11" t="e">
        <v>#N/A</v>
      </c>
      <c r="E11">
        <v>106.12933700000001</v>
      </c>
      <c r="F11">
        <v>15</v>
      </c>
      <c r="G11" t="e">
        <v>#N/A</v>
      </c>
      <c r="H11">
        <v>27.715395000000001</v>
      </c>
      <c r="I11">
        <v>399</v>
      </c>
      <c r="J11">
        <v>207.6245398135737</v>
      </c>
      <c r="K11">
        <v>341.46927181357376</v>
      </c>
      <c r="L11">
        <v>9</v>
      </c>
      <c r="M11" t="s">
        <v>8</v>
      </c>
      <c r="N11">
        <v>31</v>
      </c>
      <c r="O11" t="e">
        <v>#N/A</v>
      </c>
      <c r="P11">
        <v>302.36409400000002</v>
      </c>
      <c r="Q11">
        <v>8</v>
      </c>
      <c r="R11" t="e">
        <v>#N/A</v>
      </c>
      <c r="S11">
        <v>1489.6558239999999</v>
      </c>
      <c r="T11">
        <v>37</v>
      </c>
      <c r="U11">
        <v>381.77688043394505</v>
      </c>
      <c r="V11">
        <v>2173.7967984339448</v>
      </c>
    </row>
    <row r="12" spans="1:22" x14ac:dyDescent="0.3">
      <c r="A12">
        <v>10</v>
      </c>
      <c r="B12" t="s">
        <v>87</v>
      </c>
      <c r="C12">
        <v>206</v>
      </c>
      <c r="D12" t="e">
        <v>#N/A</v>
      </c>
      <c r="E12">
        <v>53.460124</v>
      </c>
      <c r="F12">
        <v>49</v>
      </c>
      <c r="G12" t="e">
        <v>#N/A</v>
      </c>
      <c r="H12">
        <v>41.563054000000001</v>
      </c>
      <c r="I12">
        <v>352</v>
      </c>
      <c r="J12">
        <v>176.2630631810695</v>
      </c>
      <c r="K12">
        <v>271.2862411810695</v>
      </c>
      <c r="L12">
        <v>10</v>
      </c>
      <c r="M12" t="s">
        <v>9</v>
      </c>
      <c r="N12">
        <v>33</v>
      </c>
      <c r="O12" t="e">
        <v>#N/A</v>
      </c>
      <c r="P12">
        <v>574.255043</v>
      </c>
      <c r="Q12">
        <v>33</v>
      </c>
      <c r="R12" t="e">
        <v>#N/A</v>
      </c>
      <c r="S12">
        <v>145.256294</v>
      </c>
      <c r="T12">
        <v>28</v>
      </c>
      <c r="U12">
        <v>10.243370661874843</v>
      </c>
      <c r="V12">
        <v>729.75470766187482</v>
      </c>
    </row>
    <row r="13" spans="1:22" x14ac:dyDescent="0.3">
      <c r="A13">
        <v>11</v>
      </c>
      <c r="B13" t="s">
        <v>88</v>
      </c>
      <c r="C13">
        <v>56</v>
      </c>
      <c r="D13" t="e">
        <v>#N/A</v>
      </c>
      <c r="E13">
        <v>20.013877000000001</v>
      </c>
      <c r="F13">
        <v>9</v>
      </c>
      <c r="G13" t="e">
        <v>#N/A</v>
      </c>
      <c r="H13">
        <v>2.14</v>
      </c>
      <c r="I13">
        <v>130</v>
      </c>
      <c r="J13">
        <v>18.231527246014455</v>
      </c>
      <c r="K13">
        <v>40.38540424601446</v>
      </c>
      <c r="L13">
        <v>11</v>
      </c>
      <c r="M13" t="s">
        <v>10</v>
      </c>
      <c r="N13">
        <v>113</v>
      </c>
      <c r="O13" t="e">
        <v>#N/A</v>
      </c>
      <c r="P13">
        <v>326.24147099999999</v>
      </c>
      <c r="Q13">
        <v>102</v>
      </c>
      <c r="R13" t="e">
        <v>#N/A</v>
      </c>
      <c r="S13">
        <v>305.11305700000003</v>
      </c>
      <c r="T13">
        <v>132</v>
      </c>
      <c r="U13">
        <v>178.94206572026147</v>
      </c>
      <c r="V13">
        <v>810.29659372026151</v>
      </c>
    </row>
    <row r="14" spans="1:22" x14ac:dyDescent="0.3">
      <c r="A14">
        <v>12</v>
      </c>
      <c r="B14" t="s">
        <v>89</v>
      </c>
      <c r="C14">
        <v>4</v>
      </c>
      <c r="D14" t="e">
        <v>#N/A</v>
      </c>
      <c r="E14">
        <v>3.4234239999999998</v>
      </c>
      <c r="F14">
        <v>7</v>
      </c>
      <c r="G14" t="e">
        <v>#N/A</v>
      </c>
      <c r="H14">
        <v>36.740039000000003</v>
      </c>
      <c r="I14">
        <v>18</v>
      </c>
      <c r="J14">
        <v>3.611786594243779</v>
      </c>
      <c r="K14">
        <v>43.775249594243782</v>
      </c>
      <c r="L14">
        <v>12</v>
      </c>
      <c r="M14" t="s">
        <v>11</v>
      </c>
      <c r="N14">
        <v>32</v>
      </c>
      <c r="O14" t="e">
        <v>#N/A</v>
      </c>
      <c r="P14">
        <v>164.42</v>
      </c>
      <c r="Q14">
        <v>46</v>
      </c>
      <c r="R14" t="e">
        <v>#N/A</v>
      </c>
      <c r="S14">
        <v>322.79723201249999</v>
      </c>
      <c r="T14">
        <v>42</v>
      </c>
      <c r="U14">
        <v>33.058740354265296</v>
      </c>
      <c r="V14">
        <v>520.27597236676525</v>
      </c>
    </row>
    <row r="15" spans="1:22" x14ac:dyDescent="0.3">
      <c r="A15">
        <v>13</v>
      </c>
      <c r="B15" t="s">
        <v>90</v>
      </c>
      <c r="C15">
        <v>54</v>
      </c>
      <c r="D15" t="e">
        <v>#N/A</v>
      </c>
      <c r="E15">
        <v>19.365265999999998</v>
      </c>
      <c r="F15">
        <v>16</v>
      </c>
      <c r="G15" t="e">
        <v>#N/A</v>
      </c>
      <c r="H15">
        <v>13.915717000000001</v>
      </c>
      <c r="I15">
        <v>115</v>
      </c>
      <c r="J15">
        <v>75.054241539087542</v>
      </c>
      <c r="K15">
        <v>108.33522453908753</v>
      </c>
      <c r="L15">
        <v>13</v>
      </c>
      <c r="M15" t="s">
        <v>12</v>
      </c>
      <c r="N15">
        <v>20</v>
      </c>
      <c r="O15" t="e">
        <v>#N/A</v>
      </c>
      <c r="P15">
        <v>373.92266599999999</v>
      </c>
      <c r="Q15">
        <v>12</v>
      </c>
      <c r="R15" t="e">
        <v>#N/A</v>
      </c>
      <c r="S15">
        <v>24.302060999999998</v>
      </c>
      <c r="T15">
        <v>16</v>
      </c>
      <c r="U15">
        <v>2.5449290671679439</v>
      </c>
      <c r="V15">
        <v>400.76965606716794</v>
      </c>
    </row>
    <row r="16" spans="1:22" x14ac:dyDescent="0.3">
      <c r="A16">
        <v>14</v>
      </c>
      <c r="B16" t="s">
        <v>91</v>
      </c>
      <c r="C16">
        <v>4</v>
      </c>
      <c r="D16" t="e">
        <v>#N/A</v>
      </c>
      <c r="E16">
        <v>64.424666000000002</v>
      </c>
      <c r="F16">
        <v>0</v>
      </c>
      <c r="G16" t="e">
        <v>#N/A</v>
      </c>
      <c r="H16">
        <v>0</v>
      </c>
      <c r="I16">
        <v>12</v>
      </c>
      <c r="J16">
        <v>23.585494435224248</v>
      </c>
      <c r="K16">
        <v>88.01016043522425</v>
      </c>
      <c r="L16">
        <v>14</v>
      </c>
      <c r="M16" t="s">
        <v>13</v>
      </c>
      <c r="N16">
        <v>28</v>
      </c>
      <c r="O16" t="e">
        <v>#N/A</v>
      </c>
      <c r="P16">
        <v>497.49656199999998</v>
      </c>
      <c r="Q16">
        <v>13</v>
      </c>
      <c r="R16" t="e">
        <v>#N/A</v>
      </c>
      <c r="S16">
        <v>20.489530999999999</v>
      </c>
      <c r="T16">
        <v>32</v>
      </c>
      <c r="U16">
        <v>22.724484725687095</v>
      </c>
      <c r="V16">
        <v>540.71057772568713</v>
      </c>
    </row>
    <row r="17" spans="1:22" x14ac:dyDescent="0.3">
      <c r="A17">
        <v>15</v>
      </c>
      <c r="B17" t="s">
        <v>92</v>
      </c>
      <c r="C17">
        <v>9</v>
      </c>
      <c r="D17" t="e">
        <v>#N/A</v>
      </c>
      <c r="E17">
        <v>4.4863189999999999</v>
      </c>
      <c r="F17">
        <v>4</v>
      </c>
      <c r="G17" t="e">
        <v>#N/A</v>
      </c>
      <c r="H17">
        <v>12.654999999999999</v>
      </c>
      <c r="I17">
        <v>27</v>
      </c>
      <c r="J17">
        <v>15.41790511715589</v>
      </c>
      <c r="K17">
        <v>32.559224117155892</v>
      </c>
      <c r="L17">
        <v>15</v>
      </c>
      <c r="M17" t="s">
        <v>14</v>
      </c>
      <c r="N17">
        <v>83</v>
      </c>
      <c r="O17" t="e">
        <v>#N/A</v>
      </c>
      <c r="P17">
        <v>128.855626</v>
      </c>
      <c r="Q17">
        <v>20</v>
      </c>
      <c r="R17" t="e">
        <v>#N/A</v>
      </c>
      <c r="S17">
        <v>80.057353000000006</v>
      </c>
      <c r="T17">
        <v>105</v>
      </c>
      <c r="U17">
        <v>8.6303587728068507</v>
      </c>
      <c r="V17">
        <v>217.54333777280686</v>
      </c>
    </row>
    <row r="18" spans="1:22" x14ac:dyDescent="0.3">
      <c r="A18">
        <v>16</v>
      </c>
      <c r="B18" t="s">
        <v>93</v>
      </c>
      <c r="C18">
        <v>1</v>
      </c>
      <c r="D18" t="e">
        <v>#N/A</v>
      </c>
      <c r="E18">
        <v>0.40766599999999997</v>
      </c>
      <c r="F18">
        <v>1</v>
      </c>
      <c r="G18" t="e">
        <v>#N/A</v>
      </c>
      <c r="H18">
        <v>0.68031200000000003</v>
      </c>
      <c r="I18">
        <v>12</v>
      </c>
      <c r="J18">
        <v>5.2847116958767328</v>
      </c>
      <c r="K18">
        <v>6.3726896958767334</v>
      </c>
      <c r="L18">
        <v>16</v>
      </c>
      <c r="M18" t="s">
        <v>15</v>
      </c>
      <c r="N18">
        <v>22</v>
      </c>
      <c r="O18" t="e">
        <v>#N/A</v>
      </c>
      <c r="P18">
        <v>241.73641499999999</v>
      </c>
      <c r="Q18">
        <v>34</v>
      </c>
      <c r="R18" t="e">
        <v>#N/A</v>
      </c>
      <c r="S18">
        <v>203.026622</v>
      </c>
      <c r="T18">
        <v>40</v>
      </c>
      <c r="U18">
        <v>43.01184392290655</v>
      </c>
      <c r="V18">
        <v>487.77488092290656</v>
      </c>
    </row>
    <row r="19" spans="1:22" x14ac:dyDescent="0.3">
      <c r="A19">
        <v>17</v>
      </c>
      <c r="B19" t="s">
        <v>94</v>
      </c>
      <c r="C19">
        <v>5</v>
      </c>
      <c r="D19" t="e">
        <v>#N/A</v>
      </c>
      <c r="E19">
        <v>2.6753079999999998</v>
      </c>
      <c r="F19">
        <v>1</v>
      </c>
      <c r="G19" t="e">
        <v>#N/A</v>
      </c>
      <c r="H19">
        <v>1.603</v>
      </c>
      <c r="I19">
        <v>4</v>
      </c>
      <c r="J19">
        <v>0.88141154996987259</v>
      </c>
      <c r="K19">
        <v>5.1597195499698723</v>
      </c>
      <c r="L19">
        <v>17</v>
      </c>
      <c r="M19" t="s">
        <v>16</v>
      </c>
      <c r="N19">
        <v>48</v>
      </c>
      <c r="O19" t="e">
        <v>#N/A</v>
      </c>
      <c r="P19">
        <v>322.381325</v>
      </c>
      <c r="Q19">
        <v>18</v>
      </c>
      <c r="R19" t="e">
        <v>#N/A</v>
      </c>
      <c r="S19">
        <v>26.151533000000001</v>
      </c>
      <c r="T19">
        <v>18</v>
      </c>
      <c r="U19">
        <v>20.566953783308932</v>
      </c>
      <c r="V19">
        <v>369.09981178330895</v>
      </c>
    </row>
    <row r="20" spans="1:22" x14ac:dyDescent="0.3">
      <c r="A20">
        <v>18</v>
      </c>
      <c r="B20" t="s">
        <v>95</v>
      </c>
      <c r="C20">
        <v>6</v>
      </c>
      <c r="D20" t="e">
        <v>#N/A</v>
      </c>
      <c r="E20">
        <v>0.28884799999999999</v>
      </c>
      <c r="F20">
        <v>3</v>
      </c>
      <c r="G20" t="e">
        <v>#N/A</v>
      </c>
      <c r="H20">
        <v>14.770996</v>
      </c>
      <c r="I20">
        <v>24</v>
      </c>
      <c r="J20">
        <v>271.77601564728155</v>
      </c>
      <c r="K20">
        <v>286.83585964728155</v>
      </c>
      <c r="L20">
        <v>18</v>
      </c>
      <c r="M20" t="s">
        <v>17</v>
      </c>
      <c r="N20">
        <v>9</v>
      </c>
      <c r="O20" t="e">
        <v>#N/A</v>
      </c>
      <c r="P20">
        <v>108.187264</v>
      </c>
      <c r="Q20">
        <v>11</v>
      </c>
      <c r="R20" t="e">
        <v>#N/A</v>
      </c>
      <c r="S20">
        <v>55.281609000000003</v>
      </c>
      <c r="T20">
        <v>6</v>
      </c>
      <c r="U20">
        <v>3.6852256236541243</v>
      </c>
      <c r="V20">
        <v>167.15409862365414</v>
      </c>
    </row>
    <row r="21" spans="1:22" x14ac:dyDescent="0.3">
      <c r="A21">
        <v>19</v>
      </c>
      <c r="B21" t="s">
        <v>96</v>
      </c>
      <c r="C21">
        <v>1</v>
      </c>
      <c r="D21" t="e">
        <v>#N/A</v>
      </c>
      <c r="E21">
        <v>2.7</v>
      </c>
      <c r="F21">
        <v>0</v>
      </c>
      <c r="G21" t="e">
        <v>#N/A</v>
      </c>
      <c r="H21">
        <v>0</v>
      </c>
      <c r="I21">
        <v>0</v>
      </c>
      <c r="J21">
        <v>0</v>
      </c>
      <c r="K21">
        <v>2.7</v>
      </c>
      <c r="L21">
        <v>19</v>
      </c>
      <c r="M21" t="s">
        <v>18</v>
      </c>
      <c r="N21">
        <v>14</v>
      </c>
      <c r="O21" t="e">
        <v>#N/A</v>
      </c>
      <c r="P21">
        <v>240.297</v>
      </c>
      <c r="Q21">
        <v>7</v>
      </c>
      <c r="R21" t="e">
        <v>#N/A</v>
      </c>
      <c r="S21">
        <v>100.95305500000001</v>
      </c>
      <c r="T21">
        <v>22</v>
      </c>
      <c r="U21">
        <v>8.2932917485925817</v>
      </c>
      <c r="V21">
        <v>349.54334674859257</v>
      </c>
    </row>
    <row r="22" spans="1:22" x14ac:dyDescent="0.3">
      <c r="A22" t="s">
        <v>97</v>
      </c>
      <c r="C22">
        <v>2523</v>
      </c>
      <c r="D22">
        <v>0</v>
      </c>
      <c r="E22">
        <v>14646.417346</v>
      </c>
      <c r="F22">
        <v>1140</v>
      </c>
      <c r="G22">
        <v>0</v>
      </c>
      <c r="H22">
        <v>6414.4856404600023</v>
      </c>
      <c r="I22">
        <v>6141</v>
      </c>
      <c r="J22">
        <v>7469.1981319629194</v>
      </c>
      <c r="K22">
        <v>28530.101118422925</v>
      </c>
      <c r="L22">
        <v>20</v>
      </c>
      <c r="M22" t="s">
        <v>19</v>
      </c>
      <c r="N22">
        <v>19</v>
      </c>
      <c r="O22" t="e">
        <v>#N/A</v>
      </c>
      <c r="P22">
        <v>221.547336</v>
      </c>
      <c r="Q22">
        <v>17</v>
      </c>
      <c r="R22" t="e">
        <v>#N/A</v>
      </c>
      <c r="S22">
        <v>59.636676999999999</v>
      </c>
      <c r="T22">
        <v>10</v>
      </c>
      <c r="U22">
        <v>9.5556365750030352</v>
      </c>
      <c r="V22">
        <v>290.739649575003</v>
      </c>
    </row>
    <row r="23" spans="1:22" x14ac:dyDescent="0.3">
      <c r="L23">
        <v>21</v>
      </c>
      <c r="M23" t="s">
        <v>20</v>
      </c>
      <c r="N23">
        <v>6</v>
      </c>
      <c r="O23" t="e">
        <v>#N/A</v>
      </c>
      <c r="P23">
        <v>18.423287999999999</v>
      </c>
      <c r="Q23">
        <v>0</v>
      </c>
      <c r="R23" t="e">
        <v>#N/A</v>
      </c>
      <c r="S23">
        <v>0</v>
      </c>
      <c r="T23">
        <v>23</v>
      </c>
      <c r="U23">
        <v>23.772166715305158</v>
      </c>
      <c r="V23">
        <v>42.195454715305161</v>
      </c>
    </row>
    <row r="24" spans="1:22" x14ac:dyDescent="0.3">
      <c r="L24">
        <v>22</v>
      </c>
      <c r="M24" t="s">
        <v>21</v>
      </c>
      <c r="N24">
        <v>10</v>
      </c>
      <c r="O24" t="e">
        <v>#N/A</v>
      </c>
      <c r="P24">
        <v>164.69580099999999</v>
      </c>
      <c r="Q24">
        <v>0</v>
      </c>
      <c r="R24" t="e">
        <v>#N/A</v>
      </c>
      <c r="S24">
        <v>0</v>
      </c>
      <c r="T24">
        <v>6</v>
      </c>
      <c r="U24">
        <v>4.7502824154256515</v>
      </c>
      <c r="V24">
        <v>169.44608341542565</v>
      </c>
    </row>
    <row r="25" spans="1:22" x14ac:dyDescent="0.3">
      <c r="L25">
        <v>23</v>
      </c>
      <c r="M25" t="s">
        <v>22</v>
      </c>
      <c r="N25">
        <v>16</v>
      </c>
      <c r="O25" t="e">
        <v>#N/A</v>
      </c>
      <c r="P25">
        <v>465.98547200000002</v>
      </c>
      <c r="Q25">
        <v>2</v>
      </c>
      <c r="R25" t="e">
        <v>#N/A</v>
      </c>
      <c r="S25">
        <v>14.88</v>
      </c>
      <c r="T25">
        <v>16</v>
      </c>
      <c r="U25">
        <v>24.793811429801156</v>
      </c>
      <c r="V25">
        <v>505.65928342980118</v>
      </c>
    </row>
    <row r="26" spans="1:22" x14ac:dyDescent="0.3">
      <c r="L26">
        <v>24</v>
      </c>
      <c r="M26" t="s">
        <v>23</v>
      </c>
      <c r="N26">
        <v>1</v>
      </c>
      <c r="O26" t="e">
        <v>#N/A</v>
      </c>
      <c r="P26">
        <v>0.215</v>
      </c>
      <c r="Q26">
        <v>0</v>
      </c>
      <c r="R26" t="e">
        <v>#N/A</v>
      </c>
      <c r="S26">
        <v>0</v>
      </c>
      <c r="T26">
        <v>3</v>
      </c>
      <c r="U26">
        <v>0.20280623224584671</v>
      </c>
      <c r="V26">
        <v>0.41780623224584668</v>
      </c>
    </row>
    <row r="27" spans="1:22" x14ac:dyDescent="0.3">
      <c r="L27">
        <v>25</v>
      </c>
      <c r="M27" t="s">
        <v>24</v>
      </c>
      <c r="N27">
        <v>5</v>
      </c>
      <c r="O27" t="e">
        <v>#N/A</v>
      </c>
      <c r="P27">
        <v>30.255673999999999</v>
      </c>
      <c r="Q27">
        <v>2</v>
      </c>
      <c r="R27" t="e">
        <v>#N/A</v>
      </c>
      <c r="S27">
        <v>13.446827000000001</v>
      </c>
      <c r="T27">
        <v>116</v>
      </c>
      <c r="U27">
        <v>32.863120722138248</v>
      </c>
      <c r="V27">
        <v>76.565621722138246</v>
      </c>
    </row>
    <row r="28" spans="1:22" x14ac:dyDescent="0.3">
      <c r="L28">
        <v>26</v>
      </c>
      <c r="M28" t="s">
        <v>25</v>
      </c>
      <c r="N28">
        <v>8</v>
      </c>
      <c r="O28" t="e">
        <v>#N/A</v>
      </c>
      <c r="P28">
        <v>34.102477999999998</v>
      </c>
      <c r="Q28">
        <v>10</v>
      </c>
      <c r="R28" t="e">
        <v>#N/A</v>
      </c>
      <c r="S28">
        <v>-97.555726000000007</v>
      </c>
      <c r="T28">
        <v>15</v>
      </c>
      <c r="U28">
        <v>27.355556615305158</v>
      </c>
      <c r="V28">
        <v>-36.097691384694855</v>
      </c>
    </row>
    <row r="29" spans="1:22" x14ac:dyDescent="0.3">
      <c r="L29">
        <v>27</v>
      </c>
      <c r="M29" t="s">
        <v>26</v>
      </c>
      <c r="N29">
        <v>6</v>
      </c>
      <c r="O29" t="e">
        <v>#N/A</v>
      </c>
      <c r="P29">
        <v>77.767493999999999</v>
      </c>
      <c r="Q29">
        <v>3</v>
      </c>
      <c r="R29" t="e">
        <v>#N/A</v>
      </c>
      <c r="S29">
        <v>1.1872149999999999</v>
      </c>
      <c r="T29">
        <v>27</v>
      </c>
      <c r="U29">
        <v>21.493678009041403</v>
      </c>
      <c r="V29">
        <v>100.4483870090414</v>
      </c>
    </row>
    <row r="30" spans="1:22" x14ac:dyDescent="0.3">
      <c r="L30">
        <v>28</v>
      </c>
      <c r="M30" t="s">
        <v>27</v>
      </c>
      <c r="N30">
        <v>6</v>
      </c>
      <c r="O30" t="e">
        <v>#N/A</v>
      </c>
      <c r="P30">
        <v>104.42</v>
      </c>
      <c r="Q30">
        <v>9</v>
      </c>
      <c r="R30" t="e">
        <v>#N/A</v>
      </c>
      <c r="S30">
        <v>52.521399000000002</v>
      </c>
      <c r="T30">
        <v>1</v>
      </c>
      <c r="U30">
        <v>82.835341</v>
      </c>
      <c r="V30">
        <v>239.77673999999999</v>
      </c>
    </row>
    <row r="31" spans="1:22" x14ac:dyDescent="0.3">
      <c r="L31">
        <v>29</v>
      </c>
      <c r="M31" t="s">
        <v>28</v>
      </c>
      <c r="N31">
        <v>7</v>
      </c>
      <c r="O31" t="e">
        <v>#N/A</v>
      </c>
      <c r="P31">
        <v>29.605566</v>
      </c>
      <c r="Q31">
        <v>2</v>
      </c>
      <c r="R31" t="e">
        <v>#N/A</v>
      </c>
      <c r="S31">
        <v>42</v>
      </c>
      <c r="T31">
        <v>5</v>
      </c>
      <c r="U31">
        <v>44.126392938021866</v>
      </c>
      <c r="V31">
        <v>115.73195893802186</v>
      </c>
    </row>
    <row r="32" spans="1:22" x14ac:dyDescent="0.3">
      <c r="L32">
        <v>30</v>
      </c>
      <c r="M32" t="s">
        <v>29</v>
      </c>
      <c r="N32">
        <v>3</v>
      </c>
      <c r="O32" t="e">
        <v>#N/A</v>
      </c>
      <c r="P32">
        <v>64.025000000000006</v>
      </c>
      <c r="Q32">
        <v>7</v>
      </c>
      <c r="R32" t="e">
        <v>#N/A</v>
      </c>
      <c r="S32">
        <v>63.3</v>
      </c>
      <c r="T32">
        <v>3</v>
      </c>
      <c r="U32">
        <v>4.247556598089008</v>
      </c>
      <c r="V32">
        <v>131.57255659808902</v>
      </c>
    </row>
    <row r="33" spans="12:22" x14ac:dyDescent="0.3">
      <c r="L33">
        <v>31</v>
      </c>
      <c r="M33" t="s">
        <v>30</v>
      </c>
      <c r="N33">
        <v>0</v>
      </c>
      <c r="O33" t="e">
        <v>#N/A</v>
      </c>
      <c r="P33">
        <v>0</v>
      </c>
      <c r="Q33">
        <v>2</v>
      </c>
      <c r="R33" t="e">
        <v>#N/A</v>
      </c>
      <c r="S33">
        <v>-158.50708299999999</v>
      </c>
      <c r="T33">
        <v>9</v>
      </c>
      <c r="U33">
        <v>23.220940999980197</v>
      </c>
      <c r="V33">
        <v>-135.28614200001979</v>
      </c>
    </row>
    <row r="34" spans="12:22" x14ac:dyDescent="0.3">
      <c r="L34">
        <v>32</v>
      </c>
      <c r="M34" t="s">
        <v>31</v>
      </c>
      <c r="N34">
        <v>1</v>
      </c>
      <c r="O34" t="e">
        <v>#N/A</v>
      </c>
      <c r="P34">
        <v>4000</v>
      </c>
      <c r="Q34">
        <v>0</v>
      </c>
      <c r="R34" t="e">
        <v>#N/A</v>
      </c>
      <c r="S34">
        <v>0</v>
      </c>
      <c r="T34">
        <v>0</v>
      </c>
      <c r="U34">
        <v>0</v>
      </c>
      <c r="V34">
        <v>4000</v>
      </c>
    </row>
    <row r="35" spans="12:22" x14ac:dyDescent="0.3">
      <c r="L35">
        <v>33</v>
      </c>
      <c r="M35" t="s">
        <v>32</v>
      </c>
      <c r="N35">
        <v>2</v>
      </c>
      <c r="O35" t="e">
        <v>#N/A</v>
      </c>
      <c r="P35">
        <v>70.387843000000004</v>
      </c>
      <c r="Q35">
        <v>5</v>
      </c>
      <c r="R35" t="e">
        <v>#N/A</v>
      </c>
      <c r="S35">
        <v>-18.762944000000001</v>
      </c>
      <c r="T35">
        <v>1</v>
      </c>
      <c r="U35">
        <v>0.52485000000000004</v>
      </c>
      <c r="V35">
        <v>52.149749</v>
      </c>
    </row>
    <row r="36" spans="12:22" x14ac:dyDescent="0.3">
      <c r="L36">
        <v>34</v>
      </c>
      <c r="M36" t="s">
        <v>33</v>
      </c>
      <c r="N36">
        <v>3</v>
      </c>
      <c r="O36" t="e">
        <v>#N/A</v>
      </c>
      <c r="P36">
        <v>2.78851</v>
      </c>
      <c r="Q36">
        <v>4</v>
      </c>
      <c r="R36" t="e">
        <v>#N/A</v>
      </c>
      <c r="S36">
        <v>31.628034</v>
      </c>
      <c r="T36">
        <v>15</v>
      </c>
      <c r="U36">
        <v>83.074327346819331</v>
      </c>
      <c r="V36">
        <v>117.49087134681933</v>
      </c>
    </row>
    <row r="37" spans="12:22" x14ac:dyDescent="0.3">
      <c r="L37">
        <v>35</v>
      </c>
      <c r="M37" t="s">
        <v>34</v>
      </c>
      <c r="N37">
        <v>4</v>
      </c>
      <c r="O37" t="e">
        <v>#N/A</v>
      </c>
      <c r="P37">
        <v>10.934782</v>
      </c>
      <c r="Q37">
        <v>3</v>
      </c>
      <c r="R37" t="e">
        <v>#N/A</v>
      </c>
      <c r="S37">
        <v>4.8525840000000002</v>
      </c>
      <c r="T37">
        <v>15</v>
      </c>
      <c r="U37">
        <v>29.211515704772321</v>
      </c>
      <c r="V37">
        <v>44.998881704772323</v>
      </c>
    </row>
    <row r="38" spans="12:22" x14ac:dyDescent="0.3">
      <c r="L38">
        <v>36</v>
      </c>
      <c r="M38" t="s">
        <v>35</v>
      </c>
      <c r="N38">
        <v>1</v>
      </c>
      <c r="O38" t="e">
        <v>#N/A</v>
      </c>
      <c r="P38">
        <v>40.772531999999998</v>
      </c>
      <c r="Q38">
        <v>0</v>
      </c>
      <c r="R38" t="e">
        <v>#N/A</v>
      </c>
      <c r="S38">
        <v>0</v>
      </c>
      <c r="T38">
        <v>1</v>
      </c>
      <c r="U38">
        <v>4.3040371868812904E-2</v>
      </c>
      <c r="V38">
        <v>40.815572371868811</v>
      </c>
    </row>
    <row r="39" spans="12:22" x14ac:dyDescent="0.3">
      <c r="L39">
        <v>37</v>
      </c>
      <c r="M39" t="s">
        <v>36</v>
      </c>
      <c r="N39">
        <v>1</v>
      </c>
      <c r="O39" t="e">
        <v>#N/A</v>
      </c>
      <c r="P39">
        <v>5</v>
      </c>
      <c r="Q39">
        <v>0</v>
      </c>
      <c r="R39" t="e">
        <v>#N/A</v>
      </c>
      <c r="S39">
        <v>0</v>
      </c>
      <c r="T39">
        <v>1</v>
      </c>
      <c r="U39">
        <v>8.1776706550744593E-2</v>
      </c>
      <c r="V39">
        <v>5.0817767065507446</v>
      </c>
    </row>
    <row r="40" spans="12:22" x14ac:dyDescent="0.3">
      <c r="L40">
        <v>38</v>
      </c>
      <c r="M40" t="s">
        <v>37</v>
      </c>
      <c r="N40">
        <v>5</v>
      </c>
      <c r="O40" t="e">
        <v>#N/A</v>
      </c>
      <c r="P40">
        <v>31.717624000000001</v>
      </c>
      <c r="Q40">
        <v>1</v>
      </c>
      <c r="R40" t="e">
        <v>#N/A</v>
      </c>
      <c r="S40">
        <v>0.46842099999999998</v>
      </c>
      <c r="T40">
        <v>11</v>
      </c>
      <c r="U40">
        <v>11.43468552247224</v>
      </c>
      <c r="V40">
        <v>43.620730522472243</v>
      </c>
    </row>
    <row r="41" spans="12:22" x14ac:dyDescent="0.3">
      <c r="L41">
        <v>39</v>
      </c>
      <c r="M41" t="s">
        <v>38</v>
      </c>
      <c r="N41">
        <v>11</v>
      </c>
      <c r="O41" t="e">
        <v>#N/A</v>
      </c>
      <c r="P41">
        <v>82.808165000000002</v>
      </c>
      <c r="Q41">
        <v>1</v>
      </c>
      <c r="R41" t="e">
        <v>#N/A</v>
      </c>
      <c r="S41">
        <v>0.29589399999999999</v>
      </c>
      <c r="T41">
        <v>9</v>
      </c>
      <c r="U41">
        <v>7.7834002883704878</v>
      </c>
      <c r="V41">
        <v>90.887459288370493</v>
      </c>
    </row>
    <row r="42" spans="12:22" x14ac:dyDescent="0.3">
      <c r="L42">
        <v>40</v>
      </c>
      <c r="M42" t="s">
        <v>39</v>
      </c>
      <c r="N42">
        <v>1</v>
      </c>
      <c r="O42" t="e">
        <v>#N/A</v>
      </c>
      <c r="P42">
        <v>1.833132</v>
      </c>
      <c r="Q42">
        <v>1</v>
      </c>
      <c r="R42" t="e">
        <v>#N/A</v>
      </c>
      <c r="S42">
        <v>1.5</v>
      </c>
      <c r="T42">
        <v>1</v>
      </c>
      <c r="U42">
        <v>2.3645967117155902</v>
      </c>
      <c r="V42">
        <v>5.6977287117155901</v>
      </c>
    </row>
    <row r="43" spans="12:22" x14ac:dyDescent="0.3">
      <c r="L43">
        <v>41</v>
      </c>
      <c r="M43" t="s">
        <v>40</v>
      </c>
      <c r="N43">
        <v>16</v>
      </c>
      <c r="O43" t="e">
        <v>#N/A</v>
      </c>
      <c r="P43">
        <v>50.940392000000003</v>
      </c>
      <c r="Q43">
        <v>8</v>
      </c>
      <c r="R43" t="e">
        <v>#N/A</v>
      </c>
      <c r="S43">
        <v>20.21715</v>
      </c>
      <c r="T43">
        <v>19</v>
      </c>
      <c r="U43">
        <v>26.750800956658111</v>
      </c>
      <c r="V43">
        <v>97.908342956658117</v>
      </c>
    </row>
    <row r="44" spans="12:22" x14ac:dyDescent="0.3">
      <c r="L44">
        <v>42</v>
      </c>
      <c r="M44" t="s">
        <v>41</v>
      </c>
      <c r="N44">
        <v>8</v>
      </c>
      <c r="O44" t="e">
        <v>#N/A</v>
      </c>
      <c r="P44">
        <v>541.12480800000003</v>
      </c>
      <c r="Q44">
        <v>2</v>
      </c>
      <c r="R44" t="e">
        <v>#N/A</v>
      </c>
      <c r="S44">
        <v>5.6195649999999997</v>
      </c>
      <c r="T44">
        <v>7</v>
      </c>
      <c r="U44">
        <v>21.957591649995699</v>
      </c>
      <c r="V44">
        <v>568.70196464999572</v>
      </c>
    </row>
    <row r="45" spans="12:22" x14ac:dyDescent="0.3">
      <c r="L45">
        <v>43</v>
      </c>
      <c r="M45" t="s">
        <v>42</v>
      </c>
      <c r="N45">
        <v>2</v>
      </c>
      <c r="O45" t="e">
        <v>#N/A</v>
      </c>
      <c r="P45">
        <v>10.282038999999999</v>
      </c>
      <c r="Q45">
        <v>0</v>
      </c>
      <c r="R45" t="e">
        <v>#N/A</v>
      </c>
      <c r="S45">
        <v>0</v>
      </c>
      <c r="T45">
        <v>8</v>
      </c>
      <c r="U45">
        <v>5.2912359203322676</v>
      </c>
      <c r="V45">
        <v>15.573274920332267</v>
      </c>
    </row>
    <row r="46" spans="12:22" x14ac:dyDescent="0.3">
      <c r="L46">
        <v>44</v>
      </c>
      <c r="M46" t="s">
        <v>43</v>
      </c>
      <c r="N46">
        <v>3</v>
      </c>
      <c r="O46" t="e">
        <v>#N/A</v>
      </c>
      <c r="P46">
        <v>10</v>
      </c>
      <c r="Q46">
        <v>0</v>
      </c>
      <c r="R46" t="e">
        <v>#N/A</v>
      </c>
      <c r="S46">
        <v>0</v>
      </c>
      <c r="T46">
        <v>41</v>
      </c>
      <c r="U46">
        <v>8.3361439230438048</v>
      </c>
      <c r="V46">
        <v>18.336143923043807</v>
      </c>
    </row>
    <row r="47" spans="12:22" x14ac:dyDescent="0.3">
      <c r="L47">
        <v>45</v>
      </c>
      <c r="M47" t="s">
        <v>44</v>
      </c>
      <c r="N47">
        <v>1</v>
      </c>
      <c r="O47" t="e">
        <v>#N/A</v>
      </c>
      <c r="P47">
        <v>5</v>
      </c>
      <c r="Q47">
        <v>0</v>
      </c>
      <c r="R47" t="e">
        <v>#N/A</v>
      </c>
      <c r="S47">
        <v>0</v>
      </c>
      <c r="T47">
        <v>19</v>
      </c>
      <c r="U47">
        <v>9.3169277782560069</v>
      </c>
      <c r="V47">
        <v>14.316927778256007</v>
      </c>
    </row>
    <row r="48" spans="12:22" x14ac:dyDescent="0.3">
      <c r="L48">
        <v>46</v>
      </c>
      <c r="M48" t="s">
        <v>45</v>
      </c>
      <c r="N48">
        <v>0</v>
      </c>
      <c r="O48" t="e">
        <v>#N/A</v>
      </c>
      <c r="P48">
        <v>0</v>
      </c>
      <c r="Q48">
        <v>1</v>
      </c>
      <c r="R48" t="e">
        <v>#N/A</v>
      </c>
      <c r="S48">
        <v>10.1</v>
      </c>
      <c r="T48">
        <v>5</v>
      </c>
      <c r="U48">
        <v>10.07450488370195</v>
      </c>
      <c r="V48">
        <v>20.17450488370195</v>
      </c>
    </row>
    <row r="49" spans="12:23" x14ac:dyDescent="0.3">
      <c r="L49">
        <v>47</v>
      </c>
      <c r="M49" t="s">
        <v>46</v>
      </c>
      <c r="N49">
        <v>1</v>
      </c>
      <c r="O49" t="e">
        <v>#N/A</v>
      </c>
      <c r="P49">
        <v>12</v>
      </c>
      <c r="Q49">
        <v>0</v>
      </c>
      <c r="R49" t="e">
        <v>#N/A</v>
      </c>
      <c r="S49">
        <v>0</v>
      </c>
      <c r="T49">
        <v>4</v>
      </c>
      <c r="U49">
        <v>2.2957520493242662</v>
      </c>
      <c r="V49">
        <v>14.295752049324266</v>
      </c>
    </row>
    <row r="50" spans="12:23" x14ac:dyDescent="0.3">
      <c r="L50">
        <v>48</v>
      </c>
      <c r="M50" t="s">
        <v>47</v>
      </c>
      <c r="N50">
        <v>0</v>
      </c>
      <c r="O50" t="e">
        <v>#N/A</v>
      </c>
      <c r="P50">
        <v>0</v>
      </c>
      <c r="Q50">
        <v>1</v>
      </c>
      <c r="R50" t="e">
        <v>#N/A</v>
      </c>
      <c r="S50">
        <v>1.726817</v>
      </c>
      <c r="T50">
        <v>6</v>
      </c>
      <c r="U50">
        <v>14.482927175690804</v>
      </c>
      <c r="V50">
        <v>16.209744175690805</v>
      </c>
    </row>
    <row r="51" spans="12:23" x14ac:dyDescent="0.3">
      <c r="L51">
        <v>49</v>
      </c>
      <c r="M51" t="s">
        <v>48</v>
      </c>
      <c r="N51">
        <v>1</v>
      </c>
      <c r="O51" t="e">
        <v>#N/A</v>
      </c>
      <c r="P51">
        <v>2.0191560000000002</v>
      </c>
      <c r="Q51">
        <v>1</v>
      </c>
      <c r="R51" t="e">
        <v>#N/A</v>
      </c>
      <c r="S51">
        <v>0.68031200000000003</v>
      </c>
      <c r="T51">
        <v>10</v>
      </c>
      <c r="U51">
        <v>5.5824282501506461</v>
      </c>
      <c r="V51">
        <v>8.2818962501506466</v>
      </c>
    </row>
    <row r="52" spans="12:23" x14ac:dyDescent="0.3">
      <c r="L52">
        <v>50</v>
      </c>
      <c r="M52" t="s">
        <v>49</v>
      </c>
      <c r="N52">
        <v>0</v>
      </c>
      <c r="O52" t="e">
        <v>#N/A</v>
      </c>
      <c r="P52">
        <v>0</v>
      </c>
      <c r="Q52">
        <v>0</v>
      </c>
      <c r="R52" t="e">
        <v>#N/A</v>
      </c>
      <c r="S52">
        <v>0</v>
      </c>
      <c r="T52">
        <v>3</v>
      </c>
      <c r="U52">
        <v>0.30864250667125709</v>
      </c>
      <c r="V52">
        <v>0.30864250667125709</v>
      </c>
    </row>
    <row r="53" spans="12:23" x14ac:dyDescent="0.3">
      <c r="L53">
        <v>51</v>
      </c>
      <c r="M53" t="s">
        <v>50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</row>
    <row r="54" spans="12:23" x14ac:dyDescent="0.3">
      <c r="L54">
        <v>52</v>
      </c>
      <c r="M54" t="s">
        <v>51</v>
      </c>
      <c r="N54">
        <v>1</v>
      </c>
      <c r="O54" t="e">
        <v>#N/A</v>
      </c>
      <c r="P54">
        <v>4.0522470000000004</v>
      </c>
      <c r="Q54">
        <v>0</v>
      </c>
      <c r="R54" t="e">
        <v>#N/A</v>
      </c>
      <c r="S54">
        <v>0</v>
      </c>
      <c r="T54">
        <v>0</v>
      </c>
      <c r="U54">
        <v>0</v>
      </c>
      <c r="V54">
        <v>4.0522470000000004</v>
      </c>
    </row>
    <row r="55" spans="12:23" x14ac:dyDescent="0.3">
      <c r="L55">
        <v>53</v>
      </c>
      <c r="M55" t="s">
        <v>52</v>
      </c>
      <c r="N55" t="e">
        <v>#N/A</v>
      </c>
      <c r="O55" t="e">
        <v>#N/A</v>
      </c>
      <c r="P55" t="e">
        <v>#N/A</v>
      </c>
      <c r="Q55" t="e">
        <v>#N/A</v>
      </c>
      <c r="R55" t="e">
        <v>#N/A</v>
      </c>
      <c r="S55" t="e">
        <v>#N/A</v>
      </c>
      <c r="T55" t="e">
        <v>#N/A</v>
      </c>
      <c r="U55" t="e">
        <v>#N/A</v>
      </c>
      <c r="V55" t="e">
        <v>#N/A</v>
      </c>
    </row>
    <row r="56" spans="12:23" x14ac:dyDescent="0.3">
      <c r="L56">
        <v>54</v>
      </c>
      <c r="M56" t="s">
        <v>53</v>
      </c>
      <c r="N56">
        <v>0</v>
      </c>
      <c r="O56" t="e">
        <v>#N/A</v>
      </c>
      <c r="P56">
        <v>0</v>
      </c>
      <c r="Q56">
        <v>0</v>
      </c>
      <c r="R56" t="e">
        <v>#N/A</v>
      </c>
      <c r="S56">
        <v>0</v>
      </c>
      <c r="T56">
        <v>1</v>
      </c>
      <c r="U56">
        <v>0.115132994749075</v>
      </c>
      <c r="V56">
        <v>0.115132994749075</v>
      </c>
    </row>
    <row r="57" spans="12:23" x14ac:dyDescent="0.3">
      <c r="L57">
        <v>55</v>
      </c>
      <c r="M57" t="s">
        <v>54</v>
      </c>
      <c r="N57">
        <v>1</v>
      </c>
      <c r="O57" t="e">
        <v>#N/A</v>
      </c>
      <c r="P57">
        <v>2.2555999999999998</v>
      </c>
      <c r="Q57">
        <v>0</v>
      </c>
      <c r="R57" t="e">
        <v>#N/A</v>
      </c>
      <c r="S57">
        <v>0</v>
      </c>
      <c r="T57">
        <v>1</v>
      </c>
      <c r="U57">
        <v>5.3989842472238996</v>
      </c>
      <c r="V57">
        <v>7.6545842472238999</v>
      </c>
    </row>
    <row r="58" spans="12:23" x14ac:dyDescent="0.3">
      <c r="L58">
        <v>56</v>
      </c>
      <c r="M58" t="s">
        <v>55</v>
      </c>
      <c r="N58">
        <v>3</v>
      </c>
      <c r="O58" t="e">
        <v>#N/A</v>
      </c>
      <c r="P58">
        <v>295.11397299999999</v>
      </c>
      <c r="Q58">
        <v>1</v>
      </c>
      <c r="R58" t="e">
        <v>#N/A</v>
      </c>
      <c r="S58">
        <v>-10.967000000000001</v>
      </c>
      <c r="T58">
        <v>2</v>
      </c>
      <c r="U58">
        <v>0.11621330808298187</v>
      </c>
      <c r="V58">
        <v>284.26318630808299</v>
      </c>
    </row>
    <row r="59" spans="12:23" x14ac:dyDescent="0.3">
      <c r="L59">
        <v>57</v>
      </c>
      <c r="M59" t="s">
        <v>56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</row>
    <row r="60" spans="12:23" x14ac:dyDescent="0.3">
      <c r="L60">
        <v>58</v>
      </c>
      <c r="M60" t="s">
        <v>57</v>
      </c>
      <c r="N60">
        <v>0</v>
      </c>
      <c r="O60" t="e">
        <v>#N/A</v>
      </c>
      <c r="P60">
        <v>0</v>
      </c>
      <c r="Q60">
        <v>0</v>
      </c>
      <c r="R60" t="e">
        <v>#N/A</v>
      </c>
      <c r="S60">
        <v>0</v>
      </c>
      <c r="T60">
        <v>1</v>
      </c>
      <c r="U60">
        <v>0.87892743393302897</v>
      </c>
      <c r="V60">
        <v>0.87892743393302897</v>
      </c>
    </row>
    <row r="61" spans="12:23" x14ac:dyDescent="0.3">
      <c r="L61">
        <v>59</v>
      </c>
      <c r="M61" t="s">
        <v>58</v>
      </c>
      <c r="N61">
        <v>4</v>
      </c>
      <c r="O61" t="e">
        <v>#N/A</v>
      </c>
      <c r="P61">
        <v>149.622883</v>
      </c>
      <c r="Q61">
        <v>0</v>
      </c>
      <c r="R61" t="e">
        <v>#N/A</v>
      </c>
      <c r="S61">
        <v>0</v>
      </c>
      <c r="T61">
        <v>1</v>
      </c>
      <c r="U61">
        <v>0.13584661728501299</v>
      </c>
      <c r="V61">
        <v>149.75872961728501</v>
      </c>
    </row>
    <row r="62" spans="12:23" x14ac:dyDescent="0.3">
      <c r="L62">
        <v>60</v>
      </c>
      <c r="M62" t="s">
        <v>59</v>
      </c>
      <c r="N62">
        <v>0</v>
      </c>
      <c r="O62" t="e">
        <v>#N/A</v>
      </c>
      <c r="P62">
        <v>0</v>
      </c>
      <c r="Q62">
        <v>0</v>
      </c>
      <c r="R62" t="e">
        <v>#N/A</v>
      </c>
      <c r="S62">
        <v>0</v>
      </c>
      <c r="T62">
        <v>1</v>
      </c>
      <c r="U62">
        <v>8.4090746061805999E-2</v>
      </c>
      <c r="V62">
        <v>8.4090746061805999E-2</v>
      </c>
      <c r="W62">
        <v>0</v>
      </c>
    </row>
    <row r="63" spans="12:23" x14ac:dyDescent="0.3">
      <c r="L63">
        <v>61</v>
      </c>
      <c r="M63" t="s">
        <v>60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 t="e">
        <v>#N/A</v>
      </c>
    </row>
    <row r="64" spans="12:23" x14ac:dyDescent="0.3">
      <c r="L64">
        <v>62</v>
      </c>
      <c r="M64" t="s">
        <v>61</v>
      </c>
      <c r="N64">
        <v>2</v>
      </c>
      <c r="O64" t="e">
        <v>#N/A</v>
      </c>
      <c r="P64">
        <v>3.58</v>
      </c>
      <c r="Q64">
        <v>3</v>
      </c>
      <c r="R64" t="e">
        <v>#N/A</v>
      </c>
      <c r="S64">
        <v>8.8603579999999997</v>
      </c>
      <c r="T64">
        <v>9</v>
      </c>
      <c r="U64">
        <v>11.838211242145142</v>
      </c>
      <c r="V64">
        <v>24.278569242145142</v>
      </c>
      <c r="W64">
        <v>0</v>
      </c>
    </row>
    <row r="65" spans="12:22" x14ac:dyDescent="0.3">
      <c r="L65">
        <v>63</v>
      </c>
      <c r="M65" t="s">
        <v>62</v>
      </c>
      <c r="N65">
        <v>1</v>
      </c>
      <c r="O65" t="e">
        <v>#N/A</v>
      </c>
      <c r="P65">
        <v>7</v>
      </c>
      <c r="Q65">
        <v>1</v>
      </c>
      <c r="R65" t="e">
        <v>#N/A</v>
      </c>
      <c r="S65">
        <v>0.43225400000000003</v>
      </c>
      <c r="T65">
        <v>2</v>
      </c>
      <c r="U65">
        <v>0.86080743737625842</v>
      </c>
      <c r="V65">
        <v>8.2930614373762594</v>
      </c>
    </row>
    <row r="66" spans="12:22" x14ac:dyDescent="0.3">
      <c r="L66" t="s">
        <v>97</v>
      </c>
      <c r="N66">
        <v>2523</v>
      </c>
      <c r="O66">
        <v>0</v>
      </c>
      <c r="P66">
        <v>14646.417346000006</v>
      </c>
      <c r="Q66">
        <v>1140</v>
      </c>
      <c r="R66">
        <v>0</v>
      </c>
      <c r="S66">
        <v>6414.4856404600023</v>
      </c>
      <c r="T66">
        <v>6141</v>
      </c>
      <c r="U66">
        <v>7469.1981319629203</v>
      </c>
      <c r="V66">
        <v>28530.101118422921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15901-B257-4929-90FC-A467AA00E3DC}">
  <sheetPr codeName="Sheet9"/>
  <dimension ref="A1:W66"/>
  <sheetViews>
    <sheetView workbookViewId="0">
      <selection sqref="A1:V2"/>
    </sheetView>
  </sheetViews>
  <sheetFormatPr defaultRowHeight="14.4" x14ac:dyDescent="0.3"/>
  <cols>
    <col min="1" max="1" width="7" bestFit="1" customWidth="1"/>
    <col min="2" max="2" width="44.88671875" bestFit="1" customWidth="1"/>
    <col min="3" max="3" width="14.5546875" bestFit="1" customWidth="1"/>
    <col min="4" max="4" width="22.21875" bestFit="1" customWidth="1"/>
    <col min="5" max="5" width="26.33203125" bestFit="1" customWidth="1"/>
    <col min="6" max="6" width="20" bestFit="1" customWidth="1"/>
    <col min="7" max="7" width="24.109375" bestFit="1" customWidth="1"/>
    <col min="8" max="8" width="27.77734375" bestFit="1" customWidth="1"/>
    <col min="9" max="9" width="23.6640625" bestFit="1" customWidth="1"/>
    <col min="10" max="10" width="32.6640625" bestFit="1" customWidth="1"/>
    <col min="11" max="11" width="51.44140625" bestFit="1" customWidth="1"/>
    <col min="12" max="12" width="7" bestFit="1" customWidth="1"/>
    <col min="13" max="13" width="14.6640625" bestFit="1" customWidth="1"/>
    <col min="14" max="14" width="14.5546875" bestFit="1" customWidth="1"/>
    <col min="15" max="15" width="22.21875" bestFit="1" customWidth="1"/>
    <col min="16" max="16" width="26.33203125" bestFit="1" customWidth="1"/>
    <col min="17" max="17" width="20" bestFit="1" customWidth="1"/>
    <col min="18" max="18" width="24.109375" bestFit="1" customWidth="1"/>
    <col min="19" max="19" width="27.77734375" bestFit="1" customWidth="1"/>
    <col min="20" max="20" width="23.6640625" bestFit="1" customWidth="1"/>
    <col min="21" max="21" width="32.6640625" bestFit="1" customWidth="1"/>
    <col min="22" max="22" width="51.44140625" bestFit="1" customWidth="1"/>
    <col min="23" max="23" width="2" bestFit="1" customWidth="1"/>
    <col min="24" max="24" width="12.44140625" bestFit="1" customWidth="1"/>
    <col min="25" max="25" width="13.88671875" bestFit="1" customWidth="1"/>
    <col min="26" max="26" width="39.109375" bestFit="1" customWidth="1"/>
  </cols>
  <sheetData>
    <row r="1" spans="1:22" x14ac:dyDescent="0.3">
      <c r="A1" t="s">
        <v>66</v>
      </c>
      <c r="B1" t="s">
        <v>67</v>
      </c>
      <c r="C1" t="s">
        <v>70</v>
      </c>
      <c r="F1" t="s">
        <v>68</v>
      </c>
      <c r="I1" t="s">
        <v>69</v>
      </c>
      <c r="N1" t="s">
        <v>70</v>
      </c>
      <c r="Q1" t="s">
        <v>68</v>
      </c>
      <c r="T1" t="s">
        <v>69</v>
      </c>
      <c r="V1" t="s">
        <v>71</v>
      </c>
    </row>
    <row r="2" spans="1:22" x14ac:dyDescent="0.3">
      <c r="C2" t="s">
        <v>75</v>
      </c>
      <c r="D2" t="s">
        <v>76</v>
      </c>
      <c r="E2" t="s">
        <v>72</v>
      </c>
      <c r="F2" t="s">
        <v>99</v>
      </c>
      <c r="G2" t="s">
        <v>100</v>
      </c>
      <c r="H2" t="s">
        <v>101</v>
      </c>
      <c r="I2" t="s">
        <v>73</v>
      </c>
      <c r="J2" t="s">
        <v>77</v>
      </c>
      <c r="K2" t="s">
        <v>71</v>
      </c>
      <c r="L2" t="s">
        <v>66</v>
      </c>
      <c r="M2" t="s">
        <v>74</v>
      </c>
      <c r="N2" t="s">
        <v>75</v>
      </c>
      <c r="O2" t="s">
        <v>76</v>
      </c>
      <c r="P2" t="s">
        <v>72</v>
      </c>
      <c r="Q2" t="s">
        <v>99</v>
      </c>
      <c r="R2" t="s">
        <v>100</v>
      </c>
      <c r="S2" t="s">
        <v>101</v>
      </c>
      <c r="T2" t="s">
        <v>73</v>
      </c>
      <c r="U2" t="s">
        <v>77</v>
      </c>
      <c r="V2" t="s">
        <v>71</v>
      </c>
    </row>
    <row r="3" spans="1:22" x14ac:dyDescent="0.3">
      <c r="A3">
        <v>1</v>
      </c>
      <c r="B3" t="s">
        <v>78</v>
      </c>
      <c r="C3">
        <v>533</v>
      </c>
      <c r="D3" t="e">
        <v>#N/A</v>
      </c>
      <c r="E3">
        <v>7251.9829398700003</v>
      </c>
      <c r="F3">
        <v>612</v>
      </c>
      <c r="G3" t="e">
        <v>#N/A</v>
      </c>
      <c r="H3">
        <v>7346.304395578125</v>
      </c>
      <c r="I3">
        <v>650</v>
      </c>
      <c r="J3">
        <v>3522.5993973699992</v>
      </c>
      <c r="K3">
        <v>18120.886732818126</v>
      </c>
      <c r="L3">
        <v>1</v>
      </c>
      <c r="M3" t="s">
        <v>0</v>
      </c>
      <c r="N3">
        <v>362</v>
      </c>
      <c r="O3" t="e">
        <v>#N/A</v>
      </c>
      <c r="P3">
        <v>237.54789533000002</v>
      </c>
      <c r="Q3">
        <v>146</v>
      </c>
      <c r="R3" t="e">
        <v>#N/A</v>
      </c>
      <c r="S3">
        <v>838.76803628906248</v>
      </c>
      <c r="T3">
        <v>462</v>
      </c>
      <c r="U3">
        <v>448.13816358173921</v>
      </c>
      <c r="V3">
        <v>1524.4540952008017</v>
      </c>
    </row>
    <row r="4" spans="1:22" x14ac:dyDescent="0.3">
      <c r="A4">
        <v>2</v>
      </c>
      <c r="B4" t="s">
        <v>79</v>
      </c>
      <c r="C4">
        <v>23</v>
      </c>
      <c r="D4" t="e">
        <v>#N/A</v>
      </c>
      <c r="E4">
        <v>5316.1600820000003</v>
      </c>
      <c r="F4">
        <v>12</v>
      </c>
      <c r="G4" t="e">
        <v>#N/A</v>
      </c>
      <c r="H4">
        <v>260.99575399999998</v>
      </c>
      <c r="I4">
        <v>29</v>
      </c>
      <c r="J4">
        <v>134.59673822173914</v>
      </c>
      <c r="K4">
        <v>5711.7525742217395</v>
      </c>
      <c r="L4">
        <v>2</v>
      </c>
      <c r="M4" t="s">
        <v>1</v>
      </c>
      <c r="N4">
        <v>633</v>
      </c>
      <c r="O4" t="e">
        <v>#N/A</v>
      </c>
      <c r="P4">
        <v>686.63199671000018</v>
      </c>
      <c r="Q4">
        <v>178</v>
      </c>
      <c r="R4" t="e">
        <v>#N/A</v>
      </c>
      <c r="S4">
        <v>1124.2848928828125</v>
      </c>
      <c r="T4">
        <v>2289</v>
      </c>
      <c r="U4">
        <v>1927.2088600800002</v>
      </c>
      <c r="V4">
        <v>3738.1257496728131</v>
      </c>
    </row>
    <row r="5" spans="1:22" x14ac:dyDescent="0.3">
      <c r="A5">
        <v>3</v>
      </c>
      <c r="B5" t="s">
        <v>80</v>
      </c>
      <c r="C5">
        <v>57</v>
      </c>
      <c r="D5" t="e">
        <v>#N/A</v>
      </c>
      <c r="E5">
        <v>1390.02722472</v>
      </c>
      <c r="F5">
        <v>29</v>
      </c>
      <c r="G5" t="e">
        <v>#N/A</v>
      </c>
      <c r="H5">
        <v>246.661224</v>
      </c>
      <c r="I5">
        <v>120</v>
      </c>
      <c r="J5">
        <v>1000.7277755900005</v>
      </c>
      <c r="K5">
        <v>2637.4162243100004</v>
      </c>
      <c r="L5">
        <v>3</v>
      </c>
      <c r="M5" t="s">
        <v>2</v>
      </c>
      <c r="N5">
        <v>75</v>
      </c>
      <c r="O5" t="e">
        <v>#N/A</v>
      </c>
      <c r="P5">
        <v>629.55720099999996</v>
      </c>
      <c r="Q5">
        <v>26</v>
      </c>
      <c r="R5" t="e">
        <v>#N/A</v>
      </c>
      <c r="S5">
        <v>669.52313908593749</v>
      </c>
      <c r="T5">
        <v>202</v>
      </c>
      <c r="U5">
        <v>834.04621169000006</v>
      </c>
      <c r="V5">
        <v>2133.1265517759375</v>
      </c>
    </row>
    <row r="6" spans="1:22" x14ac:dyDescent="0.3">
      <c r="A6">
        <v>4</v>
      </c>
      <c r="B6" t="s">
        <v>81</v>
      </c>
      <c r="C6">
        <v>28</v>
      </c>
      <c r="D6" t="e">
        <v>#N/A</v>
      </c>
      <c r="E6">
        <v>58.603878999999999</v>
      </c>
      <c r="F6">
        <v>12</v>
      </c>
      <c r="G6" t="e">
        <v>#N/A</v>
      </c>
      <c r="H6">
        <v>226.59788499999999</v>
      </c>
      <c r="I6">
        <v>119</v>
      </c>
      <c r="J6">
        <v>172.07651475999992</v>
      </c>
      <c r="K6">
        <v>457.27827875999992</v>
      </c>
      <c r="L6">
        <v>4</v>
      </c>
      <c r="M6" t="s">
        <v>3</v>
      </c>
      <c r="N6">
        <v>51</v>
      </c>
      <c r="O6" t="e">
        <v>#N/A</v>
      </c>
      <c r="P6">
        <v>295.44167649000002</v>
      </c>
      <c r="Q6">
        <v>49</v>
      </c>
      <c r="R6" t="e">
        <v>#N/A</v>
      </c>
      <c r="S6">
        <v>466.96800400000001</v>
      </c>
      <c r="T6">
        <v>87</v>
      </c>
      <c r="U6">
        <v>597.27409680000005</v>
      </c>
      <c r="V6">
        <v>1359.6837772900001</v>
      </c>
    </row>
    <row r="7" spans="1:22" x14ac:dyDescent="0.3">
      <c r="A7">
        <v>5</v>
      </c>
      <c r="B7" t="s">
        <v>82</v>
      </c>
      <c r="C7">
        <v>488</v>
      </c>
      <c r="D7" t="e">
        <v>#N/A</v>
      </c>
      <c r="E7">
        <v>293.78942202000002</v>
      </c>
      <c r="F7">
        <v>130</v>
      </c>
      <c r="G7" t="e">
        <v>#N/A</v>
      </c>
      <c r="H7">
        <v>416.58294765624998</v>
      </c>
      <c r="I7">
        <v>1338</v>
      </c>
      <c r="J7">
        <v>693.64317853999933</v>
      </c>
      <c r="K7">
        <v>1404.0155482162493</v>
      </c>
      <c r="L7">
        <v>5</v>
      </c>
      <c r="M7" t="s">
        <v>4</v>
      </c>
      <c r="N7">
        <v>126</v>
      </c>
      <c r="O7" t="e">
        <v>#N/A</v>
      </c>
      <c r="P7">
        <v>1170.5054689999999</v>
      </c>
      <c r="Q7">
        <v>96</v>
      </c>
      <c r="R7" t="e">
        <v>#N/A</v>
      </c>
      <c r="S7">
        <v>320.56403882812498</v>
      </c>
      <c r="T7">
        <v>113</v>
      </c>
      <c r="U7">
        <v>171.70529670999991</v>
      </c>
      <c r="V7">
        <v>1662.7748045381247</v>
      </c>
    </row>
    <row r="8" spans="1:22" x14ac:dyDescent="0.3">
      <c r="A8">
        <v>6</v>
      </c>
      <c r="B8" t="s">
        <v>83</v>
      </c>
      <c r="C8">
        <v>15</v>
      </c>
      <c r="D8" t="e">
        <v>#N/A</v>
      </c>
      <c r="E8">
        <v>59.96841178999999</v>
      </c>
      <c r="F8">
        <v>13</v>
      </c>
      <c r="G8" t="e">
        <v>#N/A</v>
      </c>
      <c r="H8">
        <v>61.383062187500002</v>
      </c>
      <c r="I8">
        <v>30</v>
      </c>
      <c r="J8">
        <v>35.433114339999989</v>
      </c>
      <c r="K8">
        <v>156.78458831749998</v>
      </c>
      <c r="L8">
        <v>6</v>
      </c>
      <c r="M8" t="s">
        <v>5</v>
      </c>
      <c r="N8">
        <v>48</v>
      </c>
      <c r="O8" t="e">
        <v>#N/A</v>
      </c>
      <c r="P8">
        <v>317.07539567000003</v>
      </c>
      <c r="Q8">
        <v>65</v>
      </c>
      <c r="R8" t="e">
        <v>#N/A</v>
      </c>
      <c r="S8">
        <v>2727.5902120000001</v>
      </c>
      <c r="T8">
        <v>35</v>
      </c>
      <c r="U8">
        <v>2217.5751832699998</v>
      </c>
      <c r="V8">
        <v>5262.2407909399999</v>
      </c>
    </row>
    <row r="9" spans="1:22" x14ac:dyDescent="0.3">
      <c r="A9">
        <v>7</v>
      </c>
      <c r="B9" t="s">
        <v>84</v>
      </c>
      <c r="C9">
        <v>291</v>
      </c>
      <c r="D9" t="e">
        <v>#N/A</v>
      </c>
      <c r="E9">
        <v>143.30586036</v>
      </c>
      <c r="F9">
        <v>87</v>
      </c>
      <c r="G9" t="e">
        <v>#N/A</v>
      </c>
      <c r="H9">
        <v>276.55125506249999</v>
      </c>
      <c r="I9">
        <v>620</v>
      </c>
      <c r="J9">
        <v>604.12148473999912</v>
      </c>
      <c r="K9">
        <v>1023.9786001624991</v>
      </c>
      <c r="L9">
        <v>7</v>
      </c>
      <c r="M9" t="s">
        <v>6</v>
      </c>
      <c r="N9">
        <v>16</v>
      </c>
      <c r="O9" t="e">
        <v>#N/A</v>
      </c>
      <c r="P9">
        <v>247.89869100000001</v>
      </c>
      <c r="Q9">
        <v>26</v>
      </c>
      <c r="R9" t="e">
        <v>#N/A</v>
      </c>
      <c r="S9">
        <v>573.88736900000004</v>
      </c>
      <c r="T9">
        <v>8</v>
      </c>
      <c r="U9">
        <v>1.6897235800000003</v>
      </c>
      <c r="V9">
        <v>823.47578357999998</v>
      </c>
    </row>
    <row r="10" spans="1:22" x14ac:dyDescent="0.3">
      <c r="A10">
        <v>8</v>
      </c>
      <c r="B10" t="s">
        <v>85</v>
      </c>
      <c r="C10">
        <v>53</v>
      </c>
      <c r="D10" t="e">
        <v>#N/A</v>
      </c>
      <c r="E10">
        <v>426.36790500000001</v>
      </c>
      <c r="F10">
        <v>14</v>
      </c>
      <c r="G10" t="e">
        <v>#N/A</v>
      </c>
      <c r="H10">
        <v>40.469126000000003</v>
      </c>
      <c r="I10">
        <v>118</v>
      </c>
      <c r="J10">
        <v>316.95538807999998</v>
      </c>
      <c r="K10">
        <v>783.79241907999995</v>
      </c>
      <c r="L10">
        <v>8</v>
      </c>
      <c r="M10" t="s">
        <v>7</v>
      </c>
      <c r="N10">
        <v>21</v>
      </c>
      <c r="O10" t="e">
        <v>#N/A</v>
      </c>
      <c r="P10">
        <v>621.83869600000003</v>
      </c>
      <c r="Q10">
        <v>45</v>
      </c>
      <c r="R10" t="e">
        <v>#N/A</v>
      </c>
      <c r="S10">
        <v>652.70822699999997</v>
      </c>
      <c r="T10">
        <v>40</v>
      </c>
      <c r="U10">
        <v>39.597620599999999</v>
      </c>
      <c r="V10">
        <v>1314.1445435999999</v>
      </c>
    </row>
    <row r="11" spans="1:22" x14ac:dyDescent="0.3">
      <c r="A11">
        <v>9</v>
      </c>
      <c r="B11" t="s">
        <v>86</v>
      </c>
      <c r="C11">
        <v>23</v>
      </c>
      <c r="D11" t="e">
        <v>#N/A</v>
      </c>
      <c r="E11">
        <v>41.591233090000003</v>
      </c>
      <c r="F11">
        <v>15</v>
      </c>
      <c r="G11" t="e">
        <v>#N/A</v>
      </c>
      <c r="H11">
        <v>21.438310000000001</v>
      </c>
      <c r="I11">
        <v>322</v>
      </c>
      <c r="J11">
        <v>104.57391995000003</v>
      </c>
      <c r="K11">
        <v>167.60346304000004</v>
      </c>
      <c r="L11">
        <v>9</v>
      </c>
      <c r="M11" t="s">
        <v>8</v>
      </c>
      <c r="N11">
        <v>21</v>
      </c>
      <c r="O11" t="e">
        <v>#N/A</v>
      </c>
      <c r="P11">
        <v>345.0847</v>
      </c>
      <c r="Q11">
        <v>10</v>
      </c>
      <c r="R11" t="e">
        <v>#N/A</v>
      </c>
      <c r="S11">
        <v>10.424977</v>
      </c>
      <c r="T11">
        <v>23</v>
      </c>
      <c r="U11">
        <v>42.655211960000003</v>
      </c>
      <c r="V11">
        <v>398.16488895999998</v>
      </c>
    </row>
    <row r="12" spans="1:22" x14ac:dyDescent="0.3">
      <c r="A12">
        <v>10</v>
      </c>
      <c r="B12" t="s">
        <v>87</v>
      </c>
      <c r="C12">
        <v>156</v>
      </c>
      <c r="D12" t="e">
        <v>#N/A</v>
      </c>
      <c r="E12">
        <v>226.05259894</v>
      </c>
      <c r="F12">
        <v>25</v>
      </c>
      <c r="G12" t="e">
        <v>#N/A</v>
      </c>
      <c r="H12">
        <v>52.435763000000001</v>
      </c>
      <c r="I12">
        <v>268</v>
      </c>
      <c r="J12">
        <v>125.90001697999996</v>
      </c>
      <c r="K12">
        <v>404.38837891999998</v>
      </c>
      <c r="L12">
        <v>10</v>
      </c>
      <c r="M12" t="s">
        <v>9</v>
      </c>
      <c r="N12">
        <v>20</v>
      </c>
      <c r="O12" t="e">
        <v>#N/A</v>
      </c>
      <c r="P12">
        <v>237.24661399999999</v>
      </c>
      <c r="Q12">
        <v>28</v>
      </c>
      <c r="R12" t="e">
        <v>#N/A</v>
      </c>
      <c r="S12">
        <v>68.639651000000001</v>
      </c>
      <c r="T12">
        <v>3</v>
      </c>
      <c r="U12">
        <v>1.9909113300000001</v>
      </c>
      <c r="V12">
        <v>307.87717633</v>
      </c>
    </row>
    <row r="13" spans="1:22" x14ac:dyDescent="0.3">
      <c r="A13">
        <v>11</v>
      </c>
      <c r="B13" t="s">
        <v>88</v>
      </c>
      <c r="C13">
        <v>38</v>
      </c>
      <c r="D13" t="e">
        <v>#N/A</v>
      </c>
      <c r="E13">
        <v>11.827855</v>
      </c>
      <c r="F13">
        <v>14</v>
      </c>
      <c r="G13" t="e">
        <v>#N/A</v>
      </c>
      <c r="H13">
        <v>11.71899</v>
      </c>
      <c r="I13">
        <v>66</v>
      </c>
      <c r="J13">
        <v>22.977832159999998</v>
      </c>
      <c r="K13">
        <v>46.524677159999996</v>
      </c>
      <c r="L13">
        <v>11</v>
      </c>
      <c r="M13" t="s">
        <v>10</v>
      </c>
      <c r="N13">
        <v>54</v>
      </c>
      <c r="O13" t="e">
        <v>#N/A</v>
      </c>
      <c r="P13">
        <v>3518.84488904</v>
      </c>
      <c r="Q13">
        <v>65</v>
      </c>
      <c r="R13" t="e">
        <v>#N/A</v>
      </c>
      <c r="S13">
        <v>255.24365950000001</v>
      </c>
      <c r="T13">
        <v>43</v>
      </c>
      <c r="U13">
        <v>68.8906499</v>
      </c>
      <c r="V13">
        <v>3842.9791984399999</v>
      </c>
    </row>
    <row r="14" spans="1:22" x14ac:dyDescent="0.3">
      <c r="A14">
        <v>12</v>
      </c>
      <c r="B14" t="s">
        <v>89</v>
      </c>
      <c r="C14">
        <v>1</v>
      </c>
      <c r="D14" t="e">
        <v>#N/A</v>
      </c>
      <c r="E14">
        <v>0.15</v>
      </c>
      <c r="F14">
        <v>2</v>
      </c>
      <c r="G14" t="e">
        <v>#N/A</v>
      </c>
      <c r="H14">
        <v>0.4</v>
      </c>
      <c r="I14">
        <v>9</v>
      </c>
      <c r="J14">
        <v>3.0490673399999997</v>
      </c>
      <c r="K14">
        <v>3.5990673399999995</v>
      </c>
      <c r="L14">
        <v>12</v>
      </c>
      <c r="M14" t="s">
        <v>11</v>
      </c>
      <c r="N14">
        <v>17</v>
      </c>
      <c r="O14" t="e">
        <v>#N/A</v>
      </c>
      <c r="P14">
        <v>110.24533099999999</v>
      </c>
      <c r="Q14">
        <v>43</v>
      </c>
      <c r="R14" t="e">
        <v>#N/A</v>
      </c>
      <c r="S14">
        <v>195.04966400000001</v>
      </c>
      <c r="T14">
        <v>50</v>
      </c>
      <c r="U14">
        <v>26.306645830000001</v>
      </c>
      <c r="V14">
        <v>331.60164082999995</v>
      </c>
    </row>
    <row r="15" spans="1:22" x14ac:dyDescent="0.3">
      <c r="A15">
        <v>13</v>
      </c>
      <c r="B15" t="s">
        <v>90</v>
      </c>
      <c r="C15">
        <v>27</v>
      </c>
      <c r="D15" t="e">
        <v>#N/A</v>
      </c>
      <c r="E15">
        <v>12.643249000000001</v>
      </c>
      <c r="F15">
        <v>14</v>
      </c>
      <c r="G15" t="e">
        <v>#N/A</v>
      </c>
      <c r="H15">
        <v>17.296975</v>
      </c>
      <c r="I15">
        <v>55</v>
      </c>
      <c r="J15">
        <v>21.144640550000005</v>
      </c>
      <c r="K15">
        <v>51.084864550000006</v>
      </c>
      <c r="L15">
        <v>13</v>
      </c>
      <c r="M15" t="s">
        <v>12</v>
      </c>
      <c r="N15">
        <v>15</v>
      </c>
      <c r="O15" t="e">
        <v>#N/A</v>
      </c>
      <c r="P15">
        <v>111.33557999999999</v>
      </c>
      <c r="Q15">
        <v>15</v>
      </c>
      <c r="R15" t="e">
        <v>#N/A</v>
      </c>
      <c r="S15">
        <v>104.63102600000001</v>
      </c>
      <c r="T15">
        <v>8</v>
      </c>
      <c r="U15">
        <v>4.3320767199999999</v>
      </c>
      <c r="V15">
        <v>220.29868272000002</v>
      </c>
    </row>
    <row r="16" spans="1:22" x14ac:dyDescent="0.3">
      <c r="A16">
        <v>14</v>
      </c>
      <c r="B16" t="s">
        <v>91</v>
      </c>
      <c r="C16">
        <v>2</v>
      </c>
      <c r="D16" t="e">
        <v>#N/A</v>
      </c>
      <c r="E16">
        <v>7.202</v>
      </c>
      <c r="F16">
        <v>1</v>
      </c>
      <c r="G16" t="e">
        <v>#N/A</v>
      </c>
      <c r="H16">
        <v>4.7149400000000004</v>
      </c>
      <c r="I16">
        <v>10</v>
      </c>
      <c r="J16">
        <v>105.01985169</v>
      </c>
      <c r="K16">
        <v>116.93679168999999</v>
      </c>
      <c r="L16">
        <v>14</v>
      </c>
      <c r="M16" t="s">
        <v>13</v>
      </c>
      <c r="N16">
        <v>27</v>
      </c>
      <c r="O16" t="e">
        <v>#N/A</v>
      </c>
      <c r="P16">
        <v>703.14290400000004</v>
      </c>
      <c r="Q16">
        <v>8</v>
      </c>
      <c r="R16" t="e">
        <v>#N/A</v>
      </c>
      <c r="S16">
        <v>33.209524999999999</v>
      </c>
      <c r="T16">
        <v>13</v>
      </c>
      <c r="U16">
        <v>7.6776238799999996</v>
      </c>
      <c r="V16">
        <v>744.03005288000008</v>
      </c>
    </row>
    <row r="17" spans="1:22" x14ac:dyDescent="0.3">
      <c r="A17">
        <v>15</v>
      </c>
      <c r="B17" t="s">
        <v>92</v>
      </c>
      <c r="C17">
        <v>1</v>
      </c>
      <c r="D17" t="e">
        <v>#N/A</v>
      </c>
      <c r="E17">
        <v>1.1000000000000001</v>
      </c>
      <c r="F17">
        <v>3</v>
      </c>
      <c r="G17" t="e">
        <v>#N/A</v>
      </c>
      <c r="H17">
        <v>0.616791125</v>
      </c>
      <c r="I17">
        <v>11</v>
      </c>
      <c r="J17">
        <v>2.8011978200000005</v>
      </c>
      <c r="K17">
        <v>4.5179889450000008</v>
      </c>
      <c r="L17">
        <v>15</v>
      </c>
      <c r="M17" t="s">
        <v>14</v>
      </c>
      <c r="N17">
        <v>40</v>
      </c>
      <c r="O17" t="e">
        <v>#N/A</v>
      </c>
      <c r="P17">
        <v>150.00195500000001</v>
      </c>
      <c r="Q17">
        <v>19</v>
      </c>
      <c r="R17" t="e">
        <v>#N/A</v>
      </c>
      <c r="S17">
        <v>10.606971937499999</v>
      </c>
      <c r="T17">
        <v>51</v>
      </c>
      <c r="U17">
        <v>11.732700099999999</v>
      </c>
      <c r="V17">
        <v>172.34162703749999</v>
      </c>
    </row>
    <row r="18" spans="1:22" x14ac:dyDescent="0.3">
      <c r="A18">
        <v>16</v>
      </c>
      <c r="B18" t="s">
        <v>93</v>
      </c>
      <c r="C18">
        <v>0</v>
      </c>
      <c r="D18" t="e">
        <v>#N/A</v>
      </c>
      <c r="E18">
        <v>0</v>
      </c>
      <c r="F18">
        <v>1</v>
      </c>
      <c r="G18" t="e">
        <v>#N/A</v>
      </c>
      <c r="H18">
        <v>0.13500000000000001</v>
      </c>
      <c r="I18">
        <v>4</v>
      </c>
      <c r="J18">
        <v>1.3364363099999998</v>
      </c>
      <c r="K18">
        <v>1.4714363099999999</v>
      </c>
      <c r="L18">
        <v>16</v>
      </c>
      <c r="M18" t="s">
        <v>15</v>
      </c>
      <c r="N18">
        <v>28</v>
      </c>
      <c r="O18" t="e">
        <v>#N/A</v>
      </c>
      <c r="P18">
        <v>393.80410999999998</v>
      </c>
      <c r="Q18">
        <v>38</v>
      </c>
      <c r="R18" t="e">
        <v>#N/A</v>
      </c>
      <c r="S18">
        <v>272.59077217968752</v>
      </c>
      <c r="T18">
        <v>34</v>
      </c>
      <c r="U18">
        <v>45.737235890000001</v>
      </c>
      <c r="V18">
        <v>712.13211806968752</v>
      </c>
    </row>
    <row r="19" spans="1:22" x14ac:dyDescent="0.3">
      <c r="A19">
        <v>17</v>
      </c>
      <c r="B19" t="s">
        <v>94</v>
      </c>
      <c r="C19">
        <v>1</v>
      </c>
      <c r="D19" t="e">
        <v>#N/A</v>
      </c>
      <c r="E19">
        <v>0.13052</v>
      </c>
      <c r="F19">
        <v>0</v>
      </c>
      <c r="G19" t="e">
        <v>#N/A</v>
      </c>
      <c r="H19">
        <v>0</v>
      </c>
      <c r="I19">
        <v>7</v>
      </c>
      <c r="J19">
        <v>1.5510378600000001</v>
      </c>
      <c r="K19">
        <v>1.6815578600000001</v>
      </c>
      <c r="L19">
        <v>17</v>
      </c>
      <c r="M19" t="s">
        <v>16</v>
      </c>
      <c r="N19">
        <v>49</v>
      </c>
      <c r="O19" t="e">
        <v>#N/A</v>
      </c>
      <c r="P19">
        <v>327.52064354999999</v>
      </c>
      <c r="Q19">
        <v>32</v>
      </c>
      <c r="R19" t="e">
        <v>#N/A</v>
      </c>
      <c r="S19">
        <v>109.371286</v>
      </c>
      <c r="T19">
        <v>13</v>
      </c>
      <c r="U19">
        <v>13.479669229999999</v>
      </c>
      <c r="V19">
        <v>450.37159878</v>
      </c>
    </row>
    <row r="20" spans="1:22" x14ac:dyDescent="0.3">
      <c r="A20">
        <v>18</v>
      </c>
      <c r="B20" t="s">
        <v>95</v>
      </c>
      <c r="C20">
        <v>1</v>
      </c>
      <c r="D20" t="e">
        <v>#N/A</v>
      </c>
      <c r="E20">
        <v>4.5</v>
      </c>
      <c r="F20">
        <v>1</v>
      </c>
      <c r="G20" t="e">
        <v>#N/A</v>
      </c>
      <c r="H20">
        <v>30.47</v>
      </c>
      <c r="I20">
        <v>21</v>
      </c>
      <c r="J20">
        <v>24.655916169999998</v>
      </c>
      <c r="K20">
        <v>59.625916169999996</v>
      </c>
      <c r="L20">
        <v>18</v>
      </c>
      <c r="M20" t="s">
        <v>17</v>
      </c>
      <c r="N20">
        <v>2</v>
      </c>
      <c r="O20" t="e">
        <v>#N/A</v>
      </c>
      <c r="P20">
        <v>2.0590000000000002</v>
      </c>
      <c r="Q20">
        <v>4</v>
      </c>
      <c r="R20" t="e">
        <v>#N/A</v>
      </c>
      <c r="S20">
        <v>134.4</v>
      </c>
      <c r="T20">
        <v>3</v>
      </c>
      <c r="U20">
        <v>1.4653288899999999</v>
      </c>
      <c r="V20">
        <v>137.92432889</v>
      </c>
    </row>
    <row r="21" spans="1:22" x14ac:dyDescent="0.3">
      <c r="A21">
        <v>19</v>
      </c>
      <c r="B21" t="s">
        <v>96</v>
      </c>
      <c r="C21" t="e">
        <v>#N/A</v>
      </c>
      <c r="D21" t="e">
        <v>#N/A</v>
      </c>
      <c r="E21" t="e">
        <v>#N/A</v>
      </c>
      <c r="F21" t="e">
        <v>#N/A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L21">
        <v>19</v>
      </c>
      <c r="M21" t="s">
        <v>18</v>
      </c>
      <c r="N21">
        <v>11</v>
      </c>
      <c r="O21" t="e">
        <v>#N/A</v>
      </c>
      <c r="P21">
        <v>137.44114099999999</v>
      </c>
      <c r="Q21">
        <v>8</v>
      </c>
      <c r="R21" t="e">
        <v>#N/A</v>
      </c>
      <c r="S21">
        <v>42.432305999999997</v>
      </c>
      <c r="T21">
        <v>7</v>
      </c>
      <c r="U21">
        <v>12.963728080000003</v>
      </c>
      <c r="V21">
        <v>192.83717508000001</v>
      </c>
    </row>
    <row r="22" spans="1:22" x14ac:dyDescent="0.3">
      <c r="A22" t="s">
        <v>97</v>
      </c>
      <c r="C22">
        <v>1738</v>
      </c>
      <c r="D22">
        <v>0</v>
      </c>
      <c r="E22">
        <v>15245.403180789999</v>
      </c>
      <c r="F22">
        <v>985</v>
      </c>
      <c r="G22">
        <v>0</v>
      </c>
      <c r="H22">
        <v>9014.7724186093728</v>
      </c>
      <c r="I22">
        <v>3797</v>
      </c>
      <c r="J22">
        <v>6893.1635084717373</v>
      </c>
      <c r="K22">
        <v>31153.339107871117</v>
      </c>
      <c r="L22">
        <v>20</v>
      </c>
      <c r="M22" t="s">
        <v>19</v>
      </c>
      <c r="N22">
        <v>15</v>
      </c>
      <c r="O22" t="e">
        <v>#N/A</v>
      </c>
      <c r="P22">
        <v>434.23673300000002</v>
      </c>
      <c r="Q22">
        <v>16</v>
      </c>
      <c r="R22" t="e">
        <v>#N/A</v>
      </c>
      <c r="S22">
        <v>133.54902899999999</v>
      </c>
      <c r="T22">
        <v>7</v>
      </c>
      <c r="U22">
        <v>9.5981577500000004</v>
      </c>
      <c r="V22">
        <v>577.38391975000002</v>
      </c>
    </row>
    <row r="23" spans="1:22" x14ac:dyDescent="0.3">
      <c r="L23">
        <v>21</v>
      </c>
      <c r="M23" t="s">
        <v>20</v>
      </c>
      <c r="N23">
        <v>3</v>
      </c>
      <c r="O23" t="e">
        <v>#N/A</v>
      </c>
      <c r="P23">
        <v>165.55836600000001</v>
      </c>
      <c r="Q23">
        <v>2</v>
      </c>
      <c r="R23" t="e">
        <v>#N/A</v>
      </c>
      <c r="S23">
        <v>16.3</v>
      </c>
      <c r="T23">
        <v>11</v>
      </c>
      <c r="U23">
        <v>1.62469497</v>
      </c>
      <c r="V23">
        <v>183.48306097000003</v>
      </c>
    </row>
    <row r="24" spans="1:22" x14ac:dyDescent="0.3">
      <c r="L24">
        <v>22</v>
      </c>
      <c r="M24" t="s">
        <v>21</v>
      </c>
      <c r="N24">
        <v>9</v>
      </c>
      <c r="O24" t="e">
        <v>#N/A</v>
      </c>
      <c r="P24">
        <v>283.18470200000002</v>
      </c>
      <c r="Q24">
        <v>6</v>
      </c>
      <c r="R24" t="e">
        <v>#N/A</v>
      </c>
      <c r="S24">
        <v>34.673844750000001</v>
      </c>
      <c r="T24">
        <v>3</v>
      </c>
      <c r="U24">
        <v>0.66425630000000002</v>
      </c>
      <c r="V24">
        <v>318.52280304999999</v>
      </c>
    </row>
    <row r="25" spans="1:22" x14ac:dyDescent="0.3">
      <c r="L25">
        <v>23</v>
      </c>
      <c r="M25" t="s">
        <v>22</v>
      </c>
      <c r="N25">
        <v>10</v>
      </c>
      <c r="O25" t="e">
        <v>#N/A</v>
      </c>
      <c r="P25">
        <v>1011.547296</v>
      </c>
      <c r="Q25">
        <v>4</v>
      </c>
      <c r="R25" t="e">
        <v>#N/A</v>
      </c>
      <c r="S25">
        <v>113.95092200000001</v>
      </c>
      <c r="T25">
        <v>11</v>
      </c>
      <c r="U25">
        <v>31.165627689999994</v>
      </c>
      <c r="V25">
        <v>1156.66384569</v>
      </c>
    </row>
    <row r="26" spans="1:22" x14ac:dyDescent="0.3">
      <c r="L26">
        <v>24</v>
      </c>
      <c r="M26" t="s">
        <v>23</v>
      </c>
      <c r="N26">
        <v>1</v>
      </c>
      <c r="O26" t="e">
        <v>#N/A</v>
      </c>
      <c r="P26">
        <v>1.1093189999999999</v>
      </c>
      <c r="Q26">
        <v>0</v>
      </c>
      <c r="R26" t="e">
        <v>#N/A</v>
      </c>
      <c r="S26">
        <v>0</v>
      </c>
      <c r="T26">
        <v>0</v>
      </c>
      <c r="U26">
        <v>0</v>
      </c>
      <c r="V26">
        <v>1.1093189999999999</v>
      </c>
    </row>
    <row r="27" spans="1:22" x14ac:dyDescent="0.3">
      <c r="L27">
        <v>25</v>
      </c>
      <c r="M27" t="s">
        <v>24</v>
      </c>
      <c r="N27">
        <v>1</v>
      </c>
      <c r="O27" t="e">
        <v>#N/A</v>
      </c>
      <c r="P27">
        <v>6.75</v>
      </c>
      <c r="Q27">
        <v>5</v>
      </c>
      <c r="R27" t="e">
        <v>#N/A</v>
      </c>
      <c r="S27">
        <v>25.139393999999999</v>
      </c>
      <c r="T27">
        <v>63</v>
      </c>
      <c r="U27">
        <v>5.8932420599999968</v>
      </c>
      <c r="V27">
        <v>37.782636059999994</v>
      </c>
    </row>
    <row r="28" spans="1:22" x14ac:dyDescent="0.3">
      <c r="L28">
        <v>26</v>
      </c>
      <c r="M28" t="s">
        <v>25</v>
      </c>
      <c r="N28">
        <v>7</v>
      </c>
      <c r="O28" t="e">
        <v>#N/A</v>
      </c>
      <c r="P28">
        <v>15.207852000000001</v>
      </c>
      <c r="Q28">
        <v>6</v>
      </c>
      <c r="R28" t="e">
        <v>#N/A</v>
      </c>
      <c r="S28">
        <v>13.092245</v>
      </c>
      <c r="T28">
        <v>40</v>
      </c>
      <c r="U28">
        <v>11.655130590000001</v>
      </c>
      <c r="V28">
        <v>39.95522759</v>
      </c>
    </row>
    <row r="29" spans="1:22" x14ac:dyDescent="0.3">
      <c r="L29">
        <v>27</v>
      </c>
      <c r="M29" t="s">
        <v>26</v>
      </c>
      <c r="N29">
        <v>2</v>
      </c>
      <c r="O29" t="e">
        <v>#N/A</v>
      </c>
      <c r="P29">
        <v>12.348070999999999</v>
      </c>
      <c r="Q29">
        <v>0</v>
      </c>
      <c r="R29" t="e">
        <v>#N/A</v>
      </c>
      <c r="S29">
        <v>0</v>
      </c>
      <c r="T29">
        <v>10</v>
      </c>
      <c r="U29">
        <v>2.1022177099999997</v>
      </c>
      <c r="V29">
        <v>14.450288709999999</v>
      </c>
    </row>
    <row r="30" spans="1:22" x14ac:dyDescent="0.3">
      <c r="L30">
        <v>28</v>
      </c>
      <c r="M30" t="s">
        <v>27</v>
      </c>
      <c r="N30">
        <v>6</v>
      </c>
      <c r="O30" t="e">
        <v>#N/A</v>
      </c>
      <c r="P30">
        <v>13.742829</v>
      </c>
      <c r="Q30">
        <v>6</v>
      </c>
      <c r="R30" t="e">
        <v>#N/A</v>
      </c>
      <c r="S30">
        <v>33.688794156249998</v>
      </c>
      <c r="T30">
        <v>3</v>
      </c>
      <c r="U30">
        <v>2.8769030099999999</v>
      </c>
      <c r="V30">
        <v>50.308526166249997</v>
      </c>
    </row>
    <row r="31" spans="1:22" x14ac:dyDescent="0.3">
      <c r="L31">
        <v>29</v>
      </c>
      <c r="M31" t="s">
        <v>28</v>
      </c>
      <c r="N31">
        <v>7</v>
      </c>
      <c r="O31" t="e">
        <v>#N/A</v>
      </c>
      <c r="P31">
        <v>83.759541999999996</v>
      </c>
      <c r="Q31">
        <v>2</v>
      </c>
      <c r="R31" t="e">
        <v>#N/A</v>
      </c>
      <c r="S31">
        <v>22</v>
      </c>
      <c r="T31">
        <v>11</v>
      </c>
      <c r="U31">
        <v>51.084819010000004</v>
      </c>
      <c r="V31">
        <v>156.84436101</v>
      </c>
    </row>
    <row r="32" spans="1:22" x14ac:dyDescent="0.3">
      <c r="L32">
        <v>30</v>
      </c>
      <c r="M32" t="s">
        <v>29</v>
      </c>
      <c r="N32">
        <v>2</v>
      </c>
      <c r="O32" t="e">
        <v>#N/A</v>
      </c>
      <c r="P32">
        <v>24.95</v>
      </c>
      <c r="Q32">
        <v>2</v>
      </c>
      <c r="R32" t="e">
        <v>#N/A</v>
      </c>
      <c r="S32">
        <v>17.059999999999999</v>
      </c>
      <c r="T32">
        <v>0</v>
      </c>
      <c r="U32">
        <v>0</v>
      </c>
      <c r="V32">
        <v>42.01</v>
      </c>
    </row>
    <row r="33" spans="12:22" x14ac:dyDescent="0.3">
      <c r="L33">
        <v>31</v>
      </c>
      <c r="M33" t="s">
        <v>30</v>
      </c>
      <c r="N33">
        <v>1</v>
      </c>
      <c r="O33" t="e">
        <v>#N/A</v>
      </c>
      <c r="P33">
        <v>4</v>
      </c>
      <c r="Q33">
        <v>0</v>
      </c>
      <c r="R33" t="e">
        <v>#N/A</v>
      </c>
      <c r="S33">
        <v>0</v>
      </c>
      <c r="T33">
        <v>12</v>
      </c>
      <c r="U33">
        <v>74.757006029999999</v>
      </c>
      <c r="V33">
        <v>78.757006029999999</v>
      </c>
    </row>
    <row r="34" spans="12:22" x14ac:dyDescent="0.3">
      <c r="L34">
        <v>32</v>
      </c>
      <c r="M34" t="s">
        <v>31</v>
      </c>
      <c r="N34">
        <v>1</v>
      </c>
      <c r="O34" t="e">
        <v>#N/A</v>
      </c>
      <c r="P34">
        <v>4.3160000000000004E-3</v>
      </c>
      <c r="Q34">
        <v>0</v>
      </c>
      <c r="R34" t="e">
        <v>#N/A</v>
      </c>
      <c r="S34">
        <v>0</v>
      </c>
      <c r="T34">
        <v>1</v>
      </c>
      <c r="U34">
        <v>0.20077720000000002</v>
      </c>
      <c r="V34">
        <v>0.20509320000000003</v>
      </c>
    </row>
    <row r="35" spans="12:22" x14ac:dyDescent="0.3">
      <c r="L35">
        <v>33</v>
      </c>
      <c r="M35" t="s">
        <v>32</v>
      </c>
      <c r="N35">
        <v>0</v>
      </c>
      <c r="O35" t="e">
        <v>#N/A</v>
      </c>
      <c r="P35">
        <v>0</v>
      </c>
      <c r="Q35">
        <v>1</v>
      </c>
      <c r="R35" t="e">
        <v>#N/A</v>
      </c>
      <c r="S35">
        <v>0.5</v>
      </c>
      <c r="T35">
        <v>0</v>
      </c>
      <c r="U35">
        <v>0</v>
      </c>
      <c r="V35">
        <v>0.5</v>
      </c>
    </row>
    <row r="36" spans="12:22" x14ac:dyDescent="0.3">
      <c r="L36">
        <v>34</v>
      </c>
      <c r="M36" t="s">
        <v>33</v>
      </c>
      <c r="N36">
        <v>1</v>
      </c>
      <c r="O36" t="e">
        <v>#N/A</v>
      </c>
      <c r="P36">
        <v>0.25</v>
      </c>
      <c r="Q36">
        <v>2</v>
      </c>
      <c r="R36" t="e">
        <v>#N/A</v>
      </c>
      <c r="S36">
        <v>8.7071380000000005</v>
      </c>
      <c r="T36">
        <v>4</v>
      </c>
      <c r="U36">
        <v>3.0942691899999999</v>
      </c>
      <c r="V36">
        <v>12.051407190000001</v>
      </c>
    </row>
    <row r="37" spans="12:22" x14ac:dyDescent="0.3">
      <c r="L37">
        <v>35</v>
      </c>
      <c r="M37" t="s">
        <v>34</v>
      </c>
      <c r="N37">
        <v>4</v>
      </c>
      <c r="O37" t="e">
        <v>#N/A</v>
      </c>
      <c r="P37">
        <v>80.341999999999999</v>
      </c>
      <c r="Q37">
        <v>3</v>
      </c>
      <c r="R37" t="e">
        <v>#N/A</v>
      </c>
      <c r="S37">
        <v>12.401764</v>
      </c>
      <c r="T37">
        <v>12</v>
      </c>
      <c r="U37">
        <v>21.14896388</v>
      </c>
      <c r="V37">
        <v>113.89272788</v>
      </c>
    </row>
    <row r="38" spans="12:22" x14ac:dyDescent="0.3">
      <c r="L38">
        <v>36</v>
      </c>
      <c r="M38" t="s">
        <v>35</v>
      </c>
      <c r="N38">
        <v>1</v>
      </c>
      <c r="O38" t="e">
        <v>#N/A</v>
      </c>
      <c r="P38">
        <v>4.3099829999999999</v>
      </c>
      <c r="Q38">
        <v>1</v>
      </c>
      <c r="R38" t="e">
        <v>#N/A</v>
      </c>
      <c r="S38">
        <v>0.87886900000000001</v>
      </c>
      <c r="T38">
        <v>2</v>
      </c>
      <c r="U38">
        <v>30.149335630000003</v>
      </c>
      <c r="V38">
        <v>35.33818763</v>
      </c>
    </row>
    <row r="39" spans="12:22" x14ac:dyDescent="0.3">
      <c r="L39">
        <v>37</v>
      </c>
      <c r="M39" t="s">
        <v>36</v>
      </c>
      <c r="N39">
        <v>6</v>
      </c>
      <c r="O39" t="e">
        <v>#N/A</v>
      </c>
      <c r="P39">
        <v>145.537834</v>
      </c>
      <c r="Q39">
        <v>2</v>
      </c>
      <c r="R39" t="e">
        <v>#N/A</v>
      </c>
      <c r="S39">
        <v>8</v>
      </c>
      <c r="T39">
        <v>3</v>
      </c>
      <c r="U39">
        <v>0.50049957</v>
      </c>
      <c r="V39">
        <v>154.03833356999999</v>
      </c>
    </row>
    <row r="40" spans="12:22" x14ac:dyDescent="0.3">
      <c r="L40">
        <v>38</v>
      </c>
      <c r="M40" t="s">
        <v>37</v>
      </c>
      <c r="N40">
        <v>5</v>
      </c>
      <c r="O40" t="e">
        <v>#N/A</v>
      </c>
      <c r="P40">
        <v>1316.8167840000001</v>
      </c>
      <c r="Q40">
        <v>1</v>
      </c>
      <c r="R40" t="e">
        <v>#N/A</v>
      </c>
      <c r="S40">
        <v>9</v>
      </c>
      <c r="T40">
        <v>7</v>
      </c>
      <c r="U40">
        <v>1.4568211200000001</v>
      </c>
      <c r="V40">
        <v>1327.2736051200002</v>
      </c>
    </row>
    <row r="41" spans="12:22" x14ac:dyDescent="0.3">
      <c r="L41">
        <v>39</v>
      </c>
      <c r="M41" t="s">
        <v>38</v>
      </c>
      <c r="N41">
        <v>6</v>
      </c>
      <c r="O41" t="e">
        <v>#N/A</v>
      </c>
      <c r="P41">
        <v>459.85197499999998</v>
      </c>
      <c r="Q41">
        <v>1</v>
      </c>
      <c r="R41" t="e">
        <v>#N/A</v>
      </c>
      <c r="S41">
        <v>1.4355770000000001</v>
      </c>
      <c r="T41">
        <v>3</v>
      </c>
      <c r="U41">
        <v>1.35180393</v>
      </c>
      <c r="V41">
        <v>462.63935593000002</v>
      </c>
    </row>
    <row r="42" spans="12:22" x14ac:dyDescent="0.3">
      <c r="L42">
        <v>40</v>
      </c>
      <c r="M42" t="s">
        <v>39</v>
      </c>
      <c r="N42">
        <v>1</v>
      </c>
      <c r="O42" t="e">
        <v>#N/A</v>
      </c>
      <c r="P42">
        <v>11</v>
      </c>
      <c r="Q42">
        <v>0</v>
      </c>
      <c r="R42" t="e">
        <v>#N/A</v>
      </c>
      <c r="S42">
        <v>0</v>
      </c>
      <c r="T42">
        <v>3</v>
      </c>
      <c r="U42">
        <v>0.93827000000000005</v>
      </c>
      <c r="V42">
        <v>11.938269999999999</v>
      </c>
    </row>
    <row r="43" spans="12:22" x14ac:dyDescent="0.3">
      <c r="L43">
        <v>41</v>
      </c>
      <c r="M43" t="s">
        <v>40</v>
      </c>
      <c r="N43">
        <v>3</v>
      </c>
      <c r="O43" t="e">
        <v>#N/A</v>
      </c>
      <c r="P43">
        <v>3.6</v>
      </c>
      <c r="Q43">
        <v>15</v>
      </c>
      <c r="R43" t="e">
        <v>#N/A</v>
      </c>
      <c r="S43">
        <v>55.76708</v>
      </c>
      <c r="T43">
        <v>7</v>
      </c>
      <c r="U43">
        <v>89.708235039999991</v>
      </c>
      <c r="V43">
        <v>149.07531503999999</v>
      </c>
    </row>
    <row r="44" spans="12:22" x14ac:dyDescent="0.3">
      <c r="L44">
        <v>42</v>
      </c>
      <c r="M44" t="s">
        <v>41</v>
      </c>
      <c r="N44">
        <v>3</v>
      </c>
      <c r="O44" t="e">
        <v>#N/A</v>
      </c>
      <c r="P44">
        <v>63.132354999999997</v>
      </c>
      <c r="Q44">
        <v>5</v>
      </c>
      <c r="R44" t="e">
        <v>#N/A</v>
      </c>
      <c r="S44">
        <v>-91.759601000000004</v>
      </c>
      <c r="T44">
        <v>6</v>
      </c>
      <c r="U44">
        <v>12.52597263</v>
      </c>
      <c r="V44">
        <v>-16.101273370000008</v>
      </c>
    </row>
    <row r="45" spans="12:22" x14ac:dyDescent="0.3">
      <c r="L45">
        <v>43</v>
      </c>
      <c r="M45" t="s">
        <v>42</v>
      </c>
      <c r="N45">
        <v>0</v>
      </c>
      <c r="O45" t="e">
        <v>#N/A</v>
      </c>
      <c r="P45">
        <v>0</v>
      </c>
      <c r="Q45">
        <v>0</v>
      </c>
      <c r="R45" t="e">
        <v>#N/A</v>
      </c>
      <c r="S45">
        <v>0</v>
      </c>
      <c r="T45">
        <v>13</v>
      </c>
      <c r="U45">
        <v>11.751142189999999</v>
      </c>
      <c r="V45">
        <v>11.751142189999999</v>
      </c>
    </row>
    <row r="46" spans="12:22" x14ac:dyDescent="0.3">
      <c r="L46">
        <v>44</v>
      </c>
      <c r="M46" t="s">
        <v>43</v>
      </c>
      <c r="N46">
        <v>1</v>
      </c>
      <c r="O46" t="e">
        <v>#N/A</v>
      </c>
      <c r="P46">
        <v>2</v>
      </c>
      <c r="Q46">
        <v>2</v>
      </c>
      <c r="R46" t="e">
        <v>#N/A</v>
      </c>
      <c r="S46">
        <v>3.3673579999999999</v>
      </c>
      <c r="T46">
        <v>31</v>
      </c>
      <c r="U46">
        <v>7.2195085700000003</v>
      </c>
      <c r="V46">
        <v>12.58686657</v>
      </c>
    </row>
    <row r="47" spans="12:22" x14ac:dyDescent="0.3">
      <c r="L47">
        <v>45</v>
      </c>
      <c r="M47" t="s">
        <v>44</v>
      </c>
      <c r="N47">
        <v>0</v>
      </c>
      <c r="O47" t="e">
        <v>#N/A</v>
      </c>
      <c r="P47">
        <v>0</v>
      </c>
      <c r="Q47">
        <v>0</v>
      </c>
      <c r="R47" t="e">
        <v>#N/A</v>
      </c>
      <c r="S47">
        <v>0</v>
      </c>
      <c r="T47">
        <v>22</v>
      </c>
      <c r="U47">
        <v>6.3872894300000009</v>
      </c>
      <c r="V47">
        <v>6.3872894300000009</v>
      </c>
    </row>
    <row r="48" spans="12:22" x14ac:dyDescent="0.3">
      <c r="L48">
        <v>46</v>
      </c>
      <c r="M48" t="s">
        <v>45</v>
      </c>
      <c r="N48">
        <v>2</v>
      </c>
      <c r="O48" t="e">
        <v>#N/A</v>
      </c>
      <c r="P48">
        <v>91.756730000000005</v>
      </c>
      <c r="Q48">
        <v>0</v>
      </c>
      <c r="R48" t="e">
        <v>#N/A</v>
      </c>
      <c r="S48">
        <v>0</v>
      </c>
      <c r="T48">
        <v>2</v>
      </c>
      <c r="U48">
        <v>11.02604199</v>
      </c>
      <c r="V48">
        <v>102.78277199</v>
      </c>
    </row>
    <row r="49" spans="12:23" x14ac:dyDescent="0.3">
      <c r="L49">
        <v>47</v>
      </c>
      <c r="M49" t="s">
        <v>46</v>
      </c>
      <c r="N49">
        <v>1</v>
      </c>
      <c r="O49" t="e">
        <v>#N/A</v>
      </c>
      <c r="P49">
        <v>2</v>
      </c>
      <c r="Q49">
        <v>1</v>
      </c>
      <c r="R49" t="e">
        <v>#N/A</v>
      </c>
      <c r="S49">
        <v>-15.073753</v>
      </c>
      <c r="T49">
        <v>1</v>
      </c>
      <c r="U49">
        <v>0.36755784999999996</v>
      </c>
      <c r="V49">
        <v>-12.706195149999999</v>
      </c>
    </row>
    <row r="50" spans="12:23" x14ac:dyDescent="0.3">
      <c r="L50">
        <v>48</v>
      </c>
      <c r="M50" t="s">
        <v>47</v>
      </c>
      <c r="N50">
        <v>4</v>
      </c>
      <c r="O50" t="e">
        <v>#N/A</v>
      </c>
      <c r="P50">
        <v>42.757703999999997</v>
      </c>
      <c r="Q50">
        <v>0</v>
      </c>
      <c r="R50" t="e">
        <v>#N/A</v>
      </c>
      <c r="S50">
        <v>0</v>
      </c>
      <c r="T50">
        <v>4</v>
      </c>
      <c r="U50">
        <v>4.9546165799999997</v>
      </c>
      <c r="V50">
        <v>47.712320579999997</v>
      </c>
    </row>
    <row r="51" spans="12:23" x14ac:dyDescent="0.3">
      <c r="L51">
        <v>49</v>
      </c>
      <c r="M51" t="s">
        <v>48</v>
      </c>
      <c r="N51">
        <v>7</v>
      </c>
      <c r="O51" t="e">
        <v>#N/A</v>
      </c>
      <c r="P51">
        <v>48.501919000000001</v>
      </c>
      <c r="Q51">
        <v>0</v>
      </c>
      <c r="R51" t="e">
        <v>#N/A</v>
      </c>
      <c r="S51">
        <v>0</v>
      </c>
      <c r="T51">
        <v>7</v>
      </c>
      <c r="U51">
        <v>6.7657854000000004</v>
      </c>
      <c r="V51">
        <v>55.2677044</v>
      </c>
    </row>
    <row r="52" spans="12:23" x14ac:dyDescent="0.3">
      <c r="L52">
        <v>50</v>
      </c>
      <c r="M52" t="s">
        <v>49</v>
      </c>
      <c r="N52">
        <v>1</v>
      </c>
      <c r="O52" t="e">
        <v>#N/A</v>
      </c>
      <c r="P52">
        <v>152.865802</v>
      </c>
      <c r="Q52">
        <v>0</v>
      </c>
      <c r="R52" t="e">
        <v>#N/A</v>
      </c>
      <c r="S52">
        <v>0</v>
      </c>
      <c r="T52">
        <v>1</v>
      </c>
      <c r="U52">
        <v>0.52840443000000004</v>
      </c>
      <c r="V52">
        <v>153.39420643</v>
      </c>
    </row>
    <row r="53" spans="12:23" x14ac:dyDescent="0.3">
      <c r="L53">
        <v>51</v>
      </c>
      <c r="M53" t="s">
        <v>50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</row>
    <row r="54" spans="12:23" x14ac:dyDescent="0.3">
      <c r="L54">
        <v>52</v>
      </c>
      <c r="M54" t="s">
        <v>51</v>
      </c>
      <c r="N54">
        <v>8</v>
      </c>
      <c r="O54" t="e">
        <v>#N/A</v>
      </c>
      <c r="P54">
        <v>454.88170000000002</v>
      </c>
      <c r="Q54">
        <v>0</v>
      </c>
      <c r="R54" t="e">
        <v>#N/A</v>
      </c>
      <c r="S54">
        <v>0</v>
      </c>
      <c r="T54">
        <v>2</v>
      </c>
      <c r="U54">
        <v>0.21798200000000001</v>
      </c>
      <c r="V54">
        <v>455.09968200000003</v>
      </c>
    </row>
    <row r="55" spans="12:23" x14ac:dyDescent="0.3">
      <c r="L55">
        <v>53</v>
      </c>
      <c r="M55" t="s">
        <v>52</v>
      </c>
      <c r="N55">
        <v>0</v>
      </c>
      <c r="O55" t="e">
        <v>#N/A</v>
      </c>
      <c r="P55">
        <v>0</v>
      </c>
      <c r="Q55">
        <v>0</v>
      </c>
      <c r="R55" t="e">
        <v>#N/A</v>
      </c>
      <c r="S55">
        <v>0</v>
      </c>
      <c r="T55">
        <v>1</v>
      </c>
      <c r="U55">
        <v>5.9961869800000001</v>
      </c>
      <c r="V55">
        <v>5.9961869800000001</v>
      </c>
    </row>
    <row r="56" spans="12:23" x14ac:dyDescent="0.3">
      <c r="L56">
        <v>54</v>
      </c>
      <c r="M56" t="s">
        <v>53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 t="e">
        <v>#N/A</v>
      </c>
    </row>
    <row r="57" spans="12:23" x14ac:dyDescent="0.3">
      <c r="L57">
        <v>55</v>
      </c>
      <c r="M57" t="s">
        <v>54</v>
      </c>
      <c r="N57">
        <v>1</v>
      </c>
      <c r="O57" t="e">
        <v>#N/A</v>
      </c>
      <c r="P57">
        <v>3.93</v>
      </c>
      <c r="Q57">
        <v>0</v>
      </c>
      <c r="R57" t="e">
        <v>#N/A</v>
      </c>
      <c r="S57">
        <v>0</v>
      </c>
      <c r="T57">
        <v>1</v>
      </c>
      <c r="U57">
        <v>7.5666534099999998</v>
      </c>
      <c r="V57">
        <v>11.49665341</v>
      </c>
    </row>
    <row r="58" spans="12:23" x14ac:dyDescent="0.3">
      <c r="L58">
        <v>56</v>
      </c>
      <c r="M58" t="s">
        <v>55</v>
      </c>
      <c r="N58">
        <v>1</v>
      </c>
      <c r="O58" t="e">
        <v>#N/A</v>
      </c>
      <c r="P58">
        <v>54.6</v>
      </c>
      <c r="Q58">
        <v>0</v>
      </c>
      <c r="R58" t="e">
        <v>#N/A</v>
      </c>
      <c r="S58">
        <v>0</v>
      </c>
      <c r="T58">
        <v>3</v>
      </c>
      <c r="U58">
        <v>1.47991867</v>
      </c>
      <c r="V58">
        <v>56.079918669999998</v>
      </c>
    </row>
    <row r="59" spans="12:23" x14ac:dyDescent="0.3">
      <c r="L59">
        <v>57</v>
      </c>
      <c r="M59" t="s">
        <v>56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</row>
    <row r="60" spans="12:23" x14ac:dyDescent="0.3">
      <c r="L60">
        <v>58</v>
      </c>
      <c r="M60" t="s">
        <v>57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</row>
    <row r="61" spans="12:23" x14ac:dyDescent="0.3">
      <c r="L61">
        <v>59</v>
      </c>
      <c r="M61" t="s">
        <v>58</v>
      </c>
      <c r="N61">
        <v>1</v>
      </c>
      <c r="O61" t="e">
        <v>#N/A</v>
      </c>
      <c r="P61">
        <v>7.6454800000000001</v>
      </c>
      <c r="Q61">
        <v>0</v>
      </c>
      <c r="R61" t="e">
        <v>#N/A</v>
      </c>
      <c r="S61">
        <v>0</v>
      </c>
      <c r="T61">
        <v>0</v>
      </c>
      <c r="U61">
        <v>0</v>
      </c>
      <c r="V61">
        <v>7.6454800000000001</v>
      </c>
    </row>
    <row r="62" spans="12:23" x14ac:dyDescent="0.3">
      <c r="L62">
        <v>60</v>
      </c>
      <c r="M62" t="s">
        <v>59</v>
      </c>
      <c r="N62">
        <v>0</v>
      </c>
      <c r="O62" t="e">
        <v>#N/A</v>
      </c>
      <c r="P62">
        <v>0</v>
      </c>
      <c r="Q62">
        <v>0</v>
      </c>
      <c r="R62" t="e">
        <v>#N/A</v>
      </c>
      <c r="S62">
        <v>0</v>
      </c>
      <c r="T62">
        <v>1</v>
      </c>
      <c r="U62">
        <v>0.86333419999999994</v>
      </c>
      <c r="V62">
        <v>0.86333419999999994</v>
      </c>
      <c r="W62">
        <v>0</v>
      </c>
    </row>
    <row r="63" spans="12:23" x14ac:dyDescent="0.3">
      <c r="L63">
        <v>61</v>
      </c>
      <c r="M63" t="s">
        <v>60</v>
      </c>
      <c r="N63">
        <v>0</v>
      </c>
      <c r="O63" t="e">
        <v>#N/A</v>
      </c>
      <c r="P63">
        <v>0</v>
      </c>
      <c r="Q63">
        <v>0</v>
      </c>
      <c r="R63" t="e">
        <v>#N/A</v>
      </c>
      <c r="S63">
        <v>0</v>
      </c>
      <c r="T63">
        <v>2</v>
      </c>
      <c r="U63">
        <v>0.54577154000000005</v>
      </c>
      <c r="V63">
        <v>0.54577154000000005</v>
      </c>
    </row>
    <row r="64" spans="12:23" x14ac:dyDescent="0.3">
      <c r="L64">
        <v>62</v>
      </c>
      <c r="M64" t="s">
        <v>61</v>
      </c>
      <c r="N64">
        <v>0</v>
      </c>
      <c r="O64" t="e">
        <v>#N/A</v>
      </c>
      <c r="P64">
        <v>0</v>
      </c>
      <c r="Q64">
        <v>0</v>
      </c>
      <c r="R64" t="e">
        <v>#N/A</v>
      </c>
      <c r="S64">
        <v>0</v>
      </c>
      <c r="T64">
        <v>2</v>
      </c>
      <c r="U64">
        <v>0.12017741</v>
      </c>
      <c r="V64">
        <v>0.12017741</v>
      </c>
      <c r="W64">
        <v>0</v>
      </c>
    </row>
    <row r="65" spans="12:22" x14ac:dyDescent="0.3">
      <c r="L65">
        <v>63</v>
      </c>
      <c r="M65" t="s">
        <v>62</v>
      </c>
      <c r="N65">
        <v>0</v>
      </c>
      <c r="O65" t="e">
        <v>#N/A</v>
      </c>
      <c r="P65">
        <v>0</v>
      </c>
      <c r="Q65">
        <v>1</v>
      </c>
      <c r="R65" t="e">
        <v>#N/A</v>
      </c>
      <c r="S65">
        <v>1.2</v>
      </c>
      <c r="T65">
        <v>1</v>
      </c>
      <c r="U65">
        <v>0.40919639000000002</v>
      </c>
      <c r="V65">
        <v>1.6091963899999999</v>
      </c>
    </row>
    <row r="66" spans="12:22" x14ac:dyDescent="0.3">
      <c r="L66" t="s">
        <v>97</v>
      </c>
      <c r="N66">
        <v>1738</v>
      </c>
      <c r="O66">
        <v>0</v>
      </c>
      <c r="P66">
        <v>15245.403180789999</v>
      </c>
      <c r="Q66">
        <v>985</v>
      </c>
      <c r="R66">
        <v>0</v>
      </c>
      <c r="S66">
        <v>9014.7724186093728</v>
      </c>
      <c r="T66">
        <v>3797</v>
      </c>
      <c r="U66">
        <v>6893.1635084717382</v>
      </c>
      <c r="V66">
        <v>31153.339107871103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217E8-A2F0-4390-83F7-B14F6FDEDE0E}">
  <sheetPr codeName="Sheet10"/>
  <dimension ref="A1:W66"/>
  <sheetViews>
    <sheetView workbookViewId="0">
      <selection sqref="A1:V2"/>
    </sheetView>
  </sheetViews>
  <sheetFormatPr defaultRowHeight="14.4" x14ac:dyDescent="0.3"/>
  <cols>
    <col min="1" max="1" width="7" bestFit="1" customWidth="1"/>
    <col min="2" max="2" width="44.88671875" bestFit="1" customWidth="1"/>
    <col min="3" max="3" width="14.5546875" bestFit="1" customWidth="1"/>
    <col min="4" max="4" width="22.21875" bestFit="1" customWidth="1"/>
    <col min="5" max="5" width="26.33203125" bestFit="1" customWidth="1"/>
    <col min="6" max="6" width="20" bestFit="1" customWidth="1"/>
    <col min="7" max="7" width="24.109375" bestFit="1" customWidth="1"/>
    <col min="8" max="8" width="27.77734375" bestFit="1" customWidth="1"/>
    <col min="9" max="9" width="23.6640625" bestFit="1" customWidth="1"/>
    <col min="10" max="10" width="32.6640625" bestFit="1" customWidth="1"/>
    <col min="11" max="11" width="51.44140625" bestFit="1" customWidth="1"/>
    <col min="12" max="12" width="7" bestFit="1" customWidth="1"/>
    <col min="13" max="13" width="14.6640625" bestFit="1" customWidth="1"/>
    <col min="14" max="14" width="14.5546875" bestFit="1" customWidth="1"/>
    <col min="15" max="15" width="22.21875" bestFit="1" customWidth="1"/>
    <col min="16" max="16" width="26.33203125" bestFit="1" customWidth="1"/>
    <col min="17" max="17" width="20" bestFit="1" customWidth="1"/>
    <col min="18" max="18" width="24.109375" bestFit="1" customWidth="1"/>
    <col min="19" max="19" width="27.77734375" bestFit="1" customWidth="1"/>
    <col min="20" max="20" width="23.6640625" bestFit="1" customWidth="1"/>
    <col min="21" max="21" width="32.6640625" bestFit="1" customWidth="1"/>
    <col min="22" max="22" width="51.44140625" bestFit="1" customWidth="1"/>
    <col min="23" max="23" width="2" bestFit="1" customWidth="1"/>
    <col min="24" max="24" width="12.44140625" bestFit="1" customWidth="1"/>
    <col min="25" max="25" width="13.88671875" bestFit="1" customWidth="1"/>
    <col min="26" max="26" width="39.109375" bestFit="1" customWidth="1"/>
  </cols>
  <sheetData>
    <row r="1" spans="1:22" x14ac:dyDescent="0.3">
      <c r="A1" t="s">
        <v>66</v>
      </c>
      <c r="B1" t="s">
        <v>67</v>
      </c>
      <c r="C1" t="s">
        <v>70</v>
      </c>
      <c r="F1" t="s">
        <v>68</v>
      </c>
      <c r="I1" t="s">
        <v>69</v>
      </c>
      <c r="N1" t="s">
        <v>70</v>
      </c>
      <c r="Q1" t="s">
        <v>68</v>
      </c>
      <c r="T1" t="s">
        <v>69</v>
      </c>
      <c r="V1" t="s">
        <v>71</v>
      </c>
    </row>
    <row r="2" spans="1:22" x14ac:dyDescent="0.3">
      <c r="C2" t="s">
        <v>75</v>
      </c>
      <c r="D2" t="s">
        <v>76</v>
      </c>
      <c r="E2" t="s">
        <v>72</v>
      </c>
      <c r="F2" t="s">
        <v>99</v>
      </c>
      <c r="G2" t="s">
        <v>100</v>
      </c>
      <c r="H2" t="s">
        <v>101</v>
      </c>
      <c r="I2" t="s">
        <v>73</v>
      </c>
      <c r="J2" t="s">
        <v>77</v>
      </c>
      <c r="K2" t="s">
        <v>71</v>
      </c>
      <c r="L2" t="s">
        <v>66</v>
      </c>
      <c r="M2" t="s">
        <v>74</v>
      </c>
      <c r="N2" t="s">
        <v>75</v>
      </c>
      <c r="O2" t="s">
        <v>76</v>
      </c>
      <c r="P2" t="s">
        <v>72</v>
      </c>
      <c r="Q2" t="s">
        <v>99</v>
      </c>
      <c r="R2" t="s">
        <v>100</v>
      </c>
      <c r="S2" t="s">
        <v>101</v>
      </c>
      <c r="T2" t="s">
        <v>73</v>
      </c>
      <c r="U2" t="s">
        <v>77</v>
      </c>
      <c r="V2" t="s">
        <v>71</v>
      </c>
    </row>
    <row r="3" spans="1:22" x14ac:dyDescent="0.3">
      <c r="A3">
        <v>1</v>
      </c>
      <c r="B3" t="s">
        <v>78</v>
      </c>
      <c r="C3">
        <v>511</v>
      </c>
      <c r="D3" t="e">
        <v>#N/A</v>
      </c>
      <c r="E3">
        <v>7212.568197669998</v>
      </c>
      <c r="F3">
        <v>644</v>
      </c>
      <c r="G3" t="e">
        <v>#N/A</v>
      </c>
      <c r="H3">
        <v>7977.9001339247689</v>
      </c>
      <c r="I3">
        <v>471</v>
      </c>
      <c r="J3">
        <v>1611.0596202899997</v>
      </c>
      <c r="K3">
        <v>16801.527951884767</v>
      </c>
      <c r="L3">
        <v>1</v>
      </c>
      <c r="M3" t="s">
        <v>0</v>
      </c>
      <c r="N3">
        <v>365</v>
      </c>
      <c r="O3" t="e">
        <v>#N/A</v>
      </c>
      <c r="P3">
        <v>233.27274274000001</v>
      </c>
      <c r="Q3">
        <v>206</v>
      </c>
      <c r="R3" t="e">
        <v>#N/A</v>
      </c>
      <c r="S3">
        <v>842.53101072882816</v>
      </c>
      <c r="T3">
        <v>387</v>
      </c>
      <c r="U3">
        <v>630.03199014000018</v>
      </c>
      <c r="V3">
        <v>1705.8357436088286</v>
      </c>
    </row>
    <row r="4" spans="1:22" x14ac:dyDescent="0.3">
      <c r="A4">
        <v>2</v>
      </c>
      <c r="B4" t="s">
        <v>79</v>
      </c>
      <c r="C4">
        <v>11</v>
      </c>
      <c r="D4" t="e">
        <v>#N/A</v>
      </c>
      <c r="E4">
        <v>2100.8025670000002</v>
      </c>
      <c r="F4">
        <v>6</v>
      </c>
      <c r="G4" t="e">
        <v>#N/A</v>
      </c>
      <c r="H4">
        <v>70.738839999999996</v>
      </c>
      <c r="I4">
        <v>17</v>
      </c>
      <c r="J4">
        <v>89.973263079999995</v>
      </c>
      <c r="K4">
        <v>2261.5146700800001</v>
      </c>
      <c r="L4">
        <v>2</v>
      </c>
      <c r="M4" t="s">
        <v>1</v>
      </c>
      <c r="N4">
        <v>893</v>
      </c>
      <c r="O4" t="e">
        <v>#N/A</v>
      </c>
      <c r="P4">
        <v>601.07350723000002</v>
      </c>
      <c r="Q4">
        <v>192</v>
      </c>
      <c r="R4" t="e">
        <v>#N/A</v>
      </c>
      <c r="S4">
        <v>1600.7169918457032</v>
      </c>
      <c r="T4">
        <v>2411</v>
      </c>
      <c r="U4">
        <v>1738.6137775100003</v>
      </c>
      <c r="V4">
        <v>3940.4042765857039</v>
      </c>
    </row>
    <row r="5" spans="1:22" x14ac:dyDescent="0.3">
      <c r="A5">
        <v>3</v>
      </c>
      <c r="B5" t="s">
        <v>80</v>
      </c>
      <c r="C5">
        <v>75</v>
      </c>
      <c r="D5" t="e">
        <v>#N/A</v>
      </c>
      <c r="E5">
        <v>1815.61165716</v>
      </c>
      <c r="F5">
        <v>37</v>
      </c>
      <c r="G5" t="e">
        <v>#N/A</v>
      </c>
      <c r="H5">
        <v>1059.2755239999999</v>
      </c>
      <c r="I5">
        <v>103</v>
      </c>
      <c r="J5">
        <v>1576.5493293699999</v>
      </c>
      <c r="K5">
        <v>4451.4365105300003</v>
      </c>
      <c r="L5">
        <v>3</v>
      </c>
      <c r="M5" t="s">
        <v>2</v>
      </c>
      <c r="N5">
        <v>68</v>
      </c>
      <c r="O5" t="e">
        <v>#N/A</v>
      </c>
      <c r="P5">
        <v>1909.081449</v>
      </c>
      <c r="Q5">
        <v>26</v>
      </c>
      <c r="R5" t="e">
        <v>#N/A</v>
      </c>
      <c r="S5">
        <v>37.106929999999998</v>
      </c>
      <c r="T5">
        <v>186</v>
      </c>
      <c r="U5">
        <v>1196.4831572700007</v>
      </c>
      <c r="V5">
        <v>3142.6715362700006</v>
      </c>
    </row>
    <row r="6" spans="1:22" x14ac:dyDescent="0.3">
      <c r="A6">
        <v>4</v>
      </c>
      <c r="B6" t="s">
        <v>81</v>
      </c>
      <c r="C6">
        <v>32</v>
      </c>
      <c r="D6" t="e">
        <v>#N/A</v>
      </c>
      <c r="E6">
        <v>94.041567090000001</v>
      </c>
      <c r="F6">
        <v>23</v>
      </c>
      <c r="G6" t="e">
        <v>#N/A</v>
      </c>
      <c r="H6">
        <v>35.539262363281253</v>
      </c>
      <c r="I6">
        <v>77</v>
      </c>
      <c r="J6">
        <v>117.90348286</v>
      </c>
      <c r="K6">
        <v>247.48431231328124</v>
      </c>
      <c r="L6">
        <v>4</v>
      </c>
      <c r="M6" t="s">
        <v>3</v>
      </c>
      <c r="N6">
        <v>51</v>
      </c>
      <c r="O6" t="e">
        <v>#N/A</v>
      </c>
      <c r="P6">
        <v>485.188061</v>
      </c>
      <c r="Q6">
        <v>90</v>
      </c>
      <c r="R6" t="e">
        <v>#N/A</v>
      </c>
      <c r="S6">
        <v>593.53859133374999</v>
      </c>
      <c r="T6">
        <v>66</v>
      </c>
      <c r="U6">
        <v>173.36632086999998</v>
      </c>
      <c r="V6">
        <v>1252.09297320375</v>
      </c>
    </row>
    <row r="7" spans="1:22" x14ac:dyDescent="0.3">
      <c r="A7">
        <v>5</v>
      </c>
      <c r="B7" t="s">
        <v>82</v>
      </c>
      <c r="C7">
        <v>611</v>
      </c>
      <c r="D7" t="e">
        <v>#N/A</v>
      </c>
      <c r="E7">
        <v>318.48201896000006</v>
      </c>
      <c r="F7">
        <v>151</v>
      </c>
      <c r="G7" t="e">
        <v>#N/A</v>
      </c>
      <c r="H7">
        <v>297.36366116578125</v>
      </c>
      <c r="I7">
        <v>1417</v>
      </c>
      <c r="J7">
        <v>394.84804215999952</v>
      </c>
      <c r="K7">
        <v>1010.6937222857808</v>
      </c>
      <c r="L7">
        <v>5</v>
      </c>
      <c r="M7" t="s">
        <v>4</v>
      </c>
      <c r="N7">
        <v>147</v>
      </c>
      <c r="O7" t="e">
        <v>#N/A</v>
      </c>
      <c r="P7">
        <v>503.08780029000002</v>
      </c>
      <c r="Q7">
        <v>123</v>
      </c>
      <c r="R7" t="e">
        <v>#N/A</v>
      </c>
      <c r="S7">
        <v>1685.6250685375062</v>
      </c>
      <c r="T7">
        <v>60</v>
      </c>
      <c r="U7">
        <v>55.18678786000001</v>
      </c>
      <c r="V7">
        <v>2243.8996566875062</v>
      </c>
    </row>
    <row r="8" spans="1:22" x14ac:dyDescent="0.3">
      <c r="A8">
        <v>6</v>
      </c>
      <c r="B8" t="s">
        <v>83</v>
      </c>
      <c r="C8">
        <v>12</v>
      </c>
      <c r="D8" t="e">
        <v>#N/A</v>
      </c>
      <c r="E8">
        <v>29.595246900000003</v>
      </c>
      <c r="F8">
        <v>5</v>
      </c>
      <c r="G8" t="e">
        <v>#N/A</v>
      </c>
      <c r="H8">
        <v>11.665354687500001</v>
      </c>
      <c r="I8">
        <v>16</v>
      </c>
      <c r="J8">
        <v>26.698707900000006</v>
      </c>
      <c r="K8">
        <v>67.959309487500008</v>
      </c>
      <c r="L8">
        <v>6</v>
      </c>
      <c r="M8" t="s">
        <v>5</v>
      </c>
      <c r="N8">
        <v>91</v>
      </c>
      <c r="O8" t="e">
        <v>#N/A</v>
      </c>
      <c r="P8">
        <v>1139.0042105</v>
      </c>
      <c r="Q8">
        <v>41</v>
      </c>
      <c r="R8" t="e">
        <v>#N/A</v>
      </c>
      <c r="S8">
        <v>792.73843621875005</v>
      </c>
      <c r="T8">
        <v>26</v>
      </c>
      <c r="U8">
        <v>31.483740909999998</v>
      </c>
      <c r="V8">
        <v>1963.2263876287502</v>
      </c>
    </row>
    <row r="9" spans="1:22" x14ac:dyDescent="0.3">
      <c r="A9">
        <v>7</v>
      </c>
      <c r="B9" t="s">
        <v>84</v>
      </c>
      <c r="C9">
        <v>331</v>
      </c>
      <c r="D9" t="e">
        <v>#N/A</v>
      </c>
      <c r="E9">
        <v>248.97973805999996</v>
      </c>
      <c r="F9">
        <v>106</v>
      </c>
      <c r="G9" t="e">
        <v>#N/A</v>
      </c>
      <c r="H9">
        <v>172.43471217500002</v>
      </c>
      <c r="I9">
        <v>603</v>
      </c>
      <c r="J9">
        <v>867.89743933</v>
      </c>
      <c r="K9">
        <v>1289.311889565</v>
      </c>
      <c r="L9">
        <v>7</v>
      </c>
      <c r="M9" t="s">
        <v>6</v>
      </c>
      <c r="N9">
        <v>18</v>
      </c>
      <c r="O9" t="e">
        <v>#N/A</v>
      </c>
      <c r="P9">
        <v>537.80097499999999</v>
      </c>
      <c r="Q9">
        <v>19</v>
      </c>
      <c r="R9" t="e">
        <v>#N/A</v>
      </c>
      <c r="S9">
        <v>155.03333268750001</v>
      </c>
      <c r="T9">
        <v>7</v>
      </c>
      <c r="U9">
        <v>5.4872517599999995</v>
      </c>
      <c r="V9">
        <v>698.32155944750002</v>
      </c>
    </row>
    <row r="10" spans="1:22" x14ac:dyDescent="0.3">
      <c r="A10">
        <v>8</v>
      </c>
      <c r="B10" t="s">
        <v>85</v>
      </c>
      <c r="C10">
        <v>72</v>
      </c>
      <c r="D10" t="e">
        <v>#N/A</v>
      </c>
      <c r="E10">
        <v>356.32394249999999</v>
      </c>
      <c r="F10">
        <v>16</v>
      </c>
      <c r="G10" t="e">
        <v>#N/A</v>
      </c>
      <c r="H10">
        <v>46.775494000000002</v>
      </c>
      <c r="I10">
        <v>133</v>
      </c>
      <c r="J10">
        <v>35.809356149999992</v>
      </c>
      <c r="K10">
        <v>438.90879264999995</v>
      </c>
      <c r="L10">
        <v>8</v>
      </c>
      <c r="M10" t="s">
        <v>7</v>
      </c>
      <c r="N10">
        <v>36</v>
      </c>
      <c r="O10" t="e">
        <v>#N/A</v>
      </c>
      <c r="P10">
        <v>438.96041700000001</v>
      </c>
      <c r="Q10">
        <v>45</v>
      </c>
      <c r="R10" t="e">
        <v>#N/A</v>
      </c>
      <c r="S10">
        <v>678.16328099999998</v>
      </c>
      <c r="T10">
        <v>30</v>
      </c>
      <c r="U10">
        <v>97.50466775999999</v>
      </c>
      <c r="V10">
        <v>1214.62836576</v>
      </c>
    </row>
    <row r="11" spans="1:22" x14ac:dyDescent="0.3">
      <c r="A11">
        <v>9</v>
      </c>
      <c r="B11" t="s">
        <v>86</v>
      </c>
      <c r="C11">
        <v>33</v>
      </c>
      <c r="D11" t="e">
        <v>#N/A</v>
      </c>
      <c r="E11">
        <v>7.5486475400000002</v>
      </c>
      <c r="F11">
        <v>18</v>
      </c>
      <c r="G11" t="e">
        <v>#N/A</v>
      </c>
      <c r="H11">
        <v>-59.818035000000002</v>
      </c>
      <c r="I11">
        <v>240</v>
      </c>
      <c r="J11">
        <v>63.71167543</v>
      </c>
      <c r="K11">
        <v>11.442287969999995</v>
      </c>
      <c r="L11">
        <v>9</v>
      </c>
      <c r="M11" t="s">
        <v>8</v>
      </c>
      <c r="N11">
        <v>17</v>
      </c>
      <c r="O11" t="e">
        <v>#N/A</v>
      </c>
      <c r="P11">
        <v>282.13172500000002</v>
      </c>
      <c r="Q11">
        <v>7</v>
      </c>
      <c r="R11" t="e">
        <v>#N/A</v>
      </c>
      <c r="S11">
        <v>50.223269837890626</v>
      </c>
      <c r="T11">
        <v>22</v>
      </c>
      <c r="U11">
        <v>621.87116701000002</v>
      </c>
      <c r="V11">
        <v>954.22616184789069</v>
      </c>
    </row>
    <row r="12" spans="1:22" x14ac:dyDescent="0.3">
      <c r="A12">
        <v>10</v>
      </c>
      <c r="B12" t="s">
        <v>87</v>
      </c>
      <c r="C12">
        <v>241</v>
      </c>
      <c r="D12" t="e">
        <v>#N/A</v>
      </c>
      <c r="E12">
        <v>182.85791655</v>
      </c>
      <c r="F12">
        <v>52</v>
      </c>
      <c r="G12" t="e">
        <v>#N/A</v>
      </c>
      <c r="H12">
        <v>310.73379878906252</v>
      </c>
      <c r="I12">
        <v>305</v>
      </c>
      <c r="J12">
        <v>161.63767391000005</v>
      </c>
      <c r="K12">
        <v>655.22938924906248</v>
      </c>
      <c r="L12">
        <v>10</v>
      </c>
      <c r="M12" t="s">
        <v>9</v>
      </c>
      <c r="N12">
        <v>19</v>
      </c>
      <c r="O12" t="e">
        <v>#N/A</v>
      </c>
      <c r="P12">
        <v>176.86115599999999</v>
      </c>
      <c r="Q12">
        <v>38</v>
      </c>
      <c r="R12" t="e">
        <v>#N/A</v>
      </c>
      <c r="S12">
        <v>350.59159262499998</v>
      </c>
      <c r="T12">
        <v>3</v>
      </c>
      <c r="U12">
        <v>0.75803962999999985</v>
      </c>
      <c r="V12">
        <v>528.2107882549999</v>
      </c>
    </row>
    <row r="13" spans="1:22" x14ac:dyDescent="0.3">
      <c r="A13">
        <v>11</v>
      </c>
      <c r="B13" t="s">
        <v>88</v>
      </c>
      <c r="C13">
        <v>54</v>
      </c>
      <c r="D13" t="e">
        <v>#N/A</v>
      </c>
      <c r="E13">
        <v>23.515754999999999</v>
      </c>
      <c r="F13">
        <v>22</v>
      </c>
      <c r="G13" t="e">
        <v>#N/A</v>
      </c>
      <c r="H13">
        <v>12.501142140000001</v>
      </c>
      <c r="I13">
        <v>70</v>
      </c>
      <c r="J13">
        <v>27.652751050000006</v>
      </c>
      <c r="K13">
        <v>63.669648190000004</v>
      </c>
      <c r="L13">
        <v>11</v>
      </c>
      <c r="M13" t="s">
        <v>10</v>
      </c>
      <c r="N13">
        <v>61</v>
      </c>
      <c r="O13" t="e">
        <v>#N/A</v>
      </c>
      <c r="P13">
        <v>468.88969850000001</v>
      </c>
      <c r="Q13">
        <v>83</v>
      </c>
      <c r="R13" t="e">
        <v>#N/A</v>
      </c>
      <c r="S13">
        <v>315.14766142578122</v>
      </c>
      <c r="T13">
        <v>58</v>
      </c>
      <c r="U13">
        <v>62.341596810000013</v>
      </c>
      <c r="V13">
        <v>846.37895673578123</v>
      </c>
    </row>
    <row r="14" spans="1:22" x14ac:dyDescent="0.3">
      <c r="A14">
        <v>12</v>
      </c>
      <c r="B14" t="s">
        <v>89</v>
      </c>
      <c r="C14">
        <v>2</v>
      </c>
      <c r="D14" t="e">
        <v>#N/A</v>
      </c>
      <c r="E14">
        <v>0.3</v>
      </c>
      <c r="F14">
        <v>4</v>
      </c>
      <c r="G14" t="e">
        <v>#N/A</v>
      </c>
      <c r="H14">
        <v>3.3714050000000002</v>
      </c>
      <c r="I14">
        <v>17</v>
      </c>
      <c r="J14">
        <v>2.2449920099999998</v>
      </c>
      <c r="K14">
        <v>5.9163970099999998</v>
      </c>
      <c r="L14">
        <v>12</v>
      </c>
      <c r="M14" t="s">
        <v>11</v>
      </c>
      <c r="N14">
        <v>17</v>
      </c>
      <c r="O14" t="e">
        <v>#N/A</v>
      </c>
      <c r="P14">
        <v>59.436506999999999</v>
      </c>
      <c r="Q14">
        <v>33</v>
      </c>
      <c r="R14" t="e">
        <v>#N/A</v>
      </c>
      <c r="S14">
        <v>306.00791696875001</v>
      </c>
      <c r="T14">
        <v>21</v>
      </c>
      <c r="U14">
        <v>5.1632977999999996</v>
      </c>
      <c r="V14">
        <v>370.60772176875003</v>
      </c>
    </row>
    <row r="15" spans="1:22" x14ac:dyDescent="0.3">
      <c r="A15">
        <v>13</v>
      </c>
      <c r="B15" t="s">
        <v>90</v>
      </c>
      <c r="C15">
        <v>36</v>
      </c>
      <c r="D15" t="e">
        <v>#N/A</v>
      </c>
      <c r="E15">
        <v>11.92994532</v>
      </c>
      <c r="F15">
        <v>16</v>
      </c>
      <c r="G15" t="e">
        <v>#N/A</v>
      </c>
      <c r="H15">
        <v>136.78070360546874</v>
      </c>
      <c r="I15">
        <v>51</v>
      </c>
      <c r="J15">
        <v>104.70366788999999</v>
      </c>
      <c r="K15">
        <v>253.41431681546874</v>
      </c>
      <c r="L15">
        <v>13</v>
      </c>
      <c r="M15" t="s">
        <v>12</v>
      </c>
      <c r="N15">
        <v>5</v>
      </c>
      <c r="O15" t="e">
        <v>#N/A</v>
      </c>
      <c r="P15">
        <v>323</v>
      </c>
      <c r="Q15">
        <v>11</v>
      </c>
      <c r="R15" t="e">
        <v>#N/A</v>
      </c>
      <c r="S15">
        <v>1212.1587360000001</v>
      </c>
      <c r="T15">
        <v>7</v>
      </c>
      <c r="U15">
        <v>10.465306</v>
      </c>
      <c r="V15">
        <v>1545.6240420000001</v>
      </c>
    </row>
    <row r="16" spans="1:22" x14ac:dyDescent="0.3">
      <c r="A16">
        <v>14</v>
      </c>
      <c r="B16" t="s">
        <v>91</v>
      </c>
      <c r="C16">
        <v>3</v>
      </c>
      <c r="D16" t="e">
        <v>#N/A</v>
      </c>
      <c r="E16">
        <v>1.8524929999999999</v>
      </c>
      <c r="F16">
        <v>1</v>
      </c>
      <c r="G16" t="e">
        <v>#N/A</v>
      </c>
      <c r="H16">
        <v>16</v>
      </c>
      <c r="I16">
        <v>7</v>
      </c>
      <c r="J16">
        <v>39.44372611</v>
      </c>
      <c r="K16">
        <v>57.296219109999996</v>
      </c>
      <c r="L16">
        <v>14</v>
      </c>
      <c r="M16" t="s">
        <v>13</v>
      </c>
      <c r="N16">
        <v>28</v>
      </c>
      <c r="O16" t="e">
        <v>#N/A</v>
      </c>
      <c r="P16">
        <v>225.47303500000001</v>
      </c>
      <c r="Q16">
        <v>3</v>
      </c>
      <c r="R16" t="e">
        <v>#N/A</v>
      </c>
      <c r="S16">
        <v>18.444907000000001</v>
      </c>
      <c r="T16">
        <v>4</v>
      </c>
      <c r="U16">
        <v>0.60570908000000001</v>
      </c>
      <c r="V16">
        <v>244.52365108000001</v>
      </c>
    </row>
    <row r="17" spans="1:22" x14ac:dyDescent="0.3">
      <c r="A17">
        <v>15</v>
      </c>
      <c r="B17" t="s">
        <v>92</v>
      </c>
      <c r="C17">
        <v>2</v>
      </c>
      <c r="D17" t="e">
        <v>#N/A</v>
      </c>
      <c r="E17">
        <v>10.432</v>
      </c>
      <c r="F17">
        <v>4</v>
      </c>
      <c r="G17" t="e">
        <v>#N/A</v>
      </c>
      <c r="H17">
        <v>1.713338</v>
      </c>
      <c r="I17">
        <v>11</v>
      </c>
      <c r="J17">
        <v>9.0160011299999994</v>
      </c>
      <c r="K17">
        <v>21.161339130000002</v>
      </c>
      <c r="L17">
        <v>15</v>
      </c>
      <c r="M17" t="s">
        <v>14</v>
      </c>
      <c r="N17">
        <v>47</v>
      </c>
      <c r="O17" t="e">
        <v>#N/A</v>
      </c>
      <c r="P17">
        <v>69.87921953</v>
      </c>
      <c r="Q17">
        <v>35</v>
      </c>
      <c r="R17" t="e">
        <v>#N/A</v>
      </c>
      <c r="S17">
        <v>5.7854757890624997</v>
      </c>
      <c r="T17">
        <v>49</v>
      </c>
      <c r="U17">
        <v>58.329016939999995</v>
      </c>
      <c r="V17">
        <v>133.99371225906251</v>
      </c>
    </row>
    <row r="18" spans="1:22" x14ac:dyDescent="0.3">
      <c r="A18">
        <v>16</v>
      </c>
      <c r="B18" t="s">
        <v>93</v>
      </c>
      <c r="C18">
        <v>1</v>
      </c>
      <c r="D18" t="e">
        <v>#N/A</v>
      </c>
      <c r="E18">
        <v>1.9771529999999999</v>
      </c>
      <c r="F18">
        <v>0</v>
      </c>
      <c r="G18" t="e">
        <v>#N/A</v>
      </c>
      <c r="H18">
        <v>0</v>
      </c>
      <c r="I18">
        <v>3</v>
      </c>
      <c r="J18">
        <v>17.08691194</v>
      </c>
      <c r="K18">
        <v>19.064064940000002</v>
      </c>
      <c r="L18">
        <v>16</v>
      </c>
      <c r="M18" t="s">
        <v>15</v>
      </c>
      <c r="N18">
        <v>21</v>
      </c>
      <c r="O18" t="e">
        <v>#N/A</v>
      </c>
      <c r="P18">
        <v>316.76547399999998</v>
      </c>
      <c r="Q18">
        <v>58</v>
      </c>
      <c r="R18" t="e">
        <v>#N/A</v>
      </c>
      <c r="S18">
        <v>387.34681565624999</v>
      </c>
      <c r="T18">
        <v>19</v>
      </c>
      <c r="U18">
        <v>41.98736971000001</v>
      </c>
      <c r="V18">
        <v>746.09965936624997</v>
      </c>
    </row>
    <row r="19" spans="1:22" x14ac:dyDescent="0.3">
      <c r="A19">
        <v>17</v>
      </c>
      <c r="B19" t="s">
        <v>94</v>
      </c>
      <c r="C19">
        <v>1</v>
      </c>
      <c r="D19" t="e">
        <v>#N/A</v>
      </c>
      <c r="E19">
        <v>0.2</v>
      </c>
      <c r="F19">
        <v>1</v>
      </c>
      <c r="G19" t="e">
        <v>#N/A</v>
      </c>
      <c r="H19">
        <v>0.15</v>
      </c>
      <c r="I19">
        <v>11</v>
      </c>
      <c r="J19">
        <v>3.4996262300000001</v>
      </c>
      <c r="K19">
        <v>3.8496262300000001</v>
      </c>
      <c r="L19">
        <v>17</v>
      </c>
      <c r="M19" t="s">
        <v>16</v>
      </c>
      <c r="N19">
        <v>33</v>
      </c>
      <c r="O19" t="e">
        <v>#N/A</v>
      </c>
      <c r="P19">
        <v>121.02974389999999</v>
      </c>
      <c r="Q19">
        <v>21</v>
      </c>
      <c r="R19" t="e">
        <v>#N/A</v>
      </c>
      <c r="S19">
        <v>93.194827949996949</v>
      </c>
      <c r="T19">
        <v>4</v>
      </c>
      <c r="U19">
        <v>11.668916629999998</v>
      </c>
      <c r="V19">
        <v>225.89348847999696</v>
      </c>
    </row>
    <row r="20" spans="1:22" x14ac:dyDescent="0.3">
      <c r="A20">
        <v>18</v>
      </c>
      <c r="B20" t="s">
        <v>95</v>
      </c>
      <c r="C20">
        <v>8</v>
      </c>
      <c r="D20" t="e">
        <v>#N/A</v>
      </c>
      <c r="E20">
        <v>29.199856</v>
      </c>
      <c r="F20">
        <v>1</v>
      </c>
      <c r="G20" t="e">
        <v>#N/A</v>
      </c>
      <c r="H20">
        <v>24.687760000000001</v>
      </c>
      <c r="I20">
        <v>13</v>
      </c>
      <c r="J20">
        <v>3.8131179499999996</v>
      </c>
      <c r="K20">
        <v>57.70073395</v>
      </c>
      <c r="L20">
        <v>18</v>
      </c>
      <c r="M20" t="s">
        <v>17</v>
      </c>
      <c r="N20">
        <v>9</v>
      </c>
      <c r="O20" t="e">
        <v>#N/A</v>
      </c>
      <c r="P20">
        <v>40.677</v>
      </c>
      <c r="Q20">
        <v>4</v>
      </c>
      <c r="R20" t="e">
        <v>#N/A</v>
      </c>
      <c r="S20">
        <v>181.04540900000001</v>
      </c>
      <c r="T20">
        <v>1</v>
      </c>
      <c r="U20">
        <v>3.8094000000000003E-2</v>
      </c>
      <c r="V20">
        <v>221.760503</v>
      </c>
    </row>
    <row r="21" spans="1:22" x14ac:dyDescent="0.3">
      <c r="A21">
        <v>19</v>
      </c>
      <c r="B21" t="s">
        <v>96</v>
      </c>
      <c r="C21">
        <v>0</v>
      </c>
      <c r="D21" t="e">
        <v>#N/A</v>
      </c>
      <c r="E21">
        <v>0</v>
      </c>
      <c r="F21">
        <v>0</v>
      </c>
      <c r="G21" t="e">
        <v>#N/A</v>
      </c>
      <c r="H21">
        <v>0</v>
      </c>
      <c r="I21">
        <v>1</v>
      </c>
      <c r="J21">
        <v>0.54912561999999998</v>
      </c>
      <c r="K21">
        <v>0.54912561999999998</v>
      </c>
      <c r="L21">
        <v>19</v>
      </c>
      <c r="M21" t="s">
        <v>18</v>
      </c>
      <c r="N21">
        <v>7</v>
      </c>
      <c r="O21" t="e">
        <v>#N/A</v>
      </c>
      <c r="P21">
        <v>69.328000000000003</v>
      </c>
      <c r="Q21">
        <v>5</v>
      </c>
      <c r="R21" t="e">
        <v>#N/A</v>
      </c>
      <c r="S21">
        <v>27.400683999999998</v>
      </c>
      <c r="T21">
        <v>4</v>
      </c>
      <c r="U21">
        <v>0.77907537999999998</v>
      </c>
      <c r="V21">
        <v>97.507759379999996</v>
      </c>
    </row>
    <row r="22" spans="1:22" x14ac:dyDescent="0.3">
      <c r="A22" t="s">
        <v>97</v>
      </c>
      <c r="C22">
        <v>2036</v>
      </c>
      <c r="D22">
        <v>0</v>
      </c>
      <c r="E22">
        <v>12446.218701749996</v>
      </c>
      <c r="F22">
        <v>1107</v>
      </c>
      <c r="G22">
        <v>0</v>
      </c>
      <c r="H22">
        <v>10117.813094850862</v>
      </c>
      <c r="I22">
        <v>3566</v>
      </c>
      <c r="J22">
        <v>5154.0985104099991</v>
      </c>
      <c r="K22">
        <v>27718.13030701087</v>
      </c>
      <c r="L22">
        <v>20</v>
      </c>
      <c r="M22" t="s">
        <v>19</v>
      </c>
      <c r="N22">
        <v>8</v>
      </c>
      <c r="O22" t="e">
        <v>#N/A</v>
      </c>
      <c r="P22">
        <v>406.87009699999999</v>
      </c>
      <c r="Q22">
        <v>20</v>
      </c>
      <c r="R22" t="e">
        <v>#N/A</v>
      </c>
      <c r="S22">
        <v>288.58700700000003</v>
      </c>
      <c r="T22">
        <v>3</v>
      </c>
      <c r="U22">
        <v>5.2129759500000006</v>
      </c>
      <c r="V22">
        <v>700.67007995000006</v>
      </c>
    </row>
    <row r="23" spans="1:22" x14ac:dyDescent="0.3">
      <c r="L23">
        <v>21</v>
      </c>
      <c r="M23" t="s">
        <v>20</v>
      </c>
      <c r="N23">
        <v>6</v>
      </c>
      <c r="O23" t="e">
        <v>#N/A</v>
      </c>
      <c r="P23">
        <v>197.31041099999999</v>
      </c>
      <c r="Q23">
        <v>2</v>
      </c>
      <c r="R23" t="e">
        <v>#N/A</v>
      </c>
      <c r="S23">
        <v>2.1363E-2</v>
      </c>
      <c r="T23">
        <v>2</v>
      </c>
      <c r="U23">
        <v>0.165321</v>
      </c>
      <c r="V23">
        <v>197.497095</v>
      </c>
    </row>
    <row r="24" spans="1:22" x14ac:dyDescent="0.3">
      <c r="L24">
        <v>22</v>
      </c>
      <c r="M24" t="s">
        <v>21</v>
      </c>
      <c r="N24">
        <v>19</v>
      </c>
      <c r="O24" t="e">
        <v>#N/A</v>
      </c>
      <c r="P24">
        <v>490.50514099999998</v>
      </c>
      <c r="Q24">
        <v>2</v>
      </c>
      <c r="R24" t="e">
        <v>#N/A</v>
      </c>
      <c r="S24">
        <v>400</v>
      </c>
      <c r="T24">
        <v>2</v>
      </c>
      <c r="U24">
        <v>0.16963855999999999</v>
      </c>
      <c r="V24">
        <v>890.67477955999993</v>
      </c>
    </row>
    <row r="25" spans="1:22" x14ac:dyDescent="0.3">
      <c r="L25">
        <v>23</v>
      </c>
      <c r="M25" t="s">
        <v>22</v>
      </c>
      <c r="N25">
        <v>9</v>
      </c>
      <c r="O25" t="e">
        <v>#N/A</v>
      </c>
      <c r="P25">
        <v>2181.1699149999999</v>
      </c>
      <c r="Q25">
        <v>0</v>
      </c>
      <c r="R25" t="e">
        <v>#N/A</v>
      </c>
      <c r="S25">
        <v>0</v>
      </c>
      <c r="T25">
        <v>6</v>
      </c>
      <c r="U25">
        <v>186.99053985000003</v>
      </c>
      <c r="V25">
        <v>2368.16045485</v>
      </c>
    </row>
    <row r="26" spans="1:22" x14ac:dyDescent="0.3">
      <c r="L26">
        <v>24</v>
      </c>
      <c r="M26" t="s">
        <v>23</v>
      </c>
      <c r="N26">
        <v>0</v>
      </c>
      <c r="O26" t="e">
        <v>#N/A</v>
      </c>
      <c r="P26">
        <v>0</v>
      </c>
      <c r="Q26">
        <v>0</v>
      </c>
      <c r="R26" t="e">
        <v>#N/A</v>
      </c>
      <c r="S26">
        <v>0</v>
      </c>
      <c r="T26">
        <v>2</v>
      </c>
      <c r="U26">
        <v>1.82677172</v>
      </c>
      <c r="V26">
        <v>1.82677172</v>
      </c>
    </row>
    <row r="27" spans="1:22" x14ac:dyDescent="0.3">
      <c r="L27">
        <v>25</v>
      </c>
      <c r="M27" t="s">
        <v>24</v>
      </c>
      <c r="N27">
        <v>1</v>
      </c>
      <c r="O27" t="e">
        <v>#N/A</v>
      </c>
      <c r="P27">
        <v>0.76524000000000003</v>
      </c>
      <c r="Q27">
        <v>0</v>
      </c>
      <c r="R27" t="e">
        <v>#N/A</v>
      </c>
      <c r="S27">
        <v>0</v>
      </c>
      <c r="T27">
        <v>55</v>
      </c>
      <c r="U27">
        <v>7.9231420500000009</v>
      </c>
      <c r="V27">
        <v>8.6883820500000013</v>
      </c>
    </row>
    <row r="28" spans="1:22" x14ac:dyDescent="0.3">
      <c r="L28">
        <v>26</v>
      </c>
      <c r="M28" t="s">
        <v>25</v>
      </c>
      <c r="N28">
        <v>5</v>
      </c>
      <c r="O28" t="e">
        <v>#N/A</v>
      </c>
      <c r="P28">
        <v>68.242999999999995</v>
      </c>
      <c r="Q28">
        <v>3</v>
      </c>
      <c r="R28" t="e">
        <v>#N/A</v>
      </c>
      <c r="S28">
        <v>1.7</v>
      </c>
      <c r="T28">
        <v>19</v>
      </c>
      <c r="U28">
        <v>9.302652430000002</v>
      </c>
      <c r="V28">
        <v>79.245652430000007</v>
      </c>
    </row>
    <row r="29" spans="1:22" x14ac:dyDescent="0.3">
      <c r="L29">
        <v>27</v>
      </c>
      <c r="M29" t="s">
        <v>26</v>
      </c>
      <c r="N29">
        <v>2</v>
      </c>
      <c r="O29" t="e">
        <v>#N/A</v>
      </c>
      <c r="P29">
        <v>16.063357</v>
      </c>
      <c r="Q29">
        <v>1</v>
      </c>
      <c r="R29" t="e">
        <v>#N/A</v>
      </c>
      <c r="S29">
        <v>0.21495</v>
      </c>
      <c r="T29">
        <v>5</v>
      </c>
      <c r="U29">
        <v>8.5102270200000003</v>
      </c>
      <c r="V29">
        <v>24.78853402</v>
      </c>
    </row>
    <row r="30" spans="1:22" x14ac:dyDescent="0.3">
      <c r="L30">
        <v>28</v>
      </c>
      <c r="M30" t="s">
        <v>27</v>
      </c>
      <c r="N30">
        <v>4</v>
      </c>
      <c r="O30" t="e">
        <v>#N/A</v>
      </c>
      <c r="P30">
        <v>102.23526699999999</v>
      </c>
      <c r="Q30">
        <v>12</v>
      </c>
      <c r="R30" t="e">
        <v>#N/A</v>
      </c>
      <c r="S30">
        <v>53.58914805859375</v>
      </c>
      <c r="T30">
        <v>1</v>
      </c>
      <c r="U30">
        <v>0.12923793</v>
      </c>
      <c r="V30">
        <v>155.95365298859372</v>
      </c>
    </row>
    <row r="31" spans="1:22" x14ac:dyDescent="0.3">
      <c r="L31">
        <v>29</v>
      </c>
      <c r="M31" t="s">
        <v>28</v>
      </c>
      <c r="N31">
        <v>5</v>
      </c>
      <c r="O31" t="e">
        <v>#N/A</v>
      </c>
      <c r="P31">
        <v>16.513836000000001</v>
      </c>
      <c r="Q31">
        <v>1</v>
      </c>
      <c r="R31" t="e">
        <v>#N/A</v>
      </c>
      <c r="S31">
        <v>2.02</v>
      </c>
      <c r="T31">
        <v>5</v>
      </c>
      <c r="U31">
        <v>48.836924200000006</v>
      </c>
      <c r="V31">
        <v>67.370760200000007</v>
      </c>
    </row>
    <row r="32" spans="1:22" x14ac:dyDescent="0.3">
      <c r="L32">
        <v>30</v>
      </c>
      <c r="M32" t="s">
        <v>29</v>
      </c>
      <c r="N32">
        <v>4</v>
      </c>
      <c r="O32" t="e">
        <v>#N/A</v>
      </c>
      <c r="P32">
        <v>73.423299999999998</v>
      </c>
      <c r="Q32">
        <v>2</v>
      </c>
      <c r="R32" t="e">
        <v>#N/A</v>
      </c>
      <c r="S32">
        <v>13.5</v>
      </c>
      <c r="T32">
        <v>1</v>
      </c>
      <c r="U32">
        <v>3.5427000000000001E-4</v>
      </c>
      <c r="V32">
        <v>86.92365427</v>
      </c>
    </row>
    <row r="33" spans="12:22" x14ac:dyDescent="0.3">
      <c r="L33">
        <v>31</v>
      </c>
      <c r="M33" t="s">
        <v>30</v>
      </c>
      <c r="N33">
        <v>1</v>
      </c>
      <c r="O33" t="e">
        <v>#N/A</v>
      </c>
      <c r="P33">
        <v>6</v>
      </c>
      <c r="Q33">
        <v>0</v>
      </c>
      <c r="R33" t="e">
        <v>#N/A</v>
      </c>
      <c r="S33">
        <v>0</v>
      </c>
      <c r="T33">
        <v>12</v>
      </c>
      <c r="U33">
        <v>81.564930669999995</v>
      </c>
      <c r="V33">
        <v>87.564930669999995</v>
      </c>
    </row>
    <row r="34" spans="12:22" x14ac:dyDescent="0.3">
      <c r="L34">
        <v>32</v>
      </c>
      <c r="M34" t="s">
        <v>31</v>
      </c>
      <c r="N34">
        <v>1</v>
      </c>
      <c r="O34" t="e">
        <v>#N/A</v>
      </c>
      <c r="P34">
        <v>18.350000000000001</v>
      </c>
      <c r="Q34">
        <v>1</v>
      </c>
      <c r="R34" t="e">
        <v>#N/A</v>
      </c>
      <c r="S34">
        <v>-79.295119999999997</v>
      </c>
      <c r="T34">
        <v>0</v>
      </c>
      <c r="U34">
        <v>0</v>
      </c>
      <c r="V34">
        <v>-60.945119999999996</v>
      </c>
    </row>
    <row r="35" spans="12:22" x14ac:dyDescent="0.3">
      <c r="L35">
        <v>33</v>
      </c>
      <c r="M35" t="s">
        <v>32</v>
      </c>
      <c r="N35">
        <v>2</v>
      </c>
      <c r="O35" t="e">
        <v>#N/A</v>
      </c>
      <c r="P35">
        <v>110.032701</v>
      </c>
      <c r="Q35">
        <v>1</v>
      </c>
      <c r="R35" t="e">
        <v>#N/A</v>
      </c>
      <c r="S35">
        <v>1.8</v>
      </c>
      <c r="T35">
        <v>1</v>
      </c>
      <c r="U35">
        <v>4.5428163000000001</v>
      </c>
      <c r="V35">
        <v>116.3755173</v>
      </c>
    </row>
    <row r="36" spans="12:22" x14ac:dyDescent="0.3">
      <c r="L36">
        <v>34</v>
      </c>
      <c r="M36" t="s">
        <v>33</v>
      </c>
      <c r="N36">
        <v>1</v>
      </c>
      <c r="O36" t="e">
        <v>#N/A</v>
      </c>
      <c r="P36">
        <v>3</v>
      </c>
      <c r="Q36">
        <v>1</v>
      </c>
      <c r="R36" t="e">
        <v>#N/A</v>
      </c>
      <c r="S36">
        <v>3.0078000000000001E-2</v>
      </c>
      <c r="T36">
        <v>0</v>
      </c>
      <c r="U36">
        <v>0</v>
      </c>
      <c r="V36">
        <v>3.030078</v>
      </c>
    </row>
    <row r="37" spans="12:22" x14ac:dyDescent="0.3">
      <c r="L37">
        <v>35</v>
      </c>
      <c r="M37" t="s">
        <v>34</v>
      </c>
      <c r="N37">
        <v>2</v>
      </c>
      <c r="O37" t="e">
        <v>#N/A</v>
      </c>
      <c r="P37">
        <v>4.3183340000000001</v>
      </c>
      <c r="Q37">
        <v>2</v>
      </c>
      <c r="R37" t="e">
        <v>#N/A</v>
      </c>
      <c r="S37">
        <v>15.153307</v>
      </c>
      <c r="T37">
        <v>6</v>
      </c>
      <c r="U37">
        <v>14.738242250000001</v>
      </c>
      <c r="V37">
        <v>34.209883249999997</v>
      </c>
    </row>
    <row r="38" spans="12:22" x14ac:dyDescent="0.3">
      <c r="L38">
        <v>36</v>
      </c>
      <c r="M38" t="s">
        <v>35</v>
      </c>
      <c r="N38">
        <v>0</v>
      </c>
      <c r="O38" t="e">
        <v>#N/A</v>
      </c>
      <c r="P38">
        <v>0</v>
      </c>
      <c r="Q38">
        <v>0</v>
      </c>
      <c r="R38" t="e">
        <v>#N/A</v>
      </c>
      <c r="S38">
        <v>0</v>
      </c>
      <c r="T38">
        <v>2</v>
      </c>
      <c r="U38">
        <v>0.14466172999999999</v>
      </c>
      <c r="V38">
        <v>0.14466172999999999</v>
      </c>
    </row>
    <row r="39" spans="12:22" x14ac:dyDescent="0.3">
      <c r="L39">
        <v>37</v>
      </c>
      <c r="M39" t="s">
        <v>36</v>
      </c>
      <c r="N39">
        <v>1</v>
      </c>
      <c r="O39" t="e">
        <v>#N/A</v>
      </c>
      <c r="P39">
        <v>0.01</v>
      </c>
      <c r="Q39">
        <v>0</v>
      </c>
      <c r="R39" t="e">
        <v>#N/A</v>
      </c>
      <c r="S39">
        <v>0</v>
      </c>
      <c r="T39">
        <v>3</v>
      </c>
      <c r="U39">
        <v>0.28005339000000001</v>
      </c>
      <c r="V39">
        <v>0.29005339000000002</v>
      </c>
    </row>
    <row r="40" spans="12:22" x14ac:dyDescent="0.3">
      <c r="L40">
        <v>38</v>
      </c>
      <c r="M40" t="s">
        <v>37</v>
      </c>
      <c r="N40">
        <v>6</v>
      </c>
      <c r="O40" t="e">
        <v>#N/A</v>
      </c>
      <c r="P40">
        <v>174.23413106000001</v>
      </c>
      <c r="Q40">
        <v>2</v>
      </c>
      <c r="R40" t="e">
        <v>#N/A</v>
      </c>
      <c r="S40">
        <v>2.3423050000000001</v>
      </c>
      <c r="T40">
        <v>9</v>
      </c>
      <c r="U40">
        <v>9.3943826500000007</v>
      </c>
      <c r="V40">
        <v>185.97081871000003</v>
      </c>
    </row>
    <row r="41" spans="12:22" x14ac:dyDescent="0.3">
      <c r="L41">
        <v>39</v>
      </c>
      <c r="M41" t="s">
        <v>38</v>
      </c>
      <c r="N41">
        <v>8</v>
      </c>
      <c r="O41" t="e">
        <v>#N/A</v>
      </c>
      <c r="P41">
        <v>219.819749</v>
      </c>
      <c r="Q41">
        <v>5</v>
      </c>
      <c r="R41" t="e">
        <v>#N/A</v>
      </c>
      <c r="S41">
        <v>86.292689999999993</v>
      </c>
      <c r="T41">
        <v>2</v>
      </c>
      <c r="U41">
        <v>1.7528489199999999</v>
      </c>
      <c r="V41">
        <v>307.86528792000001</v>
      </c>
    </row>
    <row r="42" spans="12:22" x14ac:dyDescent="0.3">
      <c r="L42">
        <v>40</v>
      </c>
      <c r="M42" t="s">
        <v>39</v>
      </c>
      <c r="N42">
        <v>2</v>
      </c>
      <c r="O42" t="e">
        <v>#N/A</v>
      </c>
      <c r="P42">
        <v>23</v>
      </c>
      <c r="Q42">
        <v>1</v>
      </c>
      <c r="R42" t="e">
        <v>#N/A</v>
      </c>
      <c r="S42">
        <v>1.5</v>
      </c>
      <c r="T42">
        <v>2</v>
      </c>
      <c r="U42">
        <v>0.13692053000000001</v>
      </c>
      <c r="V42">
        <v>24.636920530000001</v>
      </c>
    </row>
    <row r="43" spans="12:22" x14ac:dyDescent="0.3">
      <c r="L43">
        <v>41</v>
      </c>
      <c r="M43" t="s">
        <v>40</v>
      </c>
      <c r="N43">
        <v>7</v>
      </c>
      <c r="O43" t="e">
        <v>#N/A</v>
      </c>
      <c r="P43">
        <v>43.023629999999997</v>
      </c>
      <c r="Q43">
        <v>4</v>
      </c>
      <c r="R43" t="e">
        <v>#N/A</v>
      </c>
      <c r="S43">
        <v>2.949579</v>
      </c>
      <c r="T43">
        <v>6</v>
      </c>
      <c r="U43">
        <v>11.624876270000001</v>
      </c>
      <c r="V43">
        <v>57.598085269999999</v>
      </c>
    </row>
    <row r="44" spans="12:22" x14ac:dyDescent="0.3">
      <c r="L44">
        <v>42</v>
      </c>
      <c r="M44" t="s">
        <v>41</v>
      </c>
      <c r="N44">
        <v>1</v>
      </c>
      <c r="O44" t="e">
        <v>#N/A</v>
      </c>
      <c r="P44">
        <v>1.082803</v>
      </c>
      <c r="Q44">
        <v>1</v>
      </c>
      <c r="R44" t="e">
        <v>#N/A</v>
      </c>
      <c r="S44">
        <v>-0.44500000000000001</v>
      </c>
      <c r="T44">
        <v>3</v>
      </c>
      <c r="U44">
        <v>2.2255980000000002</v>
      </c>
      <c r="V44">
        <v>2.8634010000000001</v>
      </c>
    </row>
    <row r="45" spans="12:22" x14ac:dyDescent="0.3">
      <c r="L45">
        <v>43</v>
      </c>
      <c r="M45" t="s">
        <v>42</v>
      </c>
      <c r="N45">
        <v>1</v>
      </c>
      <c r="O45" t="e">
        <v>#N/A</v>
      </c>
      <c r="P45">
        <v>275</v>
      </c>
      <c r="Q45">
        <v>0</v>
      </c>
      <c r="R45" t="e">
        <v>#N/A</v>
      </c>
      <c r="S45">
        <v>0</v>
      </c>
      <c r="T45">
        <v>2</v>
      </c>
      <c r="U45">
        <v>1.1280362500000001</v>
      </c>
      <c r="V45">
        <v>276.12803624999998</v>
      </c>
    </row>
    <row r="46" spans="12:22" x14ac:dyDescent="0.3">
      <c r="L46">
        <v>44</v>
      </c>
      <c r="M46" t="s">
        <v>43</v>
      </c>
      <c r="N46">
        <v>1</v>
      </c>
      <c r="O46" t="e">
        <v>#N/A</v>
      </c>
      <c r="P46">
        <v>4.3020000000000003E-2</v>
      </c>
      <c r="Q46">
        <v>3</v>
      </c>
      <c r="R46" t="e">
        <v>#N/A</v>
      </c>
      <c r="S46">
        <v>-9.3780588125000008</v>
      </c>
      <c r="T46">
        <v>17</v>
      </c>
      <c r="U46">
        <v>3.0204535799999994</v>
      </c>
      <c r="V46">
        <v>-6.3145852325000007</v>
      </c>
    </row>
    <row r="47" spans="12:22" x14ac:dyDescent="0.3">
      <c r="L47">
        <v>45</v>
      </c>
      <c r="M47" t="s">
        <v>44</v>
      </c>
      <c r="N47">
        <v>1</v>
      </c>
      <c r="O47" t="e">
        <v>#N/A</v>
      </c>
      <c r="P47">
        <v>2</v>
      </c>
      <c r="Q47">
        <v>0</v>
      </c>
      <c r="R47" t="e">
        <v>#N/A</v>
      </c>
      <c r="S47">
        <v>0</v>
      </c>
      <c r="T47">
        <v>11</v>
      </c>
      <c r="U47">
        <v>2.6680168899999996</v>
      </c>
      <c r="V47">
        <v>4.6680168899999996</v>
      </c>
    </row>
    <row r="48" spans="12:22" x14ac:dyDescent="0.3">
      <c r="L48">
        <v>46</v>
      </c>
      <c r="M48" t="s">
        <v>45</v>
      </c>
      <c r="N48">
        <v>0</v>
      </c>
      <c r="O48" t="e">
        <v>#N/A</v>
      </c>
      <c r="P48">
        <v>0</v>
      </c>
      <c r="Q48">
        <v>0</v>
      </c>
      <c r="R48" t="e">
        <v>#N/A</v>
      </c>
      <c r="S48">
        <v>0</v>
      </c>
      <c r="T48">
        <v>3</v>
      </c>
      <c r="U48">
        <v>0.46816140000000001</v>
      </c>
      <c r="V48">
        <v>0.46816140000000001</v>
      </c>
    </row>
    <row r="49" spans="12:23" x14ac:dyDescent="0.3">
      <c r="L49">
        <v>47</v>
      </c>
      <c r="M49" t="s">
        <v>46</v>
      </c>
      <c r="N49">
        <v>0</v>
      </c>
      <c r="O49" t="e">
        <v>#N/A</v>
      </c>
      <c r="P49">
        <v>0</v>
      </c>
      <c r="Q49">
        <v>0</v>
      </c>
      <c r="R49" t="e">
        <v>#N/A</v>
      </c>
      <c r="S49">
        <v>0</v>
      </c>
      <c r="T49">
        <v>4</v>
      </c>
      <c r="U49">
        <v>0.86432255000000002</v>
      </c>
      <c r="V49">
        <v>0.86432255000000002</v>
      </c>
    </row>
    <row r="50" spans="12:23" x14ac:dyDescent="0.3">
      <c r="L50">
        <v>48</v>
      </c>
      <c r="M50" t="s">
        <v>47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 t="e">
        <v>#N/A</v>
      </c>
    </row>
    <row r="51" spans="12:23" x14ac:dyDescent="0.3">
      <c r="L51">
        <v>49</v>
      </c>
      <c r="M51" t="s">
        <v>48</v>
      </c>
      <c r="N51">
        <v>3</v>
      </c>
      <c r="O51" t="e">
        <v>#N/A</v>
      </c>
      <c r="P51">
        <v>6.6118750000000004</v>
      </c>
      <c r="Q51">
        <v>0</v>
      </c>
      <c r="R51" t="e">
        <v>#N/A</v>
      </c>
      <c r="S51">
        <v>0</v>
      </c>
      <c r="T51">
        <v>6</v>
      </c>
      <c r="U51">
        <v>3.0967129399999997</v>
      </c>
      <c r="V51">
        <v>9.708587940000001</v>
      </c>
    </row>
    <row r="52" spans="12:23" x14ac:dyDescent="0.3">
      <c r="L52">
        <v>50</v>
      </c>
      <c r="M52" t="s">
        <v>49</v>
      </c>
      <c r="N52">
        <v>0</v>
      </c>
      <c r="O52" t="e">
        <v>#N/A</v>
      </c>
      <c r="P52">
        <v>0</v>
      </c>
      <c r="Q52">
        <v>0</v>
      </c>
      <c r="R52" t="e">
        <v>#N/A</v>
      </c>
      <c r="S52">
        <v>0</v>
      </c>
      <c r="T52">
        <v>3</v>
      </c>
      <c r="U52">
        <v>0.57247375</v>
      </c>
      <c r="V52">
        <v>0.57247375</v>
      </c>
    </row>
    <row r="53" spans="12:23" x14ac:dyDescent="0.3">
      <c r="L53">
        <v>51</v>
      </c>
      <c r="M53" t="s">
        <v>50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</row>
    <row r="54" spans="12:23" x14ac:dyDescent="0.3">
      <c r="L54">
        <v>52</v>
      </c>
      <c r="M54" t="s">
        <v>51</v>
      </c>
      <c r="N54">
        <v>2</v>
      </c>
      <c r="O54" t="e">
        <v>#N/A</v>
      </c>
      <c r="P54">
        <v>5.6521730000000003</v>
      </c>
      <c r="Q54">
        <v>2</v>
      </c>
      <c r="R54" t="e">
        <v>#N/A</v>
      </c>
      <c r="S54">
        <v>3.9393349999999998</v>
      </c>
      <c r="T54">
        <v>2</v>
      </c>
      <c r="U54">
        <v>1.2426292700000001</v>
      </c>
      <c r="V54">
        <v>10.834137270000001</v>
      </c>
    </row>
    <row r="55" spans="12:23" x14ac:dyDescent="0.3">
      <c r="L55">
        <v>53</v>
      </c>
      <c r="M55" t="s">
        <v>52</v>
      </c>
      <c r="N55">
        <v>0</v>
      </c>
      <c r="O55" t="e">
        <v>#N/A</v>
      </c>
      <c r="P55">
        <v>0</v>
      </c>
      <c r="Q55">
        <v>0</v>
      </c>
      <c r="R55" t="e">
        <v>#N/A</v>
      </c>
      <c r="S55">
        <v>0</v>
      </c>
      <c r="T55">
        <v>1</v>
      </c>
      <c r="U55">
        <v>1.7231723600000002</v>
      </c>
      <c r="V55">
        <v>1.7231723600000002</v>
      </c>
    </row>
    <row r="56" spans="12:23" x14ac:dyDescent="0.3">
      <c r="L56">
        <v>54</v>
      </c>
      <c r="M56" t="s">
        <v>53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 t="e">
        <v>#N/A</v>
      </c>
    </row>
    <row r="57" spans="12:23" x14ac:dyDescent="0.3">
      <c r="L57">
        <v>55</v>
      </c>
      <c r="M57" t="s">
        <v>54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</row>
    <row r="58" spans="12:23" x14ac:dyDescent="0.3">
      <c r="L58">
        <v>56</v>
      </c>
      <c r="M58" t="s">
        <v>55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 t="e">
        <v>#N/A</v>
      </c>
    </row>
    <row r="59" spans="12:23" x14ac:dyDescent="0.3">
      <c r="L59">
        <v>57</v>
      </c>
      <c r="M59" t="s">
        <v>56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</row>
    <row r="60" spans="12:23" x14ac:dyDescent="0.3">
      <c r="L60">
        <v>58</v>
      </c>
      <c r="M60" t="s">
        <v>57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</row>
    <row r="61" spans="12:23" x14ac:dyDescent="0.3">
      <c r="L61">
        <v>59</v>
      </c>
      <c r="M61" t="s">
        <v>58</v>
      </c>
      <c r="N61">
        <v>0</v>
      </c>
      <c r="O61" t="e">
        <v>#N/A</v>
      </c>
      <c r="P61">
        <v>0</v>
      </c>
      <c r="Q61">
        <v>1</v>
      </c>
      <c r="R61" t="e">
        <v>#N/A</v>
      </c>
      <c r="S61">
        <v>0.49057299999999998</v>
      </c>
      <c r="T61">
        <v>1</v>
      </c>
      <c r="U61">
        <v>0.12658227999999999</v>
      </c>
      <c r="V61">
        <v>0.61715527999999997</v>
      </c>
    </row>
    <row r="62" spans="12:23" x14ac:dyDescent="0.3">
      <c r="L62">
        <v>60</v>
      </c>
      <c r="M62" t="s">
        <v>59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 t="e">
        <v>#N/A</v>
      </c>
      <c r="W62">
        <v>0</v>
      </c>
    </row>
    <row r="63" spans="12:23" x14ac:dyDescent="0.3">
      <c r="L63">
        <v>61</v>
      </c>
      <c r="M63" t="s">
        <v>60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 t="e">
        <v>#N/A</v>
      </c>
    </row>
    <row r="64" spans="12:23" x14ac:dyDescent="0.3">
      <c r="L64">
        <v>62</v>
      </c>
      <c r="M64" t="s">
        <v>61</v>
      </c>
      <c r="N64">
        <v>0</v>
      </c>
      <c r="O64" t="e">
        <v>#N/A</v>
      </c>
      <c r="P64">
        <v>0</v>
      </c>
      <c r="Q64">
        <v>0</v>
      </c>
      <c r="R64" t="e">
        <v>#N/A</v>
      </c>
      <c r="S64">
        <v>0</v>
      </c>
      <c r="T64">
        <v>3</v>
      </c>
      <c r="U64">
        <v>1.44189385</v>
      </c>
      <c r="V64">
        <v>1.44189385</v>
      </c>
      <c r="W64">
        <v>0</v>
      </c>
    </row>
    <row r="65" spans="12:22" x14ac:dyDescent="0.3">
      <c r="L65">
        <v>63</v>
      </c>
      <c r="M65" t="s">
        <v>62</v>
      </c>
      <c r="N65">
        <v>0</v>
      </c>
      <c r="O65" t="e">
        <v>#N/A</v>
      </c>
      <c r="P65">
        <v>0</v>
      </c>
      <c r="Q65">
        <v>0</v>
      </c>
      <c r="R65" t="e">
        <v>#N/A</v>
      </c>
      <c r="S65">
        <v>0</v>
      </c>
      <c r="T65">
        <v>1</v>
      </c>
      <c r="U65">
        <v>0.10765653</v>
      </c>
      <c r="V65">
        <v>0.10765653</v>
      </c>
    </row>
    <row r="66" spans="12:22" x14ac:dyDescent="0.3">
      <c r="L66" t="s">
        <v>97</v>
      </c>
      <c r="N66">
        <v>2036</v>
      </c>
      <c r="O66">
        <v>0</v>
      </c>
      <c r="P66">
        <v>12446.218701750004</v>
      </c>
      <c r="Q66">
        <v>1107</v>
      </c>
      <c r="R66">
        <v>0</v>
      </c>
      <c r="S66">
        <v>10117.813094850861</v>
      </c>
      <c r="T66">
        <v>3566</v>
      </c>
      <c r="U66">
        <v>5154.0985104100009</v>
      </c>
      <c r="V66">
        <v>27718.130307010862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67635-72B6-4EA5-82F7-42B7496B0EFE}">
  <sheetPr codeName="Sheet11"/>
  <dimension ref="A1:W66"/>
  <sheetViews>
    <sheetView workbookViewId="0">
      <selection sqref="A1:V2"/>
    </sheetView>
  </sheetViews>
  <sheetFormatPr defaultRowHeight="14.4" x14ac:dyDescent="0.3"/>
  <cols>
    <col min="1" max="1" width="7" bestFit="1" customWidth="1"/>
    <col min="2" max="2" width="44.88671875" bestFit="1" customWidth="1"/>
    <col min="3" max="3" width="14.5546875" bestFit="1" customWidth="1"/>
    <col min="4" max="4" width="22.21875" bestFit="1" customWidth="1"/>
    <col min="5" max="5" width="26.33203125" bestFit="1" customWidth="1"/>
    <col min="6" max="6" width="20" bestFit="1" customWidth="1"/>
    <col min="7" max="7" width="24.109375" bestFit="1" customWidth="1"/>
    <col min="8" max="8" width="27.77734375" bestFit="1" customWidth="1"/>
    <col min="9" max="9" width="23.6640625" bestFit="1" customWidth="1"/>
    <col min="10" max="10" width="32.6640625" bestFit="1" customWidth="1"/>
    <col min="11" max="11" width="51.44140625" bestFit="1" customWidth="1"/>
    <col min="12" max="12" width="7" bestFit="1" customWidth="1"/>
    <col min="13" max="13" width="14.6640625" bestFit="1" customWidth="1"/>
    <col min="14" max="14" width="14.5546875" bestFit="1" customWidth="1"/>
    <col min="15" max="15" width="22.21875" bestFit="1" customWidth="1"/>
    <col min="16" max="16" width="26.33203125" bestFit="1" customWidth="1"/>
    <col min="17" max="17" width="20" bestFit="1" customWidth="1"/>
    <col min="18" max="18" width="24.109375" bestFit="1" customWidth="1"/>
    <col min="19" max="19" width="27.77734375" bestFit="1" customWidth="1"/>
    <col min="20" max="20" width="23.6640625" bestFit="1" customWidth="1"/>
    <col min="21" max="21" width="32.6640625" bestFit="1" customWidth="1"/>
    <col min="22" max="22" width="51.44140625" bestFit="1" customWidth="1"/>
    <col min="23" max="23" width="2" bestFit="1" customWidth="1"/>
    <col min="24" max="24" width="12.44140625" bestFit="1" customWidth="1"/>
    <col min="25" max="25" width="13.88671875" bestFit="1" customWidth="1"/>
    <col min="26" max="26" width="39.109375" bestFit="1" customWidth="1"/>
  </cols>
  <sheetData>
    <row r="1" spans="1:22" x14ac:dyDescent="0.3">
      <c r="A1" t="s">
        <v>66</v>
      </c>
      <c r="B1" t="s">
        <v>67</v>
      </c>
      <c r="C1" t="s">
        <v>70</v>
      </c>
      <c r="F1" t="s">
        <v>68</v>
      </c>
      <c r="I1" t="s">
        <v>69</v>
      </c>
      <c r="N1" t="s">
        <v>70</v>
      </c>
      <c r="Q1" t="s">
        <v>68</v>
      </c>
      <c r="T1" t="s">
        <v>69</v>
      </c>
      <c r="V1" t="s">
        <v>71</v>
      </c>
    </row>
    <row r="2" spans="1:22" x14ac:dyDescent="0.3">
      <c r="C2" t="s">
        <v>75</v>
      </c>
      <c r="D2" t="s">
        <v>76</v>
      </c>
      <c r="E2" t="s">
        <v>72</v>
      </c>
      <c r="F2" t="s">
        <v>99</v>
      </c>
      <c r="G2" t="s">
        <v>100</v>
      </c>
      <c r="H2" t="s">
        <v>101</v>
      </c>
      <c r="I2" t="s">
        <v>73</v>
      </c>
      <c r="J2" t="s">
        <v>77</v>
      </c>
      <c r="K2" t="s">
        <v>71</v>
      </c>
      <c r="L2" t="s">
        <v>66</v>
      </c>
      <c r="M2" t="s">
        <v>74</v>
      </c>
      <c r="N2" t="s">
        <v>75</v>
      </c>
      <c r="O2" t="s">
        <v>76</v>
      </c>
      <c r="P2" t="s">
        <v>72</v>
      </c>
      <c r="Q2" t="s">
        <v>99</v>
      </c>
      <c r="R2" t="s">
        <v>100</v>
      </c>
      <c r="S2" t="s">
        <v>101</v>
      </c>
      <c r="T2" t="s">
        <v>73</v>
      </c>
      <c r="U2" t="s">
        <v>77</v>
      </c>
      <c r="V2" t="s">
        <v>71</v>
      </c>
    </row>
    <row r="3" spans="1:22" x14ac:dyDescent="0.3">
      <c r="A3">
        <v>1</v>
      </c>
      <c r="B3" t="s">
        <v>78</v>
      </c>
      <c r="C3">
        <v>1075</v>
      </c>
      <c r="D3" t="e">
        <v>#N/A</v>
      </c>
      <c r="E3">
        <v>15850.065404339999</v>
      </c>
      <c r="F3">
        <v>691</v>
      </c>
      <c r="G3" t="e">
        <v>#N/A</v>
      </c>
      <c r="H3">
        <v>6116.8134207190606</v>
      </c>
      <c r="I3">
        <v>529</v>
      </c>
      <c r="J3">
        <v>1538.1015068799991</v>
      </c>
      <c r="K3">
        <v>23504.980331939059</v>
      </c>
      <c r="L3">
        <v>1</v>
      </c>
      <c r="M3" t="s">
        <v>0</v>
      </c>
      <c r="N3">
        <v>408</v>
      </c>
      <c r="O3" t="e">
        <v>#N/A</v>
      </c>
      <c r="P3">
        <v>440.97576694000009</v>
      </c>
      <c r="Q3">
        <v>174</v>
      </c>
      <c r="R3" t="e">
        <v>#N/A</v>
      </c>
      <c r="S3">
        <v>306.65926808398439</v>
      </c>
      <c r="T3">
        <v>318</v>
      </c>
      <c r="U3">
        <v>1985.3442298679772</v>
      </c>
      <c r="V3">
        <v>2732.979264891962</v>
      </c>
    </row>
    <row r="4" spans="1:22" x14ac:dyDescent="0.3">
      <c r="A4">
        <v>2</v>
      </c>
      <c r="B4" t="s">
        <v>79</v>
      </c>
      <c r="C4">
        <v>12</v>
      </c>
      <c r="D4" t="e">
        <v>#N/A</v>
      </c>
      <c r="E4">
        <v>2090.9405841099997</v>
      </c>
      <c r="F4">
        <v>1</v>
      </c>
      <c r="G4" t="e">
        <v>#N/A</v>
      </c>
      <c r="H4">
        <v>179.795984</v>
      </c>
      <c r="I4">
        <v>9</v>
      </c>
      <c r="J4">
        <v>102.68474255</v>
      </c>
      <c r="K4">
        <v>2373.4213106599996</v>
      </c>
      <c r="L4">
        <v>2</v>
      </c>
      <c r="M4" t="s">
        <v>1</v>
      </c>
      <c r="N4">
        <v>1202</v>
      </c>
      <c r="O4" t="e">
        <v>#N/A</v>
      </c>
      <c r="P4">
        <v>598.29865287999996</v>
      </c>
      <c r="Q4">
        <v>296</v>
      </c>
      <c r="R4" t="e">
        <v>#N/A</v>
      </c>
      <c r="S4">
        <v>964.93054947077178</v>
      </c>
      <c r="T4">
        <v>2314</v>
      </c>
      <c r="U4">
        <v>4288.72168014</v>
      </c>
      <c r="V4">
        <v>5851.9508824907716</v>
      </c>
    </row>
    <row r="5" spans="1:22" x14ac:dyDescent="0.3">
      <c r="A5">
        <v>3</v>
      </c>
      <c r="B5" t="s">
        <v>80</v>
      </c>
      <c r="C5">
        <v>68</v>
      </c>
      <c r="D5" t="e">
        <v>#N/A</v>
      </c>
      <c r="E5">
        <v>982.23831001999997</v>
      </c>
      <c r="F5">
        <v>45</v>
      </c>
      <c r="G5" t="e">
        <v>#N/A</v>
      </c>
      <c r="H5">
        <v>528.15485540436555</v>
      </c>
      <c r="I5">
        <v>102</v>
      </c>
      <c r="J5">
        <v>3155.3623731579778</v>
      </c>
      <c r="K5">
        <v>4665.7555385823434</v>
      </c>
      <c r="L5">
        <v>3</v>
      </c>
      <c r="M5" t="s">
        <v>2</v>
      </c>
      <c r="N5">
        <v>136</v>
      </c>
      <c r="O5" t="e">
        <v>#N/A</v>
      </c>
      <c r="P5">
        <v>639.79754478000007</v>
      </c>
      <c r="Q5">
        <v>50</v>
      </c>
      <c r="R5" t="e">
        <v>#N/A</v>
      </c>
      <c r="S5">
        <v>39.411848236247572</v>
      </c>
      <c r="T5">
        <v>197</v>
      </c>
      <c r="U5">
        <v>894.7207161299998</v>
      </c>
      <c r="V5">
        <v>1573.9301091462476</v>
      </c>
    </row>
    <row r="6" spans="1:22" x14ac:dyDescent="0.3">
      <c r="A6">
        <v>4</v>
      </c>
      <c r="B6" t="s">
        <v>81</v>
      </c>
      <c r="C6">
        <v>40</v>
      </c>
      <c r="D6" t="e">
        <v>#N/A</v>
      </c>
      <c r="E6">
        <v>74.501386230000008</v>
      </c>
      <c r="F6">
        <v>47</v>
      </c>
      <c r="G6" t="e">
        <v>#N/A</v>
      </c>
      <c r="H6">
        <v>192.40533864062499</v>
      </c>
      <c r="I6">
        <v>53</v>
      </c>
      <c r="J6">
        <v>22.453812110000005</v>
      </c>
      <c r="K6">
        <v>289.360536980625</v>
      </c>
      <c r="L6">
        <v>4</v>
      </c>
      <c r="M6" t="s">
        <v>3</v>
      </c>
      <c r="N6">
        <v>85</v>
      </c>
      <c r="O6" t="e">
        <v>#N/A</v>
      </c>
      <c r="P6">
        <v>558.92710341000009</v>
      </c>
      <c r="Q6">
        <v>64</v>
      </c>
      <c r="R6" t="e">
        <v>#N/A</v>
      </c>
      <c r="S6">
        <v>503.44160267187499</v>
      </c>
      <c r="T6">
        <v>83</v>
      </c>
      <c r="U6">
        <v>451.80774392000001</v>
      </c>
      <c r="V6">
        <v>1514.1764500018753</v>
      </c>
    </row>
    <row r="7" spans="1:22" x14ac:dyDescent="0.3">
      <c r="A7">
        <v>5</v>
      </c>
      <c r="B7" t="s">
        <v>82</v>
      </c>
      <c r="C7">
        <v>942</v>
      </c>
      <c r="D7" t="e">
        <v>#N/A</v>
      </c>
      <c r="E7">
        <v>439.19114761000009</v>
      </c>
      <c r="F7">
        <v>205</v>
      </c>
      <c r="G7" t="e">
        <v>#N/A</v>
      </c>
      <c r="H7">
        <v>218.04426457617188</v>
      </c>
      <c r="I7">
        <v>1433</v>
      </c>
      <c r="J7">
        <v>604.71704224999917</v>
      </c>
      <c r="K7">
        <v>1261.9524544361711</v>
      </c>
      <c r="L7">
        <v>5</v>
      </c>
      <c r="M7" t="s">
        <v>4</v>
      </c>
      <c r="N7">
        <v>384</v>
      </c>
      <c r="O7" t="e">
        <v>#N/A</v>
      </c>
      <c r="P7">
        <v>1089.29023411</v>
      </c>
      <c r="Q7">
        <v>162</v>
      </c>
      <c r="R7" t="e">
        <v>#N/A</v>
      </c>
      <c r="S7">
        <v>634.91577192226566</v>
      </c>
      <c r="T7">
        <v>87</v>
      </c>
      <c r="U7">
        <v>45.538630769999997</v>
      </c>
      <c r="V7">
        <v>1769.7446368022656</v>
      </c>
    </row>
    <row r="8" spans="1:22" x14ac:dyDescent="0.3">
      <c r="A8">
        <v>6</v>
      </c>
      <c r="B8" t="s">
        <v>83</v>
      </c>
      <c r="C8">
        <v>19</v>
      </c>
      <c r="D8" t="e">
        <v>#N/A</v>
      </c>
      <c r="E8">
        <v>48.343621399999982</v>
      </c>
      <c r="F8">
        <v>10</v>
      </c>
      <c r="G8" t="e">
        <v>#N/A</v>
      </c>
      <c r="H8">
        <v>2.7987714499999883</v>
      </c>
      <c r="I8">
        <v>18</v>
      </c>
      <c r="J8">
        <v>10.83676869</v>
      </c>
      <c r="K8">
        <v>61.979161539999971</v>
      </c>
      <c r="L8">
        <v>6</v>
      </c>
      <c r="M8" t="s">
        <v>5</v>
      </c>
      <c r="N8">
        <v>119</v>
      </c>
      <c r="O8" t="e">
        <v>#N/A</v>
      </c>
      <c r="P8">
        <v>1478.7001244400001</v>
      </c>
      <c r="Q8">
        <v>51</v>
      </c>
      <c r="R8" t="e">
        <v>#N/A</v>
      </c>
      <c r="S8">
        <v>1654.8340725</v>
      </c>
      <c r="T8">
        <v>49</v>
      </c>
      <c r="U8">
        <v>128.77857574000001</v>
      </c>
      <c r="V8">
        <v>3262.3127726800003</v>
      </c>
    </row>
    <row r="9" spans="1:22" x14ac:dyDescent="0.3">
      <c r="A9">
        <v>7</v>
      </c>
      <c r="B9" t="s">
        <v>84</v>
      </c>
      <c r="C9">
        <v>403</v>
      </c>
      <c r="D9" t="e">
        <v>#N/A</v>
      </c>
      <c r="E9">
        <v>179.64483942000001</v>
      </c>
      <c r="F9">
        <v>103</v>
      </c>
      <c r="G9" t="e">
        <v>#N/A</v>
      </c>
      <c r="H9">
        <v>332.62458846875001</v>
      </c>
      <c r="I9">
        <v>531</v>
      </c>
      <c r="J9">
        <v>772.72837167000023</v>
      </c>
      <c r="K9">
        <v>1284.9977995587501</v>
      </c>
      <c r="L9">
        <v>7</v>
      </c>
      <c r="M9" t="s">
        <v>6</v>
      </c>
      <c r="N9">
        <v>28</v>
      </c>
      <c r="O9" t="e">
        <v>#N/A</v>
      </c>
      <c r="P9">
        <v>252.98133200000001</v>
      </c>
      <c r="Q9">
        <v>38</v>
      </c>
      <c r="R9" t="e">
        <v>#N/A</v>
      </c>
      <c r="S9">
        <v>403.33465612499998</v>
      </c>
      <c r="T9">
        <v>4</v>
      </c>
      <c r="U9">
        <v>0.53955489000000001</v>
      </c>
      <c r="V9">
        <v>656.85554301499997</v>
      </c>
    </row>
    <row r="10" spans="1:22" x14ac:dyDescent="0.3">
      <c r="A10">
        <v>8</v>
      </c>
      <c r="B10" t="s">
        <v>85</v>
      </c>
      <c r="C10">
        <v>117</v>
      </c>
      <c r="D10" t="e">
        <v>#N/A</v>
      </c>
      <c r="E10">
        <v>220.66831485999998</v>
      </c>
      <c r="F10">
        <v>37</v>
      </c>
      <c r="G10" t="e">
        <v>#N/A</v>
      </c>
      <c r="H10">
        <v>92.714438070312497</v>
      </c>
      <c r="I10">
        <v>138</v>
      </c>
      <c r="J10">
        <v>150.39830835000001</v>
      </c>
      <c r="K10">
        <v>463.78106128031243</v>
      </c>
      <c r="L10">
        <v>8</v>
      </c>
      <c r="M10" t="s">
        <v>7</v>
      </c>
      <c r="N10">
        <v>92</v>
      </c>
      <c r="O10" t="e">
        <v>#N/A</v>
      </c>
      <c r="P10">
        <v>1529.52937</v>
      </c>
      <c r="Q10">
        <v>53</v>
      </c>
      <c r="R10" t="e">
        <v>#N/A</v>
      </c>
      <c r="S10">
        <v>1445.496435</v>
      </c>
      <c r="T10">
        <v>51</v>
      </c>
      <c r="U10">
        <v>40.612914420000003</v>
      </c>
      <c r="V10">
        <v>3015.6387194200001</v>
      </c>
    </row>
    <row r="11" spans="1:22" x14ac:dyDescent="0.3">
      <c r="A11">
        <v>9</v>
      </c>
      <c r="B11" t="s">
        <v>86</v>
      </c>
      <c r="C11">
        <v>62</v>
      </c>
      <c r="D11" t="e">
        <v>#N/A</v>
      </c>
      <c r="E11">
        <v>30.761109950000002</v>
      </c>
      <c r="F11">
        <v>19</v>
      </c>
      <c r="G11" t="e">
        <v>#N/A</v>
      </c>
      <c r="H11">
        <v>8.9401307109375008</v>
      </c>
      <c r="I11">
        <v>188</v>
      </c>
      <c r="J11">
        <v>44.333561060000015</v>
      </c>
      <c r="K11">
        <v>84.034801720937509</v>
      </c>
      <c r="L11">
        <v>9</v>
      </c>
      <c r="M11" t="s">
        <v>8</v>
      </c>
      <c r="N11">
        <v>21</v>
      </c>
      <c r="O11" t="e">
        <v>#N/A</v>
      </c>
      <c r="P11">
        <v>848.00404700000001</v>
      </c>
      <c r="Q11">
        <v>0</v>
      </c>
      <c r="R11" t="e">
        <v>#N/A</v>
      </c>
      <c r="S11">
        <v>0</v>
      </c>
      <c r="T11">
        <v>27</v>
      </c>
      <c r="U11">
        <v>191.56463693999999</v>
      </c>
      <c r="V11">
        <v>1039.56868394</v>
      </c>
    </row>
    <row r="12" spans="1:22" x14ac:dyDescent="0.3">
      <c r="A12">
        <v>10</v>
      </c>
      <c r="B12" t="s">
        <v>87</v>
      </c>
      <c r="C12">
        <v>291</v>
      </c>
      <c r="D12" t="e">
        <v>#N/A</v>
      </c>
      <c r="E12">
        <v>51.2928645</v>
      </c>
      <c r="F12">
        <v>73</v>
      </c>
      <c r="G12" t="e">
        <v>#N/A</v>
      </c>
      <c r="H12">
        <v>176.00148515625</v>
      </c>
      <c r="I12">
        <v>265</v>
      </c>
      <c r="J12">
        <v>189.25332861999993</v>
      </c>
      <c r="K12">
        <v>416.54767827624994</v>
      </c>
      <c r="L12">
        <v>10</v>
      </c>
      <c r="M12" t="s">
        <v>9</v>
      </c>
      <c r="N12">
        <v>35</v>
      </c>
      <c r="O12" t="e">
        <v>#N/A</v>
      </c>
      <c r="P12">
        <v>470.67468922</v>
      </c>
      <c r="Q12">
        <v>23</v>
      </c>
      <c r="R12" t="e">
        <v>#N/A</v>
      </c>
      <c r="S12">
        <v>231.0190056875</v>
      </c>
      <c r="T12">
        <v>5</v>
      </c>
      <c r="U12">
        <v>13.861131760000001</v>
      </c>
      <c r="V12">
        <v>715.55482666750004</v>
      </c>
    </row>
    <row r="13" spans="1:22" x14ac:dyDescent="0.3">
      <c r="A13">
        <v>11</v>
      </c>
      <c r="B13" t="s">
        <v>88</v>
      </c>
      <c r="C13">
        <v>59</v>
      </c>
      <c r="D13" t="e">
        <v>#N/A</v>
      </c>
      <c r="E13">
        <v>23.156375280000002</v>
      </c>
      <c r="F13">
        <v>13</v>
      </c>
      <c r="G13" t="e">
        <v>#N/A</v>
      </c>
      <c r="H13">
        <v>5.4698305781250003</v>
      </c>
      <c r="I13">
        <v>89</v>
      </c>
      <c r="J13">
        <v>29.986236049999992</v>
      </c>
      <c r="K13">
        <v>58.612441908124993</v>
      </c>
      <c r="L13">
        <v>11</v>
      </c>
      <c r="M13" t="s">
        <v>10</v>
      </c>
      <c r="N13">
        <v>118</v>
      </c>
      <c r="O13" t="e">
        <v>#N/A</v>
      </c>
      <c r="P13">
        <v>602.76692869999988</v>
      </c>
      <c r="Q13">
        <v>81</v>
      </c>
      <c r="R13" t="e">
        <v>#N/A</v>
      </c>
      <c r="S13">
        <v>117.88781366015625</v>
      </c>
      <c r="T13">
        <v>40</v>
      </c>
      <c r="U13">
        <v>32.671865599999997</v>
      </c>
      <c r="V13">
        <v>753.32660796015614</v>
      </c>
    </row>
    <row r="14" spans="1:22" x14ac:dyDescent="0.3">
      <c r="A14">
        <v>12</v>
      </c>
      <c r="B14" t="s">
        <v>89</v>
      </c>
      <c r="C14">
        <v>8</v>
      </c>
      <c r="D14" t="e">
        <v>#N/A</v>
      </c>
      <c r="E14">
        <v>43.870513000000003</v>
      </c>
      <c r="F14">
        <v>2</v>
      </c>
      <c r="G14" t="e">
        <v>#N/A</v>
      </c>
      <c r="H14">
        <v>0.19500000000000001</v>
      </c>
      <c r="I14">
        <v>15</v>
      </c>
      <c r="J14">
        <v>1.5176263700000001</v>
      </c>
      <c r="K14">
        <v>45.583139370000005</v>
      </c>
      <c r="L14">
        <v>12</v>
      </c>
      <c r="M14" t="s">
        <v>11</v>
      </c>
      <c r="N14">
        <v>83</v>
      </c>
      <c r="O14" t="e">
        <v>#N/A</v>
      </c>
      <c r="P14">
        <v>1059.872805</v>
      </c>
      <c r="Q14">
        <v>29</v>
      </c>
      <c r="R14" t="e">
        <v>#N/A</v>
      </c>
      <c r="S14">
        <v>142.80319600000001</v>
      </c>
      <c r="T14">
        <v>23</v>
      </c>
      <c r="U14">
        <v>14.052826810000001</v>
      </c>
      <c r="V14">
        <v>1216.72882781</v>
      </c>
    </row>
    <row r="15" spans="1:22" x14ac:dyDescent="0.3">
      <c r="A15">
        <v>13</v>
      </c>
      <c r="B15" t="s">
        <v>90</v>
      </c>
      <c r="C15">
        <v>69</v>
      </c>
      <c r="D15" t="e">
        <v>#N/A</v>
      </c>
      <c r="E15">
        <v>13.182506829999999</v>
      </c>
      <c r="F15">
        <v>10</v>
      </c>
      <c r="G15" t="e">
        <v>#N/A</v>
      </c>
      <c r="H15">
        <v>18.764433656249999</v>
      </c>
      <c r="I15">
        <v>32</v>
      </c>
      <c r="J15">
        <v>15.563057580000002</v>
      </c>
      <c r="K15">
        <v>47.509998066250006</v>
      </c>
      <c r="L15">
        <v>13</v>
      </c>
      <c r="M15" t="s">
        <v>12</v>
      </c>
      <c r="N15">
        <v>40</v>
      </c>
      <c r="O15" t="e">
        <v>#N/A</v>
      </c>
      <c r="P15">
        <v>257.17745533999999</v>
      </c>
      <c r="Q15">
        <v>17</v>
      </c>
      <c r="R15" t="e">
        <v>#N/A</v>
      </c>
      <c r="S15">
        <v>70.787850187499998</v>
      </c>
      <c r="T15">
        <v>9</v>
      </c>
      <c r="U15">
        <v>11.204015650000001</v>
      </c>
      <c r="V15">
        <v>339.16932117749997</v>
      </c>
    </row>
    <row r="16" spans="1:22" x14ac:dyDescent="0.3">
      <c r="A16">
        <v>14</v>
      </c>
      <c r="B16" t="s">
        <v>91</v>
      </c>
      <c r="C16">
        <v>3</v>
      </c>
      <c r="D16" t="e">
        <v>#N/A</v>
      </c>
      <c r="E16">
        <v>115.750417</v>
      </c>
      <c r="F16">
        <v>0</v>
      </c>
      <c r="G16" t="e">
        <v>#N/A</v>
      </c>
      <c r="H16">
        <v>0</v>
      </c>
      <c r="I16">
        <v>3</v>
      </c>
      <c r="J16">
        <v>0.42789474999999999</v>
      </c>
      <c r="K16">
        <v>116.17831174999999</v>
      </c>
      <c r="L16">
        <v>14</v>
      </c>
      <c r="M16" t="s">
        <v>13</v>
      </c>
      <c r="N16">
        <v>29</v>
      </c>
      <c r="O16" t="e">
        <v>#N/A</v>
      </c>
      <c r="P16">
        <v>282.04234300000002</v>
      </c>
      <c r="Q16">
        <v>8</v>
      </c>
      <c r="R16" t="e">
        <v>#N/A</v>
      </c>
      <c r="S16">
        <v>19.416948000000001</v>
      </c>
      <c r="T16">
        <v>6</v>
      </c>
      <c r="U16">
        <v>1.2142913200000001</v>
      </c>
      <c r="V16">
        <v>302.67358231999998</v>
      </c>
    </row>
    <row r="17" spans="1:22" x14ac:dyDescent="0.3">
      <c r="A17">
        <v>15</v>
      </c>
      <c r="B17" t="s">
        <v>92</v>
      </c>
      <c r="C17">
        <v>4</v>
      </c>
      <c r="D17" t="e">
        <v>#N/A</v>
      </c>
      <c r="E17">
        <v>7.05</v>
      </c>
      <c r="F17">
        <v>6</v>
      </c>
      <c r="G17" t="e">
        <v>#N/A</v>
      </c>
      <c r="H17">
        <v>8.0470070000000007</v>
      </c>
      <c r="I17">
        <v>11</v>
      </c>
      <c r="J17">
        <v>347.29642608</v>
      </c>
      <c r="K17">
        <v>362.39343308000002</v>
      </c>
      <c r="L17">
        <v>15</v>
      </c>
      <c r="M17" t="s">
        <v>14</v>
      </c>
      <c r="N17">
        <v>104</v>
      </c>
      <c r="O17" t="e">
        <v>#N/A</v>
      </c>
      <c r="P17">
        <v>151.19409156</v>
      </c>
      <c r="Q17">
        <v>43</v>
      </c>
      <c r="R17" t="e">
        <v>#N/A</v>
      </c>
      <c r="S17">
        <v>20.301149310546876</v>
      </c>
      <c r="T17">
        <v>35</v>
      </c>
      <c r="U17">
        <v>10.666547449999999</v>
      </c>
      <c r="V17">
        <v>182.16178832054686</v>
      </c>
    </row>
    <row r="18" spans="1:22" x14ac:dyDescent="0.3">
      <c r="A18">
        <v>16</v>
      </c>
      <c r="B18" t="s">
        <v>93</v>
      </c>
      <c r="C18">
        <v>0</v>
      </c>
      <c r="D18" t="e">
        <v>#N/A</v>
      </c>
      <c r="E18">
        <v>0</v>
      </c>
      <c r="F18">
        <v>0</v>
      </c>
      <c r="G18" t="e">
        <v>#N/A</v>
      </c>
      <c r="H18">
        <v>0</v>
      </c>
      <c r="I18">
        <v>3</v>
      </c>
      <c r="J18">
        <v>1.02872326</v>
      </c>
      <c r="K18">
        <v>1.02872326</v>
      </c>
      <c r="L18">
        <v>16</v>
      </c>
      <c r="M18" t="s">
        <v>15</v>
      </c>
      <c r="N18">
        <v>50</v>
      </c>
      <c r="O18" t="e">
        <v>#N/A</v>
      </c>
      <c r="P18">
        <v>651.710735</v>
      </c>
      <c r="Q18">
        <v>48</v>
      </c>
      <c r="R18" t="e">
        <v>#N/A</v>
      </c>
      <c r="S18">
        <v>258.05543112499998</v>
      </c>
      <c r="T18">
        <v>24</v>
      </c>
      <c r="U18">
        <v>18.769365310000001</v>
      </c>
      <c r="V18">
        <v>928.53553143499994</v>
      </c>
    </row>
    <row r="19" spans="1:22" x14ac:dyDescent="0.3">
      <c r="A19">
        <v>17</v>
      </c>
      <c r="B19" t="s">
        <v>94</v>
      </c>
      <c r="C19">
        <v>5</v>
      </c>
      <c r="D19" t="e">
        <v>#N/A</v>
      </c>
      <c r="E19">
        <v>7.3857106699999999</v>
      </c>
      <c r="F19">
        <v>0</v>
      </c>
      <c r="G19" t="e">
        <v>#N/A</v>
      </c>
      <c r="H19">
        <v>0</v>
      </c>
      <c r="I19">
        <v>10</v>
      </c>
      <c r="J19">
        <v>6.2367834999999996</v>
      </c>
      <c r="K19">
        <v>13.62249417</v>
      </c>
      <c r="L19">
        <v>17</v>
      </c>
      <c r="M19" t="s">
        <v>16</v>
      </c>
      <c r="N19">
        <v>50</v>
      </c>
      <c r="O19" t="e">
        <v>#N/A</v>
      </c>
      <c r="P19">
        <v>747.87381839999978</v>
      </c>
      <c r="Q19">
        <v>38</v>
      </c>
      <c r="R19" t="e">
        <v>#N/A</v>
      </c>
      <c r="S19">
        <v>6.9606372500000004</v>
      </c>
      <c r="T19">
        <v>6</v>
      </c>
      <c r="U19">
        <v>2.7422609100000002</v>
      </c>
      <c r="V19">
        <v>757.5767165599998</v>
      </c>
    </row>
    <row r="20" spans="1:22" x14ac:dyDescent="0.3">
      <c r="A20">
        <v>18</v>
      </c>
      <c r="B20" t="s">
        <v>95</v>
      </c>
      <c r="C20">
        <v>11</v>
      </c>
      <c r="D20" t="e">
        <v>#N/A</v>
      </c>
      <c r="E20">
        <v>7.5795750000000002</v>
      </c>
      <c r="F20">
        <v>0</v>
      </c>
      <c r="G20" t="e">
        <v>#N/A</v>
      </c>
      <c r="H20">
        <v>0</v>
      </c>
      <c r="I20">
        <v>22</v>
      </c>
      <c r="J20">
        <v>1548.30815325</v>
      </c>
      <c r="K20">
        <v>1555.88772825</v>
      </c>
      <c r="L20">
        <v>18</v>
      </c>
      <c r="M20" t="s">
        <v>17</v>
      </c>
      <c r="N20">
        <v>6</v>
      </c>
      <c r="O20" t="e">
        <v>#N/A</v>
      </c>
      <c r="P20">
        <v>15.235497000000001</v>
      </c>
      <c r="Q20">
        <v>3</v>
      </c>
      <c r="R20" t="e">
        <v>#N/A</v>
      </c>
      <c r="S20">
        <v>20.204751999999999</v>
      </c>
      <c r="T20">
        <v>2</v>
      </c>
      <c r="U20">
        <v>9.6236940000000007E-2</v>
      </c>
      <c r="V20">
        <v>35.536485939999999</v>
      </c>
    </row>
    <row r="21" spans="1:22" x14ac:dyDescent="0.3">
      <c r="A21">
        <v>19</v>
      </c>
      <c r="B21" t="s">
        <v>96</v>
      </c>
      <c r="C21" t="e">
        <v>#N/A</v>
      </c>
      <c r="D21" t="e">
        <v>#N/A</v>
      </c>
      <c r="E21" t="e">
        <v>#N/A</v>
      </c>
      <c r="F21" t="e">
        <v>#N/A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L21">
        <v>19</v>
      </c>
      <c r="M21" t="s">
        <v>18</v>
      </c>
      <c r="N21">
        <v>19</v>
      </c>
      <c r="O21" t="e">
        <v>#N/A</v>
      </c>
      <c r="P21">
        <v>254.31640300000001</v>
      </c>
      <c r="Q21">
        <v>2</v>
      </c>
      <c r="R21" t="e">
        <v>#N/A</v>
      </c>
      <c r="S21">
        <v>47.1</v>
      </c>
      <c r="T21">
        <v>9</v>
      </c>
      <c r="U21">
        <v>12.44274356</v>
      </c>
      <c r="V21">
        <v>313.85914656</v>
      </c>
    </row>
    <row r="22" spans="1:22" x14ac:dyDescent="0.3">
      <c r="A22" t="s">
        <v>97</v>
      </c>
      <c r="C22">
        <v>3188</v>
      </c>
      <c r="D22">
        <v>0</v>
      </c>
      <c r="E22">
        <v>20185.622680219996</v>
      </c>
      <c r="F22">
        <v>1262</v>
      </c>
      <c r="G22">
        <v>0</v>
      </c>
      <c r="H22">
        <v>7880.769548430847</v>
      </c>
      <c r="I22">
        <v>3451</v>
      </c>
      <c r="J22">
        <v>8541.2347161779762</v>
      </c>
      <c r="K22">
        <v>36607.626944828822</v>
      </c>
      <c r="L22">
        <v>20</v>
      </c>
      <c r="M22" t="s">
        <v>19</v>
      </c>
      <c r="N22">
        <v>8</v>
      </c>
      <c r="O22" t="e">
        <v>#N/A</v>
      </c>
      <c r="P22">
        <v>53.892806999999998</v>
      </c>
      <c r="Q22">
        <v>15</v>
      </c>
      <c r="R22" t="e">
        <v>#N/A</v>
      </c>
      <c r="S22">
        <v>186.370566</v>
      </c>
      <c r="T22">
        <v>3</v>
      </c>
      <c r="U22">
        <v>51.282133120000005</v>
      </c>
      <c r="V22">
        <v>291.54550612000003</v>
      </c>
    </row>
    <row r="23" spans="1:22" x14ac:dyDescent="0.3">
      <c r="L23">
        <v>21</v>
      </c>
      <c r="M23" t="s">
        <v>20</v>
      </c>
      <c r="N23">
        <v>10</v>
      </c>
      <c r="O23" t="e">
        <v>#N/A</v>
      </c>
      <c r="P23">
        <v>46.788626999999998</v>
      </c>
      <c r="Q23">
        <v>1</v>
      </c>
      <c r="R23" t="e">
        <v>#N/A</v>
      </c>
      <c r="S23">
        <v>-2.3820000000000001</v>
      </c>
      <c r="T23">
        <v>7</v>
      </c>
      <c r="U23">
        <v>0.229572</v>
      </c>
      <c r="V23">
        <v>44.636198999999998</v>
      </c>
    </row>
    <row r="24" spans="1:22" x14ac:dyDescent="0.3">
      <c r="L24">
        <v>22</v>
      </c>
      <c r="M24" t="s">
        <v>21</v>
      </c>
      <c r="N24">
        <v>19</v>
      </c>
      <c r="O24" t="e">
        <v>#N/A</v>
      </c>
      <c r="P24">
        <v>1326.933632</v>
      </c>
      <c r="Q24">
        <v>11</v>
      </c>
      <c r="R24" t="e">
        <v>#N/A</v>
      </c>
      <c r="S24">
        <v>271.16996</v>
      </c>
      <c r="T24">
        <v>2</v>
      </c>
      <c r="U24">
        <v>5.1837758699999998</v>
      </c>
      <c r="V24">
        <v>1603.28736787</v>
      </c>
    </row>
    <row r="25" spans="1:22" x14ac:dyDescent="0.3">
      <c r="L25">
        <v>23</v>
      </c>
      <c r="M25" t="s">
        <v>22</v>
      </c>
      <c r="N25">
        <v>26</v>
      </c>
      <c r="O25" t="e">
        <v>#N/A</v>
      </c>
      <c r="P25">
        <v>3103.9257200000002</v>
      </c>
      <c r="Q25">
        <v>0</v>
      </c>
      <c r="R25" t="e">
        <v>#N/A</v>
      </c>
      <c r="S25">
        <v>0</v>
      </c>
      <c r="T25">
        <v>4</v>
      </c>
      <c r="U25">
        <v>6.6460889299999995</v>
      </c>
      <c r="V25">
        <v>3110.5718089300003</v>
      </c>
    </row>
    <row r="26" spans="1:22" x14ac:dyDescent="0.3">
      <c r="L26">
        <v>24</v>
      </c>
      <c r="M26" t="s">
        <v>23</v>
      </c>
      <c r="N26">
        <v>3</v>
      </c>
      <c r="O26" t="e">
        <v>#N/A</v>
      </c>
      <c r="P26">
        <v>3.7327089999999998</v>
      </c>
      <c r="Q26">
        <v>0</v>
      </c>
      <c r="R26" t="e">
        <v>#N/A</v>
      </c>
      <c r="S26">
        <v>0</v>
      </c>
      <c r="T26">
        <v>1</v>
      </c>
      <c r="U26">
        <v>0.20907379999999998</v>
      </c>
      <c r="V26">
        <v>3.9417827999999999</v>
      </c>
    </row>
    <row r="27" spans="1:22" x14ac:dyDescent="0.3">
      <c r="L27">
        <v>25</v>
      </c>
      <c r="M27" t="s">
        <v>24</v>
      </c>
      <c r="N27">
        <v>3</v>
      </c>
      <c r="O27" t="e">
        <v>#N/A</v>
      </c>
      <c r="P27">
        <v>1.2206399999999999</v>
      </c>
      <c r="Q27">
        <v>5</v>
      </c>
      <c r="R27" t="e">
        <v>#N/A</v>
      </c>
      <c r="S27">
        <v>45.513376449999988</v>
      </c>
      <c r="T27">
        <v>35</v>
      </c>
      <c r="U27">
        <v>2.0312373999999997</v>
      </c>
      <c r="V27">
        <v>48.765253849999993</v>
      </c>
    </row>
    <row r="28" spans="1:22" x14ac:dyDescent="0.3">
      <c r="L28">
        <v>26</v>
      </c>
      <c r="M28" t="s">
        <v>25</v>
      </c>
      <c r="N28">
        <v>1</v>
      </c>
      <c r="O28" t="e">
        <v>#N/A</v>
      </c>
      <c r="P28">
        <v>0.7</v>
      </c>
      <c r="Q28">
        <v>2</v>
      </c>
      <c r="R28" t="e">
        <v>#N/A</v>
      </c>
      <c r="S28">
        <v>7.3312160000000004</v>
      </c>
      <c r="T28">
        <v>10</v>
      </c>
      <c r="U28">
        <v>3.7970856299999998</v>
      </c>
      <c r="V28">
        <v>11.82830163</v>
      </c>
    </row>
    <row r="29" spans="1:22" x14ac:dyDescent="0.3">
      <c r="L29">
        <v>27</v>
      </c>
      <c r="M29" t="s">
        <v>26</v>
      </c>
      <c r="N29">
        <v>2</v>
      </c>
      <c r="O29" t="e">
        <v>#N/A</v>
      </c>
      <c r="P29">
        <v>6.6</v>
      </c>
      <c r="Q29">
        <v>2</v>
      </c>
      <c r="R29" t="e">
        <v>#N/A</v>
      </c>
      <c r="S29">
        <v>5.37</v>
      </c>
      <c r="T29">
        <v>6</v>
      </c>
      <c r="U29">
        <v>0.9780670600000001</v>
      </c>
      <c r="V29">
        <v>12.94806706</v>
      </c>
    </row>
    <row r="30" spans="1:22" x14ac:dyDescent="0.3">
      <c r="L30">
        <v>28</v>
      </c>
      <c r="M30" t="s">
        <v>27</v>
      </c>
      <c r="N30">
        <v>2</v>
      </c>
      <c r="O30" t="e">
        <v>#N/A</v>
      </c>
      <c r="P30">
        <v>15.809953800000001</v>
      </c>
      <c r="Q30">
        <v>9</v>
      </c>
      <c r="R30" t="e">
        <v>#N/A</v>
      </c>
      <c r="S30">
        <v>62.95088475</v>
      </c>
      <c r="T30">
        <v>1</v>
      </c>
      <c r="U30">
        <v>0.28000000000000003</v>
      </c>
      <c r="V30">
        <v>79.040838550000004</v>
      </c>
    </row>
    <row r="31" spans="1:22" x14ac:dyDescent="0.3">
      <c r="L31">
        <v>29</v>
      </c>
      <c r="M31" t="s">
        <v>28</v>
      </c>
      <c r="N31">
        <v>7</v>
      </c>
      <c r="O31" t="e">
        <v>#N/A</v>
      </c>
      <c r="P31">
        <v>111.291028</v>
      </c>
      <c r="Q31">
        <v>1</v>
      </c>
      <c r="R31" t="e">
        <v>#N/A</v>
      </c>
      <c r="S31">
        <v>12</v>
      </c>
      <c r="T31">
        <v>1</v>
      </c>
      <c r="U31">
        <v>0.17019999999999999</v>
      </c>
      <c r="V31">
        <v>123.46122799999999</v>
      </c>
    </row>
    <row r="32" spans="1:22" x14ac:dyDescent="0.3">
      <c r="L32">
        <v>30</v>
      </c>
      <c r="M32" t="s">
        <v>29</v>
      </c>
      <c r="N32">
        <v>7</v>
      </c>
      <c r="O32" t="e">
        <v>#N/A</v>
      </c>
      <c r="P32">
        <v>203.97984700000001</v>
      </c>
      <c r="Q32">
        <v>9</v>
      </c>
      <c r="R32" t="e">
        <v>#N/A</v>
      </c>
      <c r="S32">
        <v>44.092331999999999</v>
      </c>
      <c r="T32">
        <v>0</v>
      </c>
      <c r="U32">
        <v>0</v>
      </c>
      <c r="V32">
        <v>248.07217900000001</v>
      </c>
    </row>
    <row r="33" spans="12:22" x14ac:dyDescent="0.3">
      <c r="L33">
        <v>31</v>
      </c>
      <c r="M33" t="s">
        <v>30</v>
      </c>
      <c r="N33">
        <v>3</v>
      </c>
      <c r="O33" t="e">
        <v>#N/A</v>
      </c>
      <c r="P33">
        <v>16.636565000000001</v>
      </c>
      <c r="Q33">
        <v>0</v>
      </c>
      <c r="R33" t="e">
        <v>#N/A</v>
      </c>
      <c r="S33">
        <v>0</v>
      </c>
      <c r="T33">
        <v>5</v>
      </c>
      <c r="U33">
        <v>149.51608634999999</v>
      </c>
      <c r="V33">
        <v>166.15265134999999</v>
      </c>
    </row>
    <row r="34" spans="12:22" x14ac:dyDescent="0.3">
      <c r="L34">
        <v>32</v>
      </c>
      <c r="M34" t="s">
        <v>31</v>
      </c>
      <c r="N34">
        <v>0</v>
      </c>
      <c r="O34" t="e">
        <v>#N/A</v>
      </c>
      <c r="P34">
        <v>0</v>
      </c>
      <c r="Q34">
        <v>1</v>
      </c>
      <c r="R34" t="e">
        <v>#N/A</v>
      </c>
      <c r="S34">
        <v>179.795984</v>
      </c>
      <c r="T34">
        <v>1</v>
      </c>
      <c r="U34">
        <v>5.0999999999999997E-2</v>
      </c>
      <c r="V34">
        <v>179.84698399999999</v>
      </c>
    </row>
    <row r="35" spans="12:22" x14ac:dyDescent="0.3">
      <c r="L35">
        <v>33</v>
      </c>
      <c r="M35" t="s">
        <v>32</v>
      </c>
      <c r="N35">
        <v>1</v>
      </c>
      <c r="O35" t="e">
        <v>#N/A</v>
      </c>
      <c r="P35">
        <v>90.756311999999994</v>
      </c>
      <c r="Q35">
        <v>1</v>
      </c>
      <c r="R35" t="e">
        <v>#N/A</v>
      </c>
      <c r="S35">
        <v>0.5</v>
      </c>
      <c r="T35">
        <v>0</v>
      </c>
      <c r="U35">
        <v>0</v>
      </c>
      <c r="V35">
        <v>91.256311999999994</v>
      </c>
    </row>
    <row r="36" spans="12:22" x14ac:dyDescent="0.3">
      <c r="L36">
        <v>34</v>
      </c>
      <c r="M36" t="s">
        <v>33</v>
      </c>
      <c r="N36">
        <v>2</v>
      </c>
      <c r="O36" t="e">
        <v>#N/A</v>
      </c>
      <c r="P36">
        <v>6.3089680000000001</v>
      </c>
      <c r="Q36">
        <v>0</v>
      </c>
      <c r="R36" t="e">
        <v>#N/A</v>
      </c>
      <c r="S36">
        <v>0</v>
      </c>
      <c r="T36">
        <v>7</v>
      </c>
      <c r="U36">
        <v>11.088317979999999</v>
      </c>
      <c r="V36">
        <v>17.397285979999999</v>
      </c>
    </row>
    <row r="37" spans="12:22" x14ac:dyDescent="0.3">
      <c r="L37">
        <v>35</v>
      </c>
      <c r="M37" t="s">
        <v>34</v>
      </c>
      <c r="N37">
        <v>6</v>
      </c>
      <c r="O37" t="e">
        <v>#N/A</v>
      </c>
      <c r="P37">
        <v>46.201351000000003</v>
      </c>
      <c r="Q37">
        <v>4</v>
      </c>
      <c r="R37" t="e">
        <v>#N/A</v>
      </c>
      <c r="S37">
        <v>2.7449080000000001</v>
      </c>
      <c r="T37">
        <v>3</v>
      </c>
      <c r="U37">
        <v>21.484355999999998</v>
      </c>
      <c r="V37">
        <v>70.430615000000003</v>
      </c>
    </row>
    <row r="38" spans="12:22" x14ac:dyDescent="0.3">
      <c r="L38">
        <v>36</v>
      </c>
      <c r="M38" t="s">
        <v>35</v>
      </c>
      <c r="N38">
        <v>1</v>
      </c>
      <c r="O38" t="e">
        <v>#N/A</v>
      </c>
      <c r="P38">
        <v>0.15</v>
      </c>
      <c r="Q38">
        <v>1</v>
      </c>
      <c r="R38" t="e">
        <v>#N/A</v>
      </c>
      <c r="S38">
        <v>1</v>
      </c>
      <c r="T38">
        <v>1</v>
      </c>
      <c r="U38">
        <v>0.20532464</v>
      </c>
      <c r="V38">
        <v>1.3553246399999999</v>
      </c>
    </row>
    <row r="39" spans="12:22" x14ac:dyDescent="0.3">
      <c r="L39">
        <v>37</v>
      </c>
      <c r="M39" t="s">
        <v>36</v>
      </c>
      <c r="N39">
        <v>1</v>
      </c>
      <c r="O39" t="e">
        <v>#N/A</v>
      </c>
      <c r="P39">
        <v>1.0321471099999999</v>
      </c>
      <c r="Q39">
        <v>0</v>
      </c>
      <c r="R39" t="e">
        <v>#N/A</v>
      </c>
      <c r="S39">
        <v>0</v>
      </c>
      <c r="T39">
        <v>2</v>
      </c>
      <c r="U39">
        <v>4.2844499999999995E-3</v>
      </c>
      <c r="V39">
        <v>1.03643156</v>
      </c>
    </row>
    <row r="40" spans="12:22" x14ac:dyDescent="0.3">
      <c r="L40">
        <v>38</v>
      </c>
      <c r="M40" t="s">
        <v>37</v>
      </c>
      <c r="N40">
        <v>3</v>
      </c>
      <c r="O40" t="e">
        <v>#N/A</v>
      </c>
      <c r="P40">
        <v>0.6353916799999999</v>
      </c>
      <c r="Q40">
        <v>5</v>
      </c>
      <c r="R40" t="e">
        <v>#N/A</v>
      </c>
      <c r="S40">
        <v>54.141613999999997</v>
      </c>
      <c r="T40">
        <v>6</v>
      </c>
      <c r="U40">
        <v>5.8196447899999999</v>
      </c>
      <c r="V40">
        <v>60.596650469999993</v>
      </c>
    </row>
    <row r="41" spans="12:22" x14ac:dyDescent="0.3">
      <c r="L41">
        <v>39</v>
      </c>
      <c r="M41" t="s">
        <v>38</v>
      </c>
      <c r="N41">
        <v>34</v>
      </c>
      <c r="O41" t="e">
        <v>#N/A</v>
      </c>
      <c r="P41">
        <v>2686.3150150000001</v>
      </c>
      <c r="Q41">
        <v>4</v>
      </c>
      <c r="R41" t="e">
        <v>#N/A</v>
      </c>
      <c r="S41">
        <v>104.268255</v>
      </c>
      <c r="T41">
        <v>1</v>
      </c>
      <c r="U41">
        <v>5.0215510000000005E-2</v>
      </c>
      <c r="V41">
        <v>2790.6334855099999</v>
      </c>
    </row>
    <row r="42" spans="12:22" x14ac:dyDescent="0.3">
      <c r="L42">
        <v>40</v>
      </c>
      <c r="M42" t="s">
        <v>39</v>
      </c>
      <c r="N42">
        <v>0</v>
      </c>
      <c r="O42" t="e">
        <v>#N/A</v>
      </c>
      <c r="P42">
        <v>0</v>
      </c>
      <c r="Q42">
        <v>0</v>
      </c>
      <c r="R42" t="e">
        <v>#N/A</v>
      </c>
      <c r="S42">
        <v>0</v>
      </c>
      <c r="T42">
        <v>2</v>
      </c>
      <c r="U42">
        <v>0.36775621999999997</v>
      </c>
      <c r="V42">
        <v>0.36775621999999997</v>
      </c>
    </row>
    <row r="43" spans="12:22" x14ac:dyDescent="0.3">
      <c r="L43">
        <v>41</v>
      </c>
      <c r="M43" t="s">
        <v>40</v>
      </c>
      <c r="N43">
        <v>19</v>
      </c>
      <c r="O43" t="e">
        <v>#N/A</v>
      </c>
      <c r="P43">
        <v>328.25474800000001</v>
      </c>
      <c r="Q43">
        <v>3</v>
      </c>
      <c r="R43" t="e">
        <v>#N/A</v>
      </c>
      <c r="S43">
        <v>4.9550099999999997</v>
      </c>
      <c r="T43">
        <v>8</v>
      </c>
      <c r="U43">
        <v>96.139674889999995</v>
      </c>
      <c r="V43">
        <v>429.34943289</v>
      </c>
    </row>
    <row r="44" spans="12:22" x14ac:dyDescent="0.3">
      <c r="L44">
        <v>42</v>
      </c>
      <c r="M44" t="s">
        <v>41</v>
      </c>
      <c r="N44">
        <v>2</v>
      </c>
      <c r="O44" t="e">
        <v>#N/A</v>
      </c>
      <c r="P44">
        <v>5.2858690199999998</v>
      </c>
      <c r="Q44">
        <v>2</v>
      </c>
      <c r="R44" t="e">
        <v>#N/A</v>
      </c>
      <c r="S44">
        <v>-0.84033599999999997</v>
      </c>
      <c r="T44">
        <v>4</v>
      </c>
      <c r="U44">
        <v>3.84536414</v>
      </c>
      <c r="V44">
        <v>8.2908971600000001</v>
      </c>
    </row>
    <row r="45" spans="12:22" x14ac:dyDescent="0.3">
      <c r="L45">
        <v>43</v>
      </c>
      <c r="M45" t="s">
        <v>42</v>
      </c>
      <c r="N45">
        <v>4</v>
      </c>
      <c r="O45" t="e">
        <v>#N/A</v>
      </c>
      <c r="P45">
        <v>73.746343999999993</v>
      </c>
      <c r="Q45">
        <v>0</v>
      </c>
      <c r="R45" t="e">
        <v>#N/A</v>
      </c>
      <c r="S45">
        <v>0</v>
      </c>
      <c r="T45">
        <v>0</v>
      </c>
      <c r="U45">
        <v>0</v>
      </c>
      <c r="V45">
        <v>73.746343999999993</v>
      </c>
    </row>
    <row r="46" spans="12:22" x14ac:dyDescent="0.3">
      <c r="L46">
        <v>44</v>
      </c>
      <c r="M46" t="s">
        <v>43</v>
      </c>
      <c r="N46">
        <v>2</v>
      </c>
      <c r="O46" t="e">
        <v>#N/A</v>
      </c>
      <c r="P46">
        <v>1.421527</v>
      </c>
      <c r="Q46">
        <v>1</v>
      </c>
      <c r="R46" t="e">
        <v>#N/A</v>
      </c>
      <c r="S46">
        <v>0.1</v>
      </c>
      <c r="T46">
        <v>15</v>
      </c>
      <c r="U46">
        <v>11.25961835</v>
      </c>
      <c r="V46">
        <v>12.781145350000001</v>
      </c>
    </row>
    <row r="47" spans="12:22" x14ac:dyDescent="0.3">
      <c r="L47">
        <v>45</v>
      </c>
      <c r="M47" t="s">
        <v>44</v>
      </c>
      <c r="N47">
        <v>3</v>
      </c>
      <c r="O47" t="e">
        <v>#N/A</v>
      </c>
      <c r="P47">
        <v>2.6715270000000002</v>
      </c>
      <c r="Q47">
        <v>0</v>
      </c>
      <c r="R47" t="e">
        <v>#N/A</v>
      </c>
      <c r="S47">
        <v>0</v>
      </c>
      <c r="T47">
        <v>12</v>
      </c>
      <c r="U47">
        <v>2.4722209300000006</v>
      </c>
      <c r="V47">
        <v>5.1437479300000009</v>
      </c>
    </row>
    <row r="48" spans="12:22" x14ac:dyDescent="0.3">
      <c r="L48">
        <v>46</v>
      </c>
      <c r="M48" t="s">
        <v>45</v>
      </c>
      <c r="N48">
        <v>2</v>
      </c>
      <c r="O48" t="e">
        <v>#N/A</v>
      </c>
      <c r="P48">
        <v>0.30106383000000003</v>
      </c>
      <c r="Q48">
        <v>1</v>
      </c>
      <c r="R48" t="e">
        <v>#N/A</v>
      </c>
      <c r="S48">
        <v>0.3</v>
      </c>
      <c r="T48">
        <v>0</v>
      </c>
      <c r="U48">
        <v>0</v>
      </c>
      <c r="V48">
        <v>0.60106382999999997</v>
      </c>
    </row>
    <row r="49" spans="12:23" x14ac:dyDescent="0.3">
      <c r="L49">
        <v>47</v>
      </c>
      <c r="M49" t="s">
        <v>46</v>
      </c>
      <c r="N49">
        <v>2</v>
      </c>
      <c r="O49" t="e">
        <v>#N/A</v>
      </c>
      <c r="P49">
        <v>20.71</v>
      </c>
      <c r="Q49">
        <v>0</v>
      </c>
      <c r="R49" t="e">
        <v>#N/A</v>
      </c>
      <c r="S49">
        <v>0</v>
      </c>
      <c r="T49">
        <v>2</v>
      </c>
      <c r="U49">
        <v>0.117045</v>
      </c>
      <c r="V49">
        <v>20.827045000000002</v>
      </c>
    </row>
    <row r="50" spans="12:23" x14ac:dyDescent="0.3">
      <c r="L50">
        <v>48</v>
      </c>
      <c r="M50" t="s">
        <v>47</v>
      </c>
      <c r="N50">
        <v>0</v>
      </c>
      <c r="O50" t="e">
        <v>#N/A</v>
      </c>
      <c r="P50">
        <v>0</v>
      </c>
      <c r="Q50">
        <v>0</v>
      </c>
      <c r="R50" t="e">
        <v>#N/A</v>
      </c>
      <c r="S50">
        <v>0</v>
      </c>
      <c r="T50">
        <v>2</v>
      </c>
      <c r="U50">
        <v>0.47383472999999998</v>
      </c>
      <c r="V50">
        <v>0.47383472999999998</v>
      </c>
    </row>
    <row r="51" spans="12:23" x14ac:dyDescent="0.3">
      <c r="L51">
        <v>49</v>
      </c>
      <c r="M51" t="s">
        <v>48</v>
      </c>
      <c r="N51">
        <v>2</v>
      </c>
      <c r="O51" t="e">
        <v>#N/A</v>
      </c>
      <c r="P51">
        <v>31.616689999999998</v>
      </c>
      <c r="Q51">
        <v>1</v>
      </c>
      <c r="R51" t="e">
        <v>#N/A</v>
      </c>
      <c r="S51">
        <v>2</v>
      </c>
      <c r="T51">
        <v>7</v>
      </c>
      <c r="U51">
        <v>2.0558077400000001</v>
      </c>
      <c r="V51">
        <v>35.672497739999997</v>
      </c>
    </row>
    <row r="52" spans="12:23" x14ac:dyDescent="0.3">
      <c r="L52">
        <v>50</v>
      </c>
      <c r="M52" t="s">
        <v>49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 t="e">
        <v>#N/A</v>
      </c>
    </row>
    <row r="53" spans="12:23" x14ac:dyDescent="0.3">
      <c r="L53">
        <v>51</v>
      </c>
      <c r="M53" t="s">
        <v>50</v>
      </c>
      <c r="N53">
        <v>1</v>
      </c>
      <c r="O53" t="e">
        <v>#N/A</v>
      </c>
      <c r="P53">
        <v>25</v>
      </c>
      <c r="Q53">
        <v>0</v>
      </c>
      <c r="R53" t="e">
        <v>#N/A</v>
      </c>
      <c r="S53">
        <v>0</v>
      </c>
      <c r="T53">
        <v>0</v>
      </c>
      <c r="U53">
        <v>0</v>
      </c>
      <c r="V53">
        <v>25</v>
      </c>
    </row>
    <row r="54" spans="12:23" x14ac:dyDescent="0.3">
      <c r="L54">
        <v>52</v>
      </c>
      <c r="M54" t="s">
        <v>51</v>
      </c>
      <c r="N54">
        <v>2</v>
      </c>
      <c r="O54" t="e">
        <v>#N/A</v>
      </c>
      <c r="P54">
        <v>44.313256000000003</v>
      </c>
      <c r="Q54">
        <v>2</v>
      </c>
      <c r="R54" t="e">
        <v>#N/A</v>
      </c>
      <c r="S54">
        <v>10.892794</v>
      </c>
      <c r="T54">
        <v>8</v>
      </c>
      <c r="U54">
        <v>6.5300630000000002</v>
      </c>
      <c r="V54">
        <v>61.736113000000003</v>
      </c>
    </row>
    <row r="55" spans="12:23" x14ac:dyDescent="0.3">
      <c r="L55">
        <v>53</v>
      </c>
      <c r="M55" t="s">
        <v>52</v>
      </c>
      <c r="N55">
        <v>0</v>
      </c>
      <c r="O55" t="e">
        <v>#N/A</v>
      </c>
      <c r="P55">
        <v>0</v>
      </c>
      <c r="Q55">
        <v>0</v>
      </c>
      <c r="R55" t="e">
        <v>#N/A</v>
      </c>
      <c r="S55">
        <v>0</v>
      </c>
      <c r="T55">
        <v>1</v>
      </c>
      <c r="U55">
        <v>10.101756460000001</v>
      </c>
      <c r="V55">
        <v>10.101756460000001</v>
      </c>
    </row>
    <row r="56" spans="12:23" x14ac:dyDescent="0.3">
      <c r="L56">
        <v>54</v>
      </c>
      <c r="M56" t="s">
        <v>53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 t="e">
        <v>#N/A</v>
      </c>
    </row>
    <row r="57" spans="12:23" x14ac:dyDescent="0.3">
      <c r="L57">
        <v>55</v>
      </c>
      <c r="M57" t="s">
        <v>54</v>
      </c>
      <c r="N57">
        <v>1</v>
      </c>
      <c r="O57" t="e">
        <v>#N/A</v>
      </c>
      <c r="P57">
        <v>2.1999999999999999E-2</v>
      </c>
      <c r="Q57">
        <v>0</v>
      </c>
      <c r="R57" t="e">
        <v>#N/A</v>
      </c>
      <c r="S57">
        <v>0</v>
      </c>
      <c r="T57">
        <v>1</v>
      </c>
      <c r="U57">
        <v>0.14138176000000002</v>
      </c>
      <c r="V57">
        <v>0.16338176000000001</v>
      </c>
    </row>
    <row r="58" spans="12:23" x14ac:dyDescent="0.3">
      <c r="L58">
        <v>56</v>
      </c>
      <c r="M58" t="s">
        <v>55</v>
      </c>
      <c r="N58">
        <v>0</v>
      </c>
      <c r="O58" t="e">
        <v>#N/A</v>
      </c>
      <c r="P58">
        <v>0</v>
      </c>
      <c r="Q58">
        <v>0</v>
      </c>
      <c r="R58" t="e">
        <v>#N/A</v>
      </c>
      <c r="S58">
        <v>0</v>
      </c>
      <c r="T58">
        <v>1</v>
      </c>
      <c r="U58">
        <v>0.82793225999999998</v>
      </c>
      <c r="V58">
        <v>0.82793225999999998</v>
      </c>
    </row>
    <row r="59" spans="12:23" x14ac:dyDescent="0.3">
      <c r="L59">
        <v>57</v>
      </c>
      <c r="M59" t="s">
        <v>56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</row>
    <row r="60" spans="12:23" x14ac:dyDescent="0.3">
      <c r="L60">
        <v>58</v>
      </c>
      <c r="M60" t="s">
        <v>57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</row>
    <row r="61" spans="12:23" x14ac:dyDescent="0.3">
      <c r="L61">
        <v>59</v>
      </c>
      <c r="M61" t="s">
        <v>58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T61" t="e">
        <v>#N/A</v>
      </c>
      <c r="U61" t="e">
        <v>#N/A</v>
      </c>
      <c r="V61" t="e">
        <v>#N/A</v>
      </c>
    </row>
    <row r="62" spans="12:23" x14ac:dyDescent="0.3">
      <c r="L62">
        <v>60</v>
      </c>
      <c r="M62" t="s">
        <v>59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 t="e">
        <v>#N/A</v>
      </c>
      <c r="W62">
        <v>0</v>
      </c>
    </row>
    <row r="63" spans="12:23" x14ac:dyDescent="0.3">
      <c r="L63">
        <v>61</v>
      </c>
      <c r="M63" t="s">
        <v>60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 t="e">
        <v>#N/A</v>
      </c>
    </row>
    <row r="64" spans="12:23" x14ac:dyDescent="0.3">
      <c r="L64">
        <v>62</v>
      </c>
      <c r="M64" t="s">
        <v>61</v>
      </c>
      <c r="N64">
        <v>0</v>
      </c>
      <c r="O64" t="e">
        <v>#N/A</v>
      </c>
      <c r="P64">
        <v>0</v>
      </c>
      <c r="Q64">
        <v>0</v>
      </c>
      <c r="R64" t="e">
        <v>#N/A</v>
      </c>
      <c r="S64">
        <v>0</v>
      </c>
      <c r="T64">
        <v>1</v>
      </c>
      <c r="U64">
        <v>0.84445194999999995</v>
      </c>
      <c r="V64">
        <v>0.84445194999999995</v>
      </c>
      <c r="W64">
        <v>0</v>
      </c>
    </row>
    <row r="65" spans="12:22" x14ac:dyDescent="0.3">
      <c r="L65">
        <v>63</v>
      </c>
      <c r="M65" t="s">
        <v>62</v>
      </c>
      <c r="N65">
        <v>0</v>
      </c>
      <c r="O65" t="e">
        <v>#N/A</v>
      </c>
      <c r="P65">
        <v>0</v>
      </c>
      <c r="Q65">
        <v>1</v>
      </c>
      <c r="R65" t="e">
        <v>#N/A</v>
      </c>
      <c r="S65">
        <v>0.93399699999999997</v>
      </c>
      <c r="T65">
        <v>2</v>
      </c>
      <c r="U65">
        <v>1.6813770899999998</v>
      </c>
      <c r="V65">
        <v>2.6153740899999995</v>
      </c>
    </row>
    <row r="66" spans="12:22" x14ac:dyDescent="0.3">
      <c r="L66" t="s">
        <v>97</v>
      </c>
      <c r="N66">
        <v>3188</v>
      </c>
      <c r="O66">
        <v>0</v>
      </c>
      <c r="P66">
        <v>20185.622680219996</v>
      </c>
      <c r="Q66">
        <v>1262</v>
      </c>
      <c r="R66">
        <v>0</v>
      </c>
      <c r="S66">
        <v>7880.7695484308479</v>
      </c>
      <c r="T66">
        <v>3451</v>
      </c>
      <c r="U66">
        <v>8541.2347161779817</v>
      </c>
      <c r="V66">
        <v>36607.626944828808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E478-B72E-4434-851E-54D164CB0F81}">
  <sheetPr codeName="Sheet12"/>
  <dimension ref="A1:W66"/>
  <sheetViews>
    <sheetView workbookViewId="0">
      <selection sqref="A1:V2"/>
    </sheetView>
  </sheetViews>
  <sheetFormatPr defaultRowHeight="14.4" x14ac:dyDescent="0.3"/>
  <cols>
    <col min="1" max="1" width="7" bestFit="1" customWidth="1"/>
    <col min="2" max="2" width="44.88671875" bestFit="1" customWidth="1"/>
    <col min="3" max="3" width="14.5546875" bestFit="1" customWidth="1"/>
    <col min="4" max="4" width="22.21875" bestFit="1" customWidth="1"/>
    <col min="5" max="5" width="26.33203125" bestFit="1" customWidth="1"/>
    <col min="6" max="6" width="20" bestFit="1" customWidth="1"/>
    <col min="7" max="7" width="24.109375" bestFit="1" customWidth="1"/>
    <col min="8" max="8" width="27.77734375" bestFit="1" customWidth="1"/>
    <col min="9" max="9" width="23.6640625" bestFit="1" customWidth="1"/>
    <col min="10" max="10" width="32.6640625" bestFit="1" customWidth="1"/>
    <col min="11" max="11" width="51.44140625" bestFit="1" customWidth="1"/>
    <col min="12" max="12" width="7" bestFit="1" customWidth="1"/>
    <col min="13" max="13" width="14.6640625" bestFit="1" customWidth="1"/>
    <col min="14" max="14" width="14.5546875" bestFit="1" customWidth="1"/>
    <col min="15" max="15" width="22.21875" bestFit="1" customWidth="1"/>
    <col min="16" max="16" width="26.33203125" bestFit="1" customWidth="1"/>
    <col min="17" max="17" width="20" bestFit="1" customWidth="1"/>
    <col min="18" max="18" width="24.109375" bestFit="1" customWidth="1"/>
    <col min="19" max="19" width="27.77734375" bestFit="1" customWidth="1"/>
    <col min="20" max="20" width="23.6640625" bestFit="1" customWidth="1"/>
    <col min="21" max="21" width="32.6640625" bestFit="1" customWidth="1"/>
    <col min="22" max="22" width="51.44140625" bestFit="1" customWidth="1"/>
    <col min="23" max="23" width="2" bestFit="1" customWidth="1"/>
    <col min="24" max="24" width="11.44140625" bestFit="1" customWidth="1"/>
    <col min="25" max="25" width="13.88671875" bestFit="1" customWidth="1"/>
    <col min="26" max="26" width="51" bestFit="1" customWidth="1"/>
  </cols>
  <sheetData>
    <row r="1" spans="1:22" x14ac:dyDescent="0.3">
      <c r="A1" t="s">
        <v>66</v>
      </c>
      <c r="B1" t="s">
        <v>67</v>
      </c>
      <c r="C1" t="s">
        <v>70</v>
      </c>
      <c r="F1" t="s">
        <v>68</v>
      </c>
      <c r="I1" t="s">
        <v>69</v>
      </c>
      <c r="N1" t="s">
        <v>70</v>
      </c>
      <c r="Q1" t="s">
        <v>68</v>
      </c>
      <c r="T1" t="s">
        <v>69</v>
      </c>
      <c r="V1" t="s">
        <v>71</v>
      </c>
    </row>
    <row r="2" spans="1:22" x14ac:dyDescent="0.3">
      <c r="C2" t="s">
        <v>75</v>
      </c>
      <c r="D2" t="s">
        <v>76</v>
      </c>
      <c r="E2" t="s">
        <v>72</v>
      </c>
      <c r="F2" t="s">
        <v>99</v>
      </c>
      <c r="G2" t="s">
        <v>100</v>
      </c>
      <c r="H2" t="s">
        <v>101</v>
      </c>
      <c r="I2" t="s">
        <v>73</v>
      </c>
      <c r="J2" t="s">
        <v>77</v>
      </c>
      <c r="K2" t="s">
        <v>71</v>
      </c>
      <c r="L2" t="s">
        <v>66</v>
      </c>
      <c r="M2" t="s">
        <v>74</v>
      </c>
      <c r="N2" t="s">
        <v>75</v>
      </c>
      <c r="O2" t="s">
        <v>76</v>
      </c>
      <c r="P2" t="s">
        <v>72</v>
      </c>
      <c r="Q2" t="s">
        <v>99</v>
      </c>
      <c r="R2" t="s">
        <v>100</v>
      </c>
      <c r="S2" t="s">
        <v>101</v>
      </c>
      <c r="T2" t="s">
        <v>73</v>
      </c>
      <c r="U2" t="s">
        <v>77</v>
      </c>
      <c r="V2" t="s">
        <v>71</v>
      </c>
    </row>
    <row r="3" spans="1:22" x14ac:dyDescent="0.3">
      <c r="A3">
        <v>1</v>
      </c>
      <c r="B3" t="s">
        <v>78</v>
      </c>
      <c r="C3">
        <v>541</v>
      </c>
      <c r="D3" t="e">
        <v>#N/A</v>
      </c>
      <c r="E3">
        <v>6826.0056527200004</v>
      </c>
      <c r="F3">
        <v>390</v>
      </c>
      <c r="G3" t="e">
        <v>#N/A</v>
      </c>
      <c r="H3">
        <v>3539.9941784062498</v>
      </c>
      <c r="I3">
        <v>190</v>
      </c>
      <c r="J3">
        <v>323.14804267999995</v>
      </c>
      <c r="K3">
        <v>10689.147873806251</v>
      </c>
      <c r="L3">
        <v>1</v>
      </c>
      <c r="M3" t="s">
        <v>0</v>
      </c>
      <c r="N3">
        <v>120</v>
      </c>
      <c r="O3" t="e">
        <v>#N/A</v>
      </c>
      <c r="P3">
        <v>1036.9082862499999</v>
      </c>
      <c r="Q3">
        <v>79</v>
      </c>
      <c r="R3" t="e">
        <v>#N/A</v>
      </c>
      <c r="S3">
        <v>55.654967379999995</v>
      </c>
      <c r="T3">
        <v>102</v>
      </c>
      <c r="U3">
        <v>89.54765999</v>
      </c>
      <c r="V3">
        <v>1182.11091362</v>
      </c>
    </row>
    <row r="4" spans="1:22" x14ac:dyDescent="0.3">
      <c r="A4">
        <v>2</v>
      </c>
      <c r="B4" t="s">
        <v>79</v>
      </c>
      <c r="C4">
        <v>2</v>
      </c>
      <c r="D4" t="e">
        <v>#N/A</v>
      </c>
      <c r="E4">
        <v>118.00064751000001</v>
      </c>
      <c r="F4">
        <v>0</v>
      </c>
      <c r="G4" t="e">
        <v>#N/A</v>
      </c>
      <c r="H4">
        <v>0</v>
      </c>
      <c r="I4">
        <v>5</v>
      </c>
      <c r="J4">
        <v>30.778100379869564</v>
      </c>
      <c r="K4">
        <v>148.77874788986958</v>
      </c>
      <c r="L4">
        <v>2</v>
      </c>
      <c r="M4" t="s">
        <v>1</v>
      </c>
      <c r="N4">
        <v>597</v>
      </c>
      <c r="O4" t="e">
        <v>#N/A</v>
      </c>
      <c r="P4">
        <v>192.64746200999997</v>
      </c>
      <c r="Q4">
        <v>79</v>
      </c>
      <c r="R4" t="e">
        <v>#N/A</v>
      </c>
      <c r="S4">
        <v>107.00646922119141</v>
      </c>
      <c r="T4">
        <v>1015</v>
      </c>
      <c r="U4">
        <v>821.34180730000026</v>
      </c>
      <c r="V4">
        <v>1120.9957385311916</v>
      </c>
    </row>
    <row r="5" spans="1:22" x14ac:dyDescent="0.3">
      <c r="A5">
        <v>3</v>
      </c>
      <c r="B5" t="s">
        <v>80</v>
      </c>
      <c r="C5">
        <v>37</v>
      </c>
      <c r="D5" t="e">
        <v>#N/A</v>
      </c>
      <c r="E5">
        <v>1893.10590241</v>
      </c>
      <c r="F5">
        <v>20</v>
      </c>
      <c r="G5" t="e">
        <v>#N/A</v>
      </c>
      <c r="H5">
        <v>98.135739000000001</v>
      </c>
      <c r="I5">
        <v>31</v>
      </c>
      <c r="J5">
        <v>480.29133308999997</v>
      </c>
      <c r="K5">
        <v>2471.5329744999999</v>
      </c>
      <c r="L5">
        <v>3</v>
      </c>
      <c r="M5" t="s">
        <v>2</v>
      </c>
      <c r="N5">
        <v>88</v>
      </c>
      <c r="O5" t="e">
        <v>#N/A</v>
      </c>
      <c r="P5">
        <v>318.77570535999996</v>
      </c>
      <c r="Q5">
        <v>63</v>
      </c>
      <c r="R5" t="e">
        <v>#N/A</v>
      </c>
      <c r="S5">
        <v>261.01168124999998</v>
      </c>
      <c r="T5">
        <v>77</v>
      </c>
      <c r="U5">
        <v>89.331147169999966</v>
      </c>
      <c r="V5">
        <v>669.11853377999989</v>
      </c>
    </row>
    <row r="6" spans="1:22" x14ac:dyDescent="0.3">
      <c r="A6">
        <v>4</v>
      </c>
      <c r="B6" t="s">
        <v>81</v>
      </c>
      <c r="C6">
        <v>25</v>
      </c>
      <c r="D6" t="e">
        <v>#N/A</v>
      </c>
      <c r="E6">
        <v>10.181926000000001</v>
      </c>
      <c r="F6">
        <v>17</v>
      </c>
      <c r="G6" t="e">
        <v>#N/A</v>
      </c>
      <c r="H6">
        <v>16.666286171875001</v>
      </c>
      <c r="I6">
        <v>32</v>
      </c>
      <c r="J6">
        <v>16.648782430000001</v>
      </c>
      <c r="K6">
        <v>43.496994601875002</v>
      </c>
      <c r="L6">
        <v>4</v>
      </c>
      <c r="M6" t="s">
        <v>3</v>
      </c>
      <c r="N6">
        <v>48</v>
      </c>
      <c r="O6" t="e">
        <v>#N/A</v>
      </c>
      <c r="P6">
        <v>570.63430000000005</v>
      </c>
      <c r="Q6">
        <v>40</v>
      </c>
      <c r="R6" t="e">
        <v>#N/A</v>
      </c>
      <c r="S6">
        <v>242.90185124999999</v>
      </c>
      <c r="T6">
        <v>20</v>
      </c>
      <c r="U6">
        <v>123.93534785986957</v>
      </c>
      <c r="V6">
        <v>937.47149910986968</v>
      </c>
    </row>
    <row r="7" spans="1:22" x14ac:dyDescent="0.3">
      <c r="A7">
        <v>5</v>
      </c>
      <c r="B7" t="s">
        <v>82</v>
      </c>
      <c r="C7">
        <v>539</v>
      </c>
      <c r="D7" t="e">
        <v>#N/A</v>
      </c>
      <c r="E7">
        <v>375.33764351000008</v>
      </c>
      <c r="F7">
        <v>71</v>
      </c>
      <c r="G7" t="e">
        <v>#N/A</v>
      </c>
      <c r="H7">
        <v>67.918440718750006</v>
      </c>
      <c r="I7">
        <v>617</v>
      </c>
      <c r="J7">
        <v>170.32377357000001</v>
      </c>
      <c r="K7">
        <v>613.57985779875003</v>
      </c>
      <c r="L7">
        <v>5</v>
      </c>
      <c r="M7" t="s">
        <v>4</v>
      </c>
      <c r="N7">
        <v>224</v>
      </c>
      <c r="O7" t="e">
        <v>#N/A</v>
      </c>
      <c r="P7">
        <v>1076.1801175900002</v>
      </c>
      <c r="Q7">
        <v>80</v>
      </c>
      <c r="R7" t="e">
        <v>#N/A</v>
      </c>
      <c r="S7">
        <v>1465.052144125</v>
      </c>
      <c r="T7">
        <v>32</v>
      </c>
      <c r="U7">
        <v>36.26047286</v>
      </c>
      <c r="V7">
        <v>2577.4927345750002</v>
      </c>
    </row>
    <row r="8" spans="1:22" x14ac:dyDescent="0.3">
      <c r="A8">
        <v>6</v>
      </c>
      <c r="B8" t="s">
        <v>83</v>
      </c>
      <c r="C8">
        <v>4</v>
      </c>
      <c r="D8" t="e">
        <v>#N/A</v>
      </c>
      <c r="E8">
        <v>18.07375639</v>
      </c>
      <c r="F8">
        <v>3</v>
      </c>
      <c r="G8" t="e">
        <v>#N/A</v>
      </c>
      <c r="H8">
        <v>33.994563999999997</v>
      </c>
      <c r="I8">
        <v>6</v>
      </c>
      <c r="J8">
        <v>2.3082420699999999</v>
      </c>
      <c r="K8">
        <v>54.376562459999995</v>
      </c>
      <c r="L8">
        <v>6</v>
      </c>
      <c r="M8" t="s">
        <v>5</v>
      </c>
      <c r="N8">
        <v>54</v>
      </c>
      <c r="O8" t="e">
        <v>#N/A</v>
      </c>
      <c r="P8">
        <v>276.71300889999998</v>
      </c>
      <c r="Q8">
        <v>25</v>
      </c>
      <c r="R8" t="e">
        <v>#N/A</v>
      </c>
      <c r="S8">
        <v>454.76243649999998</v>
      </c>
      <c r="T8">
        <v>22</v>
      </c>
      <c r="U8">
        <v>405.85064782000006</v>
      </c>
      <c r="V8">
        <v>1137.3260932200001</v>
      </c>
    </row>
    <row r="9" spans="1:22" x14ac:dyDescent="0.3">
      <c r="A9">
        <v>7</v>
      </c>
      <c r="B9" t="s">
        <v>84</v>
      </c>
      <c r="C9">
        <v>161</v>
      </c>
      <c r="D9" t="e">
        <v>#N/A</v>
      </c>
      <c r="E9">
        <v>52.612869340000003</v>
      </c>
      <c r="F9">
        <v>31</v>
      </c>
      <c r="G9" t="e">
        <v>#N/A</v>
      </c>
      <c r="H9">
        <v>75.10086652062499</v>
      </c>
      <c r="I9">
        <v>220</v>
      </c>
      <c r="J9">
        <v>324.69714139000007</v>
      </c>
      <c r="K9">
        <v>452.41087725062505</v>
      </c>
      <c r="L9">
        <v>7</v>
      </c>
      <c r="M9" t="s">
        <v>6</v>
      </c>
      <c r="N9">
        <v>13</v>
      </c>
      <c r="O9" t="e">
        <v>#N/A</v>
      </c>
      <c r="P9">
        <v>76.8</v>
      </c>
      <c r="Q9">
        <v>14</v>
      </c>
      <c r="R9" t="e">
        <v>#N/A</v>
      </c>
      <c r="S9">
        <v>138.64266281249999</v>
      </c>
      <c r="T9">
        <v>2</v>
      </c>
      <c r="U9">
        <v>0.35981907000000002</v>
      </c>
      <c r="V9">
        <v>215.80248188249996</v>
      </c>
    </row>
    <row r="10" spans="1:22" x14ac:dyDescent="0.3">
      <c r="A10">
        <v>8</v>
      </c>
      <c r="B10" t="s">
        <v>85</v>
      </c>
      <c r="C10">
        <v>42</v>
      </c>
      <c r="D10" t="e">
        <v>#N/A</v>
      </c>
      <c r="E10">
        <v>161.983947</v>
      </c>
      <c r="F10">
        <v>5</v>
      </c>
      <c r="G10" t="e">
        <v>#N/A</v>
      </c>
      <c r="H10">
        <v>16.872689000000001</v>
      </c>
      <c r="I10">
        <v>59</v>
      </c>
      <c r="J10">
        <v>203.61474425999998</v>
      </c>
      <c r="K10">
        <v>382.47138025999999</v>
      </c>
      <c r="L10">
        <v>8</v>
      </c>
      <c r="M10" t="s">
        <v>7</v>
      </c>
      <c r="N10">
        <v>39</v>
      </c>
      <c r="O10" t="e">
        <v>#N/A</v>
      </c>
      <c r="P10">
        <v>250.47785300000001</v>
      </c>
      <c r="Q10">
        <v>29</v>
      </c>
      <c r="R10" t="e">
        <v>#N/A</v>
      </c>
      <c r="S10">
        <v>483.97828531250002</v>
      </c>
      <c r="T10">
        <v>20</v>
      </c>
      <c r="U10">
        <v>29.760122849999998</v>
      </c>
      <c r="V10">
        <v>764.21626116250002</v>
      </c>
    </row>
    <row r="11" spans="1:22" x14ac:dyDescent="0.3">
      <c r="A11">
        <v>9</v>
      </c>
      <c r="B11" t="s">
        <v>86</v>
      </c>
      <c r="C11">
        <v>18</v>
      </c>
      <c r="D11" t="e">
        <v>#N/A</v>
      </c>
      <c r="E11">
        <v>16.602467999999998</v>
      </c>
      <c r="F11">
        <v>10</v>
      </c>
      <c r="G11" t="e">
        <v>#N/A</v>
      </c>
      <c r="H11">
        <v>15.892573689941406</v>
      </c>
      <c r="I11">
        <v>76</v>
      </c>
      <c r="J11">
        <v>24.129754670000001</v>
      </c>
      <c r="K11">
        <v>56.624796359941399</v>
      </c>
      <c r="L11">
        <v>9</v>
      </c>
      <c r="M11" t="s">
        <v>8</v>
      </c>
      <c r="N11">
        <v>20</v>
      </c>
      <c r="O11" t="e">
        <v>#N/A</v>
      </c>
      <c r="P11">
        <v>1533.1411415499999</v>
      </c>
      <c r="Q11">
        <v>2</v>
      </c>
      <c r="R11" t="e">
        <v>#N/A</v>
      </c>
      <c r="S11">
        <v>-9.5574569999999994</v>
      </c>
      <c r="T11">
        <v>4</v>
      </c>
      <c r="U11">
        <v>11.968528529999999</v>
      </c>
      <c r="V11">
        <v>1535.5522130799998</v>
      </c>
    </row>
    <row r="12" spans="1:22" x14ac:dyDescent="0.3">
      <c r="A12">
        <v>10</v>
      </c>
      <c r="B12" t="s">
        <v>87</v>
      </c>
      <c r="C12">
        <v>106</v>
      </c>
      <c r="D12" t="e">
        <v>#N/A</v>
      </c>
      <c r="E12">
        <v>21.54454192</v>
      </c>
      <c r="F12">
        <v>24</v>
      </c>
      <c r="G12" t="e">
        <v>#N/A</v>
      </c>
      <c r="H12">
        <v>28.031444125</v>
      </c>
      <c r="I12">
        <v>113</v>
      </c>
      <c r="J12">
        <v>23.065518329999996</v>
      </c>
      <c r="K12">
        <v>72.641504374999997</v>
      </c>
      <c r="L12">
        <v>10</v>
      </c>
      <c r="M12" t="s">
        <v>9</v>
      </c>
      <c r="N12">
        <v>14</v>
      </c>
      <c r="O12" t="e">
        <v>#N/A</v>
      </c>
      <c r="P12">
        <v>85.18</v>
      </c>
      <c r="Q12">
        <v>13</v>
      </c>
      <c r="R12" t="e">
        <v>#N/A</v>
      </c>
      <c r="S12">
        <v>283.625061625</v>
      </c>
      <c r="T12">
        <v>0</v>
      </c>
      <c r="U12">
        <v>0</v>
      </c>
      <c r="V12">
        <v>368.80506162500001</v>
      </c>
    </row>
    <row r="13" spans="1:22" x14ac:dyDescent="0.3">
      <c r="A13">
        <v>11</v>
      </c>
      <c r="B13" t="s">
        <v>88</v>
      </c>
      <c r="C13">
        <v>35</v>
      </c>
      <c r="D13" t="e">
        <v>#N/A</v>
      </c>
      <c r="E13">
        <v>16.934717329999998</v>
      </c>
      <c r="F13">
        <v>9</v>
      </c>
      <c r="G13" t="e">
        <v>#N/A</v>
      </c>
      <c r="H13">
        <v>2.8474059999999999</v>
      </c>
      <c r="I13">
        <v>29</v>
      </c>
      <c r="J13">
        <v>42.375662480000003</v>
      </c>
      <c r="K13">
        <v>62.15778581</v>
      </c>
      <c r="L13">
        <v>11</v>
      </c>
      <c r="M13" t="s">
        <v>10</v>
      </c>
      <c r="N13">
        <v>59</v>
      </c>
      <c r="O13" t="e">
        <v>#N/A</v>
      </c>
      <c r="P13">
        <v>273.47797200000002</v>
      </c>
      <c r="Q13">
        <v>46</v>
      </c>
      <c r="R13" t="e">
        <v>#N/A</v>
      </c>
      <c r="S13">
        <v>108.28722462011719</v>
      </c>
      <c r="T13">
        <v>25</v>
      </c>
      <c r="U13">
        <v>11.559325130000003</v>
      </c>
      <c r="V13">
        <v>393.32452175011719</v>
      </c>
    </row>
    <row r="14" spans="1:22" x14ac:dyDescent="0.3">
      <c r="A14">
        <v>12</v>
      </c>
      <c r="B14" t="s">
        <v>89</v>
      </c>
      <c r="C14">
        <v>2</v>
      </c>
      <c r="D14" t="e">
        <v>#N/A</v>
      </c>
      <c r="E14">
        <v>0.27500000000000002</v>
      </c>
      <c r="F14">
        <v>2</v>
      </c>
      <c r="G14" t="e">
        <v>#N/A</v>
      </c>
      <c r="H14">
        <v>160</v>
      </c>
      <c r="I14">
        <v>6</v>
      </c>
      <c r="J14">
        <v>0.53486009000000001</v>
      </c>
      <c r="K14">
        <v>160.80986009</v>
      </c>
      <c r="L14">
        <v>12</v>
      </c>
      <c r="M14" t="s">
        <v>11</v>
      </c>
      <c r="N14">
        <v>30</v>
      </c>
      <c r="O14" t="e">
        <v>#N/A</v>
      </c>
      <c r="P14">
        <v>115.34</v>
      </c>
      <c r="Q14">
        <v>8</v>
      </c>
      <c r="R14" t="e">
        <v>#N/A</v>
      </c>
      <c r="S14">
        <v>32.478000000000002</v>
      </c>
      <c r="T14">
        <v>17</v>
      </c>
      <c r="U14">
        <v>2.7905917399999995</v>
      </c>
      <c r="V14">
        <v>150.60859174000001</v>
      </c>
    </row>
    <row r="15" spans="1:22" x14ac:dyDescent="0.3">
      <c r="A15">
        <v>13</v>
      </c>
      <c r="B15" t="s">
        <v>90</v>
      </c>
      <c r="C15">
        <v>19</v>
      </c>
      <c r="D15" t="e">
        <v>#N/A</v>
      </c>
      <c r="E15">
        <v>18.3862329</v>
      </c>
      <c r="F15">
        <v>4</v>
      </c>
      <c r="G15" t="e">
        <v>#N/A</v>
      </c>
      <c r="H15">
        <v>2.9141694999999999</v>
      </c>
      <c r="I15">
        <v>15</v>
      </c>
      <c r="J15">
        <v>2.2906955999999989</v>
      </c>
      <c r="K15">
        <v>23.591097999999999</v>
      </c>
      <c r="L15">
        <v>13</v>
      </c>
      <c r="M15" t="s">
        <v>12</v>
      </c>
      <c r="N15">
        <v>10</v>
      </c>
      <c r="O15" t="e">
        <v>#N/A</v>
      </c>
      <c r="P15">
        <v>482.85700000000003</v>
      </c>
      <c r="Q15">
        <v>12</v>
      </c>
      <c r="R15" t="e">
        <v>#N/A</v>
      </c>
      <c r="S15">
        <v>62.870876500000001</v>
      </c>
      <c r="T15">
        <v>2</v>
      </c>
      <c r="U15">
        <v>0.78406619999999994</v>
      </c>
      <c r="V15">
        <v>546.51194269999996</v>
      </c>
    </row>
    <row r="16" spans="1:22" x14ac:dyDescent="0.3">
      <c r="A16">
        <v>14</v>
      </c>
      <c r="B16" t="s">
        <v>91</v>
      </c>
      <c r="C16">
        <v>1</v>
      </c>
      <c r="D16" t="e">
        <v>#N/A</v>
      </c>
      <c r="E16">
        <v>2.4679E-2</v>
      </c>
      <c r="F16">
        <v>2</v>
      </c>
      <c r="G16" t="e">
        <v>#N/A</v>
      </c>
      <c r="H16">
        <v>-109.061249</v>
      </c>
      <c r="I16">
        <v>1</v>
      </c>
      <c r="J16">
        <v>2.5</v>
      </c>
      <c r="K16">
        <v>-106.53657</v>
      </c>
      <c r="L16">
        <v>14</v>
      </c>
      <c r="M16" t="s">
        <v>13</v>
      </c>
      <c r="N16">
        <v>19</v>
      </c>
      <c r="O16" t="e">
        <v>#N/A</v>
      </c>
      <c r="P16">
        <v>70.929241000000005</v>
      </c>
      <c r="Q16">
        <v>2</v>
      </c>
      <c r="R16" t="e">
        <v>#N/A</v>
      </c>
      <c r="S16">
        <v>94.77</v>
      </c>
      <c r="T16">
        <v>2</v>
      </c>
      <c r="U16">
        <v>1.3528713900000002</v>
      </c>
      <c r="V16">
        <v>167.05211238999999</v>
      </c>
    </row>
    <row r="17" spans="1:22" x14ac:dyDescent="0.3">
      <c r="A17">
        <v>15</v>
      </c>
      <c r="B17" t="s">
        <v>92</v>
      </c>
      <c r="C17">
        <v>0</v>
      </c>
      <c r="D17" t="e">
        <v>#N/A</v>
      </c>
      <c r="E17">
        <v>0</v>
      </c>
      <c r="F17">
        <v>2</v>
      </c>
      <c r="G17" t="e">
        <v>#N/A</v>
      </c>
      <c r="H17">
        <v>0.75862099999999999</v>
      </c>
      <c r="I17">
        <v>8</v>
      </c>
      <c r="J17">
        <v>18.310070900000003</v>
      </c>
      <c r="K17">
        <v>19.068691900000005</v>
      </c>
      <c r="L17">
        <v>15</v>
      </c>
      <c r="M17" t="s">
        <v>14</v>
      </c>
      <c r="N17">
        <v>36</v>
      </c>
      <c r="O17" t="e">
        <v>#N/A</v>
      </c>
      <c r="P17">
        <v>23.474592000000001</v>
      </c>
      <c r="Q17">
        <v>14</v>
      </c>
      <c r="R17" t="e">
        <v>#N/A</v>
      </c>
      <c r="S17">
        <v>3.7905000000000001E-2</v>
      </c>
      <c r="T17">
        <v>7</v>
      </c>
      <c r="U17">
        <v>0.72645536000000011</v>
      </c>
      <c r="V17">
        <v>24.238952359999999</v>
      </c>
    </row>
    <row r="18" spans="1:22" x14ac:dyDescent="0.3">
      <c r="A18">
        <v>16</v>
      </c>
      <c r="B18" t="s">
        <v>93</v>
      </c>
      <c r="C18">
        <v>0</v>
      </c>
      <c r="D18" t="e">
        <v>#N/A</v>
      </c>
      <c r="E18">
        <v>0</v>
      </c>
      <c r="F18">
        <v>1</v>
      </c>
      <c r="G18" t="e">
        <v>#N/A</v>
      </c>
      <c r="H18">
        <v>0.22500000000000001</v>
      </c>
      <c r="I18">
        <v>1</v>
      </c>
      <c r="J18">
        <v>0.54998999999999998</v>
      </c>
      <c r="K18">
        <v>0.77498999999999996</v>
      </c>
      <c r="L18">
        <v>16</v>
      </c>
      <c r="M18" t="s">
        <v>15</v>
      </c>
      <c r="N18">
        <v>32</v>
      </c>
      <c r="O18" t="e">
        <v>#N/A</v>
      </c>
      <c r="P18">
        <v>543.78744800000004</v>
      </c>
      <c r="Q18">
        <v>22</v>
      </c>
      <c r="R18" t="e">
        <v>#N/A</v>
      </c>
      <c r="S18">
        <v>-29.109233</v>
      </c>
      <c r="T18">
        <v>9</v>
      </c>
      <c r="U18">
        <v>1.7362263600000001</v>
      </c>
      <c r="V18">
        <v>516.41444136000007</v>
      </c>
    </row>
    <row r="19" spans="1:22" x14ac:dyDescent="0.3">
      <c r="A19">
        <v>17</v>
      </c>
      <c r="B19" t="s">
        <v>94</v>
      </c>
      <c r="C19">
        <v>3</v>
      </c>
      <c r="D19" t="e">
        <v>#N/A</v>
      </c>
      <c r="E19">
        <v>5.6974761199999993</v>
      </c>
      <c r="F19">
        <v>0</v>
      </c>
      <c r="G19" t="e">
        <v>#N/A</v>
      </c>
      <c r="H19">
        <v>0</v>
      </c>
      <c r="I19">
        <v>3</v>
      </c>
      <c r="J19">
        <v>0.58616299999999999</v>
      </c>
      <c r="K19">
        <v>6.2836391199999992</v>
      </c>
      <c r="L19">
        <v>17</v>
      </c>
      <c r="M19" t="s">
        <v>16</v>
      </c>
      <c r="N19">
        <v>10</v>
      </c>
      <c r="O19" t="e">
        <v>#N/A</v>
      </c>
      <c r="P19">
        <v>42.608328390000004</v>
      </c>
      <c r="Q19">
        <v>22</v>
      </c>
      <c r="R19" t="e">
        <v>#N/A</v>
      </c>
      <c r="S19">
        <v>50.849106726562503</v>
      </c>
      <c r="T19">
        <v>5</v>
      </c>
      <c r="U19">
        <v>4.3655520700000006</v>
      </c>
      <c r="V19">
        <v>97.822987186562514</v>
      </c>
    </row>
    <row r="20" spans="1:22" x14ac:dyDescent="0.3">
      <c r="A20">
        <v>18</v>
      </c>
      <c r="B20" t="s">
        <v>95</v>
      </c>
      <c r="C20">
        <v>3</v>
      </c>
      <c r="D20" t="e">
        <v>#N/A</v>
      </c>
      <c r="E20">
        <v>1.986645</v>
      </c>
      <c r="F20">
        <v>1</v>
      </c>
      <c r="G20" t="e">
        <v>#N/A</v>
      </c>
      <c r="H20">
        <v>0.06</v>
      </c>
      <c r="I20">
        <v>8</v>
      </c>
      <c r="J20">
        <v>31.960474630000004</v>
      </c>
      <c r="K20">
        <v>34.007119630000005</v>
      </c>
      <c r="L20">
        <v>18</v>
      </c>
      <c r="M20" t="s">
        <v>17</v>
      </c>
      <c r="N20">
        <v>3</v>
      </c>
      <c r="O20" t="e">
        <v>#N/A</v>
      </c>
      <c r="P20">
        <v>24</v>
      </c>
      <c r="Q20">
        <v>3</v>
      </c>
      <c r="R20" t="e">
        <v>#N/A</v>
      </c>
      <c r="S20">
        <v>13.12</v>
      </c>
      <c r="T20">
        <v>1</v>
      </c>
      <c r="U20">
        <v>8.238928999999999E-2</v>
      </c>
      <c r="V20">
        <v>37.202389289999999</v>
      </c>
    </row>
    <row r="21" spans="1:22" x14ac:dyDescent="0.3">
      <c r="A21">
        <v>19</v>
      </c>
      <c r="B21" t="s">
        <v>96</v>
      </c>
      <c r="C21" t="e">
        <v>#N/A</v>
      </c>
      <c r="D21" t="e">
        <v>#N/A</v>
      </c>
      <c r="E21" t="e">
        <v>#N/A</v>
      </c>
      <c r="F21" t="e">
        <v>#N/A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L21">
        <v>19</v>
      </c>
      <c r="M21" t="s">
        <v>18</v>
      </c>
      <c r="N21">
        <v>15</v>
      </c>
      <c r="O21" t="e">
        <v>#N/A</v>
      </c>
      <c r="P21">
        <v>183.90543700000001</v>
      </c>
      <c r="Q21">
        <v>1</v>
      </c>
      <c r="R21" t="e">
        <v>#N/A</v>
      </c>
      <c r="S21">
        <v>0.5</v>
      </c>
      <c r="T21">
        <v>1</v>
      </c>
      <c r="U21">
        <v>0.57509600000000005</v>
      </c>
      <c r="V21">
        <v>184.98053300000001</v>
      </c>
    </row>
    <row r="22" spans="1:22" x14ac:dyDescent="0.3">
      <c r="A22" t="s">
        <v>97</v>
      </c>
      <c r="C22">
        <v>1538</v>
      </c>
      <c r="D22">
        <v>0</v>
      </c>
      <c r="E22">
        <v>9536.7541051500011</v>
      </c>
      <c r="F22">
        <v>592</v>
      </c>
      <c r="G22">
        <v>0</v>
      </c>
      <c r="H22">
        <v>3950.3507291324404</v>
      </c>
      <c r="I22">
        <v>1420</v>
      </c>
      <c r="J22">
        <v>1698.1133495698693</v>
      </c>
      <c r="K22">
        <v>15185.218183852312</v>
      </c>
      <c r="L22">
        <v>20</v>
      </c>
      <c r="M22" t="s">
        <v>19</v>
      </c>
      <c r="N22">
        <v>12</v>
      </c>
      <c r="O22" t="e">
        <v>#N/A</v>
      </c>
      <c r="P22">
        <v>71.133335000000002</v>
      </c>
      <c r="Q22">
        <v>7</v>
      </c>
      <c r="R22" t="e">
        <v>#N/A</v>
      </c>
      <c r="S22">
        <v>-0.14522237499999999</v>
      </c>
      <c r="T22">
        <v>1</v>
      </c>
      <c r="U22">
        <v>0.64991876000000004</v>
      </c>
      <c r="V22">
        <v>71.638031385000005</v>
      </c>
    </row>
    <row r="23" spans="1:22" x14ac:dyDescent="0.3">
      <c r="L23">
        <v>21</v>
      </c>
      <c r="M23" t="s">
        <v>20</v>
      </c>
      <c r="N23">
        <v>8</v>
      </c>
      <c r="O23" t="e">
        <v>#N/A</v>
      </c>
      <c r="P23">
        <v>33.167254999999997</v>
      </c>
      <c r="Q23">
        <v>0</v>
      </c>
      <c r="R23" t="e">
        <v>#N/A</v>
      </c>
      <c r="S23">
        <v>0</v>
      </c>
      <c r="T23">
        <v>3</v>
      </c>
      <c r="U23">
        <v>0.29403319</v>
      </c>
      <c r="V23">
        <v>33.461288189999998</v>
      </c>
    </row>
    <row r="24" spans="1:22" x14ac:dyDescent="0.3">
      <c r="L24">
        <v>22</v>
      </c>
      <c r="M24" t="s">
        <v>21</v>
      </c>
      <c r="N24">
        <v>3</v>
      </c>
      <c r="O24" t="e">
        <v>#N/A</v>
      </c>
      <c r="P24">
        <v>48</v>
      </c>
      <c r="Q24">
        <v>3</v>
      </c>
      <c r="R24" t="e">
        <v>#N/A</v>
      </c>
      <c r="S24">
        <v>45.968938000000001</v>
      </c>
      <c r="T24">
        <v>0</v>
      </c>
      <c r="U24">
        <v>0</v>
      </c>
      <c r="V24">
        <v>93.968938000000009</v>
      </c>
    </row>
    <row r="25" spans="1:22" x14ac:dyDescent="0.3">
      <c r="L25">
        <v>23</v>
      </c>
      <c r="M25" t="s">
        <v>22</v>
      </c>
      <c r="N25">
        <v>23</v>
      </c>
      <c r="O25" t="e">
        <v>#N/A</v>
      </c>
      <c r="P25">
        <v>1357.9683279999999</v>
      </c>
      <c r="Q25">
        <v>3</v>
      </c>
      <c r="R25" t="e">
        <v>#N/A</v>
      </c>
      <c r="S25">
        <v>3.6710379999999998</v>
      </c>
      <c r="T25">
        <v>1</v>
      </c>
      <c r="U25">
        <v>6.6791000000000003E-2</v>
      </c>
      <c r="V25">
        <v>1361.7061569999998</v>
      </c>
    </row>
    <row r="26" spans="1:22" x14ac:dyDescent="0.3">
      <c r="L26">
        <v>24</v>
      </c>
      <c r="M26" t="s">
        <v>23</v>
      </c>
      <c r="N26">
        <v>1</v>
      </c>
      <c r="O26" t="e">
        <v>#N/A</v>
      </c>
      <c r="P26">
        <v>2.7445520000000001</v>
      </c>
      <c r="Q26">
        <v>0</v>
      </c>
      <c r="R26" t="e">
        <v>#N/A</v>
      </c>
      <c r="S26">
        <v>0</v>
      </c>
      <c r="T26">
        <v>0</v>
      </c>
      <c r="U26">
        <v>0</v>
      </c>
      <c r="V26">
        <v>2.7445520000000001</v>
      </c>
    </row>
    <row r="27" spans="1:22" x14ac:dyDescent="0.3">
      <c r="L27">
        <v>25</v>
      </c>
      <c r="M27" t="s">
        <v>24</v>
      </c>
      <c r="N27">
        <v>1</v>
      </c>
      <c r="O27" t="e">
        <v>#N/A</v>
      </c>
      <c r="P27">
        <v>11</v>
      </c>
      <c r="Q27">
        <v>0</v>
      </c>
      <c r="R27" t="e">
        <v>#N/A</v>
      </c>
      <c r="S27">
        <v>0</v>
      </c>
      <c r="T27">
        <v>28</v>
      </c>
      <c r="U27">
        <v>26.314522069999999</v>
      </c>
      <c r="V27">
        <v>37.314522069999995</v>
      </c>
    </row>
    <row r="28" spans="1:22" x14ac:dyDescent="0.3">
      <c r="L28">
        <v>26</v>
      </c>
      <c r="M28" t="s">
        <v>25</v>
      </c>
      <c r="N28">
        <v>6</v>
      </c>
      <c r="O28" t="e">
        <v>#N/A</v>
      </c>
      <c r="P28">
        <v>87.061284999999998</v>
      </c>
      <c r="Q28">
        <v>1</v>
      </c>
      <c r="R28" t="e">
        <v>#N/A</v>
      </c>
      <c r="S28">
        <v>1.0004189999999999</v>
      </c>
      <c r="T28">
        <v>1</v>
      </c>
      <c r="U28">
        <v>8.4109800000000002E-3</v>
      </c>
      <c r="V28">
        <v>88.070114979999985</v>
      </c>
    </row>
    <row r="29" spans="1:22" x14ac:dyDescent="0.3">
      <c r="L29">
        <v>27</v>
      </c>
      <c r="M29" t="s">
        <v>26</v>
      </c>
      <c r="N29">
        <v>0</v>
      </c>
      <c r="O29" t="e">
        <v>#N/A</v>
      </c>
      <c r="P29">
        <v>0</v>
      </c>
      <c r="Q29">
        <v>1</v>
      </c>
      <c r="R29" t="e">
        <v>#N/A</v>
      </c>
      <c r="S29">
        <v>3.5</v>
      </c>
      <c r="T29">
        <v>2</v>
      </c>
      <c r="U29">
        <v>2.8510760000000003E-2</v>
      </c>
      <c r="V29">
        <v>3.5285107600000001</v>
      </c>
    </row>
    <row r="30" spans="1:22" x14ac:dyDescent="0.3">
      <c r="L30">
        <v>28</v>
      </c>
      <c r="M30" t="s">
        <v>27</v>
      </c>
      <c r="N30">
        <v>1</v>
      </c>
      <c r="O30" t="e">
        <v>#N/A</v>
      </c>
      <c r="P30">
        <v>1.2788809999999999</v>
      </c>
      <c r="Q30">
        <v>5</v>
      </c>
      <c r="R30" t="e">
        <v>#N/A</v>
      </c>
      <c r="S30">
        <v>3.8270101845703124</v>
      </c>
      <c r="T30">
        <v>0</v>
      </c>
      <c r="U30">
        <v>0</v>
      </c>
      <c r="V30">
        <v>5.1058911845703125</v>
      </c>
    </row>
    <row r="31" spans="1:22" x14ac:dyDescent="0.3">
      <c r="L31">
        <v>29</v>
      </c>
      <c r="M31" t="s">
        <v>28</v>
      </c>
      <c r="N31">
        <v>4</v>
      </c>
      <c r="O31" t="e">
        <v>#N/A</v>
      </c>
      <c r="P31">
        <v>31.390045000000001</v>
      </c>
      <c r="Q31">
        <v>0</v>
      </c>
      <c r="R31" t="e">
        <v>#N/A</v>
      </c>
      <c r="S31">
        <v>0</v>
      </c>
      <c r="T31">
        <v>0</v>
      </c>
      <c r="U31">
        <v>0</v>
      </c>
      <c r="V31">
        <v>31.390045000000001</v>
      </c>
    </row>
    <row r="32" spans="1:22" x14ac:dyDescent="0.3">
      <c r="L32">
        <v>30</v>
      </c>
      <c r="M32" t="s">
        <v>29</v>
      </c>
      <c r="N32">
        <v>2</v>
      </c>
      <c r="O32" t="e">
        <v>#N/A</v>
      </c>
      <c r="P32">
        <v>14.107623</v>
      </c>
      <c r="Q32">
        <v>3</v>
      </c>
      <c r="R32" t="e">
        <v>#N/A</v>
      </c>
      <c r="S32">
        <v>34.401000000000003</v>
      </c>
      <c r="T32">
        <v>0</v>
      </c>
      <c r="U32">
        <v>0</v>
      </c>
      <c r="V32">
        <v>48.508623</v>
      </c>
    </row>
    <row r="33" spans="12:22" x14ac:dyDescent="0.3">
      <c r="L33">
        <v>31</v>
      </c>
      <c r="M33" t="s">
        <v>30</v>
      </c>
      <c r="N33">
        <v>1</v>
      </c>
      <c r="O33" t="e">
        <v>#N/A</v>
      </c>
      <c r="P33">
        <v>2.5000000000000001E-2</v>
      </c>
      <c r="Q33">
        <v>1</v>
      </c>
      <c r="R33" t="e">
        <v>#N/A</v>
      </c>
      <c r="S33">
        <v>17.415216000000001</v>
      </c>
      <c r="T33">
        <v>3</v>
      </c>
      <c r="U33">
        <v>28.769325210000002</v>
      </c>
      <c r="V33">
        <v>46.209541209999998</v>
      </c>
    </row>
    <row r="34" spans="12:22" x14ac:dyDescent="0.3">
      <c r="L34">
        <v>32</v>
      </c>
      <c r="M34" t="s">
        <v>31</v>
      </c>
      <c r="N34">
        <v>1</v>
      </c>
      <c r="O34" t="e">
        <v>#N/A</v>
      </c>
      <c r="P34">
        <v>4.96</v>
      </c>
      <c r="Q34">
        <v>1</v>
      </c>
      <c r="R34" t="e">
        <v>#N/A</v>
      </c>
      <c r="S34">
        <v>16</v>
      </c>
      <c r="T34">
        <v>0</v>
      </c>
      <c r="U34">
        <v>0</v>
      </c>
      <c r="V34">
        <v>20.96</v>
      </c>
    </row>
    <row r="35" spans="12:22" x14ac:dyDescent="0.3">
      <c r="L35">
        <v>33</v>
      </c>
      <c r="M35" t="s">
        <v>32</v>
      </c>
      <c r="N35">
        <v>0</v>
      </c>
      <c r="O35" t="e">
        <v>#N/A</v>
      </c>
      <c r="P35">
        <v>0</v>
      </c>
      <c r="Q35">
        <v>1</v>
      </c>
      <c r="R35" t="e">
        <v>#N/A</v>
      </c>
      <c r="S35">
        <v>16.502124999999999</v>
      </c>
      <c r="T35">
        <v>0</v>
      </c>
      <c r="U35">
        <v>0</v>
      </c>
      <c r="V35">
        <v>16.502124999999999</v>
      </c>
    </row>
    <row r="36" spans="12:22" x14ac:dyDescent="0.3">
      <c r="L36">
        <v>34</v>
      </c>
      <c r="M36" t="s">
        <v>33</v>
      </c>
      <c r="N36">
        <v>0</v>
      </c>
      <c r="O36" t="e">
        <v>#N/A</v>
      </c>
      <c r="P36">
        <v>0</v>
      </c>
      <c r="Q36">
        <v>0</v>
      </c>
      <c r="R36" t="e">
        <v>#N/A</v>
      </c>
      <c r="S36">
        <v>0</v>
      </c>
      <c r="T36">
        <v>1</v>
      </c>
      <c r="U36">
        <v>5.0544480000000003E-2</v>
      </c>
      <c r="V36">
        <v>5.0544480000000003E-2</v>
      </c>
    </row>
    <row r="37" spans="12:22" x14ac:dyDescent="0.3">
      <c r="L37">
        <v>35</v>
      </c>
      <c r="M37" t="s">
        <v>34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t="e">
        <v>#N/A</v>
      </c>
    </row>
    <row r="38" spans="12:22" x14ac:dyDescent="0.3">
      <c r="L38">
        <v>36</v>
      </c>
      <c r="M38" t="s">
        <v>35</v>
      </c>
      <c r="N38">
        <v>1</v>
      </c>
      <c r="O38" t="e">
        <v>#N/A</v>
      </c>
      <c r="P38">
        <v>2.4175</v>
      </c>
      <c r="Q38">
        <v>0</v>
      </c>
      <c r="R38" t="e">
        <v>#N/A</v>
      </c>
      <c r="S38">
        <v>0</v>
      </c>
      <c r="T38">
        <v>0</v>
      </c>
      <c r="U38">
        <v>0</v>
      </c>
      <c r="V38">
        <v>2.4175</v>
      </c>
    </row>
    <row r="39" spans="12:22" x14ac:dyDescent="0.3">
      <c r="L39">
        <v>37</v>
      </c>
      <c r="M39" t="s">
        <v>36</v>
      </c>
      <c r="N39">
        <v>1</v>
      </c>
      <c r="O39" t="e">
        <v>#N/A</v>
      </c>
      <c r="P39">
        <v>0.15</v>
      </c>
      <c r="Q39">
        <v>0</v>
      </c>
      <c r="R39" t="e">
        <v>#N/A</v>
      </c>
      <c r="S39">
        <v>0</v>
      </c>
      <c r="T39">
        <v>0</v>
      </c>
      <c r="U39">
        <v>0</v>
      </c>
      <c r="V39">
        <v>0.15</v>
      </c>
    </row>
    <row r="40" spans="12:22" x14ac:dyDescent="0.3">
      <c r="L40">
        <v>38</v>
      </c>
      <c r="M40" t="s">
        <v>37</v>
      </c>
      <c r="N40">
        <v>1</v>
      </c>
      <c r="O40" t="e">
        <v>#N/A</v>
      </c>
      <c r="P40">
        <v>0.15</v>
      </c>
      <c r="Q40">
        <v>0</v>
      </c>
      <c r="R40" t="e">
        <v>#N/A</v>
      </c>
      <c r="S40">
        <v>0</v>
      </c>
      <c r="T40">
        <v>4</v>
      </c>
      <c r="U40">
        <v>0.10593225000000001</v>
      </c>
      <c r="V40">
        <v>0.25593224999999997</v>
      </c>
    </row>
    <row r="41" spans="12:22" x14ac:dyDescent="0.3">
      <c r="L41">
        <v>39</v>
      </c>
      <c r="M41" t="s">
        <v>38</v>
      </c>
      <c r="N41">
        <v>17</v>
      </c>
      <c r="O41" t="e">
        <v>#N/A</v>
      </c>
      <c r="P41">
        <v>396.58859899999999</v>
      </c>
      <c r="Q41">
        <v>2</v>
      </c>
      <c r="R41" t="e">
        <v>#N/A</v>
      </c>
      <c r="S41">
        <v>5</v>
      </c>
      <c r="T41">
        <v>1</v>
      </c>
      <c r="U41">
        <v>3.5620550000000001E-2</v>
      </c>
      <c r="V41">
        <v>401.62421954999996</v>
      </c>
    </row>
    <row r="42" spans="12:22" x14ac:dyDescent="0.3">
      <c r="L42">
        <v>40</v>
      </c>
      <c r="M42" t="s">
        <v>39</v>
      </c>
      <c r="N42">
        <v>0</v>
      </c>
      <c r="O42" t="e">
        <v>#N/A</v>
      </c>
      <c r="P42">
        <v>0</v>
      </c>
      <c r="Q42">
        <v>0</v>
      </c>
      <c r="R42" t="e">
        <v>#N/A</v>
      </c>
      <c r="S42">
        <v>0</v>
      </c>
      <c r="T42">
        <v>2</v>
      </c>
      <c r="U42">
        <v>0.58982199999999996</v>
      </c>
      <c r="V42">
        <v>0.58982199999999996</v>
      </c>
    </row>
    <row r="43" spans="12:22" x14ac:dyDescent="0.3">
      <c r="L43">
        <v>41</v>
      </c>
      <c r="M43" t="s">
        <v>40</v>
      </c>
      <c r="N43">
        <v>14</v>
      </c>
      <c r="O43" t="e">
        <v>#N/A</v>
      </c>
      <c r="P43">
        <v>136.451065</v>
      </c>
      <c r="Q43">
        <v>8</v>
      </c>
      <c r="R43" t="e">
        <v>#N/A</v>
      </c>
      <c r="S43">
        <v>-20.358521</v>
      </c>
      <c r="T43">
        <v>1</v>
      </c>
      <c r="U43">
        <v>2.2179999999999998E-2</v>
      </c>
      <c r="V43">
        <v>116.11472400000001</v>
      </c>
    </row>
    <row r="44" spans="12:22" x14ac:dyDescent="0.3">
      <c r="L44">
        <v>42</v>
      </c>
      <c r="M44" t="s">
        <v>41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 t="e">
        <v>#N/A</v>
      </c>
    </row>
    <row r="45" spans="12:22" x14ac:dyDescent="0.3">
      <c r="L45">
        <v>43</v>
      </c>
      <c r="M45" t="s">
        <v>42</v>
      </c>
      <c r="N45">
        <v>0</v>
      </c>
      <c r="O45" t="e">
        <v>#N/A</v>
      </c>
      <c r="P45">
        <v>0</v>
      </c>
      <c r="Q45">
        <v>0</v>
      </c>
      <c r="R45" t="e">
        <v>#N/A</v>
      </c>
      <c r="S45">
        <v>0</v>
      </c>
      <c r="T45">
        <v>1</v>
      </c>
      <c r="U45">
        <v>5.6847754500000001</v>
      </c>
      <c r="V45">
        <v>5.6847754500000001</v>
      </c>
    </row>
    <row r="46" spans="12:22" x14ac:dyDescent="0.3">
      <c r="L46">
        <v>44</v>
      </c>
      <c r="M46" t="s">
        <v>43</v>
      </c>
      <c r="N46">
        <v>0</v>
      </c>
      <c r="O46" t="e">
        <v>#N/A</v>
      </c>
      <c r="P46">
        <v>0</v>
      </c>
      <c r="Q46">
        <v>0</v>
      </c>
      <c r="R46" t="e">
        <v>#N/A</v>
      </c>
      <c r="S46">
        <v>0</v>
      </c>
      <c r="T46">
        <v>1</v>
      </c>
      <c r="U46">
        <v>4.0000000000000001E-3</v>
      </c>
      <c r="V46">
        <v>4.0000000000000001E-3</v>
      </c>
    </row>
    <row r="47" spans="12:22" x14ac:dyDescent="0.3">
      <c r="L47">
        <v>45</v>
      </c>
      <c r="M47" t="s">
        <v>44</v>
      </c>
      <c r="N47">
        <v>2</v>
      </c>
      <c r="O47" t="e">
        <v>#N/A</v>
      </c>
      <c r="P47">
        <v>4.4690000000000003</v>
      </c>
      <c r="Q47">
        <v>0</v>
      </c>
      <c r="R47" t="e">
        <v>#N/A</v>
      </c>
      <c r="S47">
        <v>0</v>
      </c>
      <c r="T47">
        <v>0</v>
      </c>
      <c r="U47">
        <v>0</v>
      </c>
      <c r="V47">
        <v>4.4690000000000003</v>
      </c>
    </row>
    <row r="48" spans="12:22" x14ac:dyDescent="0.3">
      <c r="L48">
        <v>46</v>
      </c>
      <c r="M48" t="s">
        <v>45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T48" t="e">
        <v>#N/A</v>
      </c>
      <c r="U48" t="e">
        <v>#N/A</v>
      </c>
      <c r="V48" t="e">
        <v>#N/A</v>
      </c>
    </row>
    <row r="49" spans="12:23" x14ac:dyDescent="0.3">
      <c r="L49">
        <v>47</v>
      </c>
      <c r="M49" t="s">
        <v>46</v>
      </c>
      <c r="N49">
        <v>1</v>
      </c>
      <c r="O49" t="e">
        <v>#N/A</v>
      </c>
      <c r="P49">
        <v>6.6</v>
      </c>
      <c r="Q49">
        <v>1</v>
      </c>
      <c r="R49" t="e">
        <v>#N/A</v>
      </c>
      <c r="S49">
        <v>1</v>
      </c>
      <c r="T49">
        <v>2</v>
      </c>
      <c r="U49">
        <v>1.4473818799999998</v>
      </c>
      <c r="V49">
        <v>9.0473818799999997</v>
      </c>
    </row>
    <row r="50" spans="12:23" x14ac:dyDescent="0.3">
      <c r="L50">
        <v>48</v>
      </c>
      <c r="M50" t="s">
        <v>47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 t="e">
        <v>#N/A</v>
      </c>
    </row>
    <row r="51" spans="12:23" x14ac:dyDescent="0.3">
      <c r="L51">
        <v>49</v>
      </c>
      <c r="M51" t="s">
        <v>48</v>
      </c>
      <c r="N51">
        <v>3</v>
      </c>
      <c r="O51" t="e">
        <v>#N/A</v>
      </c>
      <c r="P51">
        <v>131.64166399999999</v>
      </c>
      <c r="Q51">
        <v>0</v>
      </c>
      <c r="R51" t="e">
        <v>#N/A</v>
      </c>
      <c r="S51">
        <v>0</v>
      </c>
      <c r="T51">
        <v>3</v>
      </c>
      <c r="U51">
        <v>1.400954</v>
      </c>
      <c r="V51">
        <v>133.042618</v>
      </c>
    </row>
    <row r="52" spans="12:23" x14ac:dyDescent="0.3">
      <c r="L52">
        <v>50</v>
      </c>
      <c r="M52" t="s">
        <v>49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 t="e">
        <v>#N/A</v>
      </c>
    </row>
    <row r="53" spans="12:23" x14ac:dyDescent="0.3">
      <c r="L53">
        <v>51</v>
      </c>
      <c r="M53" t="s">
        <v>50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</row>
    <row r="54" spans="12:23" x14ac:dyDescent="0.3">
      <c r="L54">
        <v>52</v>
      </c>
      <c r="M54" t="s">
        <v>51</v>
      </c>
      <c r="N54">
        <v>2</v>
      </c>
      <c r="O54" t="e">
        <v>#N/A</v>
      </c>
      <c r="P54">
        <v>10.6753991</v>
      </c>
      <c r="Q54">
        <v>1</v>
      </c>
      <c r="R54" t="e">
        <v>#N/A</v>
      </c>
      <c r="S54">
        <v>5.686744</v>
      </c>
      <c r="T54">
        <v>2</v>
      </c>
      <c r="U54">
        <v>0.3125</v>
      </c>
      <c r="V54">
        <v>16.674643100000001</v>
      </c>
    </row>
    <row r="55" spans="12:23" x14ac:dyDescent="0.3">
      <c r="L55">
        <v>53</v>
      </c>
      <c r="M55" t="s">
        <v>52</v>
      </c>
      <c r="N55" t="e">
        <v>#N/A</v>
      </c>
      <c r="O55" t="e">
        <v>#N/A</v>
      </c>
      <c r="P55" t="e">
        <v>#N/A</v>
      </c>
      <c r="Q55" t="e">
        <v>#N/A</v>
      </c>
      <c r="R55" t="e">
        <v>#N/A</v>
      </c>
      <c r="S55" t="e">
        <v>#N/A</v>
      </c>
      <c r="T55" t="e">
        <v>#N/A</v>
      </c>
      <c r="U55" t="e">
        <v>#N/A</v>
      </c>
      <c r="V55" t="e">
        <v>#N/A</v>
      </c>
    </row>
    <row r="56" spans="12:23" x14ac:dyDescent="0.3">
      <c r="L56">
        <v>54</v>
      </c>
      <c r="M56" t="s">
        <v>53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 t="e">
        <v>#N/A</v>
      </c>
    </row>
    <row r="57" spans="12:23" x14ac:dyDescent="0.3">
      <c r="L57">
        <v>55</v>
      </c>
      <c r="M57" t="s">
        <v>54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</row>
    <row r="58" spans="12:23" x14ac:dyDescent="0.3">
      <c r="L58">
        <v>56</v>
      </c>
      <c r="M58" t="s">
        <v>55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 t="e">
        <v>#N/A</v>
      </c>
    </row>
    <row r="59" spans="12:23" x14ac:dyDescent="0.3">
      <c r="L59">
        <v>57</v>
      </c>
      <c r="M59" t="s">
        <v>56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</row>
    <row r="60" spans="12:23" x14ac:dyDescent="0.3">
      <c r="L60">
        <v>58</v>
      </c>
      <c r="M60" t="s">
        <v>57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</row>
    <row r="61" spans="12:23" x14ac:dyDescent="0.3">
      <c r="L61">
        <v>59</v>
      </c>
      <c r="M61" t="s">
        <v>58</v>
      </c>
      <c r="N61">
        <v>1</v>
      </c>
      <c r="O61" t="e">
        <v>#N/A</v>
      </c>
      <c r="P61">
        <v>6.5</v>
      </c>
      <c r="Q61">
        <v>0</v>
      </c>
      <c r="R61" t="e">
        <v>#N/A</v>
      </c>
      <c r="S61">
        <v>0</v>
      </c>
      <c r="T61">
        <v>0</v>
      </c>
      <c r="U61">
        <v>0</v>
      </c>
      <c r="V61">
        <v>6.5</v>
      </c>
    </row>
    <row r="62" spans="12:23" x14ac:dyDescent="0.3">
      <c r="L62">
        <v>60</v>
      </c>
      <c r="M62" t="s">
        <v>59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 t="e">
        <v>#N/A</v>
      </c>
      <c r="W62">
        <v>0</v>
      </c>
    </row>
    <row r="63" spans="12:23" x14ac:dyDescent="0.3">
      <c r="L63">
        <v>61</v>
      </c>
      <c r="M63" t="s">
        <v>60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 t="e">
        <v>#N/A</v>
      </c>
    </row>
    <row r="64" spans="12:23" x14ac:dyDescent="0.3">
      <c r="L64">
        <v>62</v>
      </c>
      <c r="M64" t="s">
        <v>61</v>
      </c>
      <c r="N64">
        <v>1</v>
      </c>
      <c r="O64" t="e">
        <v>#N/A</v>
      </c>
      <c r="P64">
        <v>0.43668099999999999</v>
      </c>
      <c r="Q64">
        <v>0</v>
      </c>
      <c r="R64" t="e">
        <v>#N/A</v>
      </c>
      <c r="S64">
        <v>0</v>
      </c>
      <c r="T64">
        <v>0</v>
      </c>
      <c r="U64">
        <v>0</v>
      </c>
      <c r="V64">
        <v>0.43668099999999999</v>
      </c>
      <c r="W64">
        <v>0</v>
      </c>
    </row>
    <row r="65" spans="12:22" x14ac:dyDescent="0.3">
      <c r="L65">
        <v>63</v>
      </c>
      <c r="M65" t="s">
        <v>62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 t="e">
        <v>#N/A</v>
      </c>
    </row>
    <row r="66" spans="12:22" x14ac:dyDescent="0.3">
      <c r="L66" t="s">
        <v>97</v>
      </c>
      <c r="N66">
        <v>1538</v>
      </c>
      <c r="O66">
        <v>0</v>
      </c>
      <c r="P66">
        <v>9536.7541051499993</v>
      </c>
      <c r="Q66">
        <v>592</v>
      </c>
      <c r="R66">
        <v>0</v>
      </c>
      <c r="S66">
        <v>3950.3507291324418</v>
      </c>
      <c r="T66">
        <v>1420</v>
      </c>
      <c r="U66">
        <v>1698.1133495698696</v>
      </c>
      <c r="V66">
        <v>15185.218183852308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sample</vt:lpstr>
      <vt:lpstr>Sector</vt:lpstr>
      <vt:lpstr>City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  <vt:lpstr>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Thành Vĩnh</dc:creator>
  <cp:lastModifiedBy>Thành Vĩnh</cp:lastModifiedBy>
  <dcterms:created xsi:type="dcterms:W3CDTF">2025-02-25T20:39:53Z</dcterms:created>
  <dcterms:modified xsi:type="dcterms:W3CDTF">2025-02-25T22:03:05Z</dcterms:modified>
</cp:coreProperties>
</file>