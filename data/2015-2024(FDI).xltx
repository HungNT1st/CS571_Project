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hoa/Documents/UMass/Junior/Spring 2025/CS 571/"/>
    </mc:Choice>
  </mc:AlternateContent>
  <xr:revisionPtr revIDLastSave="0" documentId="8_{6187AC5E-0ABA-5343-B32E-519F55F16CF1}" xr6:coauthVersionLast="47" xr6:coauthVersionMax="47" xr10:uidLastSave="{00000000-0000-0000-0000-000000000000}"/>
  <bookViews>
    <workbookView xWindow="0" yWindow="740" windowWidth="30240" windowHeight="18900" activeTab="1" xr2:uid="{DD378EDD-1D8F-B54D-89B5-9D1D8F7F993E}"/>
  </bookViews>
  <sheets>
    <sheet name="sample" sheetId="7" r:id="rId1"/>
    <sheet name="2015" sheetId="1" r:id="rId2"/>
    <sheet name="2016" sheetId="3" r:id="rId3"/>
    <sheet name="2017" sheetId="5" r:id="rId4"/>
    <sheet name="2018" sheetId="6" r:id="rId5"/>
    <sheet name="2019" sheetId="8" r:id="rId6"/>
    <sheet name="2020" sheetId="9" r:id="rId7"/>
    <sheet name="2021" sheetId="10" r:id="rId8"/>
    <sheet name="2022" sheetId="11" r:id="rId9"/>
    <sheet name="2023" sheetId="12" r:id="rId10"/>
    <sheet name="2024" sheetId="13" r:id="rId1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75" i="13" l="1"/>
  <c r="AC73" i="13"/>
  <c r="N8" i="13"/>
  <c r="M8" i="13"/>
  <c r="AC7" i="13"/>
  <c r="N7" i="13"/>
  <c r="M7" i="13"/>
  <c r="P7" i="13" s="1"/>
  <c r="AD6" i="13"/>
  <c r="AD8" i="13" s="1"/>
  <c r="AC6" i="13"/>
  <c r="P6" i="13"/>
  <c r="AD7" i="13" l="1"/>
  <c r="AF7" i="13" s="1"/>
  <c r="P8" i="13"/>
  <c r="AC8" i="13"/>
  <c r="AF8" i="13" s="1"/>
  <c r="AF6" i="13"/>
  <c r="F33" i="13"/>
  <c r="E32" i="13"/>
  <c r="F29" i="13"/>
  <c r="J19" i="13"/>
  <c r="D19" i="13"/>
  <c r="J27" i="13"/>
  <c r="C32" i="13"/>
  <c r="C26" i="13"/>
  <c r="I32" i="13"/>
  <c r="I24" i="13"/>
  <c r="F27" i="13"/>
  <c r="J18" i="13"/>
  <c r="G19" i="13"/>
  <c r="I25" i="13"/>
  <c r="J26" i="13"/>
  <c r="J17" i="13"/>
  <c r="I26" i="13"/>
  <c r="G18" i="13"/>
  <c r="D25" i="13"/>
  <c r="I15" i="13"/>
  <c r="J31" i="13"/>
  <c r="I16" i="13"/>
  <c r="I30" i="13"/>
  <c r="J21" i="13"/>
  <c r="F22" i="13"/>
  <c r="H16" i="13"/>
  <c r="E33" i="13"/>
  <c r="E25" i="13"/>
  <c r="C31" i="13"/>
  <c r="C23" i="13"/>
  <c r="J25" i="13"/>
  <c r="D17" i="13"/>
  <c r="I18" i="13"/>
  <c r="I22" i="13"/>
  <c r="H25" i="13"/>
  <c r="D16" i="13"/>
  <c r="F25" i="13"/>
  <c r="I17" i="13"/>
  <c r="F32" i="13"/>
  <c r="G16" i="13"/>
  <c r="G17" i="13"/>
  <c r="D18" i="13"/>
  <c r="H29" i="13"/>
  <c r="F23" i="13"/>
  <c r="G32" i="13"/>
  <c r="G24" i="13"/>
  <c r="E30" i="13"/>
  <c r="E22" i="13"/>
  <c r="F24" i="13"/>
  <c r="F16" i="13"/>
  <c r="G15" i="13"/>
  <c r="D24" i="13"/>
  <c r="C24" i="13"/>
  <c r="E17" i="13"/>
  <c r="J24" i="13"/>
  <c r="I19" i="13"/>
  <c r="I23" i="13"/>
  <c r="D23" i="13"/>
  <c r="J32" i="13"/>
  <c r="J23" i="13"/>
  <c r="H17" i="13"/>
  <c r="C30" i="13"/>
  <c r="D33" i="13"/>
  <c r="C33" i="13"/>
  <c r="G22" i="13"/>
  <c r="J33" i="13"/>
  <c r="J30" i="13"/>
  <c r="C27" i="13"/>
  <c r="G31" i="13"/>
  <c r="I20" i="13"/>
  <c r="D31" i="13"/>
  <c r="C16" i="13"/>
  <c r="H27" i="13"/>
  <c r="I31" i="13"/>
  <c r="G21" i="13"/>
  <c r="H15" i="13"/>
  <c r="H22" i="13"/>
  <c r="I33" i="13"/>
  <c r="C18" i="13"/>
  <c r="D32" i="13"/>
  <c r="H33" i="13"/>
  <c r="C22" i="13"/>
  <c r="J22" i="13"/>
  <c r="F31" i="13"/>
  <c r="C15" i="13"/>
  <c r="E23" i="13"/>
  <c r="D22" i="13"/>
  <c r="E29" i="13"/>
  <c r="H21" i="13"/>
  <c r="D20" i="13"/>
  <c r="F26" i="13"/>
  <c r="C17" i="13"/>
  <c r="F15" i="13"/>
  <c r="D29" i="13"/>
  <c r="E18" i="13"/>
  <c r="J16" i="13"/>
  <c r="G29" i="13"/>
  <c r="E16" i="13"/>
  <c r="E15" i="13"/>
  <c r="H30" i="13"/>
  <c r="C19" i="13"/>
  <c r="H23" i="13"/>
  <c r="I28" i="13"/>
  <c r="H28" i="13"/>
  <c r="D21" i="13"/>
  <c r="F18" i="13"/>
  <c r="D28" i="13"/>
  <c r="E21" i="13"/>
  <c r="H31" i="13"/>
  <c r="J29" i="13"/>
  <c r="C21" i="13"/>
  <c r="H24" i="13"/>
  <c r="E19" i="13"/>
  <c r="H32" i="13"/>
  <c r="J20" i="13"/>
  <c r="E24" i="13"/>
  <c r="E31" i="13"/>
  <c r="E28" i="13"/>
  <c r="G30" i="13"/>
  <c r="G23" i="13"/>
  <c r="I21" i="13"/>
  <c r="J15" i="13"/>
  <c r="C25" i="13"/>
  <c r="H20" i="13"/>
  <c r="G28" i="13"/>
  <c r="G20" i="13"/>
  <c r="E26" i="13"/>
  <c r="F30" i="13"/>
  <c r="F20" i="13"/>
  <c r="F21" i="13"/>
  <c r="D30" i="13"/>
  <c r="F28" i="13"/>
  <c r="F19" i="13"/>
  <c r="I29" i="13"/>
  <c r="C20" i="13"/>
  <c r="H26" i="13"/>
  <c r="C29" i="13"/>
  <c r="C28" i="13"/>
  <c r="D26" i="13"/>
  <c r="F17" i="13"/>
  <c r="G26" i="13"/>
  <c r="G27" i="13"/>
  <c r="I27" i="13"/>
  <c r="G33" i="13"/>
  <c r="G25" i="13"/>
  <c r="J28" i="13"/>
  <c r="H19" i="13"/>
  <c r="E20" i="13"/>
  <c r="E27" i="13"/>
  <c r="D27" i="13"/>
  <c r="H18" i="13"/>
  <c r="D15" i="13"/>
  <c r="D34" i="13" l="1" a="1"/>
  <c r="D34" i="13" s="1"/>
  <c r="K27" i="13"/>
  <c r="K20" i="13"/>
  <c r="K26" i="13"/>
  <c r="J34" i="13" a="1"/>
  <c r="J34" i="13" s="1"/>
  <c r="K28" i="13"/>
  <c r="K31" i="13"/>
  <c r="K24" i="13"/>
  <c r="K32" i="13"/>
  <c r="K19" i="13"/>
  <c r="K21" i="13"/>
  <c r="E34" i="13" a="1"/>
  <c r="E34" i="13" s="1"/>
  <c r="K15" i="13"/>
  <c r="K16" i="13"/>
  <c r="K18" i="13"/>
  <c r="F34" i="13" a="1"/>
  <c r="F34" i="13" s="1"/>
  <c r="K29" i="13"/>
  <c r="K23" i="13"/>
  <c r="C34" i="13" a="1"/>
  <c r="C34" i="13" s="1"/>
  <c r="H34" i="13" a="1"/>
  <c r="H34" i="13" s="1"/>
  <c r="K17" i="13"/>
  <c r="G34" i="13" a="1"/>
  <c r="G34" i="13" s="1"/>
  <c r="K22" i="13"/>
  <c r="K30" i="13"/>
  <c r="K25" i="13"/>
  <c r="K33" i="13"/>
  <c r="I34" i="13" a="1"/>
  <c r="I34" i="13" s="1"/>
  <c r="U71" i="13"/>
  <c r="U63" i="13"/>
  <c r="U55" i="13"/>
  <c r="U47" i="13"/>
  <c r="U39" i="13"/>
  <c r="Y31" i="13"/>
  <c r="Y23" i="13"/>
  <c r="V72" i="13"/>
  <c r="V64" i="13"/>
  <c r="V56" i="13"/>
  <c r="V48" i="13"/>
  <c r="V40" i="13"/>
  <c r="Y32" i="13"/>
  <c r="Y24" i="13"/>
  <c r="Y70" i="13"/>
  <c r="T61" i="13"/>
  <c r="V49" i="13"/>
  <c r="Y38" i="13"/>
  <c r="X27" i="13"/>
  <c r="T17" i="13"/>
  <c r="W30" i="13"/>
  <c r="Z72" i="13"/>
  <c r="T62" i="13"/>
  <c r="V50" i="13"/>
  <c r="W38" i="13"/>
  <c r="W19" i="13"/>
  <c r="X71" i="13"/>
  <c r="X59" i="13"/>
  <c r="AA48" i="13"/>
  <c r="X39" i="13"/>
  <c r="V27" i="13"/>
  <c r="X18" i="13"/>
  <c r="AA68" i="13"/>
  <c r="V71" i="13"/>
  <c r="W59" i="13"/>
  <c r="Z48" i="13"/>
  <c r="V39" i="13"/>
  <c r="X28" i="13"/>
  <c r="W18" i="13"/>
  <c r="Z61" i="13"/>
  <c r="W67" i="13"/>
  <c r="Z56" i="13"/>
  <c r="V47" i="13"/>
  <c r="W35" i="13"/>
  <c r="U54" i="13"/>
  <c r="Z27" i="13"/>
  <c r="U60" i="13"/>
  <c r="T21" i="13"/>
  <c r="X35" i="13"/>
  <c r="Z29" i="13"/>
  <c r="W23" i="13"/>
  <c r="W76" i="13"/>
  <c r="T47" i="13"/>
  <c r="W22" i="13"/>
  <c r="AA24" i="13"/>
  <c r="V73" i="13"/>
  <c r="W40" i="13"/>
  <c r="T18" i="13"/>
  <c r="Y62" i="13"/>
  <c r="W62" i="13"/>
  <c r="Z32" i="13"/>
  <c r="AA70" i="13"/>
  <c r="AA38" i="13"/>
  <c r="U36" i="13"/>
  <c r="X58" i="13"/>
  <c r="T36" i="13"/>
  <c r="T69" i="13"/>
  <c r="V57" i="13"/>
  <c r="T37" i="13"/>
  <c r="T16" i="13"/>
  <c r="Z67" i="13"/>
  <c r="W46" i="13"/>
  <c r="Z35" i="13"/>
  <c r="AA16" i="13"/>
  <c r="T65" i="13"/>
  <c r="Z43" i="13"/>
  <c r="U48" i="13"/>
  <c r="T54" i="13"/>
  <c r="V18" i="13"/>
  <c r="AA14" i="13"/>
  <c r="Z37" i="13"/>
  <c r="Z63" i="13"/>
  <c r="U34" i="13"/>
  <c r="V55" i="13"/>
  <c r="Z19" i="13"/>
  <c r="V23" i="13"/>
  <c r="X45" i="13"/>
  <c r="AA54" i="13"/>
  <c r="Y34" i="13"/>
  <c r="X66" i="13"/>
  <c r="U45" i="13"/>
  <c r="U24" i="13"/>
  <c r="AA63" i="13"/>
  <c r="AA44" i="13"/>
  <c r="T25" i="13"/>
  <c r="W34" i="13"/>
  <c r="V59" i="13"/>
  <c r="Z30" i="13"/>
  <c r="V25" i="13"/>
  <c r="Y67" i="13"/>
  <c r="Y59" i="13"/>
  <c r="Y35" i="13"/>
  <c r="Z68" i="13"/>
  <c r="Z36" i="13"/>
  <c r="V70" i="13"/>
  <c r="V62" i="13"/>
  <c r="V54" i="13"/>
  <c r="V46" i="13"/>
  <c r="V38" i="13"/>
  <c r="AA30" i="13"/>
  <c r="AA22" i="13"/>
  <c r="W71" i="13"/>
  <c r="W63" i="13"/>
  <c r="W55" i="13"/>
  <c r="W47" i="13"/>
  <c r="W39" i="13"/>
  <c r="AA31" i="13"/>
  <c r="AA23" i="13"/>
  <c r="V69" i="13"/>
  <c r="Y58" i="13"/>
  <c r="AA46" i="13"/>
  <c r="V37" i="13"/>
  <c r="V26" i="13"/>
  <c r="V16" i="13"/>
  <c r="AA25" i="13"/>
  <c r="Y71" i="13"/>
  <c r="Z59" i="13"/>
  <c r="AA47" i="13"/>
  <c r="U37" i="13"/>
  <c r="Y18" i="13"/>
  <c r="U70" i="13"/>
  <c r="W58" i="13"/>
  <c r="Z47" i="13"/>
  <c r="U38" i="13"/>
  <c r="Z25" i="13"/>
  <c r="Z17" i="13"/>
  <c r="W66" i="13"/>
  <c r="T70" i="13"/>
  <c r="V58" i="13"/>
  <c r="Y47" i="13"/>
  <c r="T38" i="13"/>
  <c r="U27" i="13"/>
  <c r="Y17" i="13"/>
  <c r="Y76" i="13"/>
  <c r="V66" i="13"/>
  <c r="Y55" i="13"/>
  <c r="T46" i="13"/>
  <c r="V34" i="13"/>
  <c r="T51" i="13"/>
  <c r="W26" i="13"/>
  <c r="AA56" i="13"/>
  <c r="T19" i="13"/>
  <c r="V32" i="13"/>
  <c r="T27" i="13"/>
  <c r="U17" i="13"/>
  <c r="X73" i="13"/>
  <c r="T41" i="13"/>
  <c r="U18" i="13"/>
  <c r="T22" i="13"/>
  <c r="W68" i="13"/>
  <c r="X37" i="13"/>
  <c r="X16" i="13"/>
  <c r="U52" i="13"/>
  <c r="U58" i="13"/>
  <c r="U31" i="13"/>
  <c r="U66" i="13"/>
  <c r="X26" i="13"/>
  <c r="W69" i="13"/>
  <c r="W61" i="13"/>
  <c r="W53" i="13"/>
  <c r="W45" i="13"/>
  <c r="W37" i="13"/>
  <c r="U29" i="13"/>
  <c r="U21" i="13"/>
  <c r="X70" i="13"/>
  <c r="X62" i="13"/>
  <c r="X54" i="13"/>
  <c r="X46" i="13"/>
  <c r="X38" i="13"/>
  <c r="U30" i="13"/>
  <c r="U22" i="13"/>
  <c r="U68" i="13"/>
  <c r="X57" i="13"/>
  <c r="Z45" i="13"/>
  <c r="Z24" i="13"/>
  <c r="X15" i="13"/>
  <c r="X24" i="13"/>
  <c r="W70" i="13"/>
  <c r="Z46" i="13"/>
  <c r="U16" i="13"/>
  <c r="Y46" i="13"/>
  <c r="V24" i="13"/>
  <c r="AA62" i="13"/>
  <c r="T57" i="13"/>
  <c r="Y25" i="13"/>
  <c r="W75" i="13"/>
  <c r="W54" i="13"/>
  <c r="AA33" i="13"/>
  <c r="AA21" i="13"/>
  <c r="X22" i="13"/>
  <c r="X69" i="13"/>
  <c r="W16" i="13"/>
  <c r="Y63" i="13"/>
  <c r="V61" i="13"/>
  <c r="X68" i="13"/>
  <c r="X60" i="13"/>
  <c r="W28" i="13"/>
  <c r="Y69" i="13"/>
  <c r="Y61" i="13"/>
  <c r="Y45" i="13"/>
  <c r="W29" i="13"/>
  <c r="T67" i="13"/>
  <c r="T35" i="13"/>
  <c r="U69" i="13"/>
  <c r="AA34" i="13"/>
  <c r="Y66" i="13"/>
  <c r="V45" i="13"/>
  <c r="V15" i="13"/>
  <c r="AA55" i="13"/>
  <c r="U15" i="13"/>
  <c r="U53" i="13"/>
  <c r="X32" i="13"/>
  <c r="X17" i="13"/>
  <c r="Z64" i="13"/>
  <c r="Y16" i="13"/>
  <c r="W43" i="13"/>
  <c r="Y48" i="13"/>
  <c r="X75" i="13"/>
  <c r="Y51" i="13"/>
  <c r="Y27" i="13"/>
  <c r="Z60" i="13"/>
  <c r="X44" i="13"/>
  <c r="AA73" i="13"/>
  <c r="T72" i="13"/>
  <c r="T64" i="13"/>
  <c r="T56" i="13"/>
  <c r="T48" i="13"/>
  <c r="T40" i="13"/>
  <c r="W32" i="13"/>
  <c r="W24" i="13"/>
  <c r="U73" i="13"/>
  <c r="U65" i="13"/>
  <c r="U57" i="13"/>
  <c r="U49" i="13"/>
  <c r="U41" i="13"/>
  <c r="W33" i="13"/>
  <c r="W25" i="13"/>
  <c r="Z71" i="13"/>
  <c r="U62" i="13"/>
  <c r="W50" i="13"/>
  <c r="Z39" i="13"/>
  <c r="T29" i="13"/>
  <c r="Z18" i="13"/>
  <c r="Z31" i="13"/>
  <c r="Y14" i="13"/>
  <c r="X64" i="13"/>
  <c r="W51" i="13"/>
  <c r="Y39" i="13"/>
  <c r="U23" i="13"/>
  <c r="Y72" i="13"/>
  <c r="AA60" i="13"/>
  <c r="U50" i="13"/>
  <c r="Y40" i="13"/>
  <c r="Z28" i="13"/>
  <c r="V19" i="13"/>
  <c r="T71" i="13"/>
  <c r="X72" i="13"/>
  <c r="Y60" i="13"/>
  <c r="U51" i="13"/>
  <c r="X40" i="13"/>
  <c r="AA29" i="13"/>
  <c r="U19" i="13"/>
  <c r="V65" i="13"/>
  <c r="Y68" i="13"/>
  <c r="U59" i="13"/>
  <c r="X48" i="13"/>
  <c r="Y36" i="13"/>
  <c r="Y57" i="13"/>
  <c r="U32" i="13"/>
  <c r="AA64" i="13"/>
  <c r="V28" i="13"/>
  <c r="T45" i="13"/>
  <c r="U35" i="13"/>
  <c r="AA36" i="13"/>
  <c r="Z26" i="13"/>
  <c r="X50" i="13"/>
  <c r="Z23" i="13"/>
  <c r="X49" i="13"/>
  <c r="U76" i="13"/>
  <c r="X43" i="13"/>
  <c r="V22" i="13"/>
  <c r="V67" i="13"/>
  <c r="U67" i="13"/>
  <c r="V36" i="13"/>
  <c r="U74" i="13"/>
  <c r="V42" i="13"/>
  <c r="T31" i="13"/>
  <c r="W17" i="13"/>
  <c r="Y42" i="13"/>
  <c r="Y26" i="13"/>
  <c r="V76" i="13"/>
  <c r="X52" i="13"/>
  <c r="X36" i="13"/>
  <c r="W20" i="13"/>
  <c r="Y53" i="13"/>
  <c r="Y37" i="13"/>
  <c r="W21" i="13"/>
  <c r="W56" i="13"/>
  <c r="W44" i="13"/>
  <c r="Z14" i="13"/>
  <c r="Y21" i="13"/>
  <c r="W57" i="13"/>
  <c r="W74" i="13"/>
  <c r="T23" i="13"/>
  <c r="AA76" i="13"/>
  <c r="X34" i="13"/>
  <c r="V74" i="13"/>
  <c r="X42" i="13"/>
  <c r="Y20" i="13"/>
  <c r="Z16" i="13"/>
  <c r="V75" i="13"/>
  <c r="X55" i="13"/>
  <c r="V31" i="13"/>
  <c r="Z57" i="13"/>
  <c r="Y43" i="13"/>
  <c r="X76" i="13"/>
  <c r="Z52" i="13"/>
  <c r="T76" i="13"/>
  <c r="AA65" i="13"/>
  <c r="U33" i="13"/>
  <c r="T58" i="13"/>
  <c r="Y28" i="13"/>
  <c r="T55" i="13"/>
  <c r="X30" i="13"/>
  <c r="AA17" i="13"/>
  <c r="V44" i="13"/>
  <c r="Z73" i="13"/>
  <c r="T43" i="13"/>
  <c r="X14" i="13"/>
  <c r="AA61" i="13"/>
  <c r="W31" i="13"/>
  <c r="W73" i="13"/>
  <c r="Y49" i="13"/>
  <c r="Z38" i="13"/>
  <c r="Z33" i="13"/>
  <c r="T59" i="13"/>
  <c r="Y33" i="13"/>
  <c r="V14" i="13"/>
  <c r="V29" i="13"/>
  <c r="AA20" i="13"/>
  <c r="AA19" i="13"/>
  <c r="T50" i="13"/>
  <c r="X51" i="13"/>
  <c r="T68" i="13"/>
  <c r="W64" i="13"/>
  <c r="Z76" i="13"/>
  <c r="Y22" i="13"/>
  <c r="U40" i="13"/>
  <c r="T73" i="13"/>
  <c r="U28" i="13"/>
  <c r="T24" i="13"/>
  <c r="Z75" i="13"/>
  <c r="Z44" i="13"/>
  <c r="V43" i="13"/>
  <c r="AA66" i="13"/>
  <c r="T63" i="13"/>
  <c r="AA75" i="13"/>
  <c r="V21" i="13"/>
  <c r="AA37" i="13"/>
  <c r="T15" i="13"/>
  <c r="AA15" i="13"/>
  <c r="U75" i="13"/>
  <c r="AA72" i="13"/>
  <c r="V63" i="13"/>
  <c r="W27" i="13"/>
  <c r="V30" i="13"/>
  <c r="T44" i="13"/>
  <c r="X61" i="13"/>
  <c r="Z69" i="13"/>
  <c r="AA39" i="13"/>
  <c r="X29" i="13"/>
  <c r="Z51" i="13"/>
  <c r="Z42" i="13"/>
  <c r="T42" i="13"/>
  <c r="AA40" i="13"/>
  <c r="U56" i="13"/>
  <c r="W52" i="13"/>
  <c r="Y73" i="13"/>
  <c r="Y75" i="13"/>
  <c r="Z70" i="13"/>
  <c r="T14" i="13"/>
  <c r="Z55" i="13"/>
  <c r="AA45" i="13"/>
  <c r="AA41" i="13"/>
  <c r="T66" i="13"/>
  <c r="Y64" i="13"/>
  <c r="V33" i="13"/>
  <c r="W60" i="13"/>
  <c r="Y41" i="13"/>
  <c r="T52" i="13"/>
  <c r="Y44" i="13"/>
  <c r="Y56" i="13"/>
  <c r="W42" i="13"/>
  <c r="Y30" i="13"/>
  <c r="Z58" i="13"/>
  <c r="AA26" i="13"/>
  <c r="AA51" i="13"/>
  <c r="AA27" i="13"/>
  <c r="AA52" i="13"/>
  <c r="Z21" i="13"/>
  <c r="W15" i="13"/>
  <c r="U43" i="13"/>
  <c r="X65" i="13"/>
  <c r="Z41" i="13"/>
  <c r="W14" i="13"/>
  <c r="Z54" i="13"/>
  <c r="T30" i="13"/>
  <c r="U72" i="13"/>
  <c r="W41" i="13"/>
  <c r="V35" i="13"/>
  <c r="V17" i="13"/>
  <c r="U46" i="13"/>
  <c r="Y29" i="13"/>
  <c r="X56" i="13"/>
  <c r="Y15" i="13"/>
  <c r="AA57" i="13"/>
  <c r="U25" i="13"/>
  <c r="U26" i="13"/>
  <c r="X20" i="13"/>
  <c r="Z40" i="13"/>
  <c r="T33" i="13"/>
  <c r="X53" i="13"/>
  <c r="AA69" i="13"/>
  <c r="Y19" i="13"/>
  <c r="AA58" i="13"/>
  <c r="T53" i="13"/>
  <c r="U14" i="13"/>
  <c r="Z50" i="13"/>
  <c r="T75" i="13"/>
  <c r="X19" i="13"/>
  <c r="AA28" i="13"/>
  <c r="X31" i="13"/>
  <c r="V52" i="13"/>
  <c r="Z62" i="13"/>
  <c r="AA18" i="13"/>
  <c r="W49" i="13"/>
  <c r="Z49" i="13"/>
  <c r="Y54" i="13"/>
  <c r="AA49" i="13"/>
  <c r="AA74" i="13"/>
  <c r="AA43" i="13"/>
  <c r="U42" i="13"/>
  <c r="Y65" i="13"/>
  <c r="Z53" i="13"/>
  <c r="X74" i="13"/>
  <c r="T20" i="13"/>
  <c r="T74" i="13"/>
  <c r="Z20" i="13"/>
  <c r="V68" i="13"/>
  <c r="AA71" i="13"/>
  <c r="AA67" i="13"/>
  <c r="Z65" i="13"/>
  <c r="T49" i="13"/>
  <c r="T26" i="13"/>
  <c r="Z22" i="13"/>
  <c r="AA42" i="13"/>
  <c r="V60" i="13"/>
  <c r="Y50" i="13"/>
  <c r="T60" i="13"/>
  <c r="T28" i="13"/>
  <c r="W48" i="13"/>
  <c r="Y74" i="13"/>
  <c r="AA35" i="13"/>
  <c r="X33" i="13"/>
  <c r="AA53" i="13"/>
  <c r="V51" i="13"/>
  <c r="W72" i="13"/>
  <c r="U61" i="13"/>
  <c r="X47" i="13"/>
  <c r="W36" i="13"/>
  <c r="Z15" i="13"/>
  <c r="X25" i="13"/>
  <c r="X21" i="13"/>
  <c r="W65" i="13"/>
  <c r="X23" i="13"/>
  <c r="Z66" i="13"/>
  <c r="Z34" i="13"/>
  <c r="AA59" i="13"/>
  <c r="T34" i="13"/>
  <c r="X63" i="13"/>
  <c r="T32" i="13"/>
  <c r="V20" i="13"/>
  <c r="Y52" i="13"/>
  <c r="Z74" i="13"/>
  <c r="U44" i="13"/>
  <c r="U20" i="13"/>
  <c r="U64" i="13"/>
  <c r="AA32" i="13"/>
  <c r="X67" i="13"/>
  <c r="AA50" i="13"/>
  <c r="X41" i="13"/>
  <c r="V41" i="13"/>
  <c r="V53" i="13"/>
  <c r="T39" i="13"/>
  <c r="AB53" i="13" l="1"/>
  <c r="AB41" i="13"/>
  <c r="AB20" i="13"/>
  <c r="AB51" i="13"/>
  <c r="AB60" i="13"/>
  <c r="AB68" i="13"/>
  <c r="AB52" i="13"/>
  <c r="U77" i="13" a="1"/>
  <c r="U77" i="13" s="1"/>
  <c r="AB17" i="13"/>
  <c r="AB35" i="13"/>
  <c r="W77" i="13" a="1"/>
  <c r="W77" i="13" s="1"/>
  <c r="AB33" i="13"/>
  <c r="T77" i="13" a="1"/>
  <c r="T77" i="13" s="1"/>
  <c r="AB30" i="13"/>
  <c r="AB63" i="13"/>
  <c r="AB21" i="13"/>
  <c r="AB43" i="13"/>
  <c r="AB29" i="13"/>
  <c r="V77" i="13" a="1"/>
  <c r="V77" i="13" s="1"/>
  <c r="AB14" i="13"/>
  <c r="X77" i="13" a="1"/>
  <c r="X77" i="13" s="1"/>
  <c r="AB44" i="13"/>
  <c r="AB31" i="13"/>
  <c r="AB75" i="13"/>
  <c r="AB74" i="13"/>
  <c r="Z77" i="13" a="1"/>
  <c r="Z77" i="13" s="1"/>
  <c r="AB76" i="13"/>
  <c r="AB42" i="13"/>
  <c r="AB36" i="13"/>
  <c r="AB67" i="13"/>
  <c r="AB22" i="13"/>
  <c r="AB28" i="13"/>
  <c r="AB65" i="13"/>
  <c r="AB19" i="13"/>
  <c r="Y77" i="13" a="1"/>
  <c r="Y77" i="13" s="1"/>
  <c r="AB15" i="13"/>
  <c r="AB45" i="13"/>
  <c r="AB61" i="13"/>
  <c r="AB24" i="13"/>
  <c r="AB32" i="13"/>
  <c r="AB34" i="13"/>
  <c r="AB66" i="13"/>
  <c r="AB58" i="13"/>
  <c r="AB16" i="13"/>
  <c r="AB26" i="13"/>
  <c r="AB37" i="13"/>
  <c r="AB69" i="13"/>
  <c r="AB38" i="13"/>
  <c r="AB46" i="13"/>
  <c r="AB54" i="13"/>
  <c r="AB62" i="13"/>
  <c r="AB70" i="13"/>
  <c r="AB25" i="13"/>
  <c r="AB59" i="13"/>
  <c r="AB23" i="13"/>
  <c r="AB55" i="13"/>
  <c r="AA77" i="13" a="1"/>
  <c r="AA77" i="13" s="1"/>
  <c r="AB18" i="13"/>
  <c r="AB57" i="13"/>
  <c r="AB73" i="13"/>
  <c r="AB47" i="13"/>
  <c r="AB39" i="13"/>
  <c r="AB71" i="13"/>
  <c r="AB27" i="13"/>
  <c r="AB50" i="13"/>
  <c r="AB49" i="13"/>
  <c r="AB40" i="13"/>
  <c r="AB48" i="13"/>
  <c r="AB56" i="13"/>
  <c r="AB64" i="13"/>
  <c r="AB72" i="13"/>
  <c r="K34" i="13" a="1"/>
  <c r="K34" i="13" s="1"/>
  <c r="AB77" i="13" l="1" a="1"/>
  <c r="AB77" i="13" s="1"/>
  <c r="AC73" i="12" l="1"/>
  <c r="AC75" i="12" s="1"/>
  <c r="N8" i="12"/>
  <c r="M8" i="12"/>
  <c r="P8" i="12" s="1"/>
  <c r="N7" i="12"/>
  <c r="M7" i="12"/>
  <c r="P7" i="12" s="1"/>
  <c r="AD6" i="12"/>
  <c r="AD8" i="12" s="1"/>
  <c r="AC6" i="12"/>
  <c r="AC8" i="12" s="1"/>
  <c r="AF8" i="12" s="1"/>
  <c r="P6" i="12"/>
  <c r="J25" i="12"/>
  <c r="E31" i="12"/>
  <c r="AD7" i="12" l="1"/>
  <c r="AF6" i="12"/>
  <c r="AC7" i="12"/>
  <c r="AF7" i="12" s="1"/>
  <c r="T15" i="12"/>
  <c r="AA60" i="12"/>
  <c r="C25" i="12"/>
  <c r="X38" i="12"/>
  <c r="U40" i="12"/>
  <c r="V15" i="12"/>
  <c r="T24" i="12"/>
  <c r="G31" i="12"/>
  <c r="V40" i="12"/>
  <c r="Z54" i="12"/>
  <c r="U69" i="12"/>
  <c r="U71" i="12"/>
  <c r="U63" i="12"/>
  <c r="U55" i="12"/>
  <c r="U47" i="12"/>
  <c r="U39" i="12"/>
  <c r="Y31" i="12"/>
  <c r="Y23" i="12"/>
  <c r="X72" i="12"/>
  <c r="W64" i="12"/>
  <c r="V56" i="12"/>
  <c r="U48" i="12"/>
  <c r="AA33" i="12"/>
  <c r="Y25" i="12"/>
  <c r="T17" i="12"/>
  <c r="W72" i="12"/>
  <c r="V64" i="12"/>
  <c r="U56" i="12"/>
  <c r="AA40" i="12"/>
  <c r="Z32" i="12"/>
  <c r="X24" i="12"/>
  <c r="U16" i="12"/>
  <c r="Y71" i="12"/>
  <c r="X63" i="12"/>
  <c r="W55" i="12"/>
  <c r="V47" i="12"/>
  <c r="V19" i="12"/>
  <c r="E19" i="12"/>
  <c r="X46" i="12"/>
  <c r="E18" i="12"/>
  <c r="Y56" i="12"/>
  <c r="J24" i="12"/>
  <c r="G16" i="12"/>
  <c r="F31" i="12"/>
  <c r="V72" i="12"/>
  <c r="AA19" i="12"/>
  <c r="W30" i="12"/>
  <c r="T73" i="12"/>
  <c r="U74" i="12"/>
  <c r="T33" i="12"/>
  <c r="G32" i="12"/>
  <c r="G24" i="12"/>
  <c r="I30" i="12"/>
  <c r="G22" i="12"/>
  <c r="E16" i="12"/>
  <c r="G27" i="12"/>
  <c r="G19" i="12"/>
  <c r="AA18" i="12"/>
  <c r="F32" i="12"/>
  <c r="Z35" i="12"/>
  <c r="Z41" i="12"/>
  <c r="J23" i="12"/>
  <c r="X40" i="12"/>
  <c r="Y36" i="12"/>
  <c r="Y58" i="12"/>
  <c r="U73" i="12"/>
  <c r="T19" i="12"/>
  <c r="T25" i="12"/>
  <c r="H32" i="12"/>
  <c r="Z40" i="12"/>
  <c r="AA53" i="12"/>
  <c r="T70" i="12"/>
  <c r="AA27" i="12"/>
  <c r="Z37" i="12"/>
  <c r="T68" i="12"/>
  <c r="U31" i="12"/>
  <c r="Y17" i="12"/>
  <c r="I24" i="12"/>
  <c r="J30" i="12"/>
  <c r="W38" i="12"/>
  <c r="AA50" i="12"/>
  <c r="T67" i="12"/>
  <c r="C33" i="12"/>
  <c r="Y55" i="12"/>
  <c r="U32" i="12"/>
  <c r="AA69" i="12"/>
  <c r="C19" i="12"/>
  <c r="D31" i="12"/>
  <c r="Y52" i="12"/>
  <c r="W70" i="12"/>
  <c r="Y69" i="12"/>
  <c r="U45" i="12"/>
  <c r="J26" i="12"/>
  <c r="U22" i="12"/>
  <c r="U37" i="12"/>
  <c r="H16" i="12"/>
  <c r="T39" i="12"/>
  <c r="F18" i="12"/>
  <c r="C22" i="12"/>
  <c r="F20" i="12"/>
  <c r="G25" i="12"/>
  <c r="W39" i="12"/>
  <c r="AA72" i="12"/>
  <c r="AA61" i="12"/>
  <c r="Z20" i="12"/>
  <c r="T57" i="12"/>
  <c r="I25" i="12"/>
  <c r="AA43" i="12"/>
  <c r="I26" i="12"/>
  <c r="V41" i="12"/>
  <c r="I16" i="12"/>
  <c r="Y63" i="12"/>
  <c r="U34" i="12"/>
  <c r="T35" i="12"/>
  <c r="H20" i="12"/>
  <c r="X57" i="12"/>
  <c r="Z44" i="12"/>
  <c r="G28" i="12"/>
  <c r="J18" i="12"/>
  <c r="U24" i="12"/>
  <c r="T65" i="12"/>
  <c r="V29" i="12"/>
  <c r="X16" i="12"/>
  <c r="V27" i="12"/>
  <c r="AA26" i="12"/>
  <c r="T51" i="12"/>
  <c r="U42" i="12"/>
  <c r="AA16" i="12"/>
  <c r="X58" i="12"/>
  <c r="H30" i="12"/>
  <c r="AA74" i="12"/>
  <c r="AA66" i="12"/>
  <c r="Z36" i="12"/>
  <c r="Z61" i="12"/>
  <c r="T21" i="12"/>
  <c r="Z76" i="12"/>
  <c r="U75" i="12"/>
  <c r="G29" i="12"/>
  <c r="T66" i="12"/>
  <c r="AA57" i="12"/>
  <c r="U33" i="12"/>
  <c r="U25" i="12"/>
  <c r="V58" i="12"/>
  <c r="V66" i="12"/>
  <c r="X26" i="12"/>
  <c r="U41" i="12"/>
  <c r="F19" i="12"/>
  <c r="U17" i="12"/>
  <c r="V36" i="12"/>
  <c r="F16" i="12"/>
  <c r="W17" i="12"/>
  <c r="I21" i="12"/>
  <c r="U68" i="12"/>
  <c r="U38" i="12"/>
  <c r="Z26" i="12"/>
  <c r="X35" i="12"/>
  <c r="AA75" i="12"/>
  <c r="Y62" i="12"/>
  <c r="T18" i="12"/>
  <c r="Y16" i="12"/>
  <c r="V43" i="12"/>
  <c r="J17" i="12"/>
  <c r="F25" i="12"/>
  <c r="C32" i="12"/>
  <c r="Y41" i="12"/>
  <c r="X56" i="12"/>
  <c r="Z72" i="12"/>
  <c r="V70" i="12"/>
  <c r="V62" i="12"/>
  <c r="V54" i="12"/>
  <c r="V46" i="12"/>
  <c r="V38" i="12"/>
  <c r="AA30" i="12"/>
  <c r="AA22" i="12"/>
  <c r="X71" i="12"/>
  <c r="W63" i="12"/>
  <c r="V55" i="12"/>
  <c r="T47" i="12"/>
  <c r="AA32" i="12"/>
  <c r="Y24" i="12"/>
  <c r="V16" i="12"/>
  <c r="W71" i="12"/>
  <c r="V63" i="12"/>
  <c r="T55" i="12"/>
  <c r="AA39" i="12"/>
  <c r="Z31" i="12"/>
  <c r="W23" i="12"/>
  <c r="W15" i="12"/>
  <c r="Y70" i="12"/>
  <c r="X62" i="12"/>
  <c r="W54" i="12"/>
  <c r="U46" i="12"/>
  <c r="I22" i="12"/>
  <c r="Y21" i="12"/>
  <c r="W51" i="12"/>
  <c r="I19" i="12"/>
  <c r="T58" i="12"/>
  <c r="W27" i="12"/>
  <c r="C18" i="12"/>
  <c r="G33" i="12"/>
  <c r="T14" i="12"/>
  <c r="T20" i="12"/>
  <c r="D32" i="12"/>
  <c r="W34" i="12"/>
  <c r="J16" i="12"/>
  <c r="U35" i="12"/>
  <c r="I31" i="12"/>
  <c r="I23" i="12"/>
  <c r="I29" i="12"/>
  <c r="G21" i="12"/>
  <c r="G15" i="12"/>
  <c r="G26" i="12"/>
  <c r="I18" i="12"/>
  <c r="Y20" i="12"/>
  <c r="T34" i="12"/>
  <c r="Y44" i="12"/>
  <c r="X48" i="12"/>
  <c r="C24" i="12"/>
  <c r="X45" i="12"/>
  <c r="T38" i="12"/>
  <c r="T60" i="12"/>
  <c r="T76" i="12"/>
  <c r="D20" i="12"/>
  <c r="F26" i="12"/>
  <c r="X42" i="12"/>
  <c r="AA71" i="12"/>
  <c r="Z43" i="12"/>
  <c r="V33" i="12"/>
  <c r="V25" i="12"/>
  <c r="Y39" i="12"/>
  <c r="AA68" i="12"/>
  <c r="U62" i="12"/>
  <c r="Y14" i="12"/>
  <c r="V53" i="12"/>
  <c r="Z57" i="12"/>
  <c r="AA59" i="12"/>
  <c r="X34" i="12"/>
  <c r="H21" i="12"/>
  <c r="W46" i="12"/>
  <c r="C30" i="12"/>
  <c r="I28" i="12"/>
  <c r="I33" i="12"/>
  <c r="C17" i="12"/>
  <c r="AA70" i="12"/>
  <c r="V24" i="12"/>
  <c r="W50" i="12"/>
  <c r="X14" i="12"/>
  <c r="U27" i="12"/>
  <c r="V44" i="12"/>
  <c r="V73" i="12"/>
  <c r="AA46" i="12"/>
  <c r="U19" i="12"/>
  <c r="W31" i="12"/>
  <c r="Z55" i="12"/>
  <c r="W47" i="12"/>
  <c r="J15" i="12"/>
  <c r="Z45" i="12"/>
  <c r="I15" i="12"/>
  <c r="D33" i="12"/>
  <c r="D23" i="12"/>
  <c r="G20" i="12"/>
  <c r="H31" i="12"/>
  <c r="AA56" i="12"/>
  <c r="Y45" i="12"/>
  <c r="T16" i="12"/>
  <c r="Y60" i="12"/>
  <c r="Y22" i="12"/>
  <c r="W44" i="12"/>
  <c r="V59" i="12"/>
  <c r="V75" i="12"/>
  <c r="W19" i="12"/>
  <c r="Z39" i="12"/>
  <c r="V26" i="12"/>
  <c r="J33" i="12"/>
  <c r="T27" i="12"/>
  <c r="J19" i="12"/>
  <c r="T23" i="12"/>
  <c r="V23" i="12"/>
  <c r="J28" i="12"/>
  <c r="AA55" i="12"/>
  <c r="Z49" i="12"/>
  <c r="AA65" i="12"/>
  <c r="AA41" i="12"/>
  <c r="W66" i="12"/>
  <c r="T42" i="12"/>
  <c r="T50" i="12"/>
  <c r="AA34" i="12"/>
  <c r="Y73" i="12"/>
  <c r="T36" i="12"/>
  <c r="D16" i="12"/>
  <c r="F15" i="12"/>
  <c r="C26" i="12"/>
  <c r="F21" i="12"/>
  <c r="X32" i="12"/>
  <c r="X17" i="12"/>
  <c r="Y50" i="12"/>
  <c r="AA64" i="12"/>
  <c r="C29" i="12"/>
  <c r="H17" i="12"/>
  <c r="Z65" i="12"/>
  <c r="I20" i="12"/>
  <c r="U18" i="12"/>
  <c r="AA47" i="12"/>
  <c r="V18" i="12"/>
  <c r="AA25" i="12"/>
  <c r="V32" i="12"/>
  <c r="W43" i="12"/>
  <c r="Z59" i="12"/>
  <c r="T74" i="12"/>
  <c r="W69" i="12"/>
  <c r="W61" i="12"/>
  <c r="W53" i="12"/>
  <c r="W45" i="12"/>
  <c r="W37" i="12"/>
  <c r="U29" i="12"/>
  <c r="U21" i="12"/>
  <c r="X70" i="12"/>
  <c r="W62" i="12"/>
  <c r="U54" i="12"/>
  <c r="T46" i="12"/>
  <c r="AA31" i="12"/>
  <c r="X23" i="12"/>
  <c r="X15" i="12"/>
  <c r="T54" i="12"/>
  <c r="AA38" i="12"/>
  <c r="Y30" i="12"/>
  <c r="W22" i="12"/>
  <c r="X61" i="12"/>
  <c r="Z23" i="12"/>
  <c r="Y19" i="12"/>
  <c r="V42" i="12"/>
  <c r="J21" i="12"/>
  <c r="Y40" i="12"/>
  <c r="W33" i="12"/>
  <c r="Z74" i="12"/>
  <c r="U70" i="12"/>
  <c r="T63" i="12"/>
  <c r="F28" i="12"/>
  <c r="AA58" i="12"/>
  <c r="AA51" i="12"/>
  <c r="C27" i="12"/>
  <c r="Z73" i="12"/>
  <c r="H23" i="12"/>
  <c r="AA15" i="12"/>
  <c r="X30" i="12"/>
  <c r="Z22" i="12"/>
  <c r="T71" i="12"/>
  <c r="AA20" i="12"/>
  <c r="T75" i="12"/>
  <c r="U51" i="12"/>
  <c r="U59" i="12"/>
  <c r="X66" i="12"/>
  <c r="Z46" i="12"/>
  <c r="Y49" i="12"/>
  <c r="H25" i="12"/>
  <c r="T31" i="12"/>
  <c r="AA48" i="12"/>
  <c r="V34" i="12"/>
  <c r="Z67" i="12"/>
  <c r="X19" i="12"/>
  <c r="W57" i="12"/>
  <c r="T26" i="12"/>
  <c r="J32" i="12"/>
  <c r="E28" i="12"/>
  <c r="X31" i="12"/>
  <c r="AA63" i="12"/>
  <c r="F33" i="12"/>
  <c r="U67" i="12"/>
  <c r="C23" i="12"/>
  <c r="J20" i="12"/>
  <c r="AA52" i="12"/>
  <c r="Z19" i="12"/>
  <c r="U26" i="12"/>
  <c r="H33" i="12"/>
  <c r="AA44" i="12"/>
  <c r="T61" i="12"/>
  <c r="V76" i="12"/>
  <c r="X68" i="12"/>
  <c r="X60" i="12"/>
  <c r="X52" i="12"/>
  <c r="X44" i="12"/>
  <c r="X36" i="12"/>
  <c r="W28" i="12"/>
  <c r="W20" i="12"/>
  <c r="X69" i="12"/>
  <c r="V61" i="12"/>
  <c r="U53" i="12"/>
  <c r="T45" i="12"/>
  <c r="Z30" i="12"/>
  <c r="X22" i="12"/>
  <c r="Z14" i="12"/>
  <c r="V69" i="12"/>
  <c r="U61" i="12"/>
  <c r="T53" i="12"/>
  <c r="AA37" i="12"/>
  <c r="Y29" i="12"/>
  <c r="W21" i="12"/>
  <c r="X76" i="12"/>
  <c r="Y68" i="12"/>
  <c r="W60" i="12"/>
  <c r="V52" i="12"/>
  <c r="U44" i="12"/>
  <c r="X29" i="12"/>
  <c r="Z25" i="12"/>
  <c r="D15" i="12"/>
  <c r="J27" i="12"/>
  <c r="Y61" i="12"/>
  <c r="W41" i="12"/>
  <c r="C21" i="12"/>
  <c r="Y38" i="12"/>
  <c r="Z21" i="12"/>
  <c r="AA21" i="12"/>
  <c r="V45" i="12"/>
  <c r="T69" i="12"/>
  <c r="U20" i="12"/>
  <c r="Y48" i="12"/>
  <c r="E29" i="12"/>
  <c r="E21" i="12"/>
  <c r="H27" i="12"/>
  <c r="H19" i="12"/>
  <c r="I32" i="12"/>
  <c r="F24" i="12"/>
  <c r="W14" i="12"/>
  <c r="D24" i="12"/>
  <c r="Z15" i="12"/>
  <c r="W26" i="12"/>
  <c r="W42" i="12"/>
  <c r="E22" i="12"/>
  <c r="Y76" i="12"/>
  <c r="Z53" i="12"/>
  <c r="Y42" i="12"/>
  <c r="U14" i="12"/>
  <c r="E26" i="12"/>
  <c r="C20" i="12"/>
  <c r="W35" i="12"/>
  <c r="Z56" i="12"/>
  <c r="Z60" i="12"/>
  <c r="T43" i="12"/>
  <c r="X20" i="12"/>
  <c r="X27" i="12"/>
  <c r="V50" i="12"/>
  <c r="U30" i="12"/>
  <c r="Z52" i="12"/>
  <c r="D30" i="12"/>
  <c r="F22" i="12"/>
  <c r="D22" i="12"/>
  <c r="Z63" i="12"/>
  <c r="AA45" i="12"/>
  <c r="E23" i="12"/>
  <c r="Z27" i="12"/>
  <c r="X65" i="12"/>
  <c r="T59" i="12"/>
  <c r="V71" i="12"/>
  <c r="V21" i="12"/>
  <c r="C31" i="12"/>
  <c r="H22" i="12"/>
  <c r="AA42" i="12"/>
  <c r="Z70" i="12"/>
  <c r="W25" i="12"/>
  <c r="J22" i="12"/>
  <c r="X59" i="12"/>
  <c r="D21" i="12"/>
  <c r="F27" i="12"/>
  <c r="Y34" i="12"/>
  <c r="Y46" i="12"/>
  <c r="AA62" i="12"/>
  <c r="X75" i="12"/>
  <c r="Y67" i="12"/>
  <c r="Y59" i="12"/>
  <c r="Y51" i="12"/>
  <c r="Y43" i="12"/>
  <c r="Y35" i="12"/>
  <c r="Y27" i="12"/>
  <c r="W76" i="12"/>
  <c r="W68" i="12"/>
  <c r="V60" i="12"/>
  <c r="U52" i="12"/>
  <c r="T44" i="12"/>
  <c r="Z29" i="12"/>
  <c r="X21" i="12"/>
  <c r="U76" i="12"/>
  <c r="V68" i="12"/>
  <c r="U60" i="12"/>
  <c r="T52" i="12"/>
  <c r="AA36" i="12"/>
  <c r="Y28" i="12"/>
  <c r="V20" i="12"/>
  <c r="Y75" i="12"/>
  <c r="X67" i="12"/>
  <c r="W59" i="12"/>
  <c r="V51" i="12"/>
  <c r="U43" i="12"/>
  <c r="T32" i="12"/>
  <c r="T28" i="12"/>
  <c r="Z16" i="12"/>
  <c r="W40" i="12"/>
  <c r="Z64" i="12"/>
  <c r="X49" i="12"/>
  <c r="Z51" i="12"/>
  <c r="Y15" i="12"/>
  <c r="D26" i="12"/>
  <c r="Y53" i="12"/>
  <c r="H26" i="12"/>
  <c r="F23" i="12"/>
  <c r="V17" i="12"/>
  <c r="X47" i="12"/>
  <c r="AA14" i="12"/>
  <c r="W67" i="12"/>
  <c r="AA35" i="12"/>
  <c r="W58" i="12"/>
  <c r="D18" i="12"/>
  <c r="D25" i="12"/>
  <c r="D28" i="12"/>
  <c r="E17" i="12"/>
  <c r="F17" i="12"/>
  <c r="Z24" i="12"/>
  <c r="AA29" i="12"/>
  <c r="V74" i="12"/>
  <c r="V49" i="12"/>
  <c r="Y54" i="12"/>
  <c r="H24" i="12"/>
  <c r="X50" i="12"/>
  <c r="X18" i="12"/>
  <c r="X54" i="12"/>
  <c r="U72" i="12"/>
  <c r="D27" i="12"/>
  <c r="E27" i="12"/>
  <c r="Z62" i="12"/>
  <c r="T22" i="12"/>
  <c r="U28" i="12"/>
  <c r="U36" i="12"/>
  <c r="W48" i="12"/>
  <c r="Y64" i="12"/>
  <c r="Y74" i="12"/>
  <c r="Z66" i="12"/>
  <c r="Z58" i="12"/>
  <c r="Z50" i="12"/>
  <c r="Z42" i="12"/>
  <c r="W75" i="12"/>
  <c r="Z28" i="12"/>
  <c r="I27" i="12"/>
  <c r="Y57" i="12"/>
  <c r="AA76" i="12"/>
  <c r="Y33" i="12"/>
  <c r="V37" i="12"/>
  <c r="Z75" i="12"/>
  <c r="AA23" i="12"/>
  <c r="V30" i="12"/>
  <c r="Z38" i="12"/>
  <c r="X51" i="12"/>
  <c r="AA67" i="12"/>
  <c r="T72" i="12"/>
  <c r="T64" i="12"/>
  <c r="T56" i="12"/>
  <c r="T48" i="12"/>
  <c r="T40" i="12"/>
  <c r="W32" i="12"/>
  <c r="W24" i="12"/>
  <c r="X73" i="12"/>
  <c r="W65" i="12"/>
  <c r="V57" i="12"/>
  <c r="U49" i="12"/>
  <c r="T41" i="12"/>
  <c r="Y26" i="12"/>
  <c r="Z18" i="12"/>
  <c r="W73" i="12"/>
  <c r="V65" i="12"/>
  <c r="U57" i="12"/>
  <c r="T49" i="12"/>
  <c r="Z33" i="12"/>
  <c r="X25" i="12"/>
  <c r="AA17" i="12"/>
  <c r="Y72" i="12"/>
  <c r="X64" i="12"/>
  <c r="W56" i="12"/>
  <c r="V48" i="12"/>
  <c r="Z17" i="12"/>
  <c r="I17" i="12"/>
  <c r="X41" i="12"/>
  <c r="E15" i="12"/>
  <c r="AA54" i="12"/>
  <c r="D19" i="12"/>
  <c r="C15" i="12"/>
  <c r="F29" i="12"/>
  <c r="U64" i="12"/>
  <c r="W18" i="12"/>
  <c r="V28" i="12"/>
  <c r="V39" i="12"/>
  <c r="X43" i="12"/>
  <c r="E32" i="12"/>
  <c r="E33" i="12"/>
  <c r="E25" i="12"/>
  <c r="J31" i="12"/>
  <c r="G23" i="12"/>
  <c r="H15" i="12"/>
  <c r="H28" i="12"/>
  <c r="E20" i="12"/>
  <c r="G18" i="12"/>
  <c r="F30" i="12"/>
  <c r="T30" i="12"/>
  <c r="Y37" i="12"/>
  <c r="V22" i="12"/>
  <c r="W36" i="12"/>
  <c r="V35" i="12"/>
  <c r="X55" i="12"/>
  <c r="Z71" i="12"/>
  <c r="H18" i="12"/>
  <c r="AA24" i="12"/>
  <c r="V31" i="12"/>
  <c r="X39" i="12"/>
  <c r="W52" i="12"/>
  <c r="Z68" i="12"/>
  <c r="Z47" i="12"/>
  <c r="X28" i="12"/>
  <c r="Y66" i="12"/>
  <c r="T29" i="12"/>
  <c r="G17" i="12"/>
  <c r="U23" i="12"/>
  <c r="W29" i="12"/>
  <c r="T37" i="12"/>
  <c r="W49" i="12"/>
  <c r="Y65" i="12"/>
  <c r="X33" i="12"/>
  <c r="Z34" i="12"/>
  <c r="V67" i="12"/>
  <c r="X74" i="12"/>
  <c r="Z69" i="12"/>
  <c r="U66" i="12"/>
  <c r="D17" i="12"/>
  <c r="J29" i="12"/>
  <c r="Z48" i="12"/>
  <c r="G30" i="12"/>
  <c r="V14" i="12"/>
  <c r="C16" i="12"/>
  <c r="T62" i="12"/>
  <c r="D29" i="12"/>
  <c r="X37" i="12"/>
  <c r="AA73" i="12"/>
  <c r="AA49" i="12"/>
  <c r="W74" i="12"/>
  <c r="U50" i="12"/>
  <c r="U58" i="12"/>
  <c r="Y18" i="12"/>
  <c r="U15" i="12"/>
  <c r="X53" i="12"/>
  <c r="C28" i="12"/>
  <c r="E30" i="12"/>
  <c r="H29" i="12"/>
  <c r="AA28" i="12"/>
  <c r="Y32" i="12"/>
  <c r="E24" i="12"/>
  <c r="U65" i="12"/>
  <c r="W16" i="12"/>
  <c r="Y47" i="12"/>
  <c r="K24" i="12" l="1"/>
  <c r="K30" i="12"/>
  <c r="V77" i="12" a="1"/>
  <c r="V77" i="12" s="1"/>
  <c r="AB14" i="12"/>
  <c r="AB67" i="12"/>
  <c r="AB31" i="12"/>
  <c r="AB35" i="12"/>
  <c r="AB22" i="12"/>
  <c r="K20" i="12"/>
  <c r="H34" i="12" a="1"/>
  <c r="H34" i="12" s="1"/>
  <c r="K25" i="12"/>
  <c r="K33" i="12"/>
  <c r="K32" i="12"/>
  <c r="AB39" i="12"/>
  <c r="AB28" i="12"/>
  <c r="C34" i="12" a="1"/>
  <c r="C34" i="12" s="1"/>
  <c r="K15" i="12"/>
  <c r="E34" i="12" a="1"/>
  <c r="E34" i="12" s="1"/>
  <c r="AB48" i="12"/>
  <c r="AB65" i="12"/>
  <c r="AB57" i="12"/>
  <c r="AB30" i="12"/>
  <c r="AB37" i="12"/>
  <c r="K27" i="12"/>
  <c r="AB49" i="12"/>
  <c r="AB74" i="12"/>
  <c r="K17" i="12"/>
  <c r="AA77" i="12" a="1"/>
  <c r="AA77" i="12" s="1"/>
  <c r="AB17" i="12"/>
  <c r="AB51" i="12"/>
  <c r="AB20" i="12"/>
  <c r="AB68" i="12"/>
  <c r="AB60" i="12"/>
  <c r="AB21" i="12"/>
  <c r="AB71" i="12"/>
  <c r="K23" i="12"/>
  <c r="AB50" i="12"/>
  <c r="K26" i="12"/>
  <c r="U77" i="12" a="1"/>
  <c r="U77" i="12" s="1"/>
  <c r="K22" i="12"/>
  <c r="W77" i="12" a="1"/>
  <c r="W77" i="12" s="1"/>
  <c r="K21" i="12"/>
  <c r="K29" i="12"/>
  <c r="AB45" i="12"/>
  <c r="D34" i="12" a="1"/>
  <c r="D34" i="12" s="1"/>
  <c r="AB52" i="12"/>
  <c r="AB69" i="12"/>
  <c r="Z77" i="12" a="1"/>
  <c r="Z77" i="12" s="1"/>
  <c r="AB61" i="12"/>
  <c r="AB76" i="12"/>
  <c r="K28" i="12"/>
  <c r="AB34" i="12"/>
  <c r="AB42" i="12"/>
  <c r="AB32" i="12"/>
  <c r="AB18" i="12"/>
  <c r="F34" i="12" a="1"/>
  <c r="F34" i="12" s="1"/>
  <c r="AB23" i="12"/>
  <c r="AB26" i="12"/>
  <c r="AB75" i="12"/>
  <c r="AB59" i="12"/>
  <c r="K31" i="12"/>
  <c r="I34" i="12" a="1"/>
  <c r="I34" i="12" s="1"/>
  <c r="J34" i="12" a="1"/>
  <c r="J34" i="12" s="1"/>
  <c r="AB73" i="12"/>
  <c r="AB44" i="12"/>
  <c r="X77" i="12" a="1"/>
  <c r="X77" i="12" s="1"/>
  <c r="AB24" i="12"/>
  <c r="AB53" i="12"/>
  <c r="Y77" i="12" a="1"/>
  <c r="Y77" i="12" s="1"/>
  <c r="AB25" i="12"/>
  <c r="AB33" i="12"/>
  <c r="G34" i="12" a="1"/>
  <c r="G34" i="12" s="1"/>
  <c r="T77" i="12" a="1"/>
  <c r="T77" i="12" s="1"/>
  <c r="AB63" i="12"/>
  <c r="AB16" i="12"/>
  <c r="AB55" i="12"/>
  <c r="AB38" i="12"/>
  <c r="AB46" i="12"/>
  <c r="AB54" i="12"/>
  <c r="AB62" i="12"/>
  <c r="AB70" i="12"/>
  <c r="AB43" i="12"/>
  <c r="AB36" i="12"/>
  <c r="AB66" i="12"/>
  <c r="AB58" i="12"/>
  <c r="AB27" i="12"/>
  <c r="AB29" i="12"/>
  <c r="AB41" i="12"/>
  <c r="K16" i="12"/>
  <c r="AB72" i="12"/>
  <c r="K18" i="12"/>
  <c r="K19" i="12"/>
  <c r="AB19" i="12"/>
  <c r="AB47" i="12"/>
  <c r="AB64" i="12"/>
  <c r="AB56" i="12"/>
  <c r="AB40" i="12"/>
  <c r="AB15" i="12"/>
  <c r="AB77" i="12" l="1" a="1"/>
  <c r="AB77" i="12" s="1"/>
  <c r="K34" i="12" a="1"/>
  <c r="K34" i="12" s="1"/>
  <c r="AC73" i="11" l="1"/>
  <c r="AC75" i="11" s="1"/>
  <c r="AC8" i="11"/>
  <c r="N8" i="11"/>
  <c r="M8" i="11"/>
  <c r="P8" i="11" s="1"/>
  <c r="N7" i="11"/>
  <c r="M7" i="11"/>
  <c r="AD6" i="11"/>
  <c r="AD7" i="11" s="1"/>
  <c r="AC6" i="11"/>
  <c r="AC7" i="11" s="1"/>
  <c r="P6" i="11"/>
  <c r="P7" i="11" l="1"/>
  <c r="AF7" i="11"/>
  <c r="AF6" i="11"/>
  <c r="AD8" i="11"/>
  <c r="AF8" i="11" s="1"/>
  <c r="G31" i="11"/>
  <c r="H26" i="11"/>
  <c r="F19" i="11"/>
  <c r="F22" i="11"/>
  <c r="D31" i="11"/>
  <c r="H15" i="11"/>
  <c r="J32" i="11"/>
  <c r="J29" i="11"/>
  <c r="H18" i="11"/>
  <c r="J21" i="11"/>
  <c r="I27" i="11"/>
  <c r="G33" i="11"/>
  <c r="D25" i="11"/>
  <c r="I17" i="11"/>
  <c r="D28" i="11"/>
  <c r="H17" i="11"/>
  <c r="F21" i="11"/>
  <c r="F15" i="11"/>
  <c r="I29" i="11"/>
  <c r="I18" i="11"/>
  <c r="C31" i="11"/>
  <c r="F20" i="11"/>
  <c r="G15" i="11"/>
  <c r="E33" i="11"/>
  <c r="F31" i="11"/>
  <c r="E15" i="11"/>
  <c r="D15" i="11"/>
  <c r="D18" i="11"/>
  <c r="C32" i="11"/>
  <c r="E22" i="11"/>
  <c r="C29" i="11"/>
  <c r="I28" i="11"/>
  <c r="F17" i="11"/>
  <c r="I32" i="11"/>
  <c r="J19" i="11"/>
  <c r="G24" i="11"/>
  <c r="F33" i="11"/>
  <c r="G25" i="11"/>
  <c r="J33" i="11"/>
  <c r="H21" i="11"/>
  <c r="C17" i="11"/>
  <c r="D33" i="11"/>
  <c r="I30" i="11"/>
  <c r="I31" i="11"/>
  <c r="F29" i="11"/>
  <c r="C24" i="11"/>
  <c r="G21" i="11"/>
  <c r="G17" i="11"/>
  <c r="E20" i="11"/>
  <c r="E18" i="11"/>
  <c r="C20" i="11"/>
  <c r="H29" i="11"/>
  <c r="I24" i="11"/>
  <c r="J25" i="11"/>
  <c r="E27" i="11"/>
  <c r="H25" i="11"/>
  <c r="J26" i="11"/>
  <c r="J18" i="11"/>
  <c r="J17" i="11"/>
  <c r="H32" i="11"/>
  <c r="C19" i="11"/>
  <c r="D32" i="11"/>
  <c r="G22" i="11"/>
  <c r="J27" i="11"/>
  <c r="H23" i="11"/>
  <c r="I15" i="11"/>
  <c r="C26" i="11"/>
  <c r="F32" i="11"/>
  <c r="D24" i="11"/>
  <c r="C16" i="11"/>
  <c r="D27" i="11"/>
  <c r="J16" i="11"/>
  <c r="J22" i="11"/>
  <c r="H16" i="11"/>
  <c r="J31" i="11"/>
  <c r="J24" i="11"/>
  <c r="F16" i="11"/>
  <c r="F28" i="11"/>
  <c r="C28" i="11"/>
  <c r="I19" i="11"/>
  <c r="E24" i="11"/>
  <c r="E25" i="11"/>
  <c r="D23" i="11"/>
  <c r="D26" i="11"/>
  <c r="F23" i="11"/>
  <c r="E23" i="11"/>
  <c r="D30" i="11"/>
  <c r="I16" i="11"/>
  <c r="C33" i="11"/>
  <c r="G32" i="11"/>
  <c r="F30" i="11"/>
  <c r="D22" i="11"/>
  <c r="C15" i="11"/>
  <c r="H19" i="11"/>
  <c r="D21" i="11"/>
  <c r="I26" i="11"/>
  <c r="E17" i="11"/>
  <c r="J15" i="11"/>
  <c r="I25" i="11"/>
  <c r="I23" i="11"/>
  <c r="E32" i="11"/>
  <c r="G27" i="11"/>
  <c r="H33" i="11"/>
  <c r="J28" i="11"/>
  <c r="H28" i="11"/>
  <c r="E28" i="11"/>
  <c r="C18" i="11"/>
  <c r="I22" i="11"/>
  <c r="C27" i="11"/>
  <c r="E29" i="11"/>
  <c r="G19" i="11"/>
  <c r="H30" i="11"/>
  <c r="G29" i="11"/>
  <c r="H24" i="11"/>
  <c r="C22" i="11"/>
  <c r="C23" i="11"/>
  <c r="E16" i="11"/>
  <c r="G30" i="11"/>
  <c r="E19" i="11"/>
  <c r="D19" i="11"/>
  <c r="C25" i="11"/>
  <c r="C21" i="11"/>
  <c r="G16" i="11"/>
  <c r="J30" i="11"/>
  <c r="J23" i="11"/>
  <c r="C30" i="11"/>
  <c r="E31" i="11"/>
  <c r="G23" i="11"/>
  <c r="F27" i="11"/>
  <c r="G26" i="11"/>
  <c r="E30" i="11"/>
  <c r="H20" i="11"/>
  <c r="I20" i="11"/>
  <c r="D16" i="11"/>
  <c r="F25" i="11"/>
  <c r="D17" i="11"/>
  <c r="H22" i="11"/>
  <c r="I21" i="11"/>
  <c r="F26" i="11"/>
  <c r="F24" i="11"/>
  <c r="G28" i="11"/>
  <c r="G20" i="11"/>
  <c r="E26" i="11"/>
  <c r="G18" i="11"/>
  <c r="D29" i="11"/>
  <c r="F18" i="11"/>
  <c r="J20" i="11"/>
  <c r="I33" i="11"/>
  <c r="H27" i="11"/>
  <c r="D20" i="11"/>
  <c r="E21" i="11"/>
  <c r="H31" i="11"/>
  <c r="K21" i="11" l="1"/>
  <c r="K26" i="11"/>
  <c r="K30" i="11"/>
  <c r="K31" i="11"/>
  <c r="K19" i="11"/>
  <c r="K16" i="11"/>
  <c r="K29" i="11"/>
  <c r="K28" i="11"/>
  <c r="K32" i="11"/>
  <c r="J34" i="11" a="1"/>
  <c r="J34" i="11" s="1"/>
  <c r="K17" i="11"/>
  <c r="C34" i="11" a="1"/>
  <c r="C34" i="11" s="1"/>
  <c r="K23" i="11"/>
  <c r="K25" i="11"/>
  <c r="K24" i="11"/>
  <c r="I34" i="11" a="1"/>
  <c r="I34" i="11" s="1"/>
  <c r="K27" i="11"/>
  <c r="K18" i="11"/>
  <c r="K20" i="11"/>
  <c r="K22" i="11"/>
  <c r="D34" i="11" a="1"/>
  <c r="D34" i="11" s="1"/>
  <c r="E34" i="11" a="1"/>
  <c r="E34" i="11" s="1"/>
  <c r="K15" i="11"/>
  <c r="K33" i="11"/>
  <c r="G34" i="11" a="1"/>
  <c r="G34" i="11" s="1"/>
  <c r="F34" i="11" a="1"/>
  <c r="F34" i="11" s="1"/>
  <c r="H34" i="11" a="1"/>
  <c r="H34" i="11" s="1"/>
  <c r="U71" i="11"/>
  <c r="U63" i="11"/>
  <c r="U55" i="11"/>
  <c r="U47" i="11"/>
  <c r="U39" i="11"/>
  <c r="Y31" i="11"/>
  <c r="Y23" i="11"/>
  <c r="AA72" i="11"/>
  <c r="T69" i="11"/>
  <c r="AA53" i="11"/>
  <c r="Z45" i="11"/>
  <c r="Y37" i="11"/>
  <c r="W29" i="11"/>
  <c r="T21" i="11"/>
  <c r="Y73" i="11"/>
  <c r="AA60" i="11"/>
  <c r="Z52" i="11"/>
  <c r="Y44" i="11"/>
  <c r="W36" i="11"/>
  <c r="U28" i="11"/>
  <c r="V18" i="11"/>
  <c r="AA71" i="11"/>
  <c r="Y60" i="11"/>
  <c r="T47" i="11"/>
  <c r="Y32" i="11"/>
  <c r="Z21" i="11"/>
  <c r="AA46" i="11"/>
  <c r="V15" i="11"/>
  <c r="V72" i="11"/>
  <c r="Y56" i="11"/>
  <c r="Z65" i="11"/>
  <c r="T55" i="11"/>
  <c r="W41" i="11"/>
  <c r="AA29" i="11"/>
  <c r="U18" i="11"/>
  <c r="T32" i="11"/>
  <c r="X29" i="11"/>
  <c r="W59" i="11"/>
  <c r="AA69" i="11"/>
  <c r="V56" i="11"/>
  <c r="X21" i="11"/>
  <c r="X59" i="11"/>
  <c r="X67" i="11"/>
  <c r="Z32" i="11"/>
  <c r="Z69" i="11"/>
  <c r="Y58" i="11"/>
  <c r="X46" i="11"/>
  <c r="V34" i="11"/>
  <c r="AA15" i="11"/>
  <c r="Y15" i="11"/>
  <c r="U64" i="11"/>
  <c r="W50" i="11"/>
  <c r="Z39" i="11"/>
  <c r="W17" i="11"/>
  <c r="V43" i="11"/>
  <c r="V66" i="11"/>
  <c r="Y18" i="11"/>
  <c r="V65" i="11"/>
  <c r="W54" i="11"/>
  <c r="U42" i="11"/>
  <c r="U31" i="11"/>
  <c r="W62" i="11"/>
  <c r="W22" i="11"/>
  <c r="U50" i="11"/>
  <c r="U38" i="11"/>
  <c r="Z36" i="11"/>
  <c r="X63" i="11"/>
  <c r="Z63" i="11"/>
  <c r="AA40" i="11"/>
  <c r="U54" i="11"/>
  <c r="W15" i="11"/>
  <c r="W49" i="11"/>
  <c r="U62" i="11"/>
  <c r="AA66" i="11"/>
  <c r="Z31" i="11"/>
  <c r="AA47" i="11"/>
  <c r="Z67" i="11"/>
  <c r="X62" i="11"/>
  <c r="W39" i="11"/>
  <c r="W14" i="11"/>
  <c r="Y65" i="11"/>
  <c r="W55" i="11"/>
  <c r="U41" i="11"/>
  <c r="W46" i="11"/>
  <c r="T54" i="11"/>
  <c r="T27" i="11"/>
  <c r="V53" i="11"/>
  <c r="Y33" i="11"/>
  <c r="AA36" i="11"/>
  <c r="Z58" i="11"/>
  <c r="Y72" i="11"/>
  <c r="Y40" i="11"/>
  <c r="Y47" i="11"/>
  <c r="W52" i="11"/>
  <c r="V21" i="11"/>
  <c r="U52" i="11"/>
  <c r="Z76" i="11"/>
  <c r="W27" i="11"/>
  <c r="V58" i="11"/>
  <c r="V35" i="11"/>
  <c r="AA65" i="11"/>
  <c r="X74" i="11"/>
  <c r="W31" i="11"/>
  <c r="V30" i="11"/>
  <c r="T18" i="11"/>
  <c r="AA20" i="11"/>
  <c r="U72" i="11"/>
  <c r="X54" i="11"/>
  <c r="W40" i="11"/>
  <c r="V70" i="11"/>
  <c r="V62" i="11"/>
  <c r="V54" i="11"/>
  <c r="V46" i="11"/>
  <c r="V38" i="11"/>
  <c r="AA30" i="11"/>
  <c r="AA22" i="11"/>
  <c r="T71" i="11"/>
  <c r="T68" i="11"/>
  <c r="AA52" i="11"/>
  <c r="Z44" i="11"/>
  <c r="Y36" i="11"/>
  <c r="V28" i="11"/>
  <c r="T20" i="11"/>
  <c r="X72" i="11"/>
  <c r="AA59" i="11"/>
  <c r="Z51" i="11"/>
  <c r="X43" i="11"/>
  <c r="W35" i="11"/>
  <c r="U27" i="11"/>
  <c r="X17" i="11"/>
  <c r="X70" i="11"/>
  <c r="V59" i="11"/>
  <c r="AA45" i="11"/>
  <c r="X30" i="11"/>
  <c r="U20" i="11"/>
  <c r="T44" i="11"/>
  <c r="X25" i="11"/>
  <c r="Y63" i="11"/>
  <c r="U17" i="11"/>
  <c r="X64" i="11"/>
  <c r="Y53" i="11"/>
  <c r="U40" i="11"/>
  <c r="T28" i="11"/>
  <c r="Y16" i="11"/>
  <c r="T30" i="11"/>
  <c r="V23" i="11"/>
  <c r="T39" i="11"/>
  <c r="W68" i="11"/>
  <c r="X53" i="11"/>
  <c r="X27" i="11"/>
  <c r="AA44" i="11"/>
  <c r="Z64" i="11"/>
  <c r="Y28" i="11"/>
  <c r="V68" i="11"/>
  <c r="W57" i="11"/>
  <c r="U45" i="11"/>
  <c r="Z33" i="11"/>
  <c r="Z75" i="11"/>
  <c r="Y62" i="11"/>
  <c r="U49" i="11"/>
  <c r="U69" i="11"/>
  <c r="Y75" i="11"/>
  <c r="T53" i="11"/>
  <c r="T29" i="11"/>
  <c r="V20" i="11"/>
  <c r="Z27" i="11"/>
  <c r="X26" i="11"/>
  <c r="W25" i="11"/>
  <c r="X24" i="11"/>
  <c r="U56" i="11"/>
  <c r="T42" i="11"/>
  <c r="U74" i="11"/>
  <c r="Z35" i="11"/>
  <c r="X22" i="11"/>
  <c r="T74" i="11"/>
  <c r="X51" i="11"/>
  <c r="AA28" i="11"/>
  <c r="AA76" i="11"/>
  <c r="AA19" i="11"/>
  <c r="T31" i="11"/>
  <c r="W66" i="11"/>
  <c r="U61" i="11"/>
  <c r="V39" i="11"/>
  <c r="AA14" i="11"/>
  <c r="T45" i="11"/>
  <c r="AA70" i="11"/>
  <c r="U24" i="11"/>
  <c r="X39" i="11"/>
  <c r="V40" i="11"/>
  <c r="U59" i="11"/>
  <c r="W74" i="11"/>
  <c r="Z62" i="11"/>
  <c r="AA43" i="11"/>
  <c r="W58" i="11"/>
  <c r="U58" i="11"/>
  <c r="Y68" i="11"/>
  <c r="W44" i="11"/>
  <c r="V42" i="11"/>
  <c r="AA18" i="11"/>
  <c r="W69" i="11"/>
  <c r="W61" i="11"/>
  <c r="W53" i="11"/>
  <c r="W45" i="11"/>
  <c r="W37" i="11"/>
  <c r="U29" i="11"/>
  <c r="U21" i="11"/>
  <c r="U70" i="11"/>
  <c r="T67" i="11"/>
  <c r="AA51" i="11"/>
  <c r="Z43" i="11"/>
  <c r="X35" i="11"/>
  <c r="V27" i="11"/>
  <c r="U19" i="11"/>
  <c r="W71" i="11"/>
  <c r="AA58" i="11"/>
  <c r="Y50" i="11"/>
  <c r="X42" i="11"/>
  <c r="W34" i="11"/>
  <c r="U26" i="11"/>
  <c r="Z16" i="11"/>
  <c r="Z68" i="11"/>
  <c r="T58" i="11"/>
  <c r="V44" i="11"/>
  <c r="X28" i="11"/>
  <c r="Z19" i="11"/>
  <c r="V41" i="11"/>
  <c r="W21" i="11"/>
  <c r="X55" i="11"/>
  <c r="X76" i="11"/>
  <c r="V63" i="11"/>
  <c r="V52" i="11"/>
  <c r="AA38" i="11"/>
  <c r="AA27" i="11"/>
  <c r="U16" i="11"/>
  <c r="U67" i="11"/>
  <c r="U35" i="11"/>
  <c r="W42" i="11"/>
  <c r="V61" i="11"/>
  <c r="Z60" i="11"/>
  <c r="W47" i="11"/>
  <c r="Z30" i="11"/>
  <c r="Y29" i="11"/>
  <c r="U34" i="11"/>
  <c r="V50" i="11"/>
  <c r="V17" i="11"/>
  <c r="U65" i="11"/>
  <c r="T49" i="11"/>
  <c r="V31" i="11"/>
  <c r="Z71" i="11"/>
  <c r="T46" i="11"/>
  <c r="V74" i="11"/>
  <c r="V57" i="11"/>
  <c r="X47" i="11"/>
  <c r="AA57" i="11"/>
  <c r="AA49" i="11"/>
  <c r="U25" i="11"/>
  <c r="AA55" i="11"/>
  <c r="U15" i="11"/>
  <c r="X38" i="11"/>
  <c r="U51" i="11"/>
  <c r="U14" i="11"/>
  <c r="X45" i="11"/>
  <c r="Y21" i="11"/>
  <c r="T59" i="11"/>
  <c r="X61" i="11"/>
  <c r="Y52" i="11"/>
  <c r="X73" i="11"/>
  <c r="U57" i="11"/>
  <c r="V76" i="11"/>
  <c r="X68" i="11"/>
  <c r="X60" i="11"/>
  <c r="X52" i="11"/>
  <c r="X44" i="11"/>
  <c r="X36" i="11"/>
  <c r="W28" i="11"/>
  <c r="W20" i="11"/>
  <c r="V69" i="11"/>
  <c r="T66" i="11"/>
  <c r="AA50" i="11"/>
  <c r="Y42" i="11"/>
  <c r="X34" i="11"/>
  <c r="V26" i="11"/>
  <c r="W18" i="11"/>
  <c r="T70" i="11"/>
  <c r="Z57" i="11"/>
  <c r="Y49" i="11"/>
  <c r="X41" i="11"/>
  <c r="W33" i="11"/>
  <c r="T25" i="11"/>
  <c r="T15" i="11"/>
  <c r="W67" i="11"/>
  <c r="X56" i="11"/>
  <c r="T43" i="11"/>
  <c r="W26" i="11"/>
  <c r="X18" i="11"/>
  <c r="Z38" i="11"/>
  <c r="AA17" i="11"/>
  <c r="AA48" i="11"/>
  <c r="Z74" i="11"/>
  <c r="Z61" i="11"/>
  <c r="T51" i="11"/>
  <c r="V37" i="11"/>
  <c r="T26" i="11"/>
  <c r="T14" i="11"/>
  <c r="Y25" i="11"/>
  <c r="AA21" i="11"/>
  <c r="AA42" i="11"/>
  <c r="X65" i="11"/>
  <c r="Z72" i="11"/>
  <c r="W72" i="11"/>
  <c r="Y69" i="11"/>
  <c r="T16" i="11"/>
  <c r="Z26" i="11"/>
  <c r="Z42" i="11"/>
  <c r="AA26" i="11"/>
  <c r="AA56" i="11"/>
  <c r="AA16" i="11"/>
  <c r="Y76" i="11"/>
  <c r="X15" i="11"/>
  <c r="AA34" i="11"/>
  <c r="AA33" i="11"/>
  <c r="T52" i="11"/>
  <c r="U68" i="11"/>
  <c r="U75" i="11"/>
  <c r="AA73" i="11"/>
  <c r="AA41" i="11"/>
  <c r="X71" i="11"/>
  <c r="U23" i="11"/>
  <c r="Z54" i="11"/>
  <c r="T75" i="11"/>
  <c r="Z37" i="11"/>
  <c r="Z14" i="11"/>
  <c r="U32" i="11"/>
  <c r="U73" i="11"/>
  <c r="T73" i="11"/>
  <c r="AA24" i="11"/>
  <c r="T57" i="11"/>
  <c r="U43" i="11"/>
  <c r="U46" i="11"/>
  <c r="X75" i="11"/>
  <c r="Y67" i="11"/>
  <c r="Y59" i="11"/>
  <c r="Y51" i="11"/>
  <c r="Y43" i="11"/>
  <c r="Y35" i="11"/>
  <c r="Y27" i="11"/>
  <c r="U76" i="11"/>
  <c r="W76" i="11"/>
  <c r="T65" i="11"/>
  <c r="Z49" i="11"/>
  <c r="Y41" i="11"/>
  <c r="X33" i="11"/>
  <c r="V25" i="11"/>
  <c r="Y17" i="11"/>
  <c r="AA64" i="11"/>
  <c r="Z56" i="11"/>
  <c r="Y48" i="11"/>
  <c r="X40" i="11"/>
  <c r="V32" i="11"/>
  <c r="T24" i="11"/>
  <c r="V14" i="11"/>
  <c r="U66" i="11"/>
  <c r="V55" i="11"/>
  <c r="Z41" i="11"/>
  <c r="AA25" i="11"/>
  <c r="T17" i="11"/>
  <c r="Y34" i="11"/>
  <c r="W16" i="11"/>
  <c r="Z40" i="11"/>
  <c r="V73" i="11"/>
  <c r="W60" i="11"/>
  <c r="X49" i="11"/>
  <c r="T36" i="11"/>
  <c r="Z25" i="11"/>
  <c r="V60" i="11"/>
  <c r="X23" i="11"/>
  <c r="T61" i="11"/>
  <c r="T76" i="11"/>
  <c r="W64" i="11"/>
  <c r="U37" i="11"/>
  <c r="V19" i="11"/>
  <c r="Y26" i="11"/>
  <c r="T50" i="11"/>
  <c r="AA75" i="11"/>
  <c r="V64" i="11"/>
  <c r="X58" i="11"/>
  <c r="Z59" i="11"/>
  <c r="Y74" i="11"/>
  <c r="Z34" i="11"/>
  <c r="Z48" i="11"/>
  <c r="AA63" i="11"/>
  <c r="T23" i="11"/>
  <c r="X19" i="11"/>
  <c r="Z23" i="11"/>
  <c r="V16" i="11"/>
  <c r="Z15" i="11"/>
  <c r="X48" i="11"/>
  <c r="U33" i="11"/>
  <c r="Z47" i="11"/>
  <c r="AA62" i="11"/>
  <c r="Y46" i="11"/>
  <c r="W63" i="11"/>
  <c r="AA23" i="11"/>
  <c r="Y57" i="11"/>
  <c r="U48" i="11"/>
  <c r="AA31" i="11"/>
  <c r="X50" i="11"/>
  <c r="T37" i="11"/>
  <c r="Z20" i="11"/>
  <c r="AA67" i="11"/>
  <c r="Z50" i="11"/>
  <c r="T72" i="11"/>
  <c r="T64" i="11"/>
  <c r="T56" i="11"/>
  <c r="T48" i="11"/>
  <c r="T40" i="11"/>
  <c r="W32" i="11"/>
  <c r="W24" i="11"/>
  <c r="Z73" i="11"/>
  <c r="W70" i="11"/>
  <c r="AA54" i="11"/>
  <c r="Z46" i="11"/>
  <c r="Y38" i="11"/>
  <c r="W30" i="11"/>
  <c r="U22" i="11"/>
  <c r="AA74" i="11"/>
  <c r="AA61" i="11"/>
  <c r="Z53" i="11"/>
  <c r="Y45" i="11"/>
  <c r="X37" i="11"/>
  <c r="V29" i="11"/>
  <c r="T19" i="11"/>
  <c r="W73" i="11"/>
  <c r="T62" i="11"/>
  <c r="W48" i="11"/>
  <c r="U36" i="11"/>
  <c r="V22" i="11"/>
  <c r="Y61" i="11"/>
  <c r="X16" i="11"/>
  <c r="Y20" i="11"/>
  <c r="X14" i="11"/>
  <c r="V67" i="11"/>
  <c r="W56" i="11"/>
  <c r="U44" i="11"/>
  <c r="U30" i="11"/>
  <c r="Y19" i="11"/>
  <c r="V45" i="11"/>
  <c r="W19" i="11"/>
  <c r="Z18" i="11"/>
  <c r="Y71" i="11"/>
  <c r="X57" i="11"/>
  <c r="Z29" i="11"/>
  <c r="Z70" i="11"/>
  <c r="AA68" i="11"/>
  <c r="V36" i="11"/>
  <c r="V71" i="11"/>
  <c r="U60" i="11"/>
  <c r="V49" i="11"/>
  <c r="AA35" i="11"/>
  <c r="Y22" i="11"/>
  <c r="AA37" i="11"/>
  <c r="W65" i="11"/>
  <c r="U53" i="11"/>
  <c r="T41" i="11"/>
  <c r="Z17" i="11"/>
  <c r="W51" i="11"/>
  <c r="Y70" i="11"/>
  <c r="T35" i="11"/>
  <c r="X66" i="11"/>
  <c r="Y55" i="11"/>
  <c r="W43" i="11"/>
  <c r="V33" i="11"/>
  <c r="V75" i="11"/>
  <c r="Y30" i="11"/>
  <c r="Z22" i="11"/>
  <c r="Y54" i="11"/>
  <c r="T60" i="11"/>
  <c r="X20" i="11"/>
  <c r="T38" i="11"/>
  <c r="AA39" i="11"/>
  <c r="V51" i="11"/>
  <c r="T33" i="11"/>
  <c r="Z66" i="11"/>
  <c r="W75" i="11"/>
  <c r="X32" i="11"/>
  <c r="Z55" i="11"/>
  <c r="Y64" i="11"/>
  <c r="V24" i="11"/>
  <c r="AA32" i="11"/>
  <c r="V48" i="11"/>
  <c r="W23" i="11"/>
  <c r="T63" i="11"/>
  <c r="V47" i="11"/>
  <c r="W38" i="11"/>
  <c r="X31" i="11"/>
  <c r="X69" i="11"/>
  <c r="Z24" i="11"/>
  <c r="Y39" i="11"/>
  <c r="T22" i="11"/>
  <c r="Z28" i="11"/>
  <c r="Y24" i="11"/>
  <c r="Y14" i="11"/>
  <c r="Y66" i="11"/>
  <c r="T34" i="11"/>
  <c r="K34" i="11" l="1" a="1"/>
  <c r="K34" i="11" s="1"/>
  <c r="Y77" i="11" a="1"/>
  <c r="Y77" i="11" s="1"/>
  <c r="AB47" i="11"/>
  <c r="AB48" i="11"/>
  <c r="AB24" i="11"/>
  <c r="AB51" i="11"/>
  <c r="AB75" i="11"/>
  <c r="AB33" i="11"/>
  <c r="AB49" i="11"/>
  <c r="AB71" i="11"/>
  <c r="AB36" i="11"/>
  <c r="AB45" i="11"/>
  <c r="AB67" i="11"/>
  <c r="X77" i="11" a="1"/>
  <c r="X77" i="11" s="1"/>
  <c r="AB22" i="11"/>
  <c r="AB29" i="11"/>
  <c r="AB16" i="11"/>
  <c r="AB64" i="11"/>
  <c r="AB19" i="11"/>
  <c r="AB60" i="11"/>
  <c r="AB73" i="11"/>
  <c r="AB55" i="11"/>
  <c r="V77" i="11" a="1"/>
  <c r="V77" i="11" s="1"/>
  <c r="AB14" i="11"/>
  <c r="AB32" i="11"/>
  <c r="AB25" i="11"/>
  <c r="Z77" i="11" a="1"/>
  <c r="Z77" i="11" s="1"/>
  <c r="T77" i="11" a="1"/>
  <c r="T77" i="11" s="1"/>
  <c r="AB37" i="11"/>
  <c r="AB26" i="11"/>
  <c r="AB69" i="11"/>
  <c r="AB76" i="11"/>
  <c r="U77" i="11" a="1"/>
  <c r="U77" i="11" s="1"/>
  <c r="AB57" i="11"/>
  <c r="AB74" i="11"/>
  <c r="AB31" i="11"/>
  <c r="AB17" i="11"/>
  <c r="AB50" i="11"/>
  <c r="AB61" i="11"/>
  <c r="AB52" i="11"/>
  <c r="AB63" i="11"/>
  <c r="AB41" i="11"/>
  <c r="AB44" i="11"/>
  <c r="AB27" i="11"/>
  <c r="AB42" i="11"/>
  <c r="AB40" i="11"/>
  <c r="AA77" i="11" a="1"/>
  <c r="AA77" i="11" s="1"/>
  <c r="AB39" i="11"/>
  <c r="AB20" i="11"/>
  <c r="AB68" i="11"/>
  <c r="AB23" i="11"/>
  <c r="AB59" i="11"/>
  <c r="AB28" i="11"/>
  <c r="AB38" i="11"/>
  <c r="AB46" i="11"/>
  <c r="AB54" i="11"/>
  <c r="AB62" i="11"/>
  <c r="AB70" i="11"/>
  <c r="AB30" i="11"/>
  <c r="AB35" i="11"/>
  <c r="AB58" i="11"/>
  <c r="AB21" i="11"/>
  <c r="AB53" i="11"/>
  <c r="W77" i="11" a="1"/>
  <c r="W77" i="11" s="1"/>
  <c r="AB65" i="11"/>
  <c r="AB66" i="11"/>
  <c r="AB43" i="11"/>
  <c r="AB34" i="11"/>
  <c r="AB56" i="11"/>
  <c r="AB72" i="11"/>
  <c r="AB15" i="11"/>
  <c r="AB18" i="11"/>
  <c r="AB77" i="11" l="1" a="1"/>
  <c r="AB77" i="11" s="1"/>
  <c r="AC75" i="10" l="1"/>
  <c r="AC73" i="10"/>
  <c r="N8" i="10"/>
  <c r="M8" i="10"/>
  <c r="AC7" i="10"/>
  <c r="N7" i="10"/>
  <c r="P7" i="10" s="1"/>
  <c r="M7" i="10"/>
  <c r="AF6" i="10"/>
  <c r="AD6" i="10"/>
  <c r="AD7" i="10" s="1"/>
  <c r="AC6" i="10"/>
  <c r="AC8" i="10" s="1"/>
  <c r="P6" i="10"/>
  <c r="D1" i="7" a="1"/>
  <c r="D1" i="7" s="1"/>
  <c r="T76" i="9"/>
  <c r="U76" i="9"/>
  <c r="V76" i="9"/>
  <c r="W76" i="9"/>
  <c r="X76" i="9"/>
  <c r="Y76" i="9"/>
  <c r="Z76" i="9"/>
  <c r="AA76" i="9"/>
  <c r="AD8" i="10" l="1"/>
  <c r="AF7" i="10"/>
  <c r="P8" i="10"/>
  <c r="AF8" i="10"/>
  <c r="AB76" i="9"/>
  <c r="U20" i="10"/>
  <c r="U76" i="10"/>
  <c r="W68" i="10"/>
  <c r="V60" i="10"/>
  <c r="Z30" i="10"/>
  <c r="AA50" i="10"/>
  <c r="H20" i="10"/>
  <c r="F32" i="10"/>
  <c r="D24" i="10"/>
  <c r="F17" i="10"/>
  <c r="Z25" i="10"/>
  <c r="U40" i="10"/>
  <c r="W56" i="10"/>
  <c r="Y72" i="10"/>
  <c r="C30" i="10"/>
  <c r="C22" i="10"/>
  <c r="D28" i="10"/>
  <c r="H17" i="10"/>
  <c r="G17" i="10"/>
  <c r="C29" i="10"/>
  <c r="J23" i="10"/>
  <c r="G27" i="10"/>
  <c r="G19" i="10"/>
  <c r="G21" i="10"/>
  <c r="AA48" i="10"/>
  <c r="V71" i="10"/>
  <c r="AA52" i="10"/>
  <c r="I20" i="10"/>
  <c r="U17" i="10"/>
  <c r="W14" i="10"/>
  <c r="J32" i="10"/>
  <c r="V17" i="10"/>
  <c r="T35" i="10"/>
  <c r="V51" i="10"/>
  <c r="X67" i="10"/>
  <c r="G31" i="10"/>
  <c r="U49" i="10"/>
  <c r="Y74" i="10"/>
  <c r="Z66" i="10"/>
  <c r="Z58" i="10"/>
  <c r="Z50" i="10"/>
  <c r="Z42" i="10"/>
  <c r="Z34" i="10"/>
  <c r="AA26" i="10"/>
  <c r="Z75" i="10"/>
  <c r="AA61" i="10"/>
  <c r="Z53" i="10"/>
  <c r="Y45" i="10"/>
  <c r="X37" i="10"/>
  <c r="V29" i="10"/>
  <c r="T19" i="10"/>
  <c r="AA19" i="10"/>
  <c r="Z71" i="10"/>
  <c r="Y63" i="10"/>
  <c r="X54" i="10"/>
  <c r="W46" i="10"/>
  <c r="U37" i="10"/>
  <c r="Z22" i="10"/>
  <c r="AA66" i="10"/>
  <c r="Y58" i="10"/>
  <c r="X50" i="10"/>
  <c r="W42" i="10"/>
  <c r="V34" i="10"/>
  <c r="AA21" i="10"/>
  <c r="W75" i="10"/>
  <c r="V67" i="10"/>
  <c r="U59" i="10"/>
  <c r="T51" i="10"/>
  <c r="AA35" i="10"/>
  <c r="X27" i="10"/>
  <c r="W19" i="10"/>
  <c r="H16" i="10"/>
  <c r="U23" i="10"/>
  <c r="W31" i="10"/>
  <c r="Z45" i="10"/>
  <c r="T70" i="10"/>
  <c r="J15" i="10"/>
  <c r="T47" i="10"/>
  <c r="H23" i="10"/>
  <c r="C20" i="10"/>
  <c r="W27" i="10"/>
  <c r="Z37" i="10"/>
  <c r="T62" i="10"/>
  <c r="X53" i="10"/>
  <c r="Z65" i="10"/>
  <c r="Y57" i="10"/>
  <c r="W41" i="10"/>
  <c r="U18" i="10"/>
  <c r="V74" i="10"/>
  <c r="U58" i="10"/>
  <c r="AA34" i="10"/>
  <c r="Y18" i="10"/>
  <c r="D17" i="10"/>
  <c r="X32" i="10"/>
  <c r="U72" i="10"/>
  <c r="H18" i="10"/>
  <c r="I25" i="10"/>
  <c r="Y20" i="10"/>
  <c r="Z39" i="10"/>
  <c r="I33" i="10"/>
  <c r="U51" i="10"/>
  <c r="I21" i="10"/>
  <c r="Y71" i="10"/>
  <c r="T72" i="10"/>
  <c r="T40" i="10"/>
  <c r="W24" i="10"/>
  <c r="Z51" i="10"/>
  <c r="W35" i="10"/>
  <c r="Y16" i="10"/>
  <c r="Y61" i="10"/>
  <c r="V44" i="10"/>
  <c r="Z64" i="10"/>
  <c r="X48" i="10"/>
  <c r="U32" i="10"/>
  <c r="V65" i="10"/>
  <c r="T49" i="10"/>
  <c r="X25" i="10"/>
  <c r="V25" i="10"/>
  <c r="Z49" i="10"/>
  <c r="T20" i="10"/>
  <c r="J27" i="10"/>
  <c r="Z41" i="10"/>
  <c r="AA71" i="10"/>
  <c r="U56" i="10"/>
  <c r="X24" i="10"/>
  <c r="X35" i="10"/>
  <c r="X34" i="10"/>
  <c r="V22" i="10"/>
  <c r="AA43" i="10"/>
  <c r="U14" i="10"/>
  <c r="Z62" i="10"/>
  <c r="V63" i="10"/>
  <c r="W23" i="10"/>
  <c r="AA53" i="10"/>
  <c r="X31" i="10"/>
  <c r="T34" i="10"/>
  <c r="Z36" i="10"/>
  <c r="H21" i="10"/>
  <c r="H25" i="10"/>
  <c r="U21" i="10"/>
  <c r="V14" i="10"/>
  <c r="V41" i="10"/>
  <c r="Y53" i="10"/>
  <c r="U62" i="10"/>
  <c r="V28" i="10"/>
  <c r="AA47" i="10"/>
  <c r="Z38" i="10"/>
  <c r="X52" i="10"/>
  <c r="Z73" i="10"/>
  <c r="Y52" i="10"/>
  <c r="T28" i="10"/>
  <c r="Y29" i="10"/>
  <c r="AA14" i="10"/>
  <c r="J33" i="10"/>
  <c r="Y33" i="10"/>
  <c r="W64" i="10"/>
  <c r="V56" i="10"/>
  <c r="U54" i="10"/>
  <c r="Z20" i="10"/>
  <c r="W62" i="10"/>
  <c r="D18" i="10"/>
  <c r="E28" i="10"/>
  <c r="J17" i="10"/>
  <c r="Z15" i="10"/>
  <c r="Z26" i="10"/>
  <c r="U42" i="10"/>
  <c r="W58" i="10"/>
  <c r="W74" i="10"/>
  <c r="E29" i="10"/>
  <c r="E21" i="10"/>
  <c r="D27" i="10"/>
  <c r="J16" i="10"/>
  <c r="C33" i="10"/>
  <c r="C28" i="10"/>
  <c r="I22" i="10"/>
  <c r="G26" i="10"/>
  <c r="I18" i="10"/>
  <c r="E23" i="10"/>
  <c r="T57" i="10"/>
  <c r="V73" i="10"/>
  <c r="AA54" i="10"/>
  <c r="E22" i="10"/>
  <c r="H26" i="10"/>
  <c r="F27" i="10"/>
  <c r="T41" i="10"/>
  <c r="E19" i="10"/>
  <c r="T37" i="10"/>
  <c r="V53" i="10"/>
  <c r="Y69" i="10"/>
  <c r="X14" i="10"/>
  <c r="V57" i="10"/>
  <c r="AA73" i="10"/>
  <c r="AA65" i="10"/>
  <c r="AA57" i="10"/>
  <c r="AA49" i="10"/>
  <c r="AA41" i="10"/>
  <c r="U33" i="10"/>
  <c r="U25" i="10"/>
  <c r="AA74" i="10"/>
  <c r="AA60" i="10"/>
  <c r="Z52" i="10"/>
  <c r="Y44" i="10"/>
  <c r="W36" i="10"/>
  <c r="U28" i="10"/>
  <c r="V18" i="10"/>
  <c r="W17" i="10"/>
  <c r="Z70" i="10"/>
  <c r="Y62" i="10"/>
  <c r="V45" i="10"/>
  <c r="U36" i="10"/>
  <c r="Z21" i="10"/>
  <c r="X49" i="10"/>
  <c r="V33" i="10"/>
  <c r="V66" i="10"/>
  <c r="T50" i="10"/>
  <c r="X26" i="10"/>
  <c r="U24" i="10"/>
  <c r="Z47" i="10"/>
  <c r="V55" i="10"/>
  <c r="X28" i="10"/>
  <c r="U64" i="10"/>
  <c r="C17" i="10"/>
  <c r="H33" i="10"/>
  <c r="T39" i="10"/>
  <c r="F16" i="10"/>
  <c r="T64" i="10"/>
  <c r="T56" i="10"/>
  <c r="W32" i="10"/>
  <c r="T76" i="10"/>
  <c r="X43" i="10"/>
  <c r="U27" i="10"/>
  <c r="Z69" i="10"/>
  <c r="W52" i="10"/>
  <c r="AA72" i="10"/>
  <c r="Y56" i="10"/>
  <c r="W40" i="10"/>
  <c r="W73" i="10"/>
  <c r="U57" i="10"/>
  <c r="Z33" i="10"/>
  <c r="AA17" i="10"/>
  <c r="X33" i="10"/>
  <c r="AA75" i="10"/>
  <c r="V59" i="10"/>
  <c r="X29" i="10"/>
  <c r="U66" i="10"/>
  <c r="Y55" i="10"/>
  <c r="W72" i="10"/>
  <c r="AA40" i="10"/>
  <c r="U16" i="10"/>
  <c r="AA51" i="10"/>
  <c r="G23" i="10"/>
  <c r="X30" i="10"/>
  <c r="U68" i="10"/>
  <c r="Z67" i="10"/>
  <c r="Y54" i="10"/>
  <c r="U30" i="10"/>
  <c r="AA39" i="10"/>
  <c r="Y37" i="10"/>
  <c r="V23" i="10"/>
  <c r="AA45" i="10"/>
  <c r="E33" i="10"/>
  <c r="D32" i="10"/>
  <c r="Z76" i="10"/>
  <c r="U45" i="10"/>
  <c r="W61" i="10"/>
  <c r="Y48" i="10"/>
  <c r="Z74" i="10"/>
  <c r="T31" i="10"/>
  <c r="V37" i="10"/>
  <c r="Y30" i="10"/>
  <c r="I30" i="10"/>
  <c r="V72" i="10"/>
  <c r="Z48" i="10"/>
  <c r="X60" i="10"/>
  <c r="Y47" i="10"/>
  <c r="W48" i="10"/>
  <c r="V36" i="10"/>
  <c r="AA37" i="10"/>
  <c r="Y41" i="10"/>
  <c r="J18" i="10"/>
  <c r="T74" i="10"/>
  <c r="V58" i="10"/>
  <c r="U50" i="10"/>
  <c r="U48" i="10"/>
  <c r="T16" i="10"/>
  <c r="AA31" i="10"/>
  <c r="H15" i="10"/>
  <c r="D23" i="10"/>
  <c r="C21" i="10"/>
  <c r="V16" i="10"/>
  <c r="AA27" i="10"/>
  <c r="U44" i="10"/>
  <c r="W60" i="10"/>
  <c r="W76" i="10"/>
  <c r="G28" i="10"/>
  <c r="G20" i="10"/>
  <c r="D26" i="10"/>
  <c r="D15" i="10"/>
  <c r="C32" i="10"/>
  <c r="C27" i="10"/>
  <c r="G25" i="10"/>
  <c r="E24" i="10"/>
  <c r="T59" i="10"/>
  <c r="U75" i="10"/>
  <c r="AA56" i="10"/>
  <c r="F26" i="10"/>
  <c r="T45" i="10"/>
  <c r="W55" i="10"/>
  <c r="W63" i="10"/>
  <c r="T48" i="10"/>
  <c r="AA59" i="10"/>
  <c r="X17" i="10"/>
  <c r="U34" i="10"/>
  <c r="Y60" i="10"/>
  <c r="Y17" i="10"/>
  <c r="V21" i="10"/>
  <c r="U31" i="10"/>
  <c r="V26" i="10"/>
  <c r="X15" i="10"/>
  <c r="V42" i="10"/>
  <c r="W71" i="10"/>
  <c r="W15" i="10"/>
  <c r="H27" i="10"/>
  <c r="E25" i="10"/>
  <c r="I15" i="10"/>
  <c r="Y38" i="10"/>
  <c r="J28" i="10"/>
  <c r="Y19" i="10"/>
  <c r="W45" i="10"/>
  <c r="Z56" i="10"/>
  <c r="Y66" i="10"/>
  <c r="Z61" i="10"/>
  <c r="W70" i="10"/>
  <c r="Y14" i="10"/>
  <c r="T67" i="10"/>
  <c r="V24" i="10"/>
  <c r="Y36" i="10"/>
  <c r="J29" i="10"/>
  <c r="I28" i="10"/>
  <c r="X36" i="10"/>
  <c r="Z55" i="10"/>
  <c r="Y65" i="10"/>
  <c r="AA68" i="10"/>
  <c r="T53" i="10"/>
  <c r="W29" i="10"/>
  <c r="T58" i="10"/>
  <c r="U52" i="10"/>
  <c r="Z29" i="10"/>
  <c r="AA32" i="10"/>
  <c r="X70" i="10"/>
  <c r="X21" i="10"/>
  <c r="I19" i="10"/>
  <c r="C16" i="10"/>
  <c r="F20" i="10"/>
  <c r="X18" i="10"/>
  <c r="AA28" i="10"/>
  <c r="U46" i="10"/>
  <c r="X62" i="10"/>
  <c r="Z44" i="10"/>
  <c r="I27" i="10"/>
  <c r="F33" i="10"/>
  <c r="C25" i="10"/>
  <c r="J22" i="10"/>
  <c r="J24" i="10"/>
  <c r="I16" i="10"/>
  <c r="I32" i="10"/>
  <c r="F24" i="10"/>
  <c r="E16" i="10"/>
  <c r="F25" i="10"/>
  <c r="T61" i="10"/>
  <c r="AA76" i="10"/>
  <c r="T69" i="10"/>
  <c r="F28" i="10"/>
  <c r="X69" i="10"/>
  <c r="Z40" i="10"/>
  <c r="U53" i="10"/>
  <c r="I24" i="10"/>
  <c r="U41" i="10"/>
  <c r="W57" i="10"/>
  <c r="Y73" i="10"/>
  <c r="X19" i="10"/>
  <c r="V75" i="10"/>
  <c r="U71" i="10"/>
  <c r="U63" i="10"/>
  <c r="U55" i="10"/>
  <c r="U47" i="10"/>
  <c r="U39" i="10"/>
  <c r="Y31" i="10"/>
  <c r="Y23" i="10"/>
  <c r="T75" i="10"/>
  <c r="AA58" i="10"/>
  <c r="Y50" i="10"/>
  <c r="X42" i="10"/>
  <c r="W34" i="10"/>
  <c r="U26" i="10"/>
  <c r="Z16" i="10"/>
  <c r="AA15" i="10"/>
  <c r="Z68" i="10"/>
  <c r="X59" i="10"/>
  <c r="W51" i="10"/>
  <c r="V43" i="10"/>
  <c r="T33" i="10"/>
  <c r="Z63" i="10"/>
  <c r="X47" i="10"/>
  <c r="W39" i="10"/>
  <c r="V39" i="10"/>
  <c r="V64" i="10"/>
  <c r="Z32" i="10"/>
  <c r="F19" i="10"/>
  <c r="W65" i="10"/>
  <c r="T32" i="10"/>
  <c r="U35" i="10"/>
  <c r="Z19" i="10"/>
  <c r="X71" i="10"/>
  <c r="U70" i="10"/>
  <c r="C23" i="10"/>
  <c r="H30" i="10"/>
  <c r="U65" i="10"/>
  <c r="W67" i="10"/>
  <c r="W69" i="10"/>
  <c r="W37" i="10"/>
  <c r="V32" i="10"/>
  <c r="W49" i="10"/>
  <c r="AA25" i="10"/>
  <c r="T54" i="10"/>
  <c r="X20" i="10"/>
  <c r="AA55" i="10"/>
  <c r="Z17" i="10"/>
  <c r="U67" i="10"/>
  <c r="V47" i="10"/>
  <c r="V76" i="10"/>
  <c r="W28" i="10"/>
  <c r="AA63" i="10"/>
  <c r="X39" i="10"/>
  <c r="X56" i="10"/>
  <c r="Z60" i="10"/>
  <c r="V69" i="10"/>
  <c r="T21" i="10"/>
  <c r="W25" i="10"/>
  <c r="T46" i="10"/>
  <c r="Y25" i="10"/>
  <c r="Z27" i="10"/>
  <c r="T42" i="10"/>
  <c r="Y75" i="10"/>
  <c r="G33" i="10"/>
  <c r="D20" i="10"/>
  <c r="J19" i="10"/>
  <c r="Y21" i="10"/>
  <c r="AA29" i="10"/>
  <c r="V48" i="10"/>
  <c r="X64" i="10"/>
  <c r="T71" i="10"/>
  <c r="C26" i="10"/>
  <c r="E32" i="10"/>
  <c r="C24" i="10"/>
  <c r="J21" i="10"/>
  <c r="D33" i="10"/>
  <c r="C15" i="10"/>
  <c r="H31" i="10"/>
  <c r="F23" i="10"/>
  <c r="G15" i="10"/>
  <c r="G30" i="10"/>
  <c r="T63" i="10"/>
  <c r="T14" i="10"/>
  <c r="U73" i="10"/>
  <c r="H32" i="10"/>
  <c r="Z18" i="10"/>
  <c r="AA16" i="10"/>
  <c r="V61" i="10"/>
  <c r="I26" i="10"/>
  <c r="U43" i="10"/>
  <c r="W59" i="10"/>
  <c r="W16" i="10"/>
  <c r="G22" i="10"/>
  <c r="Z14" i="10"/>
  <c r="V70" i="10"/>
  <c r="V62" i="10"/>
  <c r="V54" i="10"/>
  <c r="V46" i="10"/>
  <c r="V38" i="10"/>
  <c r="AA30" i="10"/>
  <c r="AA22" i="10"/>
  <c r="T73" i="10"/>
  <c r="Z57" i="10"/>
  <c r="Y49" i="10"/>
  <c r="X41" i="10"/>
  <c r="W33" i="10"/>
  <c r="T25" i="10"/>
  <c r="T15" i="10"/>
  <c r="X58" i="10"/>
  <c r="AA70" i="10"/>
  <c r="W38" i="10"/>
  <c r="Z31" i="10"/>
  <c r="Z46" i="10"/>
  <c r="E31" i="10"/>
  <c r="F22" i="10"/>
  <c r="Y34" i="10"/>
  <c r="X61" i="10"/>
  <c r="W53" i="10"/>
  <c r="X40" i="10"/>
  <c r="X57" i="10"/>
  <c r="X45" i="10"/>
  <c r="AA38" i="10"/>
  <c r="Y39" i="10"/>
  <c r="Y32" i="10"/>
  <c r="H24" i="10"/>
  <c r="X63" i="10"/>
  <c r="X68" i="10"/>
  <c r="W20" i="10"/>
  <c r="T27" i="10"/>
  <c r="T30" i="10"/>
  <c r="U61" i="10"/>
  <c r="D16" i="10"/>
  <c r="AA33" i="10"/>
  <c r="X22" i="10"/>
  <c r="Y24" i="10"/>
  <c r="Z28" i="10"/>
  <c r="F31" i="10"/>
  <c r="F29" i="10"/>
  <c r="E15" i="10"/>
  <c r="C18" i="10"/>
  <c r="Y22" i="10"/>
  <c r="V50" i="10"/>
  <c r="J20" i="10"/>
  <c r="AA64" i="10"/>
  <c r="Y26" i="10"/>
  <c r="U74" i="10"/>
  <c r="X72" i="10"/>
  <c r="W18" i="10"/>
  <c r="E27" i="10"/>
  <c r="D25" i="10"/>
  <c r="F30" i="10"/>
  <c r="I17" i="10"/>
  <c r="Z23" i="10"/>
  <c r="T36" i="10"/>
  <c r="V52" i="10"/>
  <c r="Y68" i="10"/>
  <c r="G32" i="10"/>
  <c r="G24" i="10"/>
  <c r="E30" i="10"/>
  <c r="D19" i="10"/>
  <c r="C19" i="10"/>
  <c r="D31" i="10"/>
  <c r="J26" i="10"/>
  <c r="H29" i="10"/>
  <c r="F21" i="10"/>
  <c r="T17" i="10"/>
  <c r="AA42" i="10"/>
  <c r="X73" i="10"/>
  <c r="X74" i="10"/>
  <c r="T23" i="10"/>
  <c r="X23" i="10"/>
  <c r="W66" i="10"/>
  <c r="T44" i="10"/>
  <c r="Y15" i="10"/>
  <c r="D22" i="10"/>
  <c r="D21" i="10"/>
  <c r="E26" i="10"/>
  <c r="F15" i="10"/>
  <c r="Z24" i="10"/>
  <c r="T38" i="10"/>
  <c r="W54" i="10"/>
  <c r="Y70" i="10"/>
  <c r="I31" i="10"/>
  <c r="I23" i="10"/>
  <c r="D29" i="10"/>
  <c r="F18" i="10"/>
  <c r="E18" i="10"/>
  <c r="D30" i="10"/>
  <c r="J25" i="10"/>
  <c r="H28" i="10"/>
  <c r="E20" i="10"/>
  <c r="V19" i="10"/>
  <c r="AA44" i="10"/>
  <c r="U69" i="10"/>
  <c r="Y42" i="10"/>
  <c r="G18" i="10"/>
  <c r="AA46" i="10"/>
  <c r="T65" i="10"/>
  <c r="I29" i="10"/>
  <c r="U15" i="10"/>
  <c r="J30" i="10"/>
  <c r="V49" i="10"/>
  <c r="X65" i="10"/>
  <c r="AA18" i="10"/>
  <c r="J31" i="10"/>
  <c r="X75" i="10"/>
  <c r="Y67" i="10"/>
  <c r="Y59" i="10"/>
  <c r="Y51" i="10"/>
  <c r="Y43" i="10"/>
  <c r="Y35" i="10"/>
  <c r="Y27" i="10"/>
  <c r="X76" i="10"/>
  <c r="AA62" i="10"/>
  <c r="Z54" i="10"/>
  <c r="Y46" i="10"/>
  <c r="X38" i="10"/>
  <c r="V30" i="10"/>
  <c r="T22" i="10"/>
  <c r="AA20" i="10"/>
  <c r="Z72" i="10"/>
  <c r="Y64" i="10"/>
  <c r="X55" i="10"/>
  <c r="W47" i="10"/>
  <c r="U38" i="10"/>
  <c r="AA23" i="10"/>
  <c r="AA67" i="10"/>
  <c r="Z59" i="10"/>
  <c r="X51" i="10"/>
  <c r="W43" i="10"/>
  <c r="V35" i="10"/>
  <c r="T26" i="10"/>
  <c r="Y76" i="10"/>
  <c r="V68" i="10"/>
  <c r="U60" i="10"/>
  <c r="T52" i="10"/>
  <c r="AA36" i="10"/>
  <c r="Y28" i="10"/>
  <c r="V20" i="10"/>
  <c r="V15" i="10"/>
  <c r="U22" i="10"/>
  <c r="W30" i="10"/>
  <c r="Z43" i="10"/>
  <c r="T68" i="10"/>
  <c r="G29" i="10"/>
  <c r="T43" i="10"/>
  <c r="H22" i="10"/>
  <c r="H19" i="10"/>
  <c r="W26" i="10"/>
  <c r="Z35" i="10"/>
  <c r="T60" i="10"/>
  <c r="W50" i="10"/>
  <c r="X46" i="10"/>
  <c r="T55" i="10"/>
  <c r="V27" i="10"/>
  <c r="E17" i="10"/>
  <c r="X66" i="10"/>
  <c r="C31" i="10"/>
  <c r="U19" i="10"/>
  <c r="Y40" i="10"/>
  <c r="U29" i="10"/>
  <c r="T24" i="10"/>
  <c r="AA69" i="10"/>
  <c r="T29" i="10"/>
  <c r="W22" i="10"/>
  <c r="G16" i="10"/>
  <c r="X16" i="10"/>
  <c r="X44" i="10"/>
  <c r="V31" i="10"/>
  <c r="V40" i="10"/>
  <c r="W44" i="10"/>
  <c r="AA24" i="10"/>
  <c r="W21" i="10"/>
  <c r="T66" i="10"/>
  <c r="T18" i="10"/>
  <c r="AB40" i="10" l="1"/>
  <c r="AB31" i="10"/>
  <c r="K17" i="10"/>
  <c r="AB27" i="10"/>
  <c r="AB15" i="10"/>
  <c r="AB20" i="10"/>
  <c r="AB68" i="10"/>
  <c r="AB35" i="10"/>
  <c r="AB30" i="10"/>
  <c r="AB49" i="10"/>
  <c r="AB19" i="10"/>
  <c r="K20" i="10"/>
  <c r="K18" i="10"/>
  <c r="F34" i="10" a="1"/>
  <c r="F34" i="10" s="1"/>
  <c r="K26" i="10"/>
  <c r="K30" i="10"/>
  <c r="AB52" i="10"/>
  <c r="K27" i="10"/>
  <c r="AB50" i="10"/>
  <c r="K15" i="10"/>
  <c r="E34" i="10" a="1"/>
  <c r="E34" i="10" s="1"/>
  <c r="K31" i="10"/>
  <c r="AB38" i="10"/>
  <c r="AB46" i="10"/>
  <c r="AB54" i="10"/>
  <c r="AB62" i="10"/>
  <c r="AB70" i="10"/>
  <c r="Z77" i="10" a="1"/>
  <c r="Z77" i="10" s="1"/>
  <c r="AB61" i="10"/>
  <c r="T77" i="10" a="1"/>
  <c r="T77" i="10" s="1"/>
  <c r="G34" i="10" a="1"/>
  <c r="G34" i="10" s="1"/>
  <c r="C34" i="10" a="1"/>
  <c r="C34" i="10" s="1"/>
  <c r="K32" i="10"/>
  <c r="AB48" i="10"/>
  <c r="AB69" i="10"/>
  <c r="AB76" i="10"/>
  <c r="AB47" i="10"/>
  <c r="AB32" i="10"/>
  <c r="AB64" i="10"/>
  <c r="AB39" i="10"/>
  <c r="AB43" i="10"/>
  <c r="AB75" i="10"/>
  <c r="K16" i="10"/>
  <c r="AB24" i="10"/>
  <c r="Y77" i="10" a="1"/>
  <c r="Y77" i="10" s="1"/>
  <c r="I34" i="10" a="1"/>
  <c r="I34" i="10" s="1"/>
  <c r="K25" i="10"/>
  <c r="AB42" i="10"/>
  <c r="AB26" i="10"/>
  <c r="AB21" i="10"/>
  <c r="K24" i="10"/>
  <c r="D34" i="10" a="1"/>
  <c r="D34" i="10" s="1"/>
  <c r="AB16" i="10"/>
  <c r="H34" i="10" a="1"/>
  <c r="H34" i="10" s="1"/>
  <c r="AB58" i="10"/>
  <c r="AB36" i="10"/>
  <c r="AB72" i="10"/>
  <c r="AB37" i="10"/>
  <c r="K33" i="10"/>
  <c r="AB23" i="10"/>
  <c r="AB59" i="10"/>
  <c r="AB55" i="10"/>
  <c r="AB66" i="10"/>
  <c r="AB33" i="10"/>
  <c r="AB45" i="10"/>
  <c r="AB18" i="10"/>
  <c r="AB57" i="10"/>
  <c r="X77" i="10" a="1"/>
  <c r="X77" i="10" s="1"/>
  <c r="AB53" i="10"/>
  <c r="K19" i="10"/>
  <c r="K22" i="10"/>
  <c r="AB73" i="10"/>
  <c r="K23" i="10"/>
  <c r="K21" i="10"/>
  <c r="K29" i="10"/>
  <c r="K28" i="10"/>
  <c r="AB56" i="10"/>
  <c r="AA77" i="10" a="1"/>
  <c r="AA77" i="10" s="1"/>
  <c r="AB28" i="10"/>
  <c r="AB41" i="10"/>
  <c r="V77" i="10" a="1"/>
  <c r="V77" i="10" s="1"/>
  <c r="AB14" i="10"/>
  <c r="AB63" i="10"/>
  <c r="U77" i="10" a="1"/>
  <c r="U77" i="10" s="1"/>
  <c r="AB22" i="10"/>
  <c r="AB25" i="10"/>
  <c r="AB65" i="10"/>
  <c r="AB44" i="10"/>
  <c r="AB74" i="10"/>
  <c r="J34" i="10" a="1"/>
  <c r="J34" i="10" s="1"/>
  <c r="AB67" i="10"/>
  <c r="AB34" i="10"/>
  <c r="AB29" i="10"/>
  <c r="AB51" i="10"/>
  <c r="AB17" i="10"/>
  <c r="W77" i="10" a="1"/>
  <c r="W77" i="10" s="1"/>
  <c r="AB71" i="10"/>
  <c r="AB60" i="10"/>
  <c r="K34" i="10" l="1" a="1"/>
  <c r="K34" i="10" s="1"/>
  <c r="AB77" i="10" a="1"/>
  <c r="AB77" i="10" s="1"/>
  <c r="AC73" i="9" l="1"/>
  <c r="AC75" i="9" s="1"/>
  <c r="N8" i="9"/>
  <c r="M8" i="9"/>
  <c r="N7" i="9"/>
  <c r="M7" i="9"/>
  <c r="P7" i="9" s="1"/>
  <c r="AD6" i="9"/>
  <c r="AD8" i="9" s="1"/>
  <c r="AC6" i="9"/>
  <c r="AC8" i="9" s="1"/>
  <c r="P6" i="9"/>
  <c r="AC75" i="8"/>
  <c r="AC73" i="8"/>
  <c r="N8" i="8"/>
  <c r="M8" i="8"/>
  <c r="P8" i="8" s="1"/>
  <c r="N7" i="8"/>
  <c r="M7" i="8"/>
  <c r="AD6" i="8"/>
  <c r="AF6" i="8" s="1"/>
  <c r="AC6" i="8"/>
  <c r="AC8" i="8" s="1"/>
  <c r="P6" i="8"/>
  <c r="AC73" i="6"/>
  <c r="AC75" i="6" s="1"/>
  <c r="AC8" i="6"/>
  <c r="N8" i="6"/>
  <c r="M8" i="6"/>
  <c r="AD7" i="6"/>
  <c r="N7" i="6"/>
  <c r="M7" i="6"/>
  <c r="AD6" i="6"/>
  <c r="AD8" i="6" s="1"/>
  <c r="AC6" i="6"/>
  <c r="AF6" i="6" s="1"/>
  <c r="P6" i="6"/>
  <c r="AC73" i="5"/>
  <c r="N8" i="5"/>
  <c r="M8" i="5"/>
  <c r="AC7" i="5"/>
  <c r="N7" i="5"/>
  <c r="M7" i="5"/>
  <c r="P7" i="5" s="1"/>
  <c r="AF6" i="5"/>
  <c r="AD6" i="5"/>
  <c r="AD7" i="5" s="1"/>
  <c r="AC6" i="5"/>
  <c r="AC8" i="5" s="1"/>
  <c r="P6" i="5"/>
  <c r="AD6" i="3"/>
  <c r="AD7" i="3" s="1"/>
  <c r="AC6" i="3"/>
  <c r="P6" i="3"/>
  <c r="N8" i="3"/>
  <c r="M8" i="3"/>
  <c r="N7" i="3"/>
  <c r="M7" i="3"/>
  <c r="AB7" i="1"/>
  <c r="AB8" i="1"/>
  <c r="AA7" i="1"/>
  <c r="AA8" i="1"/>
  <c r="L8" i="1"/>
  <c r="L7" i="1"/>
  <c r="K8" i="1"/>
  <c r="K7" i="1"/>
  <c r="AD8" i="1"/>
  <c r="AD7" i="1"/>
  <c r="AD6" i="1"/>
  <c r="N8" i="1"/>
  <c r="N7" i="1"/>
  <c r="N6" i="1"/>
  <c r="U75" i="8"/>
  <c r="V75" i="8"/>
  <c r="W75" i="8"/>
  <c r="X75" i="8"/>
  <c r="Y75" i="8"/>
  <c r="Z75" i="8"/>
  <c r="AA75" i="8"/>
  <c r="T75" i="8"/>
  <c r="U70" i="5"/>
  <c r="U71" i="5"/>
  <c r="U72" i="5"/>
  <c r="W72" i="5"/>
  <c r="X72" i="5"/>
  <c r="Y71" i="5"/>
  <c r="V70" i="5"/>
  <c r="V71" i="5"/>
  <c r="V72" i="5"/>
  <c r="W71" i="5"/>
  <c r="X71" i="5"/>
  <c r="Y72" i="5"/>
  <c r="W70" i="5"/>
  <c r="X70" i="5"/>
  <c r="Y70" i="5"/>
  <c r="Z70" i="5"/>
  <c r="Z71" i="5"/>
  <c r="Z72" i="5"/>
  <c r="AA70" i="5"/>
  <c r="AA71" i="5"/>
  <c r="AA72" i="5"/>
  <c r="T71" i="5"/>
  <c r="T72" i="5"/>
  <c r="Z15" i="3"/>
  <c r="AA20" i="3"/>
  <c r="Z23" i="3"/>
  <c r="AA28" i="3"/>
  <c r="Z31" i="3"/>
  <c r="AA36" i="3"/>
  <c r="Z39" i="3"/>
  <c r="AA44" i="3"/>
  <c r="Z47" i="3"/>
  <c r="AA52" i="3"/>
  <c r="Z55" i="3"/>
  <c r="AA60" i="3"/>
  <c r="Z63" i="3"/>
  <c r="AA68" i="3"/>
  <c r="AA18" i="3"/>
  <c r="Z29" i="3"/>
  <c r="Z37" i="3"/>
  <c r="AA50" i="3"/>
  <c r="AA66" i="3"/>
  <c r="Z24" i="3"/>
  <c r="AA24" i="3"/>
  <c r="Z35" i="3"/>
  <c r="Z43" i="3"/>
  <c r="Z51" i="3"/>
  <c r="Z59" i="3"/>
  <c r="Z67" i="3"/>
  <c r="Z41" i="3"/>
  <c r="AA46" i="3"/>
  <c r="AA54" i="3"/>
  <c r="AA62" i="3"/>
  <c r="AA70" i="3"/>
  <c r="AA15" i="3"/>
  <c r="Z18" i="3"/>
  <c r="AA23" i="3"/>
  <c r="Z26" i="3"/>
  <c r="AA31" i="3"/>
  <c r="Z34" i="3"/>
  <c r="AA39" i="3"/>
  <c r="Z42" i="3"/>
  <c r="AA47" i="3"/>
  <c r="Z50" i="3"/>
  <c r="AA55" i="3"/>
  <c r="Z58" i="3"/>
  <c r="AA63" i="3"/>
  <c r="Z66" i="3"/>
  <c r="Z21" i="3"/>
  <c r="AA34" i="3"/>
  <c r="Z45" i="3"/>
  <c r="Z61" i="3"/>
  <c r="AA21" i="3"/>
  <c r="AA29" i="3"/>
  <c r="AA37" i="3"/>
  <c r="Z48" i="3"/>
  <c r="Z56" i="3"/>
  <c r="Z64" i="3"/>
  <c r="Z19" i="3"/>
  <c r="Z27" i="3"/>
  <c r="AA40" i="3"/>
  <c r="AA48" i="3"/>
  <c r="AA56" i="3"/>
  <c r="AA64" i="3"/>
  <c r="AA19" i="3"/>
  <c r="AA27" i="3"/>
  <c r="AA35" i="3"/>
  <c r="AA43" i="3"/>
  <c r="AA51" i="3"/>
  <c r="AA59" i="3"/>
  <c r="AA67" i="3"/>
  <c r="Z25" i="3"/>
  <c r="Z16" i="3"/>
  <c r="AA30" i="3"/>
  <c r="AA16" i="3"/>
  <c r="Z33" i="3"/>
  <c r="Z17" i="3"/>
  <c r="AA17" i="3"/>
  <c r="Z20" i="3"/>
  <c r="AA25" i="3"/>
  <c r="Z28" i="3"/>
  <c r="AA33" i="3"/>
  <c r="Z36" i="3"/>
  <c r="AA41" i="3"/>
  <c r="Z44" i="3"/>
  <c r="AA49" i="3"/>
  <c r="Z52" i="3"/>
  <c r="AA57" i="3"/>
  <c r="Z60" i="3"/>
  <c r="AA65" i="3"/>
  <c r="Z68" i="3"/>
  <c r="AA26" i="3"/>
  <c r="AA42" i="3"/>
  <c r="Z53" i="3"/>
  <c r="AA58" i="3"/>
  <c r="Z69" i="3"/>
  <c r="Z32" i="3"/>
  <c r="Z40" i="3"/>
  <c r="AA45" i="3"/>
  <c r="AA53" i="3"/>
  <c r="AA61" i="3"/>
  <c r="AA69" i="3"/>
  <c r="AA32" i="3"/>
  <c r="Z22" i="3"/>
  <c r="Z30" i="3"/>
  <c r="Z38" i="3"/>
  <c r="Z46" i="3"/>
  <c r="Z54" i="3"/>
  <c r="Z62" i="3"/>
  <c r="Z70" i="3"/>
  <c r="AA22" i="3"/>
  <c r="AA38" i="3"/>
  <c r="Z49" i="3"/>
  <c r="Z57" i="3"/>
  <c r="Z65" i="3"/>
  <c r="AA14" i="3"/>
  <c r="R12" i="1"/>
  <c r="S13" i="1"/>
  <c r="T14" i="1"/>
  <c r="U15" i="1"/>
  <c r="V16" i="1"/>
  <c r="W17" i="1"/>
  <c r="X18" i="1"/>
  <c r="R20" i="1"/>
  <c r="S21" i="1"/>
  <c r="T22" i="1"/>
  <c r="U23" i="1"/>
  <c r="V24" i="1"/>
  <c r="W25" i="1"/>
  <c r="X26" i="1"/>
  <c r="R28" i="1"/>
  <c r="S29" i="1"/>
  <c r="T30" i="1"/>
  <c r="U31" i="1"/>
  <c r="V32" i="1"/>
  <c r="W33" i="1"/>
  <c r="X34" i="1"/>
  <c r="R36" i="1"/>
  <c r="S37" i="1"/>
  <c r="T38" i="1"/>
  <c r="U39" i="1"/>
  <c r="V40" i="1"/>
  <c r="W41" i="1"/>
  <c r="X42" i="1"/>
  <c r="R44" i="1"/>
  <c r="S45" i="1"/>
  <c r="T46" i="1"/>
  <c r="U47" i="1"/>
  <c r="V48" i="1"/>
  <c r="W49" i="1"/>
  <c r="X50" i="1"/>
  <c r="R52" i="1"/>
  <c r="S53" i="1"/>
  <c r="T54" i="1"/>
  <c r="U55" i="1"/>
  <c r="V56" i="1"/>
  <c r="W57" i="1"/>
  <c r="X58" i="1"/>
  <c r="R60" i="1"/>
  <c r="S61" i="1"/>
  <c r="T62" i="1"/>
  <c r="U63" i="1"/>
  <c r="V14" i="1"/>
  <c r="W15" i="1"/>
  <c r="X16" i="1"/>
  <c r="R18" i="1"/>
  <c r="U21" i="1"/>
  <c r="R26" i="1"/>
  <c r="W31" i="1"/>
  <c r="U37" i="1"/>
  <c r="R42" i="1"/>
  <c r="U45" i="1"/>
  <c r="R50" i="1"/>
  <c r="U53" i="1"/>
  <c r="X56" i="1"/>
  <c r="T60" i="1"/>
  <c r="W63" i="1"/>
  <c r="V13" i="1"/>
  <c r="W22" i="1"/>
  <c r="T27" i="1"/>
  <c r="W30" i="1"/>
  <c r="S34" i="1"/>
  <c r="W38" i="1"/>
  <c r="S42" i="1"/>
  <c r="V45" i="1"/>
  <c r="S50" i="1"/>
  <c r="V53" i="1"/>
  <c r="R57" i="1"/>
  <c r="U60" i="1"/>
  <c r="X63" i="1"/>
  <c r="R16" i="1"/>
  <c r="S17" i="1"/>
  <c r="V20" i="1"/>
  <c r="R24" i="1"/>
  <c r="U27" i="1"/>
  <c r="X30" i="1"/>
  <c r="T34" i="1"/>
  <c r="W37" i="1"/>
  <c r="S41" i="1"/>
  <c r="V44" i="1"/>
  <c r="R48" i="1"/>
  <c r="V52" i="1"/>
  <c r="R56" i="1"/>
  <c r="U59" i="1"/>
  <c r="R23" i="1"/>
  <c r="U26" i="1"/>
  <c r="R31" i="1"/>
  <c r="V35" i="1"/>
  <c r="S40" i="1"/>
  <c r="U50" i="1"/>
  <c r="V59" i="1"/>
  <c r="U17" i="1"/>
  <c r="S12" i="1"/>
  <c r="T13" i="1"/>
  <c r="U14" i="1"/>
  <c r="V15" i="1"/>
  <c r="W16" i="1"/>
  <c r="X17" i="1"/>
  <c r="R19" i="1"/>
  <c r="S20" i="1"/>
  <c r="T21" i="1"/>
  <c r="U22" i="1"/>
  <c r="V23" i="1"/>
  <c r="W24" i="1"/>
  <c r="X25" i="1"/>
  <c r="R27" i="1"/>
  <c r="S28" i="1"/>
  <c r="T29" i="1"/>
  <c r="U30" i="1"/>
  <c r="V31" i="1"/>
  <c r="W32" i="1"/>
  <c r="X33" i="1"/>
  <c r="R35" i="1"/>
  <c r="S36" i="1"/>
  <c r="T37" i="1"/>
  <c r="U38" i="1"/>
  <c r="V39" i="1"/>
  <c r="W40" i="1"/>
  <c r="X41" i="1"/>
  <c r="R43" i="1"/>
  <c r="S44" i="1"/>
  <c r="T45" i="1"/>
  <c r="U46" i="1"/>
  <c r="V47" i="1"/>
  <c r="W48" i="1"/>
  <c r="X49" i="1"/>
  <c r="R51" i="1"/>
  <c r="S52" i="1"/>
  <c r="T53" i="1"/>
  <c r="U54" i="1"/>
  <c r="V55" i="1"/>
  <c r="W56" i="1"/>
  <c r="X57" i="1"/>
  <c r="R59" i="1"/>
  <c r="S60" i="1"/>
  <c r="T61" i="1"/>
  <c r="U62" i="1"/>
  <c r="V63" i="1"/>
  <c r="U13" i="1"/>
  <c r="S19" i="1"/>
  <c r="V22" i="1"/>
  <c r="W23" i="1"/>
  <c r="X24" i="1"/>
  <c r="S27" i="1"/>
  <c r="T28" i="1"/>
  <c r="V30" i="1"/>
  <c r="S35" i="1"/>
  <c r="W39" i="1"/>
  <c r="S43" i="1"/>
  <c r="W47" i="1"/>
  <c r="S51" i="1"/>
  <c r="V54" i="1"/>
  <c r="S59" i="1"/>
  <c r="V62" i="1"/>
  <c r="X15" i="1"/>
  <c r="U20" i="1"/>
  <c r="X23" i="1"/>
  <c r="S26" i="1"/>
  <c r="V29" i="1"/>
  <c r="X31" i="1"/>
  <c r="T35" i="1"/>
  <c r="V37" i="1"/>
  <c r="R41" i="1"/>
  <c r="U44" i="1"/>
  <c r="X47" i="1"/>
  <c r="T51" i="1"/>
  <c r="W54" i="1"/>
  <c r="S58" i="1"/>
  <c r="V61" i="1"/>
  <c r="W13" i="1"/>
  <c r="U19" i="1"/>
  <c r="X22" i="1"/>
  <c r="T26" i="1"/>
  <c r="W29" i="1"/>
  <c r="S33" i="1"/>
  <c r="V36" i="1"/>
  <c r="T42" i="1"/>
  <c r="W45" i="1"/>
  <c r="S49" i="1"/>
  <c r="U51" i="1"/>
  <c r="X54" i="1"/>
  <c r="T58" i="1"/>
  <c r="X62" i="1"/>
  <c r="V19" i="1"/>
  <c r="X29" i="1"/>
  <c r="U34" i="1"/>
  <c r="R39" i="1"/>
  <c r="X45" i="1"/>
  <c r="R55" i="1"/>
  <c r="W60" i="1"/>
  <c r="V18" i="1"/>
  <c r="T12" i="1"/>
  <c r="T41" i="1"/>
  <c r="S48" i="1"/>
  <c r="W52" i="1"/>
  <c r="U58" i="1"/>
  <c r="T16" i="1"/>
  <c r="X20" i="1"/>
  <c r="U25" i="1"/>
  <c r="X28" i="1"/>
  <c r="T32" i="1"/>
  <c r="X36" i="1"/>
  <c r="U41" i="1"/>
  <c r="X44" i="1"/>
  <c r="U49" i="1"/>
  <c r="S55" i="1"/>
  <c r="W59" i="1"/>
  <c r="X60" i="1"/>
  <c r="U12" i="1"/>
  <c r="V12" i="1"/>
  <c r="X38" i="1"/>
  <c r="V43" i="1"/>
  <c r="T49" i="1"/>
  <c r="S56" i="1"/>
  <c r="R63" i="1"/>
  <c r="R14" i="1"/>
  <c r="R22" i="1"/>
  <c r="T24" i="1"/>
  <c r="W27" i="1"/>
  <c r="S31" i="1"/>
  <c r="V34" i="1"/>
  <c r="S39" i="1"/>
  <c r="V42" i="1"/>
  <c r="R46" i="1"/>
  <c r="T48" i="1"/>
  <c r="W51" i="1"/>
  <c r="T56" i="1"/>
  <c r="V58" i="1"/>
  <c r="S63" i="1"/>
  <c r="W12" i="1"/>
  <c r="X13" i="1"/>
  <c r="R15" i="1"/>
  <c r="S16" i="1"/>
  <c r="T17" i="1"/>
  <c r="U18" i="1"/>
  <c r="X21" i="1"/>
  <c r="S24" i="1"/>
  <c r="T25" i="1"/>
  <c r="W28" i="1"/>
  <c r="T33" i="1"/>
  <c r="X37" i="1"/>
  <c r="W44" i="1"/>
  <c r="R47" i="1"/>
  <c r="V51" i="1"/>
  <c r="T57" i="1"/>
  <c r="X61" i="1"/>
  <c r="S15" i="1"/>
  <c r="S23" i="1"/>
  <c r="V26" i="1"/>
  <c r="R30" i="1"/>
  <c r="U33" i="1"/>
  <c r="W35" i="1"/>
  <c r="T40" i="1"/>
  <c r="W43" i="1"/>
  <c r="S47" i="1"/>
  <c r="V50" i="1"/>
  <c r="X52" i="1"/>
  <c r="U57" i="1"/>
  <c r="R62" i="1"/>
  <c r="X12" i="1"/>
  <c r="R38" i="1"/>
  <c r="R54" i="1"/>
  <c r="R13" i="1"/>
  <c r="S14" i="1"/>
  <c r="T15" i="1"/>
  <c r="U16" i="1"/>
  <c r="V17" i="1"/>
  <c r="W18" i="1"/>
  <c r="X19" i="1"/>
  <c r="R21" i="1"/>
  <c r="S22" i="1"/>
  <c r="T23" i="1"/>
  <c r="U24" i="1"/>
  <c r="V25" i="1"/>
  <c r="W26" i="1"/>
  <c r="X27" i="1"/>
  <c r="R29" i="1"/>
  <c r="S30" i="1"/>
  <c r="T31" i="1"/>
  <c r="U32" i="1"/>
  <c r="V33" i="1"/>
  <c r="W34" i="1"/>
  <c r="X35" i="1"/>
  <c r="R37" i="1"/>
  <c r="S38" i="1"/>
  <c r="T39" i="1"/>
  <c r="U40" i="1"/>
  <c r="V41" i="1"/>
  <c r="W42" i="1"/>
  <c r="X43" i="1"/>
  <c r="R45" i="1"/>
  <c r="S46" i="1"/>
  <c r="T47" i="1"/>
  <c r="U48" i="1"/>
  <c r="V49" i="1"/>
  <c r="W50" i="1"/>
  <c r="X51" i="1"/>
  <c r="R53" i="1"/>
  <c r="S54" i="1"/>
  <c r="T55" i="1"/>
  <c r="U56" i="1"/>
  <c r="V57" i="1"/>
  <c r="W58" i="1"/>
  <c r="X59" i="1"/>
  <c r="R61" i="1"/>
  <c r="S62" i="1"/>
  <c r="T63" i="1"/>
  <c r="T20" i="1"/>
  <c r="U29" i="1"/>
  <c r="X32" i="1"/>
  <c r="R34" i="1"/>
  <c r="T36" i="1"/>
  <c r="V38" i="1"/>
  <c r="X40" i="1"/>
  <c r="T44" i="1"/>
  <c r="V46" i="1"/>
  <c r="X48" i="1"/>
  <c r="T52" i="1"/>
  <c r="W55" i="1"/>
  <c r="R58" i="1"/>
  <c r="U61" i="1"/>
  <c r="W14" i="1"/>
  <c r="R17" i="1"/>
  <c r="S18" i="1"/>
  <c r="T19" i="1"/>
  <c r="V21" i="1"/>
  <c r="R25" i="1"/>
  <c r="U28" i="1"/>
  <c r="R33" i="1"/>
  <c r="U36" i="1"/>
  <c r="X39" i="1"/>
  <c r="T43" i="1"/>
  <c r="W46" i="1"/>
  <c r="R49" i="1"/>
  <c r="U52" i="1"/>
  <c r="X55" i="1"/>
  <c r="T59" i="1"/>
  <c r="W62" i="1"/>
  <c r="X14" i="1"/>
  <c r="T18" i="1"/>
  <c r="W21" i="1"/>
  <c r="S25" i="1"/>
  <c r="V28" i="1"/>
  <c r="R32" i="1"/>
  <c r="U35" i="1"/>
  <c r="R40" i="1"/>
  <c r="U43" i="1"/>
  <c r="X46" i="1"/>
  <c r="T50" i="1"/>
  <c r="W53" i="1"/>
  <c r="S57" i="1"/>
  <c r="V60" i="1"/>
  <c r="W61" i="1"/>
  <c r="W20" i="1"/>
  <c r="V27" i="1"/>
  <c r="S32" i="1"/>
  <c r="W36" i="1"/>
  <c r="U42" i="1"/>
  <c r="X53" i="1"/>
  <c r="W19" i="1"/>
  <c r="S11" i="1"/>
  <c r="T11" i="1"/>
  <c r="X11" i="1"/>
  <c r="U11" i="1"/>
  <c r="V11" i="1"/>
  <c r="W11" i="1"/>
  <c r="R11" i="1"/>
  <c r="C12" i="1"/>
  <c r="D13" i="1"/>
  <c r="E14" i="1"/>
  <c r="F15" i="1"/>
  <c r="G16" i="1"/>
  <c r="H17" i="1"/>
  <c r="I18" i="1"/>
  <c r="C20" i="1"/>
  <c r="D21" i="1"/>
  <c r="E22" i="1"/>
  <c r="F23" i="1"/>
  <c r="G24" i="1"/>
  <c r="H25" i="1"/>
  <c r="I26" i="1"/>
  <c r="C28" i="1"/>
  <c r="D29" i="1"/>
  <c r="G14" i="1"/>
  <c r="I16" i="1"/>
  <c r="C18" i="1"/>
  <c r="E20" i="1"/>
  <c r="F21" i="1"/>
  <c r="G22" i="1"/>
  <c r="I24" i="1"/>
  <c r="C26" i="1"/>
  <c r="E28" i="1"/>
  <c r="H14" i="1"/>
  <c r="C25" i="1"/>
  <c r="G29" i="1"/>
  <c r="C16" i="1"/>
  <c r="D17" i="1"/>
  <c r="G20" i="1"/>
  <c r="C24" i="1"/>
  <c r="F27" i="1"/>
  <c r="C15" i="1"/>
  <c r="F18" i="1"/>
  <c r="I21" i="1"/>
  <c r="E25" i="1"/>
  <c r="G27" i="1"/>
  <c r="C22" i="1"/>
  <c r="G26" i="1"/>
  <c r="D12" i="1"/>
  <c r="E13" i="1"/>
  <c r="F14" i="1"/>
  <c r="G15" i="1"/>
  <c r="H16" i="1"/>
  <c r="I17" i="1"/>
  <c r="C19" i="1"/>
  <c r="D20" i="1"/>
  <c r="E21" i="1"/>
  <c r="F22" i="1"/>
  <c r="G23" i="1"/>
  <c r="H24" i="1"/>
  <c r="I25" i="1"/>
  <c r="C27" i="1"/>
  <c r="D28" i="1"/>
  <c r="E29" i="1"/>
  <c r="F13" i="1"/>
  <c r="H15" i="1"/>
  <c r="D19" i="1"/>
  <c r="H23" i="1"/>
  <c r="D27" i="1"/>
  <c r="I15" i="1"/>
  <c r="H22" i="1"/>
  <c r="E27" i="1"/>
  <c r="I14" i="1"/>
  <c r="F19" i="1"/>
  <c r="I22" i="1"/>
  <c r="E26" i="1"/>
  <c r="H29" i="1"/>
  <c r="I13" i="1"/>
  <c r="E17" i="1"/>
  <c r="H20" i="1"/>
  <c r="D24" i="1"/>
  <c r="H28" i="1"/>
  <c r="I20" i="1"/>
  <c r="E12" i="1"/>
  <c r="F12" i="1"/>
  <c r="G12" i="1"/>
  <c r="H12" i="1"/>
  <c r="I12" i="1"/>
  <c r="C14" i="1"/>
  <c r="D15" i="1"/>
  <c r="E16" i="1"/>
  <c r="F17" i="1"/>
  <c r="H19" i="1"/>
  <c r="D23" i="1"/>
  <c r="E24" i="1"/>
  <c r="F25" i="1"/>
  <c r="H27" i="1"/>
  <c r="C13" i="1"/>
  <c r="D14" i="1"/>
  <c r="E15" i="1"/>
  <c r="F16" i="1"/>
  <c r="G17" i="1"/>
  <c r="H18" i="1"/>
  <c r="I19" i="1"/>
  <c r="C21" i="1"/>
  <c r="D22" i="1"/>
  <c r="E23" i="1"/>
  <c r="F24" i="1"/>
  <c r="G25" i="1"/>
  <c r="H26" i="1"/>
  <c r="I27" i="1"/>
  <c r="C29" i="1"/>
  <c r="F29" i="1"/>
  <c r="G13" i="1"/>
  <c r="C17" i="1"/>
  <c r="D18" i="1"/>
  <c r="E19" i="1"/>
  <c r="F20" i="1"/>
  <c r="G21" i="1"/>
  <c r="I23" i="1"/>
  <c r="D26" i="1"/>
  <c r="F28" i="1"/>
  <c r="H13" i="1"/>
  <c r="E18" i="1"/>
  <c r="H21" i="1"/>
  <c r="D25" i="1"/>
  <c r="G28" i="1"/>
  <c r="D16" i="1"/>
  <c r="G19" i="1"/>
  <c r="C23" i="1"/>
  <c r="F26" i="1"/>
  <c r="I29" i="1"/>
  <c r="G18" i="1"/>
  <c r="I28" i="1"/>
  <c r="D11" i="1"/>
  <c r="E11" i="1"/>
  <c r="F11" i="1"/>
  <c r="G11" i="1"/>
  <c r="H11" i="1"/>
  <c r="I11" i="1"/>
  <c r="C11" i="1"/>
  <c r="P8" i="9" l="1"/>
  <c r="AD7" i="9"/>
  <c r="AF8" i="9"/>
  <c r="AF6" i="9"/>
  <c r="AC7" i="9"/>
  <c r="AB75" i="8"/>
  <c r="AD7" i="8"/>
  <c r="P7" i="8"/>
  <c r="AC7" i="8"/>
  <c r="AF7" i="8" s="1"/>
  <c r="AD8" i="8"/>
  <c r="AF8" i="8" s="1"/>
  <c r="P8" i="6"/>
  <c r="AC7" i="6"/>
  <c r="AF7" i="6" s="1"/>
  <c r="AF8" i="6"/>
  <c r="P7" i="6"/>
  <c r="AB72" i="5"/>
  <c r="AB71" i="5"/>
  <c r="AB70" i="5"/>
  <c r="AD8" i="5"/>
  <c r="AF8" i="5" s="1"/>
  <c r="P8" i="5"/>
  <c r="AF7" i="5"/>
  <c r="AA71" i="3"/>
  <c r="AD8" i="3"/>
  <c r="AF6" i="3"/>
  <c r="AC8" i="3"/>
  <c r="AF8" i="3" s="1"/>
  <c r="AC7" i="3"/>
  <c r="AF7" i="3" s="1"/>
  <c r="P8" i="3"/>
  <c r="P7" i="3"/>
  <c r="G30" i="1"/>
  <c r="D30" i="1"/>
  <c r="E30" i="1"/>
  <c r="I30" i="1"/>
  <c r="H30" i="1"/>
  <c r="F30" i="1"/>
  <c r="C30" i="1"/>
  <c r="C24" i="9"/>
  <c r="D15" i="9"/>
  <c r="G32" i="9"/>
  <c r="J16" i="9"/>
  <c r="C30" i="9"/>
  <c r="I20" i="9"/>
  <c r="F28" i="9"/>
  <c r="F20" i="9"/>
  <c r="H26" i="9"/>
  <c r="I18" i="9"/>
  <c r="H29" i="9"/>
  <c r="F21" i="9"/>
  <c r="H32" i="9"/>
  <c r="E24" i="9"/>
  <c r="C16" i="9"/>
  <c r="J15" i="9"/>
  <c r="D31" i="9"/>
  <c r="J18" i="9"/>
  <c r="C19" i="9"/>
  <c r="C25" i="9"/>
  <c r="J26" i="9"/>
  <c r="E16" i="9"/>
  <c r="G30" i="9"/>
  <c r="J29" i="9"/>
  <c r="D27" i="9"/>
  <c r="D33" i="9"/>
  <c r="G26" i="9"/>
  <c r="E21" i="9"/>
  <c r="C22" i="9"/>
  <c r="I22" i="9"/>
  <c r="D28" i="9"/>
  <c r="C29" i="9"/>
  <c r="C15" i="9"/>
  <c r="I24" i="9"/>
  <c r="C21" i="9"/>
  <c r="H27" i="9"/>
  <c r="J33" i="9"/>
  <c r="H25" i="9"/>
  <c r="C17" i="9"/>
  <c r="H28" i="9"/>
  <c r="E20" i="9"/>
  <c r="G31" i="9"/>
  <c r="E23" i="9"/>
  <c r="E15" i="9"/>
  <c r="J20" i="9"/>
  <c r="F16" i="9"/>
  <c r="I26" i="9"/>
  <c r="H15" i="9"/>
  <c r="F29" i="9"/>
  <c r="J32" i="9"/>
  <c r="H24" i="9"/>
  <c r="F19" i="9"/>
  <c r="J25" i="9"/>
  <c r="J31" i="9"/>
  <c r="I15" i="9"/>
  <c r="C33" i="9"/>
  <c r="I16" i="9"/>
  <c r="E28" i="9"/>
  <c r="E32" i="9"/>
  <c r="G17" i="9"/>
  <c r="F31" i="9"/>
  <c r="D32" i="9"/>
  <c r="D24" i="9"/>
  <c r="J27" i="9"/>
  <c r="C18" i="9"/>
  <c r="F33" i="9"/>
  <c r="D30" i="9"/>
  <c r="D25" i="9"/>
  <c r="G23" i="9"/>
  <c r="H18" i="9"/>
  <c r="D17" i="9"/>
  <c r="C28" i="9"/>
  <c r="J23" i="9"/>
  <c r="I23" i="9"/>
  <c r="F32" i="9"/>
  <c r="F24" i="9"/>
  <c r="I30" i="9"/>
  <c r="G22" i="9"/>
  <c r="I33" i="9"/>
  <c r="G25" i="9"/>
  <c r="J17" i="9"/>
  <c r="G28" i="9"/>
  <c r="D20" i="9"/>
  <c r="E17" i="9"/>
  <c r="D19" i="9"/>
  <c r="C20" i="9"/>
  <c r="H19" i="9"/>
  <c r="E27" i="9"/>
  <c r="H16" i="9"/>
  <c r="I19" i="9"/>
  <c r="G33" i="9"/>
  <c r="D23" i="9"/>
  <c r="E33" i="9"/>
  <c r="F17" i="9"/>
  <c r="E29" i="9"/>
  <c r="C26" i="9"/>
  <c r="D29" i="9"/>
  <c r="D21" i="9"/>
  <c r="I27" i="9"/>
  <c r="G19" i="9"/>
  <c r="H30" i="9"/>
  <c r="F22" i="9"/>
  <c r="H33" i="9"/>
  <c r="F25" i="9"/>
  <c r="I17" i="9"/>
  <c r="D26" i="9"/>
  <c r="D22" i="9"/>
  <c r="F30" i="9"/>
  <c r="G27" i="9"/>
  <c r="E22" i="9"/>
  <c r="H21" i="9"/>
  <c r="G15" i="9"/>
  <c r="G29" i="9"/>
  <c r="E30" i="9"/>
  <c r="E26" i="9"/>
  <c r="H23" i="9"/>
  <c r="G24" i="9"/>
  <c r="H22" i="9"/>
  <c r="I21" i="9"/>
  <c r="G16" i="9"/>
  <c r="J28" i="9"/>
  <c r="J22" i="9"/>
  <c r="F23" i="9"/>
  <c r="E18" i="9"/>
  <c r="C23" i="9"/>
  <c r="I29" i="9"/>
  <c r="F26" i="9"/>
  <c r="E19" i="9"/>
  <c r="H17" i="9"/>
  <c r="D16" i="9"/>
  <c r="F18" i="9"/>
  <c r="I32" i="9"/>
  <c r="D18" i="9"/>
  <c r="I28" i="9"/>
  <c r="F15" i="9"/>
  <c r="I25" i="9"/>
  <c r="E31" i="9"/>
  <c r="E25" i="9"/>
  <c r="C27" i="9"/>
  <c r="J24" i="9"/>
  <c r="G21" i="9"/>
  <c r="F27" i="9"/>
  <c r="C31" i="9"/>
  <c r="C32" i="9"/>
  <c r="G20" i="9"/>
  <c r="J19" i="9"/>
  <c r="H31" i="9"/>
  <c r="H20" i="9"/>
  <c r="J30" i="9"/>
  <c r="I31" i="9"/>
  <c r="G18" i="9"/>
  <c r="J21" i="9"/>
  <c r="E19" i="8"/>
  <c r="E25" i="8"/>
  <c r="E32" i="8"/>
  <c r="G28" i="8"/>
  <c r="C28" i="8"/>
  <c r="D26" i="8"/>
  <c r="F24" i="8"/>
  <c r="H26" i="8"/>
  <c r="C33" i="8"/>
  <c r="H21" i="8"/>
  <c r="G32" i="8"/>
  <c r="F21" i="8"/>
  <c r="E21" i="8"/>
  <c r="C24" i="8"/>
  <c r="J31" i="8"/>
  <c r="C21" i="8"/>
  <c r="E31" i="8"/>
  <c r="G33" i="8"/>
  <c r="I19" i="8"/>
  <c r="G25" i="8"/>
  <c r="E33" i="8"/>
  <c r="D15" i="8"/>
  <c r="G23" i="8"/>
  <c r="G31" i="8"/>
  <c r="G27" i="8"/>
  <c r="E27" i="8"/>
  <c r="G24" i="8"/>
  <c r="J33" i="8"/>
  <c r="J25" i="8"/>
  <c r="J28" i="8"/>
  <c r="H20" i="8"/>
  <c r="D31" i="8"/>
  <c r="C20" i="8"/>
  <c r="H33" i="8"/>
  <c r="J19" i="8"/>
  <c r="G30" i="8"/>
  <c r="J20" i="8"/>
  <c r="J17" i="8"/>
  <c r="H31" i="8"/>
  <c r="F30" i="8"/>
  <c r="G16" i="8"/>
  <c r="I29" i="8"/>
  <c r="G26" i="8"/>
  <c r="E26" i="8"/>
  <c r="D17" i="8"/>
  <c r="D32" i="8"/>
  <c r="D24" i="8"/>
  <c r="J27" i="8"/>
  <c r="H19" i="8"/>
  <c r="H29" i="8"/>
  <c r="J18" i="8"/>
  <c r="F32" i="8"/>
  <c r="H18" i="8"/>
  <c r="E29" i="8"/>
  <c r="G19" i="8"/>
  <c r="E18" i="8"/>
  <c r="I30" i="8"/>
  <c r="I28" i="8"/>
  <c r="I21" i="8"/>
  <c r="D19" i="8"/>
  <c r="J24" i="8"/>
  <c r="H25" i="8"/>
  <c r="J32" i="8"/>
  <c r="F31" i="8"/>
  <c r="F23" i="8"/>
  <c r="J26" i="8"/>
  <c r="I18" i="8"/>
  <c r="F28" i="8"/>
  <c r="I17" i="8"/>
  <c r="C31" i="8"/>
  <c r="H17" i="8"/>
  <c r="I27" i="8"/>
  <c r="F18" i="8"/>
  <c r="C19" i="8"/>
  <c r="C23" i="8"/>
  <c r="E20" i="8"/>
  <c r="H32" i="8"/>
  <c r="C15" i="8"/>
  <c r="D18" i="8"/>
  <c r="J23" i="8"/>
  <c r="C26" i="8"/>
  <c r="H30" i="8"/>
  <c r="H22" i="8"/>
  <c r="I25" i="8"/>
  <c r="C17" i="8"/>
  <c r="C27" i="8"/>
  <c r="I16" i="8"/>
  <c r="J30" i="8"/>
  <c r="H16" i="8"/>
  <c r="F26" i="8"/>
  <c r="F17" i="8"/>
  <c r="H27" i="8"/>
  <c r="G20" i="8"/>
  <c r="C22" i="8"/>
  <c r="G18" i="8"/>
  <c r="E23" i="8"/>
  <c r="I20" i="8"/>
  <c r="G17" i="8"/>
  <c r="C18" i="8"/>
  <c r="C25" i="8"/>
  <c r="J29" i="8"/>
  <c r="J21" i="8"/>
  <c r="I24" i="8"/>
  <c r="I15" i="8"/>
  <c r="E28" i="8"/>
  <c r="H15" i="8"/>
  <c r="D25" i="8"/>
  <c r="F16" i="8"/>
  <c r="D21" i="8"/>
  <c r="C30" i="8"/>
  <c r="I23" i="8"/>
  <c r="G22" i="8"/>
  <c r="G21" i="8"/>
  <c r="W47" i="8"/>
  <c r="F20" i="8"/>
  <c r="U59" i="8"/>
  <c r="I22" i="8"/>
  <c r="I26" i="8"/>
  <c r="AA21" i="8"/>
  <c r="U54" i="8"/>
  <c r="V54" i="8"/>
  <c r="X65" i="8"/>
  <c r="T24" i="8"/>
  <c r="W57" i="8"/>
  <c r="T34" i="8"/>
  <c r="U73" i="8"/>
  <c r="AA52" i="8"/>
  <c r="W24" i="8"/>
  <c r="Z70" i="8"/>
  <c r="T41" i="8"/>
  <c r="T64" i="8"/>
  <c r="X38" i="8"/>
  <c r="X67" i="8"/>
  <c r="Y41" i="8"/>
  <c r="D22" i="8"/>
  <c r="J15" i="8"/>
  <c r="AA36" i="8"/>
  <c r="F27" i="8"/>
  <c r="E24" i="8"/>
  <c r="H23" i="8"/>
  <c r="E30" i="8"/>
  <c r="X23" i="8"/>
  <c r="V74" i="8"/>
  <c r="Y56" i="8"/>
  <c r="Z33" i="8"/>
  <c r="Y66" i="8"/>
  <c r="V48" i="8"/>
  <c r="Y21" i="8"/>
  <c r="W64" i="8"/>
  <c r="X42" i="8"/>
  <c r="V24" i="8"/>
  <c r="Z52" i="8"/>
  <c r="Y29" i="8"/>
  <c r="W18" i="8"/>
  <c r="Y23" i="8"/>
  <c r="W72" i="8"/>
  <c r="I32" i="8"/>
  <c r="W50" i="8"/>
  <c r="Y65" i="8"/>
  <c r="U42" i="8"/>
  <c r="Y20" i="8"/>
  <c r="V34" i="8"/>
  <c r="U20" i="8"/>
  <c r="F15" i="8"/>
  <c r="X53" i="8"/>
  <c r="X64" i="8"/>
  <c r="W74" i="8"/>
  <c r="W45" i="8"/>
  <c r="C29" i="8"/>
  <c r="T71" i="8"/>
  <c r="W42" i="8"/>
  <c r="W62" i="8"/>
  <c r="T50" i="8"/>
  <c r="F19" i="8"/>
  <c r="Y14" i="8"/>
  <c r="H24" i="8"/>
  <c r="E17" i="8"/>
  <c r="E16" i="8"/>
  <c r="F25" i="8"/>
  <c r="D23" i="8"/>
  <c r="U51" i="8"/>
  <c r="X73" i="8"/>
  <c r="V63" i="8"/>
  <c r="Y51" i="8"/>
  <c r="Y24" i="8"/>
  <c r="Z43" i="8"/>
  <c r="Z40" i="8"/>
  <c r="V39" i="8"/>
  <c r="Y72" i="8"/>
  <c r="X26" i="8"/>
  <c r="U62" i="8"/>
  <c r="X50" i="8"/>
  <c r="AA40" i="8"/>
  <c r="AA37" i="8"/>
  <c r="D27" i="8"/>
  <c r="J16" i="8"/>
  <c r="G15" i="8"/>
  <c r="F33" i="8"/>
  <c r="H28" i="8"/>
  <c r="X54" i="8"/>
  <c r="U30" i="8"/>
  <c r="U67" i="8"/>
  <c r="D16" i="8"/>
  <c r="F22" i="8"/>
  <c r="AA34" i="8"/>
  <c r="D28" i="8"/>
  <c r="I33" i="8"/>
  <c r="C32" i="8"/>
  <c r="F29" i="8"/>
  <c r="W71" i="8"/>
  <c r="V16" i="8"/>
  <c r="X57" i="8"/>
  <c r="W34" i="8"/>
  <c r="Z72" i="8"/>
  <c r="V49" i="8"/>
  <c r="Z22" i="8"/>
  <c r="Y73" i="8"/>
  <c r="Y43" i="8"/>
  <c r="Z14" i="8"/>
  <c r="Z59" i="8"/>
  <c r="U31" i="8"/>
  <c r="X52" i="8"/>
  <c r="Y26" i="8"/>
  <c r="U17" i="8"/>
  <c r="X56" i="8"/>
  <c r="I31" i="8"/>
  <c r="D33" i="8"/>
  <c r="W17" i="8"/>
  <c r="D29" i="8"/>
  <c r="E15" i="8"/>
  <c r="Z50" i="8"/>
  <c r="X49" i="8"/>
  <c r="U41" i="8"/>
  <c r="W73" i="8"/>
  <c r="W16" i="8"/>
  <c r="C16" i="8"/>
  <c r="D30" i="8"/>
  <c r="T39" i="8"/>
  <c r="AA51" i="8"/>
  <c r="D20" i="8"/>
  <c r="J22" i="8"/>
  <c r="E22" i="8"/>
  <c r="V37" i="8"/>
  <c r="U26" i="8"/>
  <c r="T32" i="8"/>
  <c r="Z18" i="8"/>
  <c r="G29" i="8"/>
  <c r="Y32" i="8"/>
  <c r="T74" i="6"/>
  <c r="T73" i="6"/>
  <c r="Z72" i="6"/>
  <c r="AA74" i="6"/>
  <c r="AA73" i="6"/>
  <c r="AA72" i="6"/>
  <c r="Y74" i="6"/>
  <c r="Y73" i="6"/>
  <c r="Y72" i="6"/>
  <c r="X74" i="6"/>
  <c r="X73" i="6"/>
  <c r="X72" i="6"/>
  <c r="W72" i="6"/>
  <c r="Z73" i="6"/>
  <c r="W73" i="6"/>
  <c r="V74" i="6"/>
  <c r="V73" i="6"/>
  <c r="V72" i="6"/>
  <c r="Z74" i="6"/>
  <c r="W74" i="6"/>
  <c r="U74" i="6"/>
  <c r="U73" i="6"/>
  <c r="U72" i="6"/>
  <c r="AA70" i="6"/>
  <c r="G33" i="6"/>
  <c r="V66" i="6"/>
  <c r="V22" i="6"/>
  <c r="W60" i="6"/>
  <c r="V20" i="6"/>
  <c r="W28" i="6"/>
  <c r="T43" i="6"/>
  <c r="T16" i="6"/>
  <c r="AA65" i="6"/>
  <c r="F18" i="6"/>
  <c r="U20" i="6"/>
  <c r="J28" i="6"/>
  <c r="AA39" i="6"/>
  <c r="U62" i="6"/>
  <c r="Z20" i="6"/>
  <c r="Z22" i="6"/>
  <c r="D20" i="6"/>
  <c r="Y27" i="6"/>
  <c r="V43" i="6"/>
  <c r="W66" i="6"/>
  <c r="J27" i="6"/>
  <c r="J19" i="6"/>
  <c r="E30" i="6"/>
  <c r="J18" i="6"/>
  <c r="D31" i="6"/>
  <c r="I19" i="6"/>
  <c r="I23" i="6"/>
  <c r="E27" i="6"/>
  <c r="C19" i="6"/>
  <c r="U18" i="6"/>
  <c r="Z25" i="6"/>
  <c r="V36" i="6"/>
  <c r="Z63" i="6"/>
  <c r="X17" i="6"/>
  <c r="E25" i="6"/>
  <c r="Y34" i="6"/>
  <c r="Z53" i="6"/>
  <c r="Y17" i="6"/>
  <c r="Z34" i="6"/>
  <c r="D17" i="6"/>
  <c r="T32" i="6"/>
  <c r="AA14" i="6"/>
  <c r="H21" i="6"/>
  <c r="I29" i="6"/>
  <c r="W44" i="6"/>
  <c r="Y67" i="6"/>
  <c r="T66" i="6"/>
  <c r="T58" i="6"/>
  <c r="T50" i="6"/>
  <c r="T42" i="6"/>
  <c r="T34" i="6"/>
  <c r="T26" i="6"/>
  <c r="T18" i="6"/>
  <c r="Z67" i="6"/>
  <c r="Z59" i="6"/>
  <c r="Z51" i="6"/>
  <c r="Z43" i="6"/>
  <c r="Z35" i="6"/>
  <c r="Z69" i="6"/>
  <c r="Z61" i="6"/>
  <c r="T19" i="6"/>
  <c r="V27" i="6"/>
  <c r="T38" i="6"/>
  <c r="Y47" i="6"/>
  <c r="W57" i="6"/>
  <c r="T70" i="6"/>
  <c r="Y50" i="6"/>
  <c r="Z17" i="6"/>
  <c r="T29" i="6"/>
  <c r="T40" i="6"/>
  <c r="Z50" i="6"/>
  <c r="U61" i="6"/>
  <c r="X43" i="6"/>
  <c r="Y66" i="6"/>
  <c r="AA18" i="6"/>
  <c r="V30" i="6"/>
  <c r="X41" i="6"/>
  <c r="U52" i="6"/>
  <c r="T64" i="6"/>
  <c r="W31" i="6"/>
  <c r="Y65" i="6"/>
  <c r="W27" i="6"/>
  <c r="X44" i="6"/>
  <c r="H15" i="6"/>
  <c r="Z29" i="6"/>
  <c r="F25" i="6"/>
  <c r="J16" i="6"/>
  <c r="I17" i="6"/>
  <c r="D25" i="6"/>
  <c r="E20" i="6"/>
  <c r="H19" i="6"/>
  <c r="X39" i="6"/>
  <c r="G20" i="6"/>
  <c r="U32" i="6"/>
  <c r="V56" i="6"/>
  <c r="X32" i="6"/>
  <c r="T65" i="6"/>
  <c r="T57" i="6"/>
  <c r="U33" i="6"/>
  <c r="T21" i="6"/>
  <c r="AA49" i="6"/>
  <c r="V62" i="6"/>
  <c r="X42" i="6"/>
  <c r="W69" i="6"/>
  <c r="T45" i="6"/>
  <c r="D27" i="6"/>
  <c r="J32" i="6"/>
  <c r="AA28" i="6"/>
  <c r="F28" i="6"/>
  <c r="Z41" i="6"/>
  <c r="AA53" i="6"/>
  <c r="G24" i="6"/>
  <c r="W71" i="6"/>
  <c r="W47" i="6"/>
  <c r="U40" i="6"/>
  <c r="U58" i="6"/>
  <c r="U51" i="6"/>
  <c r="V41" i="6"/>
  <c r="V54" i="6"/>
  <c r="U46" i="6"/>
  <c r="Z55" i="6"/>
  <c r="E21" i="6"/>
  <c r="F24" i="6"/>
  <c r="X70" i="6"/>
  <c r="X46" i="6"/>
  <c r="T22" i="6"/>
  <c r="V55" i="6"/>
  <c r="V39" i="6"/>
  <c r="V57" i="6"/>
  <c r="V52" i="6"/>
  <c r="AA21" i="6"/>
  <c r="Y55" i="6"/>
  <c r="U26" i="6"/>
  <c r="U71" i="6"/>
  <c r="X26" i="6"/>
  <c r="Z33" i="6"/>
  <c r="Z21" i="6"/>
  <c r="Z57" i="6"/>
  <c r="I31" i="6"/>
  <c r="V50" i="6"/>
  <c r="U63" i="6"/>
  <c r="T36" i="6"/>
  <c r="Y57" i="6"/>
  <c r="V24" i="6"/>
  <c r="AA31" i="6"/>
  <c r="X15" i="6"/>
  <c r="U38" i="6"/>
  <c r="F15" i="6"/>
  <c r="I21" i="6"/>
  <c r="J29" i="6"/>
  <c r="V42" i="6"/>
  <c r="T68" i="6"/>
  <c r="Z37" i="6"/>
  <c r="T14" i="6"/>
  <c r="Y20" i="6"/>
  <c r="Z28" i="6"/>
  <c r="Z45" i="6"/>
  <c r="U69" i="6"/>
  <c r="D26" i="6"/>
  <c r="D18" i="6"/>
  <c r="D29" i="6"/>
  <c r="J17" i="6"/>
  <c r="C30" i="6"/>
  <c r="I18" i="6"/>
  <c r="I33" i="6"/>
  <c r="E26" i="6"/>
  <c r="C16" i="6"/>
  <c r="G19" i="6"/>
  <c r="Z26" i="6"/>
  <c r="Z38" i="6"/>
  <c r="X66" i="6"/>
  <c r="V18" i="6"/>
  <c r="F26" i="6"/>
  <c r="T37" i="6"/>
  <c r="Z58" i="6"/>
  <c r="U19" i="6"/>
  <c r="Y39" i="6"/>
  <c r="W18" i="6"/>
  <c r="X33" i="6"/>
  <c r="W15" i="6"/>
  <c r="G22" i="6"/>
  <c r="I30" i="6"/>
  <c r="AA46" i="6"/>
  <c r="Z70" i="6"/>
  <c r="U65" i="6"/>
  <c r="U57" i="6"/>
  <c r="U49" i="6"/>
  <c r="U41" i="6"/>
  <c r="V33" i="6"/>
  <c r="V25" i="6"/>
  <c r="V17" i="6"/>
  <c r="AA66" i="6"/>
  <c r="AA58" i="6"/>
  <c r="AA50" i="6"/>
  <c r="AA42" i="6"/>
  <c r="AA34" i="6"/>
  <c r="AA68" i="6"/>
  <c r="AA60" i="6"/>
  <c r="T20" i="6"/>
  <c r="V28" i="6"/>
  <c r="U39" i="6"/>
  <c r="Z48" i="6"/>
  <c r="Y58" i="6"/>
  <c r="Y71" i="6"/>
  <c r="U54" i="6"/>
  <c r="Z18" i="6"/>
  <c r="U30" i="6"/>
  <c r="W41" i="6"/>
  <c r="T52" i="6"/>
  <c r="Z62" i="6"/>
  <c r="T53" i="6"/>
  <c r="U68" i="6"/>
  <c r="T23" i="6"/>
  <c r="Y42" i="6"/>
  <c r="V53" i="6"/>
  <c r="W26" i="6"/>
  <c r="H22" i="6"/>
  <c r="W36" i="6"/>
  <c r="AA33" i="6"/>
  <c r="X21" i="6"/>
  <c r="W50" i="6"/>
  <c r="F17" i="6"/>
  <c r="C29" i="6"/>
  <c r="J25" i="6"/>
  <c r="E15" i="6"/>
  <c r="AA27" i="6"/>
  <c r="V69" i="6"/>
  <c r="F27" i="6"/>
  <c r="G21" i="6"/>
  <c r="H16" i="6"/>
  <c r="G23" i="6"/>
  <c r="V40" i="6"/>
  <c r="X16" i="6"/>
  <c r="T49" i="6"/>
  <c r="T67" i="6"/>
  <c r="W29" i="6"/>
  <c r="AA19" i="6"/>
  <c r="X65" i="6"/>
  <c r="T24" i="6"/>
  <c r="Y54" i="6"/>
  <c r="C28" i="6"/>
  <c r="X14" i="6"/>
  <c r="T72" i="6"/>
  <c r="Y64" i="6"/>
  <c r="F22" i="6"/>
  <c r="Y33" i="6"/>
  <c r="W63" i="6"/>
  <c r="W39" i="6"/>
  <c r="Z23" i="6"/>
  <c r="U56" i="6"/>
  <c r="W32" i="6"/>
  <c r="U22" i="6"/>
  <c r="Y41" i="6"/>
  <c r="W42" i="6"/>
  <c r="Y43" i="6"/>
  <c r="Z66" i="6"/>
  <c r="T25" i="6"/>
  <c r="W68" i="6"/>
  <c r="U44" i="6"/>
  <c r="G25" i="6"/>
  <c r="Z46" i="6"/>
  <c r="T35" i="6"/>
  <c r="X62" i="6"/>
  <c r="T30" i="6"/>
  <c r="V63" i="6"/>
  <c r="Y31" i="6"/>
  <c r="U23" i="6"/>
  <c r="Z42" i="6"/>
  <c r="AA44" i="6"/>
  <c r="V34" i="6"/>
  <c r="V58" i="6"/>
  <c r="X35" i="6"/>
  <c r="AA71" i="6"/>
  <c r="U31" i="6"/>
  <c r="Y24" i="6"/>
  <c r="D22" i="6"/>
  <c r="C25" i="6"/>
  <c r="W45" i="6"/>
  <c r="AA47" i="6"/>
  <c r="W22" i="6"/>
  <c r="W21" i="6"/>
  <c r="X19" i="6"/>
  <c r="X52" i="6"/>
  <c r="H17" i="6"/>
  <c r="J30" i="6"/>
  <c r="F33" i="6"/>
  <c r="V44" i="6"/>
  <c r="U67" i="6"/>
  <c r="C18" i="6"/>
  <c r="X47" i="6"/>
  <c r="Z40" i="6"/>
  <c r="U43" i="6"/>
  <c r="T17" i="6"/>
  <c r="Z15" i="6"/>
  <c r="T69" i="6"/>
  <c r="U21" i="6"/>
  <c r="V38" i="6"/>
  <c r="U16" i="6"/>
  <c r="G15" i="6"/>
  <c r="H23" i="6"/>
  <c r="T31" i="6"/>
  <c r="W49" i="6"/>
  <c r="U34" i="6"/>
  <c r="AA26" i="6"/>
  <c r="D16" i="6"/>
  <c r="X22" i="6"/>
  <c r="Z30" i="6"/>
  <c r="AA52" i="6"/>
  <c r="H32" i="6"/>
  <c r="H24" i="6"/>
  <c r="D15" i="6"/>
  <c r="I16" i="6"/>
  <c r="D21" i="6"/>
  <c r="E17" i="6"/>
  <c r="AA20" i="6"/>
  <c r="Y28" i="6"/>
  <c r="X27" i="6"/>
  <c r="AA54" i="6"/>
  <c r="V60" i="6"/>
  <c r="Y29" i="6"/>
  <c r="Y15" i="6"/>
  <c r="Y30" i="6"/>
  <c r="D33" i="6"/>
  <c r="D19" i="6"/>
  <c r="I24" i="6"/>
  <c r="V32" i="6"/>
  <c r="Y51" i="6"/>
  <c r="Y32" i="6"/>
  <c r="AA25" i="6"/>
  <c r="W16" i="6"/>
  <c r="X23" i="6"/>
  <c r="C32" i="6"/>
  <c r="T55" i="6"/>
  <c r="J31" i="6"/>
  <c r="J23" i="6"/>
  <c r="G32" i="6"/>
  <c r="C26" i="6"/>
  <c r="J26" i="6"/>
  <c r="C27" i="6"/>
  <c r="C15" i="6"/>
  <c r="F31" i="6"/>
  <c r="D23" i="6"/>
  <c r="I15" i="6"/>
  <c r="Y21" i="6"/>
  <c r="AA29" i="6"/>
  <c r="T48" i="6"/>
  <c r="Y14" i="6"/>
  <c r="W67" i="6"/>
  <c r="H25" i="6"/>
  <c r="V47" i="6"/>
  <c r="V68" i="6"/>
  <c r="X25" i="6"/>
  <c r="W24" i="6"/>
  <c r="V45" i="6"/>
  <c r="U50" i="6"/>
  <c r="Y19" i="6"/>
  <c r="E18" i="6"/>
  <c r="X57" i="6"/>
  <c r="T63" i="6"/>
  <c r="X29" i="6"/>
  <c r="Z47" i="6"/>
  <c r="V23" i="6"/>
  <c r="W25" i="6"/>
  <c r="X30" i="6"/>
  <c r="W52" i="6"/>
  <c r="Y18" i="6"/>
  <c r="V16" i="6"/>
  <c r="C33" i="6"/>
  <c r="W19" i="6"/>
  <c r="I27" i="6"/>
  <c r="W37" i="6"/>
  <c r="W59" i="6"/>
  <c r="AA23" i="6"/>
  <c r="V35" i="6"/>
  <c r="F19" i="6"/>
  <c r="Y26" i="6"/>
  <c r="AA40" i="6"/>
  <c r="Y63" i="6"/>
  <c r="H28" i="6"/>
  <c r="H20" i="6"/>
  <c r="E31" i="6"/>
  <c r="C23" i="6"/>
  <c r="F32" i="6"/>
  <c r="J20" i="6"/>
  <c r="J24" i="6"/>
  <c r="E28" i="6"/>
  <c r="C20" i="6"/>
  <c r="W17" i="6"/>
  <c r="Z24" i="6"/>
  <c r="H33" i="6"/>
  <c r="AA57" i="6"/>
  <c r="C17" i="6"/>
  <c r="E24" i="6"/>
  <c r="W33" i="6"/>
  <c r="V51" i="6"/>
  <c r="G16" i="6"/>
  <c r="H31" i="6"/>
  <c r="V15" i="6"/>
  <c r="H30" i="6"/>
  <c r="X67" i="6"/>
  <c r="I20" i="6"/>
  <c r="I28" i="6"/>
  <c r="U42" i="6"/>
  <c r="AA64" i="6"/>
  <c r="AA67" i="6"/>
  <c r="AA59" i="6"/>
  <c r="AA51" i="6"/>
  <c r="AA43" i="6"/>
  <c r="AA35" i="6"/>
  <c r="Z27" i="6"/>
  <c r="Z19" i="6"/>
  <c r="Y68" i="6"/>
  <c r="Y60" i="6"/>
  <c r="Y52" i="6"/>
  <c r="Y44" i="6"/>
  <c r="Y36" i="6"/>
  <c r="Y70" i="6"/>
  <c r="Y62" i="6"/>
  <c r="U15" i="6"/>
  <c r="V26" i="6"/>
  <c r="Y35" i="6"/>
  <c r="V46" i="6"/>
  <c r="AA55" i="6"/>
  <c r="X68" i="6"/>
  <c r="X49" i="6"/>
  <c r="Z16" i="6"/>
  <c r="T28" i="6"/>
  <c r="AA37" i="6"/>
  <c r="Y49" i="6"/>
  <c r="Y59" i="6"/>
  <c r="W65" i="6"/>
  <c r="AA17" i="6"/>
  <c r="U29" i="6"/>
  <c r="W40" i="6"/>
  <c r="T51" i="6"/>
  <c r="AA62" i="6"/>
  <c r="D28" i="6"/>
  <c r="W43" i="6"/>
  <c r="AA61" i="6"/>
  <c r="U37" i="6"/>
  <c r="V49" i="6"/>
  <c r="V64" i="6"/>
  <c r="V48" i="6"/>
  <c r="X24" i="6"/>
  <c r="T41" i="6"/>
  <c r="T59" i="6"/>
  <c r="X40" i="6"/>
  <c r="U60" i="6"/>
  <c r="V31" i="6"/>
  <c r="U53" i="6"/>
  <c r="X55" i="6"/>
  <c r="AA32" i="6"/>
  <c r="E33" i="6"/>
  <c r="D24" i="6"/>
  <c r="AA45" i="6"/>
  <c r="F20" i="6"/>
  <c r="F23" i="6"/>
  <c r="AA41" i="6"/>
  <c r="X51" i="6"/>
  <c r="W55" i="6"/>
  <c r="Z31" i="6"/>
  <c r="U64" i="6"/>
  <c r="U48" i="6"/>
  <c r="U66" i="6"/>
  <c r="W30" i="6"/>
  <c r="W61" i="6"/>
  <c r="Z32" i="6"/>
  <c r="Z56" i="6"/>
  <c r="W34" i="6"/>
  <c r="G29" i="6"/>
  <c r="U59" i="6"/>
  <c r="X56" i="6"/>
  <c r="X54" i="6"/>
  <c r="X38" i="6"/>
  <c r="V71" i="6"/>
  <c r="V65" i="6"/>
  <c r="X31" i="6"/>
  <c r="X64" i="6"/>
  <c r="X59" i="6"/>
  <c r="T46" i="6"/>
  <c r="V14" i="6"/>
  <c r="X58" i="6"/>
  <c r="E19" i="6"/>
  <c r="T54" i="6"/>
  <c r="U17" i="6"/>
  <c r="D30" i="6"/>
  <c r="Y40" i="6"/>
  <c r="U35" i="6"/>
  <c r="X60" i="6"/>
  <c r="J21" i="6"/>
  <c r="Y16" i="6"/>
  <c r="F16" i="6"/>
  <c r="Z14" i="6"/>
  <c r="T56" i="6"/>
  <c r="T62" i="6"/>
  <c r="Z44" i="6"/>
  <c r="X69" i="6"/>
  <c r="X37" i="6"/>
  <c r="U25" i="6"/>
  <c r="V67" i="6"/>
  <c r="X36" i="6"/>
  <c r="Z49" i="6"/>
  <c r="Z71" i="6"/>
  <c r="AA63" i="6"/>
  <c r="Y56" i="6"/>
  <c r="F29" i="6"/>
  <c r="E32" i="6"/>
  <c r="Y22" i="6"/>
  <c r="E22" i="6"/>
  <c r="G27" i="6"/>
  <c r="X18" i="6"/>
  <c r="Y69" i="6"/>
  <c r="Y37" i="6"/>
  <c r="W62" i="6"/>
  <c r="T33" i="6"/>
  <c r="T47" i="6"/>
  <c r="U47" i="6"/>
  <c r="T15" i="6"/>
  <c r="T60" i="6"/>
  <c r="V19" i="6"/>
  <c r="Z36" i="6"/>
  <c r="X61" i="6"/>
  <c r="X71" i="6"/>
  <c r="W48" i="6"/>
  <c r="X48" i="6"/>
  <c r="AA16" i="6"/>
  <c r="V61" i="6"/>
  <c r="U27" i="6"/>
  <c r="C24" i="6"/>
  <c r="E29" i="6"/>
  <c r="G31" i="6"/>
  <c r="Z60" i="6"/>
  <c r="X63" i="6"/>
  <c r="U28" i="6"/>
  <c r="W56" i="6"/>
  <c r="V37" i="6"/>
  <c r="AA22" i="6"/>
  <c r="AA36" i="6"/>
  <c r="W23" i="6"/>
  <c r="AA24" i="6"/>
  <c r="F21" i="6"/>
  <c r="C31" i="6"/>
  <c r="Y23" i="6"/>
  <c r="E23" i="6"/>
  <c r="H29" i="6"/>
  <c r="Z68" i="6"/>
  <c r="X34" i="6"/>
  <c r="G18" i="6"/>
  <c r="V70" i="6"/>
  <c r="X28" i="6"/>
  <c r="U45" i="6"/>
  <c r="W58" i="6"/>
  <c r="G26" i="6"/>
  <c r="V21" i="6"/>
  <c r="W53" i="6"/>
  <c r="AA69" i="6"/>
  <c r="W20" i="6"/>
  <c r="AA38" i="6"/>
  <c r="I32" i="6"/>
  <c r="F30" i="6"/>
  <c r="AA30" i="6"/>
  <c r="G30" i="6"/>
  <c r="Z64" i="6"/>
  <c r="H26" i="6"/>
  <c r="Y61" i="6"/>
  <c r="V29" i="6"/>
  <c r="W54" i="6"/>
  <c r="W64" i="6"/>
  <c r="T44" i="6"/>
  <c r="U14" i="6"/>
  <c r="AA56" i="6"/>
  <c r="Y53" i="6"/>
  <c r="H18" i="6"/>
  <c r="D32" i="6"/>
  <c r="H27" i="6"/>
  <c r="X53" i="6"/>
  <c r="AA15" i="6"/>
  <c r="G17" i="6"/>
  <c r="Y25" i="6"/>
  <c r="I22" i="6"/>
  <c r="C22" i="6"/>
  <c r="X50" i="6"/>
  <c r="Y46" i="6"/>
  <c r="W46" i="6"/>
  <c r="I25" i="6"/>
  <c r="U36" i="6"/>
  <c r="J33" i="6"/>
  <c r="C21" i="6"/>
  <c r="U55" i="6"/>
  <c r="AA48" i="6"/>
  <c r="G28" i="6"/>
  <c r="Z39" i="6"/>
  <c r="Z52" i="6"/>
  <c r="X20" i="6"/>
  <c r="X45" i="6"/>
  <c r="W14" i="6"/>
  <c r="Z54" i="6"/>
  <c r="T27" i="6"/>
  <c r="T71" i="6"/>
  <c r="T39" i="6"/>
  <c r="I26" i="6"/>
  <c r="Y38" i="6"/>
  <c r="J22" i="6"/>
  <c r="E16" i="6"/>
  <c r="J15" i="6"/>
  <c r="W51" i="6"/>
  <c r="V59" i="6"/>
  <c r="Y45" i="6"/>
  <c r="W70" i="6"/>
  <c r="W38" i="6"/>
  <c r="U24" i="6"/>
  <c r="Z65" i="6"/>
  <c r="W35" i="6"/>
  <c r="Y48" i="6"/>
  <c r="U70" i="6"/>
  <c r="T61" i="6"/>
  <c r="E26" i="5"/>
  <c r="C18" i="5"/>
  <c r="J23" i="5"/>
  <c r="G28" i="5"/>
  <c r="J29" i="5"/>
  <c r="H28" i="5"/>
  <c r="H32" i="5"/>
  <c r="E22" i="5"/>
  <c r="J26" i="5"/>
  <c r="J30" i="5"/>
  <c r="F18" i="5"/>
  <c r="I24" i="5"/>
  <c r="D18" i="5"/>
  <c r="G27" i="5"/>
  <c r="G19" i="5"/>
  <c r="J19" i="5"/>
  <c r="D31" i="5"/>
  <c r="C24" i="5"/>
  <c r="F32" i="5"/>
  <c r="I26" i="5"/>
  <c r="I18" i="5"/>
  <c r="J20" i="5"/>
  <c r="D25" i="5"/>
  <c r="F33" i="5"/>
  <c r="G32" i="5"/>
  <c r="H33" i="5"/>
  <c r="G20" i="5"/>
  <c r="J22" i="5"/>
  <c r="G17" i="5"/>
  <c r="G24" i="5"/>
  <c r="H25" i="5"/>
  <c r="J24" i="5"/>
  <c r="C17" i="5"/>
  <c r="E33" i="5"/>
  <c r="C16" i="5"/>
  <c r="G33" i="5"/>
  <c r="E25" i="5"/>
  <c r="D15" i="5"/>
  <c r="E21" i="5"/>
  <c r="F24" i="5"/>
  <c r="F22" i="5"/>
  <c r="J27" i="5"/>
  <c r="H23" i="5"/>
  <c r="I27" i="5"/>
  <c r="F23" i="5"/>
  <c r="F27" i="5"/>
  <c r="H17" i="5"/>
  <c r="F21" i="5"/>
  <c r="D32" i="5"/>
  <c r="D24" i="5"/>
  <c r="H18" i="5"/>
  <c r="H22" i="5"/>
  <c r="H20" i="5"/>
  <c r="C25" i="5"/>
  <c r="J21" i="5"/>
  <c r="G30" i="5"/>
  <c r="I33" i="5"/>
  <c r="H26" i="5"/>
  <c r="F31" i="5"/>
  <c r="D23" i="5"/>
  <c r="J32" i="5"/>
  <c r="D20" i="5"/>
  <c r="F15" i="5"/>
  <c r="F30" i="5"/>
  <c r="D22" i="5"/>
  <c r="G29" i="5"/>
  <c r="D17" i="5"/>
  <c r="F19" i="5"/>
  <c r="I29" i="5"/>
  <c r="F20" i="5"/>
  <c r="E27" i="5"/>
  <c r="C19" i="5"/>
  <c r="H24" i="5"/>
  <c r="J31" i="5"/>
  <c r="C31" i="5"/>
  <c r="I32" i="5"/>
  <c r="H15" i="5"/>
  <c r="H21" i="5"/>
  <c r="H27" i="5"/>
  <c r="H31" i="5"/>
  <c r="D19" i="5"/>
  <c r="G25" i="5"/>
  <c r="E18" i="5"/>
  <c r="E28" i="5"/>
  <c r="E20" i="5"/>
  <c r="J18" i="5"/>
  <c r="D30" i="5"/>
  <c r="C23" i="5"/>
  <c r="E31" i="5"/>
  <c r="C33" i="5"/>
  <c r="D26" i="5"/>
  <c r="I19" i="5"/>
  <c r="I23" i="5"/>
  <c r="I20" i="5"/>
  <c r="J25" i="5"/>
  <c r="E17" i="5"/>
  <c r="F29" i="5"/>
  <c r="G15" i="5"/>
  <c r="G26" i="5"/>
  <c r="G22" i="5"/>
  <c r="I30" i="5"/>
  <c r="I16" i="5"/>
  <c r="J17" i="5"/>
  <c r="F28" i="5"/>
  <c r="E19" i="5"/>
  <c r="H16" i="5"/>
  <c r="I21" i="5"/>
  <c r="C29" i="5"/>
  <c r="I17" i="5"/>
  <c r="C22" i="5"/>
  <c r="D27" i="5"/>
  <c r="J28" i="5"/>
  <c r="W21" i="5"/>
  <c r="Y30" i="5"/>
  <c r="W33" i="5"/>
  <c r="W63" i="5"/>
  <c r="U21" i="5"/>
  <c r="C28" i="5"/>
  <c r="D16" i="5"/>
  <c r="AA24" i="5"/>
  <c r="AA69" i="5"/>
  <c r="T45" i="5"/>
  <c r="T62" i="5"/>
  <c r="E30" i="5"/>
  <c r="U25" i="5"/>
  <c r="W30" i="5"/>
  <c r="G31" i="5"/>
  <c r="I28" i="5"/>
  <c r="T42" i="5"/>
  <c r="V22" i="5"/>
  <c r="Y48" i="5"/>
  <c r="X39" i="5"/>
  <c r="I22" i="5"/>
  <c r="E29" i="5"/>
  <c r="G21" i="5"/>
  <c r="W34" i="5"/>
  <c r="U24" i="5"/>
  <c r="W32" i="5"/>
  <c r="W38" i="5"/>
  <c r="C21" i="5"/>
  <c r="Y53" i="5"/>
  <c r="Z59" i="5"/>
  <c r="J15" i="5"/>
  <c r="D21" i="5"/>
  <c r="F26" i="5"/>
  <c r="C32" i="5"/>
  <c r="C30" i="5"/>
  <c r="E24" i="5"/>
  <c r="C26" i="5"/>
  <c r="H19" i="5"/>
  <c r="AA23" i="5"/>
  <c r="Y47" i="5"/>
  <c r="T51" i="5"/>
  <c r="X55" i="5"/>
  <c r="X44" i="5"/>
  <c r="U40" i="5"/>
  <c r="AA64" i="5"/>
  <c r="Z46" i="5"/>
  <c r="AA18" i="5"/>
  <c r="V18" i="5"/>
  <c r="Y22" i="5"/>
  <c r="U63" i="5"/>
  <c r="V17" i="5"/>
  <c r="C20" i="5"/>
  <c r="D33" i="5"/>
  <c r="I31" i="5"/>
  <c r="H29" i="5"/>
  <c r="G23" i="5"/>
  <c r="C27" i="5"/>
  <c r="D28" i="5"/>
  <c r="J33" i="5"/>
  <c r="Z37" i="5"/>
  <c r="AA48" i="5"/>
  <c r="Y64" i="5"/>
  <c r="AA19" i="5"/>
  <c r="X17" i="5"/>
  <c r="G16" i="5"/>
  <c r="Y33" i="5"/>
  <c r="T47" i="5"/>
  <c r="T56" i="5"/>
  <c r="Y41" i="5"/>
  <c r="T20" i="5"/>
  <c r="D29" i="5"/>
  <c r="Y39" i="5"/>
  <c r="V39" i="5"/>
  <c r="T31" i="5"/>
  <c r="F25" i="5"/>
  <c r="V60" i="5"/>
  <c r="F16" i="5"/>
  <c r="G18" i="5"/>
  <c r="F17" i="5"/>
  <c r="H30" i="5"/>
  <c r="X42" i="5"/>
  <c r="U34" i="5"/>
  <c r="X16" i="5"/>
  <c r="Y25" i="5"/>
  <c r="T63" i="5"/>
  <c r="U46" i="5"/>
  <c r="W23" i="5"/>
  <c r="Y63" i="5"/>
  <c r="AA45" i="5"/>
  <c r="AA54" i="5"/>
  <c r="U26" i="5"/>
  <c r="Z42" i="5"/>
  <c r="W40" i="5"/>
  <c r="AA65" i="5"/>
  <c r="AA60" i="5"/>
  <c r="X31" i="5"/>
  <c r="V14" i="5"/>
  <c r="Z30" i="5"/>
  <c r="E32" i="5"/>
  <c r="E16" i="5"/>
  <c r="C15" i="5"/>
  <c r="I15" i="5"/>
  <c r="E15" i="5"/>
  <c r="E23" i="5"/>
  <c r="I25" i="5"/>
  <c r="X63" i="5"/>
  <c r="T59" i="5"/>
  <c r="V36" i="5"/>
  <c r="Y20" i="5"/>
  <c r="U41" i="5"/>
  <c r="U62" i="5"/>
  <c r="AA40" i="5"/>
  <c r="Z62" i="5"/>
  <c r="AA62" i="5"/>
  <c r="J16" i="5"/>
  <c r="Z26" i="5"/>
  <c r="T14" i="3"/>
  <c r="Y42" i="3"/>
  <c r="V17" i="3"/>
  <c r="T25" i="3"/>
  <c r="C15" i="3"/>
  <c r="J15" i="3"/>
  <c r="J32" i="3"/>
  <c r="C23" i="3"/>
  <c r="I32" i="3"/>
  <c r="E28" i="3"/>
  <c r="F19" i="3"/>
  <c r="D28" i="3"/>
  <c r="D20" i="3"/>
  <c r="I30" i="3"/>
  <c r="I22" i="3"/>
  <c r="E16" i="3"/>
  <c r="C19" i="3"/>
  <c r="J19" i="3"/>
  <c r="I27" i="3"/>
  <c r="I19" i="3"/>
  <c r="E25" i="3"/>
  <c r="C26" i="3"/>
  <c r="E30" i="3"/>
  <c r="E22" i="3"/>
  <c r="I15" i="3"/>
  <c r="C31" i="3"/>
  <c r="D22" i="3"/>
  <c r="F27" i="3"/>
  <c r="G26" i="3"/>
  <c r="G18" i="3"/>
  <c r="E27" i="3"/>
  <c r="E19" i="3"/>
  <c r="J29" i="3"/>
  <c r="J21" i="3"/>
  <c r="E33" i="3"/>
  <c r="D18" i="3"/>
  <c r="D17" i="3"/>
  <c r="J26" i="3"/>
  <c r="J18" i="3"/>
  <c r="G23" i="3"/>
  <c r="E24" i="3"/>
  <c r="F29" i="3"/>
  <c r="F21" i="3"/>
  <c r="E21" i="3"/>
  <c r="H17" i="3"/>
  <c r="H25" i="3"/>
  <c r="F26" i="3"/>
  <c r="F18" i="3"/>
  <c r="C28" i="3"/>
  <c r="C20" i="3"/>
  <c r="E32" i="3"/>
  <c r="C33" i="3"/>
  <c r="C17" i="3"/>
  <c r="I21" i="3"/>
  <c r="G28" i="3"/>
  <c r="G20" i="3"/>
  <c r="F20" i="3"/>
  <c r="G17" i="3"/>
  <c r="G30" i="3"/>
  <c r="H27" i="3"/>
  <c r="I26" i="3"/>
  <c r="E15" i="3"/>
  <c r="D25" i="3"/>
  <c r="J33" i="3"/>
  <c r="I33" i="3"/>
  <c r="C29" i="3"/>
  <c r="H23" i="3"/>
  <c r="J20" i="3"/>
  <c r="D31" i="3"/>
  <c r="D27" i="3"/>
  <c r="H19" i="3"/>
  <c r="I18" i="3"/>
  <c r="C22" i="3"/>
  <c r="F25" i="3"/>
  <c r="F31" i="3"/>
  <c r="J25" i="3"/>
  <c r="C16" i="3"/>
  <c r="D29" i="3"/>
  <c r="H31" i="3"/>
  <c r="J27" i="3"/>
  <c r="H15" i="3"/>
  <c r="E29" i="3"/>
  <c r="I16" i="3"/>
  <c r="G31" i="3"/>
  <c r="C25" i="3"/>
  <c r="G22" i="3"/>
  <c r="I24" i="3"/>
  <c r="G25" i="3"/>
  <c r="I29" i="3"/>
  <c r="D24" i="3"/>
  <c r="E17" i="3"/>
  <c r="I28" i="3"/>
  <c r="E23" i="3"/>
  <c r="D33" i="3"/>
  <c r="H26" i="3"/>
  <c r="I23" i="3"/>
  <c r="F17" i="3"/>
  <c r="F22" i="3"/>
  <c r="J16" i="3"/>
  <c r="C27" i="3"/>
  <c r="G15" i="3"/>
  <c r="F28" i="3"/>
  <c r="D30" i="3"/>
  <c r="G33" i="3"/>
  <c r="D19" i="3"/>
  <c r="D32" i="3"/>
  <c r="D16" i="3"/>
  <c r="I20" i="3"/>
  <c r="D26" i="3"/>
  <c r="F32" i="3"/>
  <c r="H18" i="3"/>
  <c r="I31" i="3"/>
  <c r="F24" i="3"/>
  <c r="H30" i="3"/>
  <c r="J24" i="3"/>
  <c r="H28" i="3"/>
  <c r="F15" i="3"/>
  <c r="G27" i="3"/>
  <c r="G19" i="3"/>
  <c r="H33" i="3"/>
  <c r="J23" i="3"/>
  <c r="H32" i="3"/>
  <c r="H24" i="3"/>
  <c r="H16" i="3"/>
  <c r="E26" i="3"/>
  <c r="E18" i="3"/>
  <c r="E31" i="3"/>
  <c r="C18" i="3"/>
  <c r="J31" i="3"/>
  <c r="F33" i="3"/>
  <c r="F30" i="3"/>
  <c r="J17" i="3"/>
  <c r="C21" i="3"/>
  <c r="H20" i="3"/>
  <c r="D15" i="3"/>
  <c r="I25" i="3"/>
  <c r="I17" i="3"/>
  <c r="C30" i="3"/>
  <c r="D21" i="3"/>
  <c r="J30" i="3"/>
  <c r="J22" i="3"/>
  <c r="G32" i="3"/>
  <c r="G24" i="3"/>
  <c r="G16" i="3"/>
  <c r="H22" i="3"/>
  <c r="F23" i="3"/>
  <c r="G29" i="3"/>
  <c r="G21" i="3"/>
  <c r="J28" i="3"/>
  <c r="H29" i="3"/>
  <c r="C32" i="3"/>
  <c r="C24" i="3"/>
  <c r="E20" i="3"/>
  <c r="F16" i="3"/>
  <c r="H21" i="3"/>
  <c r="D23" i="3"/>
  <c r="T53" i="3"/>
  <c r="U69" i="3"/>
  <c r="AF7" i="9" l="1"/>
  <c r="K25" i="9"/>
  <c r="K31" i="9"/>
  <c r="F34" i="9" a="1"/>
  <c r="F34" i="9" s="1"/>
  <c r="K19" i="9"/>
  <c r="K18" i="9"/>
  <c r="K26" i="9"/>
  <c r="K30" i="9"/>
  <c r="G34" i="9" a="1"/>
  <c r="G34" i="9" s="1"/>
  <c r="K22" i="9"/>
  <c r="K29" i="9"/>
  <c r="K33" i="9"/>
  <c r="K27" i="9"/>
  <c r="K17" i="9"/>
  <c r="K32" i="9"/>
  <c r="K28" i="9"/>
  <c r="I34" i="9" a="1"/>
  <c r="I34" i="9" s="1"/>
  <c r="H34" i="9" a="1"/>
  <c r="H34" i="9" s="1"/>
  <c r="K15" i="9"/>
  <c r="E34" i="9" a="1"/>
  <c r="E34" i="9" s="1"/>
  <c r="K23" i="9"/>
  <c r="K20" i="9"/>
  <c r="C34" i="9" a="1"/>
  <c r="C34" i="9" s="1"/>
  <c r="K21" i="9"/>
  <c r="K16" i="9"/>
  <c r="J34" i="9" a="1"/>
  <c r="J34" i="9" s="1"/>
  <c r="K24" i="9"/>
  <c r="D34" i="9" a="1"/>
  <c r="D34" i="9" s="1"/>
  <c r="K22" i="8"/>
  <c r="E34" i="8" a="1"/>
  <c r="E34" i="8" s="1"/>
  <c r="K15" i="8"/>
  <c r="G34" i="8" a="1"/>
  <c r="G34" i="8" s="1"/>
  <c r="K16" i="8"/>
  <c r="K17" i="8"/>
  <c r="F34" i="8" a="1"/>
  <c r="F34" i="8" s="1"/>
  <c r="K30" i="8"/>
  <c r="K24" i="8"/>
  <c r="J34" i="8" a="1"/>
  <c r="J34" i="8" s="1"/>
  <c r="H34" i="8" a="1"/>
  <c r="H34" i="8" s="1"/>
  <c r="K28" i="8"/>
  <c r="I34" i="8" a="1"/>
  <c r="I34" i="8" s="1"/>
  <c r="K23" i="8"/>
  <c r="C34" i="8" a="1"/>
  <c r="C34" i="8" s="1"/>
  <c r="K20" i="8"/>
  <c r="K18" i="8"/>
  <c r="K29" i="8"/>
  <c r="K26" i="8"/>
  <c r="K27" i="8"/>
  <c r="D34" i="8" a="1"/>
  <c r="D34" i="8" s="1"/>
  <c r="K33" i="8"/>
  <c r="K31" i="8"/>
  <c r="K21" i="8"/>
  <c r="K32" i="8"/>
  <c r="K25" i="8"/>
  <c r="K19" i="8"/>
  <c r="AB72" i="6"/>
  <c r="AB73" i="6"/>
  <c r="AB74" i="6"/>
  <c r="W75" i="6" a="1"/>
  <c r="W75" i="6" s="1"/>
  <c r="U75" i="6" a="1"/>
  <c r="U75" i="6" s="1"/>
  <c r="Z75" i="6" a="1"/>
  <c r="Z75" i="6" s="1"/>
  <c r="V75" i="6" a="1"/>
  <c r="V75" i="6" s="1"/>
  <c r="Y75" i="6" a="1"/>
  <c r="Y75" i="6" s="1"/>
  <c r="X75" i="6" a="1"/>
  <c r="X75" i="6" s="1"/>
  <c r="AA75" i="6" a="1"/>
  <c r="AA75" i="6" s="1"/>
  <c r="T75" i="6" a="1"/>
  <c r="T75" i="6" s="1"/>
  <c r="J34" i="6" a="1"/>
  <c r="J34" i="6" s="1"/>
  <c r="I34" i="6" a="1"/>
  <c r="I34" i="6" s="1"/>
  <c r="D34" i="6" a="1"/>
  <c r="D34" i="6" s="1"/>
  <c r="G34" i="6" a="1"/>
  <c r="G34" i="6" s="1"/>
  <c r="E34" i="6" a="1"/>
  <c r="E34" i="6" s="1"/>
  <c r="F34" i="6" a="1"/>
  <c r="F34" i="6" s="1"/>
  <c r="H34" i="6" a="1"/>
  <c r="H34" i="6" s="1"/>
  <c r="C34" i="6" a="1"/>
  <c r="C34" i="6" s="1"/>
  <c r="AB59" i="6"/>
  <c r="K16" i="6"/>
  <c r="AB29" i="6"/>
  <c r="AB21" i="6"/>
  <c r="AB70" i="6"/>
  <c r="K23" i="6"/>
  <c r="AB37" i="6"/>
  <c r="K29" i="6"/>
  <c r="AB61" i="6"/>
  <c r="AB19" i="6"/>
  <c r="K22" i="6"/>
  <c r="K32" i="6"/>
  <c r="AB67" i="6"/>
  <c r="K19" i="6"/>
  <c r="AB14" i="6"/>
  <c r="AB65" i="6"/>
  <c r="AB71" i="6"/>
  <c r="K33" i="6"/>
  <c r="AB31" i="6"/>
  <c r="AB48" i="6"/>
  <c r="AB64" i="6"/>
  <c r="AB49" i="6"/>
  <c r="AB46" i="6"/>
  <c r="AB26" i="6"/>
  <c r="AB15" i="6"/>
  <c r="AB51" i="6"/>
  <c r="K24" i="6"/>
  <c r="K28" i="6"/>
  <c r="K31" i="6"/>
  <c r="AB35" i="6"/>
  <c r="AB16" i="6"/>
  <c r="AB23" i="6"/>
  <c r="K18" i="6"/>
  <c r="AB45" i="6"/>
  <c r="AB68" i="6"/>
  <c r="AB47" i="6"/>
  <c r="AB32" i="6"/>
  <c r="AB60" i="6"/>
  <c r="K17" i="6"/>
  <c r="AB38" i="6"/>
  <c r="AB44" i="6"/>
  <c r="AB58" i="6"/>
  <c r="AB34" i="6"/>
  <c r="AB63" i="6"/>
  <c r="AB40" i="6"/>
  <c r="AB69" i="6"/>
  <c r="K15" i="6"/>
  <c r="AB53" i="6"/>
  <c r="AB28" i="6"/>
  <c r="AB17" i="6"/>
  <c r="AB25" i="6"/>
  <c r="AB33" i="6"/>
  <c r="AB18" i="6"/>
  <c r="K26" i="6"/>
  <c r="AB42" i="6"/>
  <c r="AB24" i="6"/>
  <c r="AB50" i="6"/>
  <c r="AB52" i="6"/>
  <c r="AB57" i="6"/>
  <c r="AB39" i="6"/>
  <c r="AB55" i="6"/>
  <c r="K21" i="6"/>
  <c r="AB54" i="6"/>
  <c r="AB41" i="6"/>
  <c r="AB62" i="6"/>
  <c r="AB56" i="6"/>
  <c r="K20" i="6"/>
  <c r="AB30" i="6"/>
  <c r="AB27" i="6"/>
  <c r="K25" i="6"/>
  <c r="AB36" i="6"/>
  <c r="K27" i="6"/>
  <c r="K30" i="6"/>
  <c r="AB43" i="6"/>
  <c r="AB20" i="6"/>
  <c r="AB22" i="6"/>
  <c r="AB66" i="6"/>
  <c r="K23" i="5"/>
  <c r="K15" i="5"/>
  <c r="E34" i="5"/>
  <c r="I34" i="5"/>
  <c r="C34" i="5"/>
  <c r="K16" i="5"/>
  <c r="K32" i="5"/>
  <c r="K24" i="5"/>
  <c r="J34" i="5"/>
  <c r="K29" i="5"/>
  <c r="K30" i="5"/>
  <c r="K19" i="5"/>
  <c r="G34" i="5"/>
  <c r="K17" i="5"/>
  <c r="K31" i="5"/>
  <c r="K20" i="5"/>
  <c r="K28" i="5"/>
  <c r="K18" i="5"/>
  <c r="H34" i="5"/>
  <c r="K27" i="5"/>
  <c r="F34" i="5"/>
  <c r="K21" i="5"/>
  <c r="D34" i="5"/>
  <c r="K25" i="5"/>
  <c r="K33" i="5"/>
  <c r="K22" i="5"/>
  <c r="K26" i="5"/>
  <c r="K22" i="3"/>
  <c r="K30" i="3"/>
  <c r="K24" i="3"/>
  <c r="K17" i="3"/>
  <c r="K25" i="3"/>
  <c r="K23" i="3"/>
  <c r="K31" i="3"/>
  <c r="K32" i="3"/>
  <c r="K33" i="3"/>
  <c r="K16" i="3"/>
  <c r="K18" i="3"/>
  <c r="K26" i="3"/>
  <c r="K19" i="3"/>
  <c r="K27" i="3"/>
  <c r="K20" i="3"/>
  <c r="K28" i="3"/>
  <c r="K21" i="3"/>
  <c r="K29" i="3"/>
  <c r="D34" i="3"/>
  <c r="K15" i="3"/>
  <c r="E34" i="3"/>
  <c r="F34" i="3"/>
  <c r="G34" i="3"/>
  <c r="H34" i="3"/>
  <c r="I34" i="3"/>
  <c r="J34" i="3"/>
  <c r="C34" i="3"/>
  <c r="X42" i="9"/>
  <c r="T65" i="9"/>
  <c r="U28" i="9"/>
  <c r="X54" i="9"/>
  <c r="Z34" i="9"/>
  <c r="U68" i="9"/>
  <c r="AA37" i="9"/>
  <c r="W15" i="9"/>
  <c r="U53" i="9"/>
  <c r="V28" i="9"/>
  <c r="W60" i="9"/>
  <c r="Z43" i="9"/>
  <c r="T34" i="9"/>
  <c r="T66" i="9"/>
  <c r="V60" i="9"/>
  <c r="T32" i="9"/>
  <c r="Y64" i="9"/>
  <c r="W61" i="9"/>
  <c r="Z52" i="9"/>
  <c r="U41" i="9"/>
  <c r="Z35" i="9"/>
  <c r="X67" i="9"/>
  <c r="W39" i="9"/>
  <c r="W33" i="9"/>
  <c r="T53" i="9"/>
  <c r="W36" i="9"/>
  <c r="X50" i="9"/>
  <c r="AA28" i="9"/>
  <c r="W20" i="9"/>
  <c r="AA30" i="9"/>
  <c r="X68" i="9"/>
  <c r="X43" i="9"/>
  <c r="W75" i="9"/>
  <c r="AA14" i="9"/>
  <c r="AA49" i="9"/>
  <c r="Y39" i="9"/>
  <c r="Y63" i="9"/>
  <c r="U74" i="9"/>
  <c r="X35" i="9"/>
  <c r="Y23" i="9"/>
  <c r="W31" i="9"/>
  <c r="T70" i="9"/>
  <c r="AA43" i="9"/>
  <c r="Y19" i="9"/>
  <c r="W18" i="9"/>
  <c r="W21" i="9"/>
  <c r="AA31" i="9"/>
  <c r="X69" i="9"/>
  <c r="W44" i="9"/>
  <c r="T73" i="9"/>
  <c r="AA59" i="9"/>
  <c r="X38" i="9"/>
  <c r="X64" i="9"/>
  <c r="T18" i="9"/>
  <c r="AA71" i="9"/>
  <c r="V52" i="9"/>
  <c r="U75" i="9"/>
  <c r="W68" i="9"/>
  <c r="Y51" i="9"/>
  <c r="T37" i="9"/>
  <c r="Z62" i="9"/>
  <c r="AA27" i="9"/>
  <c r="X22" i="9"/>
  <c r="AA42" i="9"/>
  <c r="Z14" i="9"/>
  <c r="U60" i="9"/>
  <c r="Z68" i="9"/>
  <c r="W29" i="9"/>
  <c r="T58" i="9"/>
  <c r="U29" i="9"/>
  <c r="X17" i="9"/>
  <c r="U19" i="9"/>
  <c r="Y28" i="9"/>
  <c r="T44" i="9"/>
  <c r="X19" i="9"/>
  <c r="X58" i="9"/>
  <c r="AA53" i="9"/>
  <c r="T30" i="9"/>
  <c r="X37" i="9"/>
  <c r="Z70" i="9"/>
  <c r="W26" i="9"/>
  <c r="U66" i="9"/>
  <c r="Y29" i="9"/>
  <c r="W69" i="9"/>
  <c r="T45" i="9"/>
  <c r="V20" i="9"/>
  <c r="W52" i="9"/>
  <c r="Z56" i="9"/>
  <c r="Z46" i="9"/>
  <c r="V25" i="9"/>
  <c r="Y49" i="9"/>
  <c r="Z16" i="9"/>
  <c r="T52" i="9"/>
  <c r="U32" i="9"/>
  <c r="X15" i="9"/>
  <c r="Z48" i="9"/>
  <c r="U61" i="9"/>
  <c r="Y55" i="9"/>
  <c r="V39" i="9"/>
  <c r="T59" i="9"/>
  <c r="V68" i="9"/>
  <c r="X51" i="9"/>
  <c r="U23" i="9"/>
  <c r="W58" i="9"/>
  <c r="X52" i="9"/>
  <c r="AA66" i="9"/>
  <c r="T36" i="9"/>
  <c r="W59" i="9"/>
  <c r="W27" i="9"/>
  <c r="U67" i="9"/>
  <c r="AA36" i="9"/>
  <c r="Y14" i="9"/>
  <c r="U52" i="9"/>
  <c r="X27" i="9"/>
  <c r="X59" i="9"/>
  <c r="X45" i="9"/>
  <c r="T17" i="9"/>
  <c r="W45" i="9"/>
  <c r="U21" i="9"/>
  <c r="T27" i="9"/>
  <c r="Y36" i="9"/>
  <c r="AA44" i="9"/>
  <c r="W22" i="9"/>
  <c r="T54" i="9"/>
  <c r="U16" i="9"/>
  <c r="T46" i="9"/>
  <c r="T29" i="9"/>
  <c r="V53" i="9"/>
  <c r="V69" i="9"/>
  <c r="AA22" i="9"/>
  <c r="X65" i="9"/>
  <c r="Y37" i="9"/>
  <c r="W47" i="9"/>
  <c r="Y20" i="9"/>
  <c r="T61" i="9"/>
  <c r="W23" i="9"/>
  <c r="U55" i="9"/>
  <c r="Y25" i="9"/>
  <c r="W63" i="9"/>
  <c r="Z30" i="9"/>
  <c r="U54" i="9"/>
  <c r="U70" i="9"/>
  <c r="U42" i="9"/>
  <c r="Z63" i="9"/>
  <c r="AA60" i="9"/>
  <c r="Y45" i="9"/>
  <c r="Y16" i="9"/>
  <c r="V22" i="9"/>
  <c r="AA46" i="9"/>
  <c r="V70" i="9"/>
  <c r="Z32" i="9"/>
  <c r="U56" i="9"/>
  <c r="Y18" i="9"/>
  <c r="U48" i="9"/>
  <c r="X72" i="9"/>
  <c r="T39" i="9"/>
  <c r="T63" i="9"/>
  <c r="AA51" i="9"/>
  <c r="U72" i="9"/>
  <c r="AA29" i="9"/>
  <c r="Y73" i="9"/>
  <c r="W57" i="9"/>
  <c r="V44" i="9"/>
  <c r="X32" i="9"/>
  <c r="AA23" i="9"/>
  <c r="V17" i="9"/>
  <c r="X36" i="9"/>
  <c r="Y68" i="9"/>
  <c r="Z53" i="9"/>
  <c r="Y40" i="9"/>
  <c r="V14" i="9"/>
  <c r="AA24" i="9"/>
  <c r="Y17" i="9"/>
  <c r="W25" i="9"/>
  <c r="Y33" i="9"/>
  <c r="AA41" i="9"/>
  <c r="T57" i="9"/>
  <c r="U65" i="9"/>
  <c r="V73" i="9"/>
  <c r="V19" i="9"/>
  <c r="Y27" i="9"/>
  <c r="AA35" i="9"/>
  <c r="T51" i="9"/>
  <c r="U59" i="9"/>
  <c r="V67" i="9"/>
  <c r="V75" i="9"/>
  <c r="X21" i="9"/>
  <c r="Z29" i="9"/>
  <c r="T43" i="9"/>
  <c r="U51" i="9"/>
  <c r="V59" i="9"/>
  <c r="W67" i="9"/>
  <c r="X75" i="9"/>
  <c r="Z26" i="9"/>
  <c r="Y34" i="9"/>
  <c r="Y42" i="9"/>
  <c r="Y50" i="9"/>
  <c r="Y58" i="9"/>
  <c r="Y66" i="9"/>
  <c r="X74" i="9"/>
  <c r="Z61" i="9"/>
  <c r="V47" i="9"/>
  <c r="U34" i="9"/>
  <c r="AA18" i="9"/>
  <c r="Z20" i="9"/>
  <c r="Y61" i="9"/>
  <c r="X48" i="9"/>
  <c r="W35" i="9"/>
  <c r="Z18" i="9"/>
  <c r="V38" i="9"/>
  <c r="AA67" i="9"/>
  <c r="W53" i="9"/>
  <c r="V40" i="9"/>
  <c r="Z21" i="9"/>
  <c r="Y67" i="9"/>
  <c r="Z67" i="9"/>
  <c r="W51" i="9"/>
  <c r="W38" i="9"/>
  <c r="T22" i="9"/>
  <c r="Z47" i="9"/>
  <c r="T72" i="9"/>
  <c r="X57" i="9"/>
  <c r="X44" i="9"/>
  <c r="Z74" i="9"/>
  <c r="Y21" i="9"/>
  <c r="W41" i="9"/>
  <c r="Y70" i="9"/>
  <c r="Z55" i="9"/>
  <c r="Z42" i="9"/>
  <c r="V48" i="9"/>
  <c r="U35" i="9"/>
  <c r="AA20" i="9"/>
  <c r="X33" i="9"/>
  <c r="AA68" i="9"/>
  <c r="W54" i="9"/>
  <c r="V41" i="9"/>
  <c r="V37" i="9"/>
  <c r="V42" i="9"/>
  <c r="X16" i="9"/>
  <c r="Y74" i="9"/>
  <c r="Y56" i="9"/>
  <c r="Y43" i="9"/>
  <c r="V31" i="9"/>
  <c r="T23" i="9"/>
  <c r="W16" i="9"/>
  <c r="Z24" i="9"/>
  <c r="AA62" i="9"/>
  <c r="W48" i="9"/>
  <c r="V35" i="9"/>
  <c r="V26" i="9"/>
  <c r="V18" i="9"/>
  <c r="U25" i="9"/>
  <c r="Y59" i="9"/>
  <c r="X46" i="9"/>
  <c r="T31" i="9"/>
  <c r="U18" i="9"/>
  <c r="V29" i="9"/>
  <c r="T67" i="9"/>
  <c r="Y52" i="9"/>
  <c r="X39" i="9"/>
  <c r="T64" i="9"/>
  <c r="AA33" i="9"/>
  <c r="X40" i="9"/>
  <c r="U71" i="9"/>
  <c r="AA54" i="9"/>
  <c r="Y22" i="9"/>
  <c r="AA15" i="9"/>
  <c r="AA75" i="9"/>
  <c r="X61" i="9"/>
  <c r="Y46" i="9"/>
  <c r="AA25" i="9"/>
  <c r="Z75" i="9"/>
  <c r="AA57" i="9"/>
  <c r="Z44" i="9"/>
  <c r="V30" i="9"/>
  <c r="Y15" i="9"/>
  <c r="AA19" i="9"/>
  <c r="Y65" i="9"/>
  <c r="AA50" i="9"/>
  <c r="T38" i="9"/>
  <c r="X31" i="9"/>
  <c r="Z69" i="9"/>
  <c r="AA65" i="9"/>
  <c r="W49" i="9"/>
  <c r="V36" i="9"/>
  <c r="X28" i="9"/>
  <c r="T60" i="9"/>
  <c r="Y30" i="9"/>
  <c r="V62" i="9"/>
  <c r="W70" i="9"/>
  <c r="AA32" i="9"/>
  <c r="W62" i="9"/>
  <c r="X70" i="9"/>
  <c r="V45" i="9"/>
  <c r="V61" i="9"/>
  <c r="W55" i="9"/>
  <c r="W28" i="9"/>
  <c r="T15" i="9"/>
  <c r="V34" i="9"/>
  <c r="Y44" i="9"/>
  <c r="X29" i="9"/>
  <c r="Z37" i="9"/>
  <c r="U69" i="9"/>
  <c r="AA39" i="9"/>
  <c r="AA17" i="9"/>
  <c r="V55" i="9"/>
  <c r="Z22" i="9"/>
  <c r="U38" i="9"/>
  <c r="U62" i="9"/>
  <c r="Y53" i="9"/>
  <c r="V49" i="9"/>
  <c r="Z19" i="9"/>
  <c r="X60" i="9"/>
  <c r="W14" i="9"/>
  <c r="X30" i="9"/>
  <c r="T62" i="9"/>
  <c r="X24" i="9"/>
  <c r="V64" i="9"/>
  <c r="Y26" i="9"/>
  <c r="V56" i="9"/>
  <c r="X23" i="9"/>
  <c r="T47" i="9"/>
  <c r="T71" i="9"/>
  <c r="U39" i="9"/>
  <c r="U14" i="9"/>
  <c r="X53" i="9"/>
  <c r="Z59" i="9"/>
  <c r="U31" i="9"/>
  <c r="Y72" i="9"/>
  <c r="V43" i="9"/>
  <c r="Y75" i="9"/>
  <c r="X47" i="9"/>
  <c r="AA55" i="9"/>
  <c r="Z58" i="9"/>
  <c r="U44" i="9"/>
  <c r="T24" i="9"/>
  <c r="T35" i="9"/>
  <c r="U15" i="9"/>
  <c r="Y31" i="9"/>
  <c r="Z39" i="9"/>
  <c r="AA47" i="9"/>
  <c r="U63" i="9"/>
  <c r="V71" i="9"/>
  <c r="Z17" i="9"/>
  <c r="X25" i="9"/>
  <c r="Z33" i="9"/>
  <c r="T49" i="9"/>
  <c r="U57" i="9"/>
  <c r="V65" i="9"/>
  <c r="W73" i="9"/>
  <c r="W19" i="9"/>
  <c r="Z27" i="9"/>
  <c r="T41" i="9"/>
  <c r="U49" i="9"/>
  <c r="V57" i="9"/>
  <c r="W65" i="9"/>
  <c r="X73" i="9"/>
  <c r="V24" i="9"/>
  <c r="V32" i="9"/>
  <c r="AA40" i="9"/>
  <c r="AA48" i="9"/>
  <c r="AA56" i="9"/>
  <c r="AA64" i="9"/>
  <c r="AA72" i="9"/>
  <c r="Z66" i="9"/>
  <c r="W50" i="9"/>
  <c r="W37" i="9"/>
  <c r="T28" i="9"/>
  <c r="V51" i="9"/>
  <c r="X66" i="9"/>
  <c r="Z51" i="9"/>
  <c r="Y38" i="9"/>
  <c r="U27" i="9"/>
  <c r="T14" i="9"/>
  <c r="Z72" i="9"/>
  <c r="X56" i="9"/>
  <c r="W43" i="9"/>
  <c r="W30" i="9"/>
  <c r="V16" i="9"/>
  <c r="AA70" i="9"/>
  <c r="Y54" i="9"/>
  <c r="X41" i="9"/>
  <c r="U26" i="9"/>
  <c r="Y62" i="9"/>
  <c r="T75" i="9"/>
  <c r="X62" i="9"/>
  <c r="Y47" i="9"/>
  <c r="X34" i="9"/>
  <c r="U20" i="9"/>
  <c r="Z36" i="9"/>
  <c r="X14" i="9"/>
  <c r="AA38" i="9"/>
  <c r="Y24" i="9"/>
  <c r="V54" i="9"/>
  <c r="T21" i="9"/>
  <c r="Y71" i="9"/>
  <c r="Z50" i="9"/>
  <c r="T20" i="9"/>
  <c r="AA61" i="9"/>
  <c r="U17" i="9"/>
  <c r="V21" i="9"/>
  <c r="AA45" i="9"/>
  <c r="V15" i="9"/>
  <c r="Z31" i="9"/>
  <c r="V63" i="9"/>
  <c r="W71" i="9"/>
  <c r="U47" i="9"/>
  <c r="X71" i="9"/>
  <c r="U46" i="9"/>
  <c r="AA69" i="9"/>
  <c r="U36" i="9"/>
  <c r="AA74" i="9"/>
  <c r="U33" i="9"/>
  <c r="U43" i="9"/>
  <c r="Z38" i="9"/>
  <c r="T16" i="9"/>
  <c r="T48" i="9"/>
  <c r="W72" i="9"/>
  <c r="T40" i="9"/>
  <c r="W64" i="9"/>
  <c r="T55" i="9"/>
  <c r="T68" i="9"/>
  <c r="W40" i="9"/>
  <c r="AA21" i="9"/>
  <c r="T74" i="9"/>
  <c r="U45" i="9"/>
  <c r="W56" i="9"/>
  <c r="AA63" i="9"/>
  <c r="Y60" i="9"/>
  <c r="W34" i="9"/>
  <c r="U73" i="9"/>
  <c r="W32" i="9"/>
  <c r="V23" i="9"/>
  <c r="AA58" i="9"/>
  <c r="Z45" i="9"/>
  <c r="V33" i="9"/>
  <c r="U24" i="9"/>
  <c r="W46" i="9"/>
  <c r="Z71" i="9"/>
  <c r="X55" i="9"/>
  <c r="W42" i="9"/>
  <c r="Z23" i="9"/>
  <c r="U30" i="9"/>
  <c r="AA16" i="9"/>
  <c r="W24" i="9"/>
  <c r="Y32" i="9"/>
  <c r="Z40" i="9"/>
  <c r="T56" i="9"/>
  <c r="U64" i="9"/>
  <c r="V72" i="9"/>
  <c r="X18" i="9"/>
  <c r="X26" i="9"/>
  <c r="AA34" i="9"/>
  <c r="T50" i="9"/>
  <c r="U58" i="9"/>
  <c r="V66" i="9"/>
  <c r="V74" i="9"/>
  <c r="X20" i="9"/>
  <c r="Z28" i="9"/>
  <c r="T42" i="9"/>
  <c r="U50" i="9"/>
  <c r="V58" i="9"/>
  <c r="W66" i="9"/>
  <c r="W74" i="9"/>
  <c r="T25" i="9"/>
  <c r="T33" i="9"/>
  <c r="Z41" i="9"/>
  <c r="Z49" i="9"/>
  <c r="Z57" i="9"/>
  <c r="Z65" i="9"/>
  <c r="Z73" i="9"/>
  <c r="X63" i="9"/>
  <c r="Y48" i="9"/>
  <c r="Y35" i="9"/>
  <c r="V27" i="9"/>
  <c r="T19" i="9"/>
  <c r="T26" i="9"/>
  <c r="Z64" i="9"/>
  <c r="V50" i="9"/>
  <c r="U37" i="9"/>
  <c r="AA26" i="9"/>
  <c r="X49" i="9"/>
  <c r="Y69" i="9"/>
  <c r="Z54" i="9"/>
  <c r="Y41" i="9"/>
  <c r="U22" i="9"/>
  <c r="Z15" i="9"/>
  <c r="T69" i="9"/>
  <c r="AA52" i="9"/>
  <c r="U40" i="9"/>
  <c r="Z25" i="9"/>
  <c r="Y57" i="9"/>
  <c r="AA73" i="9"/>
  <c r="Z60" i="9"/>
  <c r="V46" i="9"/>
  <c r="W17" i="9"/>
  <c r="Y30" i="8"/>
  <c r="U44" i="8"/>
  <c r="U27" i="8"/>
  <c r="V67" i="8"/>
  <c r="U55" i="8"/>
  <c r="V70" i="8"/>
  <c r="U28" i="8"/>
  <c r="AA64" i="8"/>
  <c r="AA55" i="8"/>
  <c r="X31" i="8"/>
  <c r="AA43" i="8"/>
  <c r="AA67" i="8"/>
  <c r="Z60" i="8"/>
  <c r="W38" i="8"/>
  <c r="AA72" i="8"/>
  <c r="V30" i="8"/>
  <c r="T21" i="8"/>
  <c r="Y59" i="8"/>
  <c r="Z39" i="8"/>
  <c r="AA27" i="8"/>
  <c r="V20" i="8"/>
  <c r="W59" i="8"/>
  <c r="T58" i="8"/>
  <c r="Y15" i="8"/>
  <c r="Y61" i="8"/>
  <c r="AA48" i="8"/>
  <c r="AA14" i="8"/>
  <c r="AA70" i="8"/>
  <c r="X62" i="8"/>
  <c r="Z58" i="8"/>
  <c r="T48" i="8"/>
  <c r="V14" i="8"/>
  <c r="Y54" i="8"/>
  <c r="T29" i="8"/>
  <c r="Y42" i="8"/>
  <c r="U64" i="8"/>
  <c r="Y69" i="8"/>
  <c r="V68" i="8"/>
  <c r="V71" i="8"/>
  <c r="T66" i="8"/>
  <c r="U36" i="8"/>
  <c r="Z24" i="8"/>
  <c r="Z16" i="8"/>
  <c r="W44" i="8"/>
  <c r="AA19" i="8"/>
  <c r="V59" i="8"/>
  <c r="W51" i="8"/>
  <c r="AA45" i="8"/>
  <c r="AA33" i="8"/>
  <c r="X16" i="8"/>
  <c r="Y55" i="8"/>
  <c r="Y60" i="8"/>
  <c r="Z73" i="8"/>
  <c r="Y52" i="8"/>
  <c r="T67" i="8"/>
  <c r="V22" i="8"/>
  <c r="T72" i="8"/>
  <c r="W66" i="8"/>
  <c r="V55" i="8"/>
  <c r="W60" i="8"/>
  <c r="Y28" i="8"/>
  <c r="Y38" i="8"/>
  <c r="V31" i="8"/>
  <c r="Y19" i="8"/>
  <c r="Y17" i="8"/>
  <c r="AA47" i="8"/>
  <c r="Z45" i="8"/>
  <c r="W27" i="8"/>
  <c r="AA39" i="8"/>
  <c r="U24" i="8"/>
  <c r="AA62" i="8"/>
  <c r="W49" i="8"/>
  <c r="X36" i="8"/>
  <c r="Z62" i="8"/>
  <c r="X72" i="8"/>
  <c r="Z64" i="8"/>
  <c r="T59" i="8"/>
  <c r="Y22" i="8"/>
  <c r="X61" i="8"/>
  <c r="U48" i="8"/>
  <c r="Y31" i="8"/>
  <c r="Z46" i="8"/>
  <c r="T28" i="8"/>
  <c r="U16" i="8"/>
  <c r="W33" i="8"/>
  <c r="Y35" i="8"/>
  <c r="V51" i="8"/>
  <c r="U43" i="8"/>
  <c r="X35" i="8"/>
  <c r="W21" i="8"/>
  <c r="AA35" i="8"/>
  <c r="X18" i="8"/>
  <c r="X32" i="8"/>
  <c r="Y40" i="8"/>
  <c r="U66" i="8"/>
  <c r="T33" i="8"/>
  <c r="U22" i="8"/>
  <c r="W31" i="8"/>
  <c r="V52" i="8"/>
  <c r="U14" i="8"/>
  <c r="Z26" i="8"/>
  <c r="W67" i="8"/>
  <c r="V53" i="8"/>
  <c r="Z34" i="8"/>
  <c r="AA56" i="8"/>
  <c r="Y27" i="8"/>
  <c r="T56" i="8"/>
  <c r="V23" i="8"/>
  <c r="U72" i="8"/>
  <c r="W69" i="8"/>
  <c r="W37" i="8"/>
  <c r="AA24" i="8"/>
  <c r="W35" i="8"/>
  <c r="V62" i="8"/>
  <c r="X37" i="8"/>
  <c r="AA31" i="8"/>
  <c r="AA54" i="8"/>
  <c r="T40" i="8"/>
  <c r="T27" i="8"/>
  <c r="V26" i="8"/>
  <c r="U56" i="8"/>
  <c r="Z28" i="8"/>
  <c r="V38" i="8"/>
  <c r="V18" i="8"/>
  <c r="Z36" i="8"/>
  <c r="Z35" i="8"/>
  <c r="AA16" i="8"/>
  <c r="W54" i="8"/>
  <c r="X14" i="8"/>
  <c r="X55" i="8"/>
  <c r="V46" i="8"/>
  <c r="V28" i="8"/>
  <c r="U15" i="8"/>
  <c r="T69" i="8"/>
  <c r="W53" i="8"/>
  <c r="Z37" i="8"/>
  <c r="T44" i="8"/>
  <c r="X66" i="8"/>
  <c r="T20" i="8"/>
  <c r="U69" i="8"/>
  <c r="V64" i="8"/>
  <c r="Z53" i="8"/>
  <c r="T52" i="8"/>
  <c r="V43" i="8"/>
  <c r="T35" i="8"/>
  <c r="Y25" i="8"/>
  <c r="U65" i="8"/>
  <c r="AA50" i="8"/>
  <c r="V33" i="8"/>
  <c r="AA60" i="8"/>
  <c r="W58" i="8"/>
  <c r="W29" i="8"/>
  <c r="W56" i="8"/>
  <c r="W19" i="8"/>
  <c r="T54" i="8"/>
  <c r="AA42" i="8"/>
  <c r="T70" i="8"/>
  <c r="U18" i="8"/>
  <c r="W36" i="8"/>
  <c r="X51" i="8"/>
  <c r="U33" i="8"/>
  <c r="U53" i="8"/>
  <c r="T19" i="8"/>
  <c r="AA73" i="8"/>
  <c r="T17" i="8"/>
  <c r="Y71" i="8"/>
  <c r="V72" i="8"/>
  <c r="Y58" i="8"/>
  <c r="V25" i="8"/>
  <c r="T49" i="8"/>
  <c r="X25" i="8"/>
  <c r="X27" i="8"/>
  <c r="X44" i="8"/>
  <c r="X46" i="8"/>
  <c r="AA46" i="8"/>
  <c r="U38" i="8"/>
  <c r="AA29" i="8"/>
  <c r="W70" i="8"/>
  <c r="U45" i="8"/>
  <c r="U74" i="8"/>
  <c r="V58" i="8"/>
  <c r="T25" i="8"/>
  <c r="T53" i="8"/>
  <c r="V45" i="8"/>
  <c r="X28" i="8"/>
  <c r="U61" i="8"/>
  <c r="X24" i="8"/>
  <c r="Y68" i="8"/>
  <c r="AA66" i="8"/>
  <c r="T55" i="8"/>
  <c r="T15" i="8"/>
  <c r="Z68" i="8"/>
  <c r="V35" i="8"/>
  <c r="Z23" i="8"/>
  <c r="Z15" i="8"/>
  <c r="Y53" i="8"/>
  <c r="Z69" i="8"/>
  <c r="AA49" i="8"/>
  <c r="X21" i="8"/>
  <c r="AA15" i="8"/>
  <c r="Z61" i="8"/>
  <c r="Y74" i="8"/>
  <c r="X39" i="8"/>
  <c r="T74" i="8"/>
  <c r="X15" i="8"/>
  <c r="Y62" i="8"/>
  <c r="X70" i="8"/>
  <c r="V29" i="8"/>
  <c r="Z49" i="8"/>
  <c r="U32" i="8"/>
  <c r="Y49" i="8"/>
  <c r="X17" i="8"/>
  <c r="AA30" i="8"/>
  <c r="Z71" i="8"/>
  <c r="X63" i="8"/>
  <c r="AA59" i="8"/>
  <c r="U49" i="8"/>
  <c r="V15" i="8"/>
  <c r="AA69" i="8"/>
  <c r="Z67" i="8"/>
  <c r="Z56" i="8"/>
  <c r="Y63" i="8"/>
  <c r="W61" i="8"/>
  <c r="AA38" i="8"/>
  <c r="AA26" i="8"/>
  <c r="AA18" i="8"/>
  <c r="U58" i="8"/>
  <c r="T60" i="8"/>
  <c r="U47" i="8"/>
  <c r="Z31" i="8"/>
  <c r="AA32" i="8"/>
  <c r="T45" i="8"/>
  <c r="U37" i="8"/>
  <c r="W65" i="8"/>
  <c r="X19" i="8"/>
  <c r="U68" i="8"/>
  <c r="X60" i="8"/>
  <c r="V56" i="8"/>
  <c r="Y44" i="8"/>
  <c r="W32" i="8"/>
  <c r="Z48" i="8"/>
  <c r="V27" i="8"/>
  <c r="W15" i="8"/>
  <c r="Z74" i="8"/>
  <c r="T43" i="8"/>
  <c r="U29" i="8"/>
  <c r="AA65" i="8"/>
  <c r="Z44" i="8"/>
  <c r="AA57" i="8"/>
  <c r="Z38" i="8"/>
  <c r="X41" i="8"/>
  <c r="AA68" i="8"/>
  <c r="U40" i="8"/>
  <c r="W68" i="8"/>
  <c r="AA58" i="8"/>
  <c r="U19" i="8"/>
  <c r="T14" i="8"/>
  <c r="Y47" i="8"/>
  <c r="W30" i="8"/>
  <c r="Y45" i="8"/>
  <c r="X74" i="8"/>
  <c r="T16" i="8"/>
  <c r="Z63" i="8"/>
  <c r="W55" i="8"/>
  <c r="Y50" i="8"/>
  <c r="Y37" i="8"/>
  <c r="T65" i="8"/>
  <c r="T61" i="8"/>
  <c r="X45" i="8"/>
  <c r="Z54" i="8"/>
  <c r="T22" i="8"/>
  <c r="W39" i="8"/>
  <c r="X30" i="8"/>
  <c r="Y18" i="8"/>
  <c r="Y16" i="8"/>
  <c r="Y46" i="8"/>
  <c r="V17" i="8"/>
  <c r="T18" i="8"/>
  <c r="W46" i="8"/>
  <c r="X48" i="8"/>
  <c r="T37" i="8"/>
  <c r="AA25" i="8"/>
  <c r="T57" i="8"/>
  <c r="T26" i="8"/>
  <c r="U60" i="8"/>
  <c r="W52" i="8"/>
  <c r="T47" i="8"/>
  <c r="U34" i="8"/>
  <c r="U46" i="8"/>
  <c r="V69" i="8"/>
  <c r="V19" i="8"/>
  <c r="T68" i="8"/>
  <c r="U63" i="8"/>
  <c r="Z30" i="8"/>
  <c r="Z41" i="8"/>
  <c r="V21" i="8"/>
  <c r="AA74" i="8"/>
  <c r="U23" i="8"/>
  <c r="T62" i="8"/>
  <c r="Y64" i="8"/>
  <c r="Y39" i="8"/>
  <c r="X58" i="8"/>
  <c r="Z57" i="8"/>
  <c r="U71" i="8"/>
  <c r="V73" i="8"/>
  <c r="T51" i="8"/>
  <c r="V40" i="8"/>
  <c r="V65" i="8"/>
  <c r="T46" i="8"/>
  <c r="X29" i="8"/>
  <c r="AA41" i="8"/>
  <c r="Z42" i="8"/>
  <c r="W23" i="8"/>
  <c r="Z55" i="8"/>
  <c r="V47" i="8"/>
  <c r="V41" i="8"/>
  <c r="W28" i="8"/>
  <c r="W25" i="8"/>
  <c r="Y57" i="8"/>
  <c r="X33" i="8"/>
  <c r="U21" i="8"/>
  <c r="X40" i="8"/>
  <c r="AA61" i="8"/>
  <c r="X22" i="8"/>
  <c r="Z66" i="8"/>
  <c r="V36" i="8"/>
  <c r="W26" i="8"/>
  <c r="T38" i="8"/>
  <c r="X68" i="8"/>
  <c r="AA63" i="8"/>
  <c r="Z29" i="8"/>
  <c r="AA17" i="8"/>
  <c r="Z32" i="8"/>
  <c r="Y33" i="8"/>
  <c r="U52" i="8"/>
  <c r="V44" i="8"/>
  <c r="Y36" i="8"/>
  <c r="AA22" i="8"/>
  <c r="W63" i="8"/>
  <c r="U25" i="8"/>
  <c r="Y67" i="8"/>
  <c r="Z65" i="8"/>
  <c r="AA53" i="8"/>
  <c r="Z19" i="8"/>
  <c r="V60" i="8"/>
  <c r="Z20" i="8"/>
  <c r="AA28" i="8"/>
  <c r="W20" i="8"/>
  <c r="T23" i="8"/>
  <c r="W14" i="8"/>
  <c r="T73" i="8"/>
  <c r="Z25" i="8"/>
  <c r="W40" i="8"/>
  <c r="X47" i="8"/>
  <c r="T31" i="8"/>
  <c r="T63" i="8"/>
  <c r="T42" i="8"/>
  <c r="Z27" i="8"/>
  <c r="Y34" i="8"/>
  <c r="V61" i="8"/>
  <c r="AA44" i="8"/>
  <c r="Z47" i="8"/>
  <c r="U39" i="8"/>
  <c r="T30" i="8"/>
  <c r="AA71" i="8"/>
  <c r="W43" i="8"/>
  <c r="Z17" i="8"/>
  <c r="W22" i="8"/>
  <c r="X71" i="8"/>
  <c r="U57" i="8"/>
  <c r="AA20" i="8"/>
  <c r="Y70" i="8"/>
  <c r="X69" i="8"/>
  <c r="V57" i="8"/>
  <c r="AA23" i="8"/>
  <c r="X34" i="8"/>
  <c r="V32" i="8"/>
  <c r="W41" i="8"/>
  <c r="Z21" i="8"/>
  <c r="U70" i="8"/>
  <c r="W48" i="8"/>
  <c r="U50" i="8"/>
  <c r="T36" i="8"/>
  <c r="V66" i="8"/>
  <c r="X20" i="8"/>
  <c r="X59" i="8"/>
  <c r="X43" i="8"/>
  <c r="U35" i="8"/>
  <c r="V50" i="8"/>
  <c r="Z51" i="8"/>
  <c r="V42" i="8"/>
  <c r="Y48" i="8"/>
  <c r="U39" i="5"/>
  <c r="W31" i="5"/>
  <c r="AA50" i="5"/>
  <c r="Y57" i="5"/>
  <c r="T33" i="5"/>
  <c r="Z22" i="5"/>
  <c r="X28" i="5"/>
  <c r="V15" i="5"/>
  <c r="X18" i="5"/>
  <c r="Y35" i="5"/>
  <c r="AA39" i="5"/>
  <c r="V47" i="5"/>
  <c r="Z29" i="5"/>
  <c r="U20" i="5"/>
  <c r="V51" i="5"/>
  <c r="AA36" i="5"/>
  <c r="V26" i="5"/>
  <c r="X51" i="5"/>
  <c r="V34" i="5"/>
  <c r="Z35" i="5"/>
  <c r="T17" i="5"/>
  <c r="T48" i="5"/>
  <c r="W57" i="5"/>
  <c r="V24" i="5"/>
  <c r="X21" i="5"/>
  <c r="V46" i="5"/>
  <c r="W16" i="5"/>
  <c r="X67" i="5"/>
  <c r="W20" i="5"/>
  <c r="Y26" i="5"/>
  <c r="U45" i="5"/>
  <c r="Y54" i="5"/>
  <c r="Z69" i="5"/>
  <c r="Z50" i="5"/>
  <c r="V68" i="5"/>
  <c r="Y40" i="5"/>
  <c r="U29" i="5"/>
  <c r="T19" i="5"/>
  <c r="U66" i="5"/>
  <c r="X40" i="5"/>
  <c r="X41" i="5"/>
  <c r="U50" i="5"/>
  <c r="T70" i="5"/>
  <c r="V23" i="5"/>
  <c r="T24" i="5"/>
  <c r="Z24" i="5"/>
  <c r="T14" i="5"/>
  <c r="X36" i="5"/>
  <c r="X46" i="5"/>
  <c r="AA43" i="5"/>
  <c r="T35" i="5"/>
  <c r="Z52" i="5"/>
  <c r="V49" i="5"/>
  <c r="AA47" i="5"/>
  <c r="AA56" i="5"/>
  <c r="AA20" i="5"/>
  <c r="Z49" i="5"/>
  <c r="T49" i="5"/>
  <c r="X57" i="5"/>
  <c r="W24" i="5"/>
  <c r="V19" i="5"/>
  <c r="Y23" i="5"/>
  <c r="T64" i="5"/>
  <c r="X69" i="5"/>
  <c r="Y32" i="5"/>
  <c r="Z31" i="5"/>
  <c r="Y15" i="5"/>
  <c r="T53" i="5"/>
  <c r="W67" i="5"/>
  <c r="W39" i="5"/>
  <c r="T28" i="5"/>
  <c r="T18" i="5"/>
  <c r="X35" i="5"/>
  <c r="T50" i="5"/>
  <c r="T27" i="5"/>
  <c r="Z45" i="5"/>
  <c r="U65" i="5"/>
  <c r="W41" i="5"/>
  <c r="W62" i="5"/>
  <c r="Z65" i="5"/>
  <c r="T43" i="5"/>
  <c r="Z28" i="5"/>
  <c r="X43" i="5"/>
  <c r="U17" i="5"/>
  <c r="Y65" i="5"/>
  <c r="AA38" i="5"/>
  <c r="T25" i="5"/>
  <c r="Y24" i="5"/>
  <c r="V69" i="5"/>
  <c r="T68" i="5"/>
  <c r="V31" i="5"/>
  <c r="Z17" i="5"/>
  <c r="T15" i="5"/>
  <c r="U30" i="5"/>
  <c r="U38" i="5"/>
  <c r="W45" i="5"/>
  <c r="U32" i="5"/>
  <c r="V52" i="5"/>
  <c r="V65" i="5"/>
  <c r="T67" i="5"/>
  <c r="X20" i="5"/>
  <c r="X19" i="5"/>
  <c r="Z14" i="5"/>
  <c r="Z18" i="5"/>
  <c r="AA58" i="5"/>
  <c r="Y17" i="5"/>
  <c r="Z27" i="5"/>
  <c r="X23" i="5"/>
  <c r="W25" i="5"/>
  <c r="W68" i="5"/>
  <c r="U67" i="5"/>
  <c r="V30" i="5"/>
  <c r="Z16" i="5"/>
  <c r="T41" i="5"/>
  <c r="W27" i="5"/>
  <c r="V38" i="5"/>
  <c r="Z15" i="5"/>
  <c r="Z25" i="5"/>
  <c r="Z20" i="5"/>
  <c r="W58" i="5"/>
  <c r="W48" i="5"/>
  <c r="AA33" i="5"/>
  <c r="W18" i="5"/>
  <c r="Y45" i="5"/>
  <c r="X66" i="5"/>
  <c r="X29" i="5"/>
  <c r="W49" i="5"/>
  <c r="Z53" i="5"/>
  <c r="Z57" i="5"/>
  <c r="Y52" i="5"/>
  <c r="X38" i="5"/>
  <c r="V61" i="5"/>
  <c r="T60" i="5"/>
  <c r="T23" i="5"/>
  <c r="Z55" i="5"/>
  <c r="Y21" i="5"/>
  <c r="U36" i="5"/>
  <c r="AA35" i="5"/>
  <c r="X53" i="5"/>
  <c r="U31" i="5"/>
  <c r="T55" i="5"/>
  <c r="X25" i="5"/>
  <c r="X61" i="5"/>
  <c r="AA51" i="5"/>
  <c r="Z51" i="5"/>
  <c r="Y56" i="5"/>
  <c r="U49" i="5"/>
  <c r="W44" i="5"/>
  <c r="V57" i="5"/>
  <c r="V58" i="5"/>
  <c r="V56" i="5"/>
  <c r="AA68" i="5"/>
  <c r="V28" i="5"/>
  <c r="V37" i="5"/>
  <c r="AA42" i="5"/>
  <c r="T58" i="5"/>
  <c r="T61" i="5"/>
  <c r="V64" i="5"/>
  <c r="W14" i="5"/>
  <c r="Y67" i="5"/>
  <c r="AA27" i="5"/>
  <c r="AA14" i="5"/>
  <c r="Y69" i="5"/>
  <c r="W15" i="5"/>
  <c r="W61" i="5"/>
  <c r="U15" i="5"/>
  <c r="AA22" i="5"/>
  <c r="U68" i="5"/>
  <c r="V43" i="5"/>
  <c r="W60" i="5"/>
  <c r="U59" i="5"/>
  <c r="T22" i="5"/>
  <c r="U52" i="5"/>
  <c r="W22" i="5"/>
  <c r="W19" i="5"/>
  <c r="V29" i="5"/>
  <c r="AA49" i="5"/>
  <c r="X68" i="5"/>
  <c r="Y66" i="5"/>
  <c r="T37" i="5"/>
  <c r="Z21" i="5"/>
  <c r="Z64" i="5"/>
  <c r="Y31" i="5"/>
  <c r="T65" i="5"/>
  <c r="Y59" i="5"/>
  <c r="AA67" i="5"/>
  <c r="X32" i="5"/>
  <c r="AA25" i="5"/>
  <c r="X27" i="5"/>
  <c r="AA59" i="5"/>
  <c r="V53" i="5"/>
  <c r="T52" i="5"/>
  <c r="Y61" i="5"/>
  <c r="V41" i="5"/>
  <c r="W50" i="5"/>
  <c r="W53" i="5"/>
  <c r="AA41" i="5"/>
  <c r="Y60" i="5"/>
  <c r="V48" i="5"/>
  <c r="W29" i="5"/>
  <c r="AA61" i="5"/>
  <c r="W66" i="5"/>
  <c r="U53" i="5"/>
  <c r="Z34" i="5"/>
  <c r="X15" i="5"/>
  <c r="Z54" i="5"/>
  <c r="AA66" i="5"/>
  <c r="Z66" i="5"/>
  <c r="V54" i="5"/>
  <c r="Z63" i="5"/>
  <c r="W56" i="5"/>
  <c r="Y14" i="5"/>
  <c r="V20" i="5"/>
  <c r="AA30" i="5"/>
  <c r="V62" i="5"/>
  <c r="W52" i="5"/>
  <c r="U51" i="5"/>
  <c r="X60" i="5"/>
  <c r="T69" i="5"/>
  <c r="Z43" i="5"/>
  <c r="V66" i="5"/>
  <c r="T21" i="5"/>
  <c r="Z67" i="5"/>
  <c r="U19" i="5"/>
  <c r="Y50" i="5"/>
  <c r="X54" i="5"/>
  <c r="Z58" i="5"/>
  <c r="X56" i="5"/>
  <c r="Y51" i="5"/>
  <c r="V55" i="5"/>
  <c r="Z68" i="5"/>
  <c r="Y38" i="5"/>
  <c r="Z47" i="5"/>
  <c r="X26" i="5"/>
  <c r="X64" i="5"/>
  <c r="AA46" i="5"/>
  <c r="W43" i="5"/>
  <c r="V45" i="5"/>
  <c r="T44" i="5"/>
  <c r="V40" i="5"/>
  <c r="X58" i="5"/>
  <c r="Y62" i="5"/>
  <c r="U48" i="5"/>
  <c r="W64" i="5"/>
  <c r="U69" i="5"/>
  <c r="U14" i="5"/>
  <c r="AA52" i="5"/>
  <c r="W51" i="5"/>
  <c r="U16" i="5"/>
  <c r="X22" i="5"/>
  <c r="X14" i="5"/>
  <c r="T66" i="5"/>
  <c r="V21" i="5"/>
  <c r="U47" i="5"/>
  <c r="T16" i="5"/>
  <c r="X50" i="5"/>
  <c r="U43" i="5"/>
  <c r="X65" i="5"/>
  <c r="X45" i="5"/>
  <c r="Y34" i="5"/>
  <c r="Z23" i="5"/>
  <c r="Z33" i="5"/>
  <c r="U56" i="5"/>
  <c r="W37" i="5"/>
  <c r="W69" i="5"/>
  <c r="T36" i="5"/>
  <c r="U60" i="5"/>
  <c r="U44" i="5"/>
  <c r="T39" i="5"/>
  <c r="U22" i="5"/>
  <c r="AA53" i="5"/>
  <c r="Y28" i="5"/>
  <c r="U54" i="5"/>
  <c r="W42" i="5"/>
  <c r="W35" i="5"/>
  <c r="T40" i="5"/>
  <c r="X37" i="5"/>
  <c r="Y27" i="5"/>
  <c r="X49" i="5"/>
  <c r="U61" i="5"/>
  <c r="V16" i="5"/>
  <c r="T30" i="5"/>
  <c r="W36" i="5"/>
  <c r="U35" i="5"/>
  <c r="U58" i="5"/>
  <c r="Y46" i="5"/>
  <c r="X30" i="5"/>
  <c r="V50" i="5"/>
  <c r="T57" i="5"/>
  <c r="X33" i="5"/>
  <c r="T34" i="5"/>
  <c r="Y18" i="5"/>
  <c r="W47" i="5"/>
  <c r="Z19" i="5"/>
  <c r="AA15" i="5"/>
  <c r="U33" i="5"/>
  <c r="U18" i="5"/>
  <c r="T46" i="5"/>
  <c r="AA57" i="5"/>
  <c r="V67" i="5"/>
  <c r="Z56" i="5"/>
  <c r="U57" i="5"/>
  <c r="T29" i="5"/>
  <c r="Y16" i="5"/>
  <c r="AA29" i="5"/>
  <c r="V63" i="5"/>
  <c r="Z48" i="5"/>
  <c r="U37" i="5"/>
  <c r="AA16" i="5"/>
  <c r="Z41" i="5"/>
  <c r="Y29" i="5"/>
  <c r="AA37" i="5"/>
  <c r="U64" i="5"/>
  <c r="V32" i="5"/>
  <c r="Z40" i="5"/>
  <c r="AA63" i="5"/>
  <c r="Z39" i="5"/>
  <c r="X62" i="5"/>
  <c r="Y37" i="5"/>
  <c r="T32" i="5"/>
  <c r="AA31" i="5"/>
  <c r="AA26" i="5"/>
  <c r="U42" i="5"/>
  <c r="Z44" i="5"/>
  <c r="T54" i="5"/>
  <c r="Z32" i="5"/>
  <c r="W17" i="5"/>
  <c r="U28" i="5"/>
  <c r="Z60" i="5"/>
  <c r="X47" i="5"/>
  <c r="AA34" i="5"/>
  <c r="X59" i="5"/>
  <c r="V42" i="5"/>
  <c r="W46" i="5"/>
  <c r="V25" i="5"/>
  <c r="W54" i="5"/>
  <c r="W65" i="5"/>
  <c r="V44" i="5"/>
  <c r="V33" i="5"/>
  <c r="Y49" i="5"/>
  <c r="W55" i="5"/>
  <c r="V35" i="5"/>
  <c r="Y42" i="5"/>
  <c r="AA55" i="5"/>
  <c r="AA32" i="5"/>
  <c r="U27" i="5"/>
  <c r="AA44" i="5"/>
  <c r="W26" i="5"/>
  <c r="AA21" i="5"/>
  <c r="X52" i="5"/>
  <c r="T38" i="5"/>
  <c r="V27" i="5"/>
  <c r="T26" i="5"/>
  <c r="AA17" i="5"/>
  <c r="U23" i="5"/>
  <c r="W28" i="5"/>
  <c r="Y55" i="5"/>
  <c r="X24" i="5"/>
  <c r="Z61" i="5"/>
  <c r="Y43" i="5"/>
  <c r="Z38" i="5"/>
  <c r="Y44" i="5"/>
  <c r="V59" i="5"/>
  <c r="X34" i="5"/>
  <c r="Y19" i="5"/>
  <c r="Y36" i="5"/>
  <c r="X48" i="5"/>
  <c r="AA28" i="5"/>
  <c r="W59" i="5"/>
  <c r="Y58" i="5"/>
  <c r="Z36" i="5"/>
  <c r="U55" i="5"/>
  <c r="Y68" i="5"/>
  <c r="Y44" i="3"/>
  <c r="X21" i="3"/>
  <c r="X63" i="3"/>
  <c r="U21" i="3"/>
  <c r="U47" i="3"/>
  <c r="Y15" i="3"/>
  <c r="U22" i="3"/>
  <c r="W19" i="3"/>
  <c r="V65" i="3"/>
  <c r="X47" i="3"/>
  <c r="W37" i="3"/>
  <c r="U25" i="3"/>
  <c r="Y23" i="3"/>
  <c r="V35" i="3"/>
  <c r="X45" i="3"/>
  <c r="W24" i="3"/>
  <c r="W69" i="3"/>
  <c r="T24" i="3"/>
  <c r="T15" i="3"/>
  <c r="U68" i="3"/>
  <c r="Y29" i="3"/>
  <c r="U37" i="3"/>
  <c r="X25" i="3"/>
  <c r="X64" i="3"/>
  <c r="Y26" i="3"/>
  <c r="W31" i="3"/>
  <c r="X37" i="3"/>
  <c r="T49" i="3"/>
  <c r="X29" i="3"/>
  <c r="V36" i="3"/>
  <c r="T50" i="3"/>
  <c r="X51" i="3"/>
  <c r="X35" i="3"/>
  <c r="V26" i="3"/>
  <c r="V20" i="3"/>
  <c r="Y56" i="3"/>
  <c r="X33" i="3"/>
  <c r="T23" i="3"/>
  <c r="Y49" i="3"/>
  <c r="Y34" i="3"/>
  <c r="Y39" i="3"/>
  <c r="T32" i="3"/>
  <c r="T17" i="3"/>
  <c r="V29" i="3"/>
  <c r="Y50" i="3"/>
  <c r="Y60" i="3"/>
  <c r="T66" i="3"/>
  <c r="Y52" i="3"/>
  <c r="T31" i="3"/>
  <c r="V41" i="3"/>
  <c r="Y35" i="3"/>
  <c r="X14" i="3"/>
  <c r="W64" i="3"/>
  <c r="X61" i="3"/>
  <c r="V43" i="3"/>
  <c r="V39" i="3"/>
  <c r="U26" i="3"/>
  <c r="Y17" i="3"/>
  <c r="X58" i="3"/>
  <c r="W56" i="3"/>
  <c r="X54" i="3"/>
  <c r="V42" i="3"/>
  <c r="V63" i="3"/>
  <c r="W35" i="3"/>
  <c r="V56" i="3"/>
  <c r="Y25" i="3"/>
  <c r="Y65" i="3"/>
  <c r="X57" i="3"/>
  <c r="W22" i="3"/>
  <c r="U41" i="3"/>
  <c r="V24" i="3"/>
  <c r="W21" i="3"/>
  <c r="X43" i="3"/>
  <c r="X19" i="3"/>
  <c r="T51" i="3"/>
  <c r="X15" i="3"/>
  <c r="W20" i="3"/>
  <c r="W49" i="3"/>
  <c r="X48" i="3"/>
  <c r="T48" i="3"/>
  <c r="Y57" i="3"/>
  <c r="T69" i="3"/>
  <c r="V68" i="3"/>
  <c r="T22" i="3"/>
  <c r="Y33" i="3"/>
  <c r="Y24" i="3"/>
  <c r="V40" i="3"/>
  <c r="X18" i="3"/>
  <c r="U19" i="3"/>
  <c r="W17" i="3"/>
  <c r="V30" i="3"/>
  <c r="W46" i="3"/>
  <c r="Z14" i="3"/>
  <c r="W47" i="3"/>
  <c r="X36" i="3"/>
  <c r="Y67" i="3"/>
  <c r="X22" i="3"/>
  <c r="V54" i="3"/>
  <c r="U16" i="3"/>
  <c r="U42" i="3"/>
  <c r="W50" i="3"/>
  <c r="Y54" i="3"/>
  <c r="U58" i="3"/>
  <c r="W14" i="3"/>
  <c r="W63" i="3"/>
  <c r="V51" i="3"/>
  <c r="U67" i="3"/>
  <c r="W58" i="3"/>
  <c r="X67" i="3"/>
  <c r="V44" i="3"/>
  <c r="U53" i="3"/>
  <c r="X38" i="3"/>
  <c r="T30" i="3"/>
  <c r="W27" i="3"/>
  <c r="X59" i="3"/>
  <c r="X40" i="3"/>
  <c r="V32" i="3"/>
  <c r="V21" i="3"/>
  <c r="U43" i="3"/>
  <c r="Y22" i="3"/>
  <c r="Y27" i="3"/>
  <c r="W28" i="3"/>
  <c r="X55" i="3"/>
  <c r="U39" i="3"/>
  <c r="T28" i="3"/>
  <c r="Y70" i="3"/>
  <c r="V37" i="3"/>
  <c r="X41" i="3"/>
  <c r="T52" i="3"/>
  <c r="X46" i="3"/>
  <c r="W32" i="3"/>
  <c r="T61" i="3"/>
  <c r="Y53" i="3"/>
  <c r="W15" i="3"/>
  <c r="T44" i="3"/>
  <c r="W40" i="3"/>
  <c r="U63" i="3"/>
  <c r="X52" i="3"/>
  <c r="V57" i="3"/>
  <c r="W33" i="3"/>
  <c r="X50" i="3"/>
  <c r="W38" i="3"/>
  <c r="Y32" i="3"/>
  <c r="U29" i="3"/>
  <c r="T64" i="3"/>
  <c r="T63" i="3"/>
  <c r="T68" i="3"/>
  <c r="T20" i="3"/>
  <c r="T41" i="3"/>
  <c r="Y62" i="3"/>
  <c r="X42" i="3"/>
  <c r="U20" i="3"/>
  <c r="V23" i="3"/>
  <c r="U31" i="3"/>
  <c r="T36" i="3"/>
  <c r="Y16" i="3"/>
  <c r="Y37" i="3"/>
  <c r="Y36" i="3"/>
  <c r="W70" i="3"/>
  <c r="U48" i="3"/>
  <c r="X62" i="3"/>
  <c r="U49" i="3"/>
  <c r="T27" i="3"/>
  <c r="Y19" i="3"/>
  <c r="W57" i="3"/>
  <c r="V69" i="3"/>
  <c r="T60" i="3"/>
  <c r="W44" i="3"/>
  <c r="V18" i="3"/>
  <c r="V58" i="3"/>
  <c r="T39" i="3"/>
  <c r="X39" i="3"/>
  <c r="Y21" i="3"/>
  <c r="Y41" i="3"/>
  <c r="U30" i="3"/>
  <c r="W59" i="3"/>
  <c r="U62" i="3"/>
  <c r="V25" i="3"/>
  <c r="T21" i="3"/>
  <c r="U38" i="3"/>
  <c r="V27" i="3"/>
  <c r="U57" i="3"/>
  <c r="Y59" i="3"/>
  <c r="X60" i="3"/>
  <c r="W53" i="3"/>
  <c r="Y48" i="3"/>
  <c r="T59" i="3"/>
  <c r="V62" i="3"/>
  <c r="W67" i="3"/>
  <c r="T29" i="3"/>
  <c r="U70" i="3"/>
  <c r="W52" i="3"/>
  <c r="Y20" i="3"/>
  <c r="V52" i="3"/>
  <c r="W51" i="3"/>
  <c r="W42" i="3"/>
  <c r="U34" i="3"/>
  <c r="W26" i="3"/>
  <c r="W54" i="3"/>
  <c r="T33" i="3"/>
  <c r="X34" i="3"/>
  <c r="X24" i="3"/>
  <c r="X30" i="3"/>
  <c r="X27" i="3"/>
  <c r="W41" i="3"/>
  <c r="Y30" i="3"/>
  <c r="Y28" i="3"/>
  <c r="T35" i="3"/>
  <c r="T58" i="3"/>
  <c r="Y38" i="3"/>
  <c r="X53" i="3"/>
  <c r="W68" i="3"/>
  <c r="W61" i="3"/>
  <c r="U54" i="3"/>
  <c r="V64" i="3"/>
  <c r="V31" i="3"/>
  <c r="W66" i="3"/>
  <c r="W60" i="3"/>
  <c r="U59" i="3"/>
  <c r="W25" i="3"/>
  <c r="U28" i="3"/>
  <c r="Y47" i="3"/>
  <c r="Y46" i="3"/>
  <c r="Y14" i="3"/>
  <c r="U24" i="3"/>
  <c r="Y18" i="3"/>
  <c r="V45" i="3"/>
  <c r="V50" i="3"/>
  <c r="U18" i="3"/>
  <c r="V61" i="3"/>
  <c r="X20" i="3"/>
  <c r="T62" i="3"/>
  <c r="V33" i="3"/>
  <c r="U56" i="3"/>
  <c r="V53" i="3"/>
  <c r="T37" i="3"/>
  <c r="X69" i="3"/>
  <c r="Y64" i="3"/>
  <c r="U51" i="3"/>
  <c r="T42" i="3"/>
  <c r="Y31" i="3"/>
  <c r="V22" i="3"/>
  <c r="X66" i="3"/>
  <c r="X31" i="3"/>
  <c r="X70" i="3"/>
  <c r="V66" i="3"/>
  <c r="U66" i="3"/>
  <c r="Y68" i="3"/>
  <c r="W18" i="3"/>
  <c r="V49" i="3"/>
  <c r="W43" i="3"/>
  <c r="T57" i="3"/>
  <c r="U65" i="3"/>
  <c r="U33" i="3"/>
  <c r="X32" i="3"/>
  <c r="V47" i="3"/>
  <c r="T47" i="3"/>
  <c r="V55" i="3"/>
  <c r="T26" i="3"/>
  <c r="U36" i="3"/>
  <c r="U60" i="3"/>
  <c r="U50" i="3"/>
  <c r="W62" i="3"/>
  <c r="V46" i="3"/>
  <c r="Y45" i="3"/>
  <c r="V28" i="3"/>
  <c r="X28" i="3"/>
  <c r="V34" i="3"/>
  <c r="X23" i="3"/>
  <c r="T38" i="3"/>
  <c r="U32" i="3"/>
  <c r="V19" i="3"/>
  <c r="Y61" i="3"/>
  <c r="V48" i="3"/>
  <c r="T43" i="3"/>
  <c r="U15" i="3"/>
  <c r="Y55" i="3"/>
  <c r="T70" i="3"/>
  <c r="Y51" i="3"/>
  <c r="V70" i="3"/>
  <c r="V60" i="3"/>
  <c r="U35" i="3"/>
  <c r="W48" i="3"/>
  <c r="U64" i="3"/>
  <c r="T16" i="3"/>
  <c r="W30" i="3"/>
  <c r="W36" i="3"/>
  <c r="U17" i="3"/>
  <c r="W23" i="3"/>
  <c r="X65" i="3"/>
  <c r="V59" i="3"/>
  <c r="V16" i="3"/>
  <c r="X49" i="3"/>
  <c r="W65" i="3"/>
  <c r="T45" i="3"/>
  <c r="U55" i="3"/>
  <c r="T56" i="3"/>
  <c r="X16" i="3"/>
  <c r="Y63" i="3"/>
  <c r="T54" i="3"/>
  <c r="Y40" i="3"/>
  <c r="T34" i="3"/>
  <c r="Y66" i="3"/>
  <c r="W29" i="3"/>
  <c r="T67" i="3"/>
  <c r="U46" i="3"/>
  <c r="Y69" i="3"/>
  <c r="X68" i="3"/>
  <c r="V67" i="3"/>
  <c r="T19" i="3"/>
  <c r="W55" i="3"/>
  <c r="X56" i="3"/>
  <c r="Y43" i="3"/>
  <c r="T65" i="3"/>
  <c r="U27" i="3"/>
  <c r="U45" i="3"/>
  <c r="U14" i="3"/>
  <c r="W39" i="3"/>
  <c r="T46" i="3"/>
  <c r="T55" i="3"/>
  <c r="X44" i="3"/>
  <c r="X17" i="3"/>
  <c r="V15" i="3"/>
  <c r="U23" i="3"/>
  <c r="T40" i="3"/>
  <c r="U44" i="3"/>
  <c r="U61" i="3"/>
  <c r="X26" i="3"/>
  <c r="W45" i="3"/>
  <c r="U40" i="3"/>
  <c r="V38" i="3"/>
  <c r="W16" i="3"/>
  <c r="T18" i="3"/>
  <c r="W34" i="3"/>
  <c r="V14" i="3"/>
  <c r="U52" i="3"/>
  <c r="Y58" i="3"/>
  <c r="X77" i="9" l="1" a="1"/>
  <c r="X77" i="9" s="1"/>
  <c r="U77" i="9" a="1"/>
  <c r="U77" i="9" s="1"/>
  <c r="W77" i="9" a="1"/>
  <c r="W77" i="9" s="1"/>
  <c r="V77" i="9" a="1"/>
  <c r="V77" i="9" s="1"/>
  <c r="Y77" i="9" a="1"/>
  <c r="Y77" i="9" s="1"/>
  <c r="Z77" i="9" a="1"/>
  <c r="Z77" i="9" s="1"/>
  <c r="AA77" i="9" a="1"/>
  <c r="AA77" i="9" s="1"/>
  <c r="T77" i="9" a="1"/>
  <c r="T77" i="9" s="1"/>
  <c r="AB46" i="9"/>
  <c r="AB50" i="9"/>
  <c r="AB27" i="9"/>
  <c r="AB58" i="9"/>
  <c r="AB74" i="9"/>
  <c r="AB66" i="9"/>
  <c r="AB72" i="9"/>
  <c r="AB33" i="9"/>
  <c r="AB23" i="9"/>
  <c r="AB63" i="9"/>
  <c r="AB15" i="9"/>
  <c r="AB21" i="9"/>
  <c r="AB54" i="9"/>
  <c r="AB16" i="9"/>
  <c r="AB51" i="9"/>
  <c r="AB32" i="9"/>
  <c r="AB24" i="9"/>
  <c r="AB57" i="9"/>
  <c r="AB65" i="9"/>
  <c r="AB71" i="9"/>
  <c r="AB43" i="9"/>
  <c r="AB56" i="9"/>
  <c r="AB64" i="9"/>
  <c r="AB49" i="9"/>
  <c r="AB55" i="9"/>
  <c r="AB34" i="9"/>
  <c r="AB61" i="9"/>
  <c r="AB45" i="9"/>
  <c r="AB62" i="9"/>
  <c r="AB36" i="9"/>
  <c r="AB30" i="9"/>
  <c r="AB29" i="9"/>
  <c r="AB18" i="9"/>
  <c r="AB26" i="9"/>
  <c r="AB35" i="9"/>
  <c r="AB31" i="9"/>
  <c r="AB42" i="9"/>
  <c r="AB37" i="9"/>
  <c r="AB41" i="9"/>
  <c r="AB48" i="9"/>
  <c r="AB40" i="9"/>
  <c r="AB38" i="9"/>
  <c r="AB47" i="9"/>
  <c r="AB59" i="9"/>
  <c r="AB75" i="9"/>
  <c r="AB67" i="9"/>
  <c r="AB19" i="9"/>
  <c r="AB73" i="9"/>
  <c r="AB14" i="9"/>
  <c r="AB17" i="9"/>
  <c r="AB44" i="9"/>
  <c r="AB70" i="9"/>
  <c r="AB22" i="9"/>
  <c r="AB69" i="9"/>
  <c r="AB53" i="9"/>
  <c r="AB68" i="9"/>
  <c r="AB39" i="9"/>
  <c r="AB25" i="9"/>
  <c r="AB20" i="9"/>
  <c r="AB52" i="9"/>
  <c r="AB60" i="9"/>
  <c r="AB28" i="9"/>
  <c r="K34" i="9" a="1"/>
  <c r="K34" i="9" s="1"/>
  <c r="W76" i="8" a="1"/>
  <c r="W76" i="8" s="1"/>
  <c r="Z76" i="8" a="1"/>
  <c r="Z76" i="8" s="1"/>
  <c r="X76" i="8" a="1"/>
  <c r="X76" i="8" s="1"/>
  <c r="U76" i="8" a="1"/>
  <c r="U76" i="8" s="1"/>
  <c r="V76" i="8" a="1"/>
  <c r="V76" i="8" s="1"/>
  <c r="AA76" i="8" a="1"/>
  <c r="AA76" i="8" s="1"/>
  <c r="Y76" i="8" a="1"/>
  <c r="Y76" i="8" s="1"/>
  <c r="T76" i="8" a="1"/>
  <c r="T76" i="8" s="1"/>
  <c r="AB48" i="8"/>
  <c r="AB42" i="8"/>
  <c r="AB50" i="8"/>
  <c r="AB66" i="8"/>
  <c r="AB32" i="8"/>
  <c r="AB57" i="8"/>
  <c r="AB61" i="8"/>
  <c r="AB34" i="8"/>
  <c r="AB60" i="8"/>
  <c r="AB44" i="8"/>
  <c r="AB36" i="8"/>
  <c r="AB41" i="8"/>
  <c r="AB47" i="8"/>
  <c r="AB65" i="8"/>
  <c r="AB40" i="8"/>
  <c r="AB73" i="8"/>
  <c r="AB39" i="8"/>
  <c r="AB21" i="8"/>
  <c r="AB19" i="8"/>
  <c r="AB69" i="8"/>
  <c r="AB17" i="8"/>
  <c r="AB16" i="8"/>
  <c r="AB37" i="8"/>
  <c r="AB27" i="8"/>
  <c r="AB56" i="8"/>
  <c r="AB63" i="8"/>
  <c r="AB15" i="8"/>
  <c r="AB49" i="8"/>
  <c r="AB29" i="8"/>
  <c r="AB74" i="8"/>
  <c r="AB35" i="8"/>
  <c r="AB45" i="8"/>
  <c r="AB58" i="8"/>
  <c r="AB25" i="8"/>
  <c r="AB72" i="8"/>
  <c r="AB33" i="8"/>
  <c r="AB43" i="8"/>
  <c r="AB64" i="8"/>
  <c r="AB28" i="8"/>
  <c r="AB46" i="8"/>
  <c r="AB18" i="8"/>
  <c r="AB38" i="8"/>
  <c r="AB26" i="8"/>
  <c r="AB62" i="8"/>
  <c r="AB24" i="8"/>
  <c r="AB23" i="8"/>
  <c r="AB53" i="8"/>
  <c r="AB52" i="8"/>
  <c r="AB51" i="8"/>
  <c r="AB31" i="8"/>
  <c r="AB55" i="8"/>
  <c r="AB22" i="8"/>
  <c r="AB59" i="8"/>
  <c r="AB71" i="8"/>
  <c r="AB68" i="8"/>
  <c r="AB54" i="8"/>
  <c r="AB14" i="8"/>
  <c r="AB20" i="8"/>
  <c r="AB30" i="8"/>
  <c r="AB70" i="8"/>
  <c r="AB67" i="8"/>
  <c r="K34" i="8" a="1"/>
  <c r="K34" i="8" s="1"/>
  <c r="AB75" i="6" a="1"/>
  <c r="AB75" i="6" s="1"/>
  <c r="K34" i="6" a="1"/>
  <c r="K34" i="6" s="1"/>
  <c r="X73" i="5"/>
  <c r="U73" i="5"/>
  <c r="Y73" i="5"/>
  <c r="AA73" i="5"/>
  <c r="W73" i="5"/>
  <c r="Z73" i="5"/>
  <c r="T73" i="5"/>
  <c r="V73" i="5"/>
  <c r="AB36" i="5"/>
  <c r="AB59" i="5"/>
  <c r="AB27" i="5"/>
  <c r="AB35" i="5"/>
  <c r="AB33" i="5"/>
  <c r="AB44" i="5"/>
  <c r="AB25" i="5"/>
  <c r="AB42" i="5"/>
  <c r="AB32" i="5"/>
  <c r="AB63" i="5"/>
  <c r="AB67" i="5"/>
  <c r="AB18" i="5"/>
  <c r="AB50" i="5"/>
  <c r="AB16" i="5"/>
  <c r="AB21" i="5"/>
  <c r="AB40" i="5"/>
  <c r="AB45" i="5"/>
  <c r="AB55" i="5"/>
  <c r="AB66" i="5"/>
  <c r="AB62" i="5"/>
  <c r="AB20" i="5"/>
  <c r="AB14" i="5"/>
  <c r="AB54" i="5"/>
  <c r="AB48" i="5"/>
  <c r="AB60" i="5"/>
  <c r="AB41" i="5"/>
  <c r="AB53" i="5"/>
  <c r="AB29" i="5"/>
  <c r="AB43" i="5"/>
  <c r="AB22" i="5"/>
  <c r="AB64" i="5"/>
  <c r="AB37" i="5"/>
  <c r="AB28" i="5"/>
  <c r="AB56" i="5"/>
  <c r="AB58" i="5"/>
  <c r="AB57" i="5"/>
  <c r="AB61" i="5"/>
  <c r="AB38" i="5"/>
  <c r="AB30" i="5"/>
  <c r="AB17" i="5"/>
  <c r="AB65" i="5"/>
  <c r="AB52" i="5"/>
  <c r="AB31" i="5"/>
  <c r="AB69" i="5"/>
  <c r="AB19" i="5"/>
  <c r="AB49" i="5"/>
  <c r="AB23" i="5"/>
  <c r="AB68" i="5"/>
  <c r="AB46" i="5"/>
  <c r="AB24" i="5"/>
  <c r="AB34" i="5"/>
  <c r="AB26" i="5"/>
  <c r="AB51" i="5"/>
  <c r="AB47" i="5"/>
  <c r="AB39" i="5"/>
  <c r="AB15" i="5"/>
  <c r="K34" i="5"/>
  <c r="AB38" i="3"/>
  <c r="AB15" i="3"/>
  <c r="AB67" i="3"/>
  <c r="AB16" i="3"/>
  <c r="AB59" i="3"/>
  <c r="AB60" i="3"/>
  <c r="AB70" i="3"/>
  <c r="AB48" i="3"/>
  <c r="AB19" i="3"/>
  <c r="AB34" i="3"/>
  <c r="AB28" i="3"/>
  <c r="AB46" i="3"/>
  <c r="AB55" i="3"/>
  <c r="AB47" i="3"/>
  <c r="AB49" i="3"/>
  <c r="AB66" i="3"/>
  <c r="AB22" i="3"/>
  <c r="AB53" i="3"/>
  <c r="AB33" i="3"/>
  <c r="AB61" i="3"/>
  <c r="AB50" i="3"/>
  <c r="AB45" i="3"/>
  <c r="AB31" i="3"/>
  <c r="AB64" i="3"/>
  <c r="AB52" i="3"/>
  <c r="AB62" i="3"/>
  <c r="AB27" i="3"/>
  <c r="AB25" i="3"/>
  <c r="AB58" i="3"/>
  <c r="AB18" i="3"/>
  <c r="AB69" i="3"/>
  <c r="AB23" i="3"/>
  <c r="AB57" i="3"/>
  <c r="AB37" i="3"/>
  <c r="AB21" i="3"/>
  <c r="AB32" i="3"/>
  <c r="AB44" i="3"/>
  <c r="AB51" i="3"/>
  <c r="AB54" i="3"/>
  <c r="AB30" i="3"/>
  <c r="AB40" i="3"/>
  <c r="AB68" i="3"/>
  <c r="AB24" i="3"/>
  <c r="AB56" i="3"/>
  <c r="AB63" i="3"/>
  <c r="AB42" i="3"/>
  <c r="AB17" i="3"/>
  <c r="AB39" i="3"/>
  <c r="AB43" i="3"/>
  <c r="AB41" i="3"/>
  <c r="AB29" i="3"/>
  <c r="AB20" i="3"/>
  <c r="AB26" i="3"/>
  <c r="AB36" i="3"/>
  <c r="AB35" i="3"/>
  <c r="AB65" i="3"/>
  <c r="AB14" i="3"/>
  <c r="K34" i="3"/>
  <c r="V71" i="3"/>
  <c r="U71" i="3"/>
  <c r="Y71" i="3"/>
  <c r="W71" i="3"/>
  <c r="Z71" i="3"/>
  <c r="X71" i="3"/>
  <c r="T71" i="3"/>
  <c r="AB77" i="9" l="1" a="1"/>
  <c r="AB77" i="9" s="1"/>
  <c r="AB76" i="8" a="1"/>
  <c r="AB76" i="8" s="1"/>
  <c r="AB73" i="5"/>
  <c r="AB71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<sst xmlns="http://schemas.openxmlformats.org/spreadsheetml/2006/main" count="1480" uniqueCount="187">
  <si>
    <t>Cục Đầu tư nước ngoài</t>
  </si>
  <si>
    <t>Tính từ 01/01/2015 đến 31/12/2015</t>
  </si>
  <si>
    <t>TT</t>
  </si>
  <si>
    <t>Ngành</t>
  </si>
  <si>
    <t>Số lượt dự án tăng vốn</t>
  </si>
  <si>
    <t>Vốn đăng ký tăng thêm 
(triệu USD)</t>
  </si>
  <si>
    <t xml:space="preserve"> Vốn đăng ký cấp mới và tăng thêm (triệu USD) </t>
  </si>
  <si>
    <t>Công nghiệp chế biến, chế tạo</t>
  </si>
  <si>
    <t>Sản xuất, phân phối điện, khí, nước, điều hòa</t>
  </si>
  <si>
    <t>Hoạt động kinh doanh bất động sản</t>
  </si>
  <si>
    <t>Xây dựng</t>
  </si>
  <si>
    <t>Bán buôn và bán lẻ; sửa chữa ô tô, mô tô, xe máy</t>
  </si>
  <si>
    <t>Nông nghiêp, lâm nghiệp và thủy sản</t>
  </si>
  <si>
    <t>Hoạt động chuyên môn, khoa học công nghệ</t>
  </si>
  <si>
    <t>Vận tải kho bãi</t>
  </si>
  <si>
    <t>Dịch vụ lưu trú và ăn uống</t>
  </si>
  <si>
    <t>Thông tin và truyền thông</t>
  </si>
  <si>
    <t>Hoạt động hành chính và dịch vụ hỗ trợ</t>
  </si>
  <si>
    <t>Hoạt động dịch vụ khác</t>
  </si>
  <si>
    <t>Giáo dục và đào tạo</t>
  </si>
  <si>
    <t>Cấp nước và xử lý chất thải</t>
  </si>
  <si>
    <t>Y tế và hoạt động trợ giúp xã hội</t>
  </si>
  <si>
    <t>Khai khoáng</t>
  </si>
  <si>
    <t>Nghệ thuật, vui chơi và giải trí</t>
  </si>
  <si>
    <t>Hoạt động tài chính, ngân hàng và bảo hiểm</t>
  </si>
  <si>
    <t>Hoạt đông làm thuê các công việc trong các hộ gia đình</t>
  </si>
  <si>
    <t>Tổng số</t>
  </si>
  <si>
    <t>Số dự án cấp mới</t>
  </si>
  <si>
    <t>Vốn đăng ký cấp mới (USD)</t>
  </si>
  <si>
    <t>Vốn đăng ký cấp mới (triệu USD)</t>
  </si>
  <si>
    <t>Vốn đăng ký tăng thêm (USD)</t>
  </si>
  <si>
    <t>Vốn đăng ký cấp mới và tăng thêm (triệu USD)</t>
  </si>
  <si>
    <t>THU HÚT ĐẦU TƯ TRỰC TIẾP NƯỚC NGOÀI 12 THÁNG NĂM 2015 THEO ĐỊA PHƯƠNG</t>
  </si>
  <si>
    <t>Địa phương</t>
  </si>
  <si>
    <t xml:space="preserve"> Số dự án cấp mới </t>
  </si>
  <si>
    <t xml:space="preserve"> Vốn đăng ký cấp mới (USD) </t>
  </si>
  <si>
    <t xml:space="preserve"> Vốn đăng ký tăng thêm (USD) </t>
  </si>
  <si>
    <t>TP. Hồ Chí Minh</t>
  </si>
  <si>
    <t>Bắc Ninh</t>
  </si>
  <si>
    <t>Bình Dương</t>
  </si>
  <si>
    <t>Trà Vinh</t>
  </si>
  <si>
    <t>Đồng Nai</t>
  </si>
  <si>
    <t>Hà Nội</t>
  </si>
  <si>
    <t>Hải Phòng</t>
  </si>
  <si>
    <t>Bà Rịa - Vũng Tàu</t>
  </si>
  <si>
    <t>Long An</t>
  </si>
  <si>
    <t>Tây Ninh</t>
  </si>
  <si>
    <t>Bắc Giang</t>
  </si>
  <si>
    <t>Quảng Ninh</t>
  </si>
  <si>
    <t>Hải Dương</t>
  </si>
  <si>
    <t>Vĩnh Phúc</t>
  </si>
  <si>
    <t>Hà Nam</t>
  </si>
  <si>
    <t>Hưng Yên</t>
  </si>
  <si>
    <t>Bình Phước</t>
  </si>
  <si>
    <t>Quảng Nam</t>
  </si>
  <si>
    <t>Thái Nguyên</t>
  </si>
  <si>
    <t>Nghệ An</t>
  </si>
  <si>
    <t>Bến Tre</t>
  </si>
  <si>
    <t>Hà Tĩnh</t>
  </si>
  <si>
    <t>Thừa Thiên Huế</t>
  </si>
  <si>
    <t>Nam Định</t>
  </si>
  <si>
    <t>Phú Thọ</t>
  </si>
  <si>
    <t>An Giang</t>
  </si>
  <si>
    <t>Tiền Giang</t>
  </si>
  <si>
    <t>Bình Thuận</t>
  </si>
  <si>
    <t>Yên Bái</t>
  </si>
  <si>
    <t>Bình Định</t>
  </si>
  <si>
    <t>Khánh Hòa</t>
  </si>
  <si>
    <t>Thái Bình</t>
  </si>
  <si>
    <t>Đà Nẵng</t>
  </si>
  <si>
    <t>Thanh Hóa</t>
  </si>
  <si>
    <t>Ninh Bình</t>
  </si>
  <si>
    <t>Phú Yên</t>
  </si>
  <si>
    <t>Kiên Giang</t>
  </si>
  <si>
    <t>Đăk Lăk</t>
  </si>
  <si>
    <t>Hậu Giang</t>
  </si>
  <si>
    <t>Quảng Ngãi</t>
  </si>
  <si>
    <t>Cần Thơ</t>
  </si>
  <si>
    <t>Quảng Bình</t>
  </si>
  <si>
    <t>Dầu khí</t>
  </si>
  <si>
    <t>Sóc Trăng</t>
  </si>
  <si>
    <t>Vĩnh Long</t>
  </si>
  <si>
    <t>Đồng Tháp</t>
  </si>
  <si>
    <t>Lâm Đồng</t>
  </si>
  <si>
    <t>Bạc Liêu</t>
  </si>
  <si>
    <t>Tuyên Quang</t>
  </si>
  <si>
    <t>Hòa Bình</t>
  </si>
  <si>
    <t>Quảng Trị</t>
  </si>
  <si>
    <t>Ninh Thuận</t>
  </si>
  <si>
    <t>Bắc Kạn</t>
  </si>
  <si>
    <t>RANGE</t>
  </si>
  <si>
    <t>[FDI.2015.xls]</t>
  </si>
  <si>
    <t>Filename</t>
  </si>
  <si>
    <t>Sheetname</t>
  </si>
  <si>
    <t>Range</t>
  </si>
  <si>
    <t>Thang 12 2015</t>
  </si>
  <si>
    <t>$C$7:$I$25</t>
  </si>
  <si>
    <t>Thang 12 2016</t>
  </si>
  <si>
    <t>ITEM</t>
  </si>
  <si>
    <t>$B$7:$B$25</t>
  </si>
  <si>
    <t>$C$6:$I$6</t>
  </si>
  <si>
    <t>Output</t>
  </si>
  <si>
    <t>ATTRIBUTE</t>
  </si>
  <si>
    <t>$C$112:$I$164</t>
  </si>
  <si>
    <t>$B$112:$B$164</t>
  </si>
  <si>
    <t>$C$111:$I$111</t>
  </si>
  <si>
    <t>THU HÚT ĐẦU TƯ TRỰC TIẾP NƯỚC NGOÀI 12 THÁNG NĂM 2015 THEO NGÀNH</t>
  </si>
  <si>
    <t>Cấp mới</t>
  </si>
  <si>
    <t>Tăng vốn</t>
  </si>
  <si>
    <t>Góp vốn, mua cổ phần</t>
  </si>
  <si>
    <t>Tổng vốn đăng ký cấp mới, vốn tăng thêm và Vốn góp (triệu USD)</t>
  </si>
  <si>
    <t>Số lượt góp vốn, mua cổ phần</t>
  </si>
  <si>
    <t>Vốn góp (triệu USD)</t>
  </si>
  <si>
    <t>$C$8:$K$26</t>
  </si>
  <si>
    <t>[FDI.2016.xls]</t>
  </si>
  <si>
    <t>$B$8:$B$26</t>
  </si>
  <si>
    <t>$C$7:$K$7</t>
  </si>
  <si>
    <t>Lào Cai</t>
  </si>
  <si>
    <t>Hà Giang</t>
  </si>
  <si>
    <t>Lạng Sơn</t>
  </si>
  <si>
    <t>Kon Tum</t>
  </si>
  <si>
    <t>Đăk Nông</t>
  </si>
  <si>
    <t>Gia Lai</t>
  </si>
  <si>
    <t>$C$137:$K$193</t>
  </si>
  <si>
    <t>$B$137:$B$193</t>
  </si>
  <si>
    <t>$C$136:$K$136</t>
  </si>
  <si>
    <t>Số lượt góp vốn mua cổ phần</t>
  </si>
  <si>
    <t>Giá trị góp vốn, mua cổ phần 
(triệu USD)</t>
  </si>
  <si>
    <t>[FDI.2017.xls]</t>
  </si>
  <si>
    <t>Thang 12 2017</t>
  </si>
  <si>
    <t>$C$7:$L$25</t>
  </si>
  <si>
    <t>$C$6:$L$6</t>
  </si>
  <si>
    <t>$C$154:$L$212</t>
  </si>
  <si>
    <t>Cà Mau</t>
  </si>
  <si>
    <t>Sơn La</t>
  </si>
  <si>
    <t>Cao Bằng</t>
  </si>
  <si>
    <t>Điện Biên</t>
  </si>
  <si>
    <t>$B$154:$B$212</t>
  </si>
  <si>
    <t>$C$153:$L$153</t>
  </si>
  <si>
    <t>[FDI.2018.xls]</t>
  </si>
  <si>
    <t>Thang 12 2018</t>
  </si>
  <si>
    <t>$C$7:$L$24</t>
  </si>
  <si>
    <t>$C$152:$L$210</t>
  </si>
  <si>
    <t>$B$152:$B$210</t>
  </si>
  <si>
    <t>$C$151:$L$151</t>
  </si>
  <si>
    <t>[FDI.2019.xls]</t>
  </si>
  <si>
    <t>Thang 12 2019</t>
  </si>
  <si>
    <t>Số lượt dự án điều chỉnh</t>
  </si>
  <si>
    <t>Vốn đăng ký điều chỉnh (USD)</t>
  </si>
  <si>
    <t>Vốn đăng ký điều chỉnh
(triệu USD)</t>
  </si>
  <si>
    <t>Lai Châu</t>
  </si>
  <si>
    <t>$C$164:$L$225</t>
  </si>
  <si>
    <t>$B$164:$B$225</t>
  </si>
  <si>
    <t>$C$163:$L$163</t>
  </si>
  <si>
    <t>Giá trị góp vốn, mua cổ phần (triệu USD)</t>
  </si>
  <si>
    <t>Thang 12 2020</t>
  </si>
  <si>
    <t>$C$9:$I$27</t>
  </si>
  <si>
    <t>$B$9:$B$27</t>
  </si>
  <si>
    <t>$C$8:$I$8</t>
  </si>
  <si>
    <t>[FDI.2020.xlsx]</t>
  </si>
  <si>
    <t>$C$151:$I$209</t>
  </si>
  <si>
    <t>$B$151:$B$209</t>
  </si>
  <si>
    <t>$C$150:$I$150</t>
  </si>
  <si>
    <t>[FDI.2021.xlsx]</t>
  </si>
  <si>
    <t>Thang 12 2021</t>
  </si>
  <si>
    <t>$C$9:$I$26</t>
  </si>
  <si>
    <t>$B$9:$B$26</t>
  </si>
  <si>
    <t>$C$147:$I$205</t>
  </si>
  <si>
    <t>$B$147:$B$205</t>
  </si>
  <si>
    <t>$C$146:$I$146</t>
  </si>
  <si>
    <t>[FDI.2022.xlsx]</t>
  </si>
  <si>
    <t>Thang 12 2022</t>
  </si>
  <si>
    <t>$C$150:$I$203</t>
  </si>
  <si>
    <t>$B$150:$B$203</t>
  </si>
  <si>
    <t>$C$149:$I$149</t>
  </si>
  <si>
    <t>[FDI.2023.xlsx]</t>
  </si>
  <si>
    <t>Thang 12 2023</t>
  </si>
  <si>
    <t>$C$9:$K$26</t>
  </si>
  <si>
    <t>$C$8:$K$8</t>
  </si>
  <si>
    <t>$C$152:$K$207</t>
  </si>
  <si>
    <t>$B$152:$B$207</t>
  </si>
  <si>
    <t>$C$151:$K$151</t>
  </si>
  <si>
    <t>[FDI.2024(first-6-months).xlsx]</t>
  </si>
  <si>
    <t>Thang 6 2024</t>
  </si>
  <si>
    <t>$C$125:$K$172</t>
  </si>
  <si>
    <t>$B$125:$B$172</t>
  </si>
  <si>
    <t>$C$124:$K$124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</si>
</sst>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8" formatCode="0.0"/>
    <numFmt numFmtId="169" formatCode="_(* #,##0_);_(* \(#,##0\);_(* &quot;-&quot;??_);_(@_)"/>
    <numFmt numFmtId="170" formatCode="_(* #,##0.0_);_(* \(#,##0.0\);_(* &quot;-&quot;??_);_(@_)"/>
    <numFmt numFmtId="171" formatCode="_-* #,##0.00\ _₫_-;\-* #,##0.00\ _₫_-;_-* &quot;-&quot;??\ _₫_-;_-@_-"/>
  </numFmts>
  <fonts count="1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i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  <charset val="163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1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/>
    <xf numFmtId="168" fontId="3" fillId="0" borderId="0" xfId="0" applyNumberFormat="1" applyFont="1"/>
    <xf numFmtId="0" fontId="3" fillId="0" borderId="0" xfId="0" applyFont="1" applyAlignment="1">
      <alignment horizontal="center"/>
    </xf>
    <xf numFmtId="169" fontId="3" fillId="0" borderId="0" xfId="0" applyNumberFormat="1" applyFont="1"/>
    <xf numFmtId="0" fontId="5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3" fontId="6" fillId="2" borderId="2" xfId="0" applyNumberFormat="1" applyFont="1" applyFill="1" applyBorder="1" applyAlignment="1">
      <alignment horizontal="center" vertical="center" wrapText="1"/>
    </xf>
    <xf numFmtId="168" fontId="6" fillId="2" borderId="2" xfId="0" applyNumberFormat="1" applyFont="1" applyFill="1" applyBorder="1" applyAlignment="1">
      <alignment horizontal="center" vertical="center" wrapText="1"/>
    </xf>
    <xf numFmtId="169" fontId="6" fillId="2" borderId="3" xfId="0" applyNumberFormat="1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3" fillId="0" borderId="5" xfId="0" applyFont="1" applyBorder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9" fontId="0" fillId="0" borderId="0" xfId="1" applyNumberFormat="1" applyFont="1"/>
    <xf numFmtId="169" fontId="3" fillId="0" borderId="0" xfId="1" applyNumberFormat="1" applyFont="1" applyFill="1" applyBorder="1"/>
    <xf numFmtId="168" fontId="3" fillId="0" borderId="0" xfId="1" applyNumberFormat="1" applyFont="1" applyFill="1" applyBorder="1"/>
    <xf numFmtId="169" fontId="4" fillId="0" borderId="0" xfId="1" applyNumberFormat="1" applyFont="1" applyFill="1" applyBorder="1" applyAlignment="1">
      <alignment horizontal="right"/>
    </xf>
    <xf numFmtId="0" fontId="6" fillId="2" borderId="11" xfId="0" applyFont="1" applyFill="1" applyBorder="1" applyAlignment="1">
      <alignment horizontal="center" vertical="center" wrapText="1"/>
    </xf>
    <xf numFmtId="169" fontId="6" fillId="2" borderId="11" xfId="1" applyNumberFormat="1" applyFont="1" applyFill="1" applyBorder="1" applyAlignment="1">
      <alignment horizontal="center" vertical="center" wrapText="1"/>
    </xf>
    <xf numFmtId="168" fontId="6" fillId="2" borderId="11" xfId="1" applyNumberFormat="1" applyFont="1" applyFill="1" applyBorder="1" applyAlignment="1">
      <alignment horizontal="center" vertical="center" wrapText="1"/>
    </xf>
    <xf numFmtId="3" fontId="6" fillId="2" borderId="11" xfId="0" applyNumberFormat="1" applyFont="1" applyFill="1" applyBorder="1" applyAlignment="1">
      <alignment horizontal="center" vertical="center" wrapText="1"/>
    </xf>
    <xf numFmtId="169" fontId="6" fillId="2" borderId="12" xfId="1" applyNumberFormat="1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wrapText="1"/>
    </xf>
    <xf numFmtId="0" fontId="3" fillId="0" borderId="14" xfId="0" applyFont="1" applyBorder="1"/>
    <xf numFmtId="0" fontId="7" fillId="2" borderId="6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169" fontId="7" fillId="2" borderId="16" xfId="1" applyNumberFormat="1" applyFont="1" applyFill="1" applyBorder="1" applyAlignment="1">
      <alignment vertical="center"/>
    </xf>
    <xf numFmtId="168" fontId="7" fillId="2" borderId="16" xfId="1" applyNumberFormat="1" applyFont="1" applyFill="1" applyBorder="1" applyAlignment="1">
      <alignment vertical="center"/>
    </xf>
    <xf numFmtId="170" fontId="7" fillId="2" borderId="17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169" fontId="6" fillId="2" borderId="2" xfId="0" applyNumberFormat="1" applyFont="1" applyFill="1" applyBorder="1" applyAlignment="1">
      <alignment horizontal="center" vertical="center" wrapText="1"/>
    </xf>
    <xf numFmtId="0" fontId="3" fillId="0" borderId="18" xfId="0" applyFont="1" applyBorder="1"/>
    <xf numFmtId="169" fontId="6" fillId="2" borderId="9" xfId="0" applyNumberFormat="1" applyFont="1" applyFill="1" applyBorder="1" applyAlignment="1">
      <alignment vertical="center"/>
    </xf>
    <xf numFmtId="170" fontId="6" fillId="2" borderId="9" xfId="0" applyNumberFormat="1" applyFont="1" applyFill="1" applyBorder="1" applyAlignment="1">
      <alignment vertical="center"/>
    </xf>
    <xf numFmtId="169" fontId="6" fillId="2" borderId="8" xfId="0" applyNumberFormat="1" applyFont="1" applyFill="1" applyBorder="1" applyAlignment="1">
      <alignment vertical="center"/>
    </xf>
    <xf numFmtId="170" fontId="6" fillId="2" borderId="8" xfId="0" applyNumberFormat="1" applyFont="1" applyFill="1" applyBorder="1" applyAlignment="1">
      <alignment vertical="center"/>
    </xf>
    <xf numFmtId="170" fontId="6" fillId="2" borderId="10" xfId="0" applyNumberFormat="1" applyFont="1" applyFill="1" applyBorder="1" applyAlignment="1">
      <alignment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3" fillId="0" borderId="0" xfId="0" applyFont="1" applyBorder="1"/>
    <xf numFmtId="170" fontId="7" fillId="2" borderId="0" xfId="1" applyNumberFormat="1" applyFont="1" applyFill="1" applyBorder="1" applyAlignment="1">
      <alignment vertical="center"/>
    </xf>
    <xf numFmtId="169" fontId="6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/>
    <xf numFmtId="169" fontId="6" fillId="0" borderId="0" xfId="1" applyNumberFormat="1" applyFont="1" applyFill="1" applyBorder="1"/>
    <xf numFmtId="0" fontId="6" fillId="3" borderId="19" xfId="0" applyFont="1" applyFill="1" applyBorder="1" applyAlignment="1">
      <alignment horizontal="center" vertical="center" wrapText="1"/>
    </xf>
    <xf numFmtId="169" fontId="6" fillId="4" borderId="14" xfId="1" applyNumberFormat="1" applyFont="1" applyFill="1" applyBorder="1" applyAlignment="1">
      <alignment horizontal="center"/>
    </xf>
    <xf numFmtId="3" fontId="6" fillId="4" borderId="14" xfId="0" applyNumberFormat="1" applyFont="1" applyFill="1" applyBorder="1" applyAlignment="1">
      <alignment horizontal="center"/>
    </xf>
    <xf numFmtId="1" fontId="6" fillId="4" borderId="14" xfId="1" applyNumberFormat="1" applyFont="1" applyFill="1" applyBorder="1" applyAlignment="1">
      <alignment horizontal="center"/>
    </xf>
    <xf numFmtId="170" fontId="6" fillId="3" borderId="19" xfId="1" applyNumberFormat="1" applyFont="1" applyFill="1" applyBorder="1" applyAlignment="1">
      <alignment horizontal="center" vertical="center" wrapText="1"/>
    </xf>
    <xf numFmtId="0" fontId="6" fillId="3" borderId="20" xfId="0" applyFont="1" applyFill="1" applyBorder="1" applyAlignment="1">
      <alignment horizontal="center" vertical="center" wrapText="1"/>
    </xf>
    <xf numFmtId="169" fontId="6" fillId="3" borderId="14" xfId="1" applyNumberFormat="1" applyFont="1" applyFill="1" applyBorder="1" applyAlignment="1">
      <alignment horizontal="center" vertical="center" wrapText="1"/>
    </xf>
    <xf numFmtId="2" fontId="6" fillId="3" borderId="14" xfId="1" applyNumberFormat="1" applyFont="1" applyFill="1" applyBorder="1" applyAlignment="1">
      <alignment horizontal="center" vertical="center" wrapText="1"/>
    </xf>
    <xf numFmtId="3" fontId="6" fillId="3" borderId="14" xfId="0" applyNumberFormat="1" applyFont="1" applyFill="1" applyBorder="1" applyAlignment="1">
      <alignment horizontal="center" vertical="center" wrapText="1"/>
    </xf>
    <xf numFmtId="168" fontId="6" fillId="3" borderId="14" xfId="1" applyNumberFormat="1" applyFont="1" applyFill="1" applyBorder="1" applyAlignment="1">
      <alignment horizontal="center" vertical="center" wrapText="1"/>
    </xf>
    <xf numFmtId="1" fontId="6" fillId="3" borderId="14" xfId="1" applyNumberFormat="1" applyFont="1" applyFill="1" applyBorder="1" applyAlignment="1">
      <alignment horizontal="center" vertical="center" wrapText="1"/>
    </xf>
    <xf numFmtId="170" fontId="6" fillId="3" borderId="20" xfId="1" applyNumberFormat="1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1" xfId="0" applyBorder="1"/>
    <xf numFmtId="170" fontId="6" fillId="3" borderId="19" xfId="1" applyNumberFormat="1" applyFont="1" applyFill="1" applyBorder="1" applyAlignment="1">
      <alignment horizontal="center" vertical="center" wrapText="1"/>
    </xf>
    <xf numFmtId="170" fontId="6" fillId="3" borderId="20" xfId="1" applyNumberFormat="1" applyFont="1" applyFill="1" applyBorder="1" applyAlignment="1">
      <alignment horizontal="center" vertical="center" wrapText="1"/>
    </xf>
    <xf numFmtId="0" fontId="0" fillId="0" borderId="22" xfId="0" applyBorder="1"/>
    <xf numFmtId="0" fontId="6" fillId="4" borderId="14" xfId="0" applyFont="1" applyFill="1" applyBorder="1" applyAlignment="1">
      <alignment horizontal="center" vertical="center"/>
    </xf>
    <xf numFmtId="169" fontId="6" fillId="4" borderId="14" xfId="1" applyNumberFormat="1" applyFont="1" applyFill="1" applyBorder="1" applyAlignment="1">
      <alignment vertical="center"/>
    </xf>
    <xf numFmtId="2" fontId="6" fillId="4" borderId="14" xfId="1" applyNumberFormat="1" applyFont="1" applyFill="1" applyBorder="1" applyAlignment="1">
      <alignment vertical="center"/>
    </xf>
    <xf numFmtId="43" fontId="6" fillId="4" borderId="14" xfId="1" applyFont="1" applyFill="1" applyBorder="1" applyAlignment="1">
      <alignment vertical="center"/>
    </xf>
    <xf numFmtId="169" fontId="6" fillId="3" borderId="23" xfId="1" applyNumberFormat="1" applyFont="1" applyFill="1" applyBorder="1" applyAlignment="1">
      <alignment horizontal="center" vertical="center" wrapText="1"/>
    </xf>
    <xf numFmtId="43" fontId="6" fillId="3" borderId="23" xfId="1" applyFont="1" applyFill="1" applyBorder="1" applyAlignment="1">
      <alignment horizontal="center" vertical="center" wrapText="1"/>
    </xf>
    <xf numFmtId="3" fontId="6" fillId="3" borderId="23" xfId="0" applyNumberFormat="1" applyFont="1" applyFill="1" applyBorder="1" applyAlignment="1">
      <alignment horizontal="center" vertical="center" wrapText="1"/>
    </xf>
    <xf numFmtId="1" fontId="6" fillId="4" borderId="15" xfId="1" applyNumberFormat="1" applyFont="1" applyFill="1" applyBorder="1" applyAlignment="1">
      <alignment horizontal="center"/>
    </xf>
    <xf numFmtId="1" fontId="6" fillId="4" borderId="24" xfId="1" applyNumberFormat="1" applyFont="1" applyFill="1" applyBorder="1" applyAlignment="1">
      <alignment horizontal="center"/>
    </xf>
    <xf numFmtId="3" fontId="6" fillId="4" borderId="15" xfId="0" applyNumberFormat="1" applyFont="1" applyFill="1" applyBorder="1" applyAlignment="1">
      <alignment horizontal="center"/>
    </xf>
    <xf numFmtId="3" fontId="6" fillId="4" borderId="25" xfId="0" applyNumberFormat="1" applyFont="1" applyFill="1" applyBorder="1" applyAlignment="1">
      <alignment horizontal="center"/>
    </xf>
    <xf numFmtId="3" fontId="6" fillId="4" borderId="24" xfId="0" applyNumberFormat="1" applyFont="1" applyFill="1" applyBorder="1" applyAlignment="1">
      <alignment horizontal="center"/>
    </xf>
    <xf numFmtId="169" fontId="6" fillId="4" borderId="15" xfId="1" applyNumberFormat="1" applyFont="1" applyFill="1" applyBorder="1" applyAlignment="1">
      <alignment horizontal="center"/>
    </xf>
    <xf numFmtId="169" fontId="6" fillId="4" borderId="25" xfId="1" applyNumberFormat="1" applyFont="1" applyFill="1" applyBorder="1" applyAlignment="1">
      <alignment horizontal="center"/>
    </xf>
    <xf numFmtId="169" fontId="6" fillId="4" borderId="24" xfId="1" applyNumberFormat="1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/>
    <xf numFmtId="0" fontId="3" fillId="0" borderId="27" xfId="0" applyFont="1" applyBorder="1"/>
    <xf numFmtId="0" fontId="0" fillId="0" borderId="27" xfId="0" applyBorder="1" applyAlignment="1">
      <alignment horizontal="left"/>
    </xf>
    <xf numFmtId="0" fontId="6" fillId="4" borderId="28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169" fontId="6" fillId="4" borderId="29" xfId="1" applyNumberFormat="1" applyFont="1" applyFill="1" applyBorder="1" applyAlignment="1">
      <alignment vertical="center"/>
    </xf>
    <xf numFmtId="43" fontId="6" fillId="4" borderId="29" xfId="1" applyFont="1" applyFill="1" applyBorder="1" applyAlignment="1">
      <alignment vertical="center"/>
    </xf>
    <xf numFmtId="43" fontId="6" fillId="4" borderId="30" xfId="1" applyFont="1" applyFill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9" fillId="0" borderId="0" xfId="0" applyFont="1"/>
    <xf numFmtId="171" fontId="6" fillId="3" borderId="23" xfId="1" applyNumberFormat="1" applyFont="1" applyFill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/>
    </xf>
    <xf numFmtId="0" fontId="10" fillId="0" borderId="31" xfId="0" applyFont="1" applyBorder="1" applyAlignment="1">
      <alignment vertical="center"/>
    </xf>
    <xf numFmtId="0" fontId="10" fillId="0" borderId="32" xfId="0" applyFont="1" applyBorder="1" applyAlignment="1">
      <alignment horizontal="center" vertical="center"/>
    </xf>
    <xf numFmtId="0" fontId="10" fillId="0" borderId="33" xfId="0" applyFont="1" applyBorder="1" applyAlignment="1">
      <alignment vertical="center"/>
    </xf>
    <xf numFmtId="0" fontId="10" fillId="0" borderId="33" xfId="0" applyFont="1" applyBorder="1" applyAlignment="1">
      <alignment horizontal="left" vertical="center"/>
    </xf>
    <xf numFmtId="43" fontId="6" fillId="4" borderId="0" xfId="1" applyFont="1" applyFill="1" applyBorder="1" applyAlignment="1">
      <alignment vertical="center"/>
    </xf>
  </cellXfs>
  <cellStyles count="2">
    <cellStyle name="Comma" xfId="1" builtinId="3"/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FF4D-C14E-C647-888B-27AD18DCF101}">
  <dimension ref="A1:G121"/>
  <sheetViews>
    <sheetView workbookViewId="0">
      <selection activeCell="C1" sqref="C1:D63"/>
    </sheetView>
  </sheetViews>
  <sheetFormatPr baseColWidth="10" defaultRowHeight="16" x14ac:dyDescent="0.2"/>
  <sheetData>
    <row r="1" spans="1:7" x14ac:dyDescent="0.2">
      <c r="A1">
        <v>1</v>
      </c>
      <c r="B1" t="s">
        <v>42</v>
      </c>
      <c r="C1">
        <v>1</v>
      </c>
      <c r="D1" t="str" cm="1">
        <f t="array" ref="D1:D64">_xlfn.UNIQUE(B:B)</f>
        <v>Hà Nội</v>
      </c>
      <c r="G1" s="93"/>
    </row>
    <row r="2" spans="1:7" x14ac:dyDescent="0.2">
      <c r="A2">
        <v>2</v>
      </c>
      <c r="B2" t="s">
        <v>37</v>
      </c>
      <c r="C2">
        <v>2</v>
      </c>
      <c r="D2" t="str">
        <v>TP. Hồ Chí Minh</v>
      </c>
    </row>
    <row r="3" spans="1:7" x14ac:dyDescent="0.2">
      <c r="A3">
        <v>3</v>
      </c>
      <c r="B3" t="s">
        <v>39</v>
      </c>
      <c r="C3">
        <v>3</v>
      </c>
      <c r="D3" t="str">
        <v>Bình Dương</v>
      </c>
    </row>
    <row r="4" spans="1:7" x14ac:dyDescent="0.2">
      <c r="A4">
        <v>4</v>
      </c>
      <c r="B4" t="s">
        <v>41</v>
      </c>
      <c r="C4">
        <v>4</v>
      </c>
      <c r="D4" t="str">
        <v>Đồng Nai</v>
      </c>
    </row>
    <row r="5" spans="1:7" x14ac:dyDescent="0.2">
      <c r="A5">
        <v>5</v>
      </c>
      <c r="B5" t="s">
        <v>38</v>
      </c>
      <c r="C5">
        <v>5</v>
      </c>
      <c r="D5" t="str">
        <v>Bắc Ninh</v>
      </c>
    </row>
    <row r="6" spans="1:7" x14ac:dyDescent="0.2">
      <c r="A6">
        <v>6</v>
      </c>
      <c r="B6" t="s">
        <v>43</v>
      </c>
      <c r="C6">
        <v>6</v>
      </c>
      <c r="D6" t="str">
        <v>Hải Phòng</v>
      </c>
    </row>
    <row r="7" spans="1:7" x14ac:dyDescent="0.2">
      <c r="A7">
        <v>7</v>
      </c>
      <c r="B7" t="s">
        <v>46</v>
      </c>
      <c r="C7">
        <v>7</v>
      </c>
      <c r="D7" t="str">
        <v>Tây Ninh</v>
      </c>
    </row>
    <row r="8" spans="1:7" x14ac:dyDescent="0.2">
      <c r="A8">
        <v>8</v>
      </c>
      <c r="B8" t="s">
        <v>47</v>
      </c>
      <c r="C8">
        <v>8</v>
      </c>
      <c r="D8" t="str">
        <v>Bắc Giang</v>
      </c>
    </row>
    <row r="9" spans="1:7" x14ac:dyDescent="0.2">
      <c r="A9">
        <v>9</v>
      </c>
      <c r="B9" t="s">
        <v>44</v>
      </c>
      <c r="C9">
        <v>9</v>
      </c>
      <c r="D9" t="str">
        <v>Bà Rịa - Vũng Tàu</v>
      </c>
    </row>
    <row r="10" spans="1:7" x14ac:dyDescent="0.2">
      <c r="A10">
        <v>10</v>
      </c>
      <c r="B10" t="s">
        <v>51</v>
      </c>
      <c r="C10">
        <v>10</v>
      </c>
      <c r="D10" t="str">
        <v>Hà Nam</v>
      </c>
    </row>
    <row r="11" spans="1:7" x14ac:dyDescent="0.2">
      <c r="A11">
        <v>11</v>
      </c>
      <c r="B11" t="s">
        <v>45</v>
      </c>
      <c r="C11">
        <v>11</v>
      </c>
      <c r="D11" t="str">
        <v>Long An</v>
      </c>
    </row>
    <row r="12" spans="1:7" x14ac:dyDescent="0.2">
      <c r="A12">
        <v>12</v>
      </c>
      <c r="B12" t="s">
        <v>49</v>
      </c>
      <c r="C12">
        <v>12</v>
      </c>
      <c r="D12" t="str">
        <v>Hải Dương</v>
      </c>
    </row>
    <row r="13" spans="1:7" x14ac:dyDescent="0.2">
      <c r="A13">
        <v>13</v>
      </c>
      <c r="B13" t="s">
        <v>55</v>
      </c>
      <c r="C13">
        <v>13</v>
      </c>
      <c r="D13" t="str">
        <v>Thái Nguyên</v>
      </c>
    </row>
    <row r="14" spans="1:7" x14ac:dyDescent="0.2">
      <c r="A14">
        <v>14</v>
      </c>
      <c r="B14" t="s">
        <v>50</v>
      </c>
      <c r="C14">
        <v>14</v>
      </c>
      <c r="D14" t="str">
        <v>Vĩnh Phúc</v>
      </c>
    </row>
    <row r="15" spans="1:7" x14ac:dyDescent="0.2">
      <c r="A15">
        <v>15</v>
      </c>
      <c r="B15" t="s">
        <v>69</v>
      </c>
      <c r="C15">
        <v>15</v>
      </c>
      <c r="D15" t="str">
        <v>Đà Nẵng</v>
      </c>
    </row>
    <row r="16" spans="1:7" x14ac:dyDescent="0.2">
      <c r="A16">
        <v>16</v>
      </c>
      <c r="B16" t="s">
        <v>52</v>
      </c>
      <c r="C16">
        <v>16</v>
      </c>
      <c r="D16" t="str">
        <v>Hưng Yên</v>
      </c>
    </row>
    <row r="17" spans="1:4" x14ac:dyDescent="0.2">
      <c r="A17">
        <v>17</v>
      </c>
      <c r="B17" t="s">
        <v>53</v>
      </c>
      <c r="C17">
        <v>17</v>
      </c>
      <c r="D17" t="str">
        <v>Bình Phước</v>
      </c>
    </row>
    <row r="18" spans="1:4" x14ac:dyDescent="0.2">
      <c r="A18">
        <v>18</v>
      </c>
      <c r="B18" t="s">
        <v>63</v>
      </c>
      <c r="C18">
        <v>18</v>
      </c>
      <c r="D18" t="str">
        <v>Tiền Giang</v>
      </c>
    </row>
    <row r="19" spans="1:4" x14ac:dyDescent="0.2">
      <c r="A19">
        <v>19</v>
      </c>
      <c r="B19" t="s">
        <v>70</v>
      </c>
      <c r="C19">
        <v>19</v>
      </c>
      <c r="D19" t="str">
        <v>Thanh Hóa</v>
      </c>
    </row>
    <row r="20" spans="1:4" x14ac:dyDescent="0.2">
      <c r="A20">
        <v>20</v>
      </c>
      <c r="B20" t="s">
        <v>61</v>
      </c>
      <c r="C20">
        <v>20</v>
      </c>
      <c r="D20" t="str">
        <v>Phú Thọ</v>
      </c>
    </row>
    <row r="21" spans="1:4" x14ac:dyDescent="0.2">
      <c r="A21">
        <v>21</v>
      </c>
      <c r="B21" t="s">
        <v>59</v>
      </c>
      <c r="C21">
        <v>21</v>
      </c>
      <c r="D21" t="str">
        <v>Thừa Thiên Huế</v>
      </c>
    </row>
    <row r="22" spans="1:4" x14ac:dyDescent="0.2">
      <c r="A22">
        <v>22</v>
      </c>
      <c r="B22" t="s">
        <v>56</v>
      </c>
      <c r="C22">
        <v>22</v>
      </c>
      <c r="D22" t="str">
        <v>Nghệ An</v>
      </c>
    </row>
    <row r="23" spans="1:4" x14ac:dyDescent="0.2">
      <c r="A23">
        <v>23</v>
      </c>
      <c r="B23" t="s">
        <v>48</v>
      </c>
      <c r="C23">
        <v>23</v>
      </c>
      <c r="D23" t="str">
        <v>Quảng Ninh</v>
      </c>
    </row>
    <row r="24" spans="1:4" x14ac:dyDescent="0.2">
      <c r="A24">
        <v>24</v>
      </c>
      <c r="B24" t="s">
        <v>72</v>
      </c>
      <c r="C24">
        <v>24</v>
      </c>
      <c r="D24" t="str">
        <v>Phú Yên</v>
      </c>
    </row>
    <row r="25" spans="1:4" x14ac:dyDescent="0.2">
      <c r="A25">
        <v>25</v>
      </c>
      <c r="B25" t="s">
        <v>67</v>
      </c>
      <c r="C25">
        <v>25</v>
      </c>
      <c r="D25" t="str">
        <v>Khánh Hòa</v>
      </c>
    </row>
    <row r="26" spans="1:4" x14ac:dyDescent="0.2">
      <c r="A26">
        <v>26</v>
      </c>
      <c r="B26" t="s">
        <v>54</v>
      </c>
      <c r="C26">
        <v>26</v>
      </c>
      <c r="D26" t="str">
        <v>Quảng Nam</v>
      </c>
    </row>
    <row r="27" spans="1:4" x14ac:dyDescent="0.2">
      <c r="A27">
        <v>27</v>
      </c>
      <c r="B27" t="s">
        <v>64</v>
      </c>
      <c r="C27">
        <v>27</v>
      </c>
      <c r="D27" t="str">
        <v>Bình Thuận</v>
      </c>
    </row>
    <row r="28" spans="1:4" x14ac:dyDescent="0.2">
      <c r="A28">
        <v>28</v>
      </c>
      <c r="B28" t="s">
        <v>81</v>
      </c>
      <c r="C28">
        <v>28</v>
      </c>
      <c r="D28" t="str">
        <v>Vĩnh Long</v>
      </c>
    </row>
    <row r="29" spans="1:4" x14ac:dyDescent="0.2">
      <c r="A29">
        <v>29</v>
      </c>
      <c r="B29" t="s">
        <v>71</v>
      </c>
      <c r="C29">
        <v>29</v>
      </c>
      <c r="D29" t="str">
        <v>Ninh Bình</v>
      </c>
    </row>
    <row r="30" spans="1:4" x14ac:dyDescent="0.2">
      <c r="A30">
        <v>30</v>
      </c>
      <c r="B30" t="s">
        <v>76</v>
      </c>
      <c r="C30">
        <v>30</v>
      </c>
      <c r="D30" t="str">
        <v>Quảng Ngãi</v>
      </c>
    </row>
    <row r="31" spans="1:4" x14ac:dyDescent="0.2">
      <c r="A31">
        <v>31</v>
      </c>
      <c r="B31" t="s">
        <v>88</v>
      </c>
      <c r="C31">
        <v>31</v>
      </c>
      <c r="D31" t="str">
        <v>Ninh Thuận</v>
      </c>
    </row>
    <row r="32" spans="1:4" x14ac:dyDescent="0.2">
      <c r="A32">
        <v>32</v>
      </c>
      <c r="B32" t="s">
        <v>84</v>
      </c>
      <c r="C32">
        <v>32</v>
      </c>
      <c r="D32" t="str">
        <v>Bạc Liêu</v>
      </c>
    </row>
    <row r="33" spans="1:4" x14ac:dyDescent="0.2">
      <c r="A33">
        <v>33</v>
      </c>
      <c r="B33" t="s">
        <v>80</v>
      </c>
      <c r="C33">
        <v>33</v>
      </c>
      <c r="D33" t="str">
        <v>Sóc Trăng</v>
      </c>
    </row>
    <row r="34" spans="1:4" x14ac:dyDescent="0.2">
      <c r="A34">
        <v>34</v>
      </c>
      <c r="B34" t="s">
        <v>40</v>
      </c>
      <c r="C34">
        <v>34</v>
      </c>
      <c r="D34" t="str">
        <v>Trà Vinh</v>
      </c>
    </row>
    <row r="35" spans="1:4" x14ac:dyDescent="0.2">
      <c r="A35">
        <v>35</v>
      </c>
      <c r="B35" t="s">
        <v>66</v>
      </c>
      <c r="C35">
        <v>35</v>
      </c>
      <c r="D35" t="str">
        <v>Bình Định</v>
      </c>
    </row>
    <row r="36" spans="1:4" x14ac:dyDescent="0.2">
      <c r="A36">
        <v>36</v>
      </c>
      <c r="B36" t="s">
        <v>133</v>
      </c>
      <c r="C36">
        <v>36</v>
      </c>
      <c r="D36" t="str">
        <v>Cà Mau</v>
      </c>
    </row>
    <row r="37" spans="1:4" x14ac:dyDescent="0.2">
      <c r="A37">
        <v>37</v>
      </c>
      <c r="B37" t="s">
        <v>75</v>
      </c>
      <c r="C37">
        <v>37</v>
      </c>
      <c r="D37" t="str">
        <v>Hậu Giang</v>
      </c>
    </row>
    <row r="38" spans="1:4" x14ac:dyDescent="0.2">
      <c r="A38">
        <v>38</v>
      </c>
      <c r="B38" t="s">
        <v>77</v>
      </c>
      <c r="C38">
        <v>38</v>
      </c>
      <c r="D38" t="str">
        <v>Cần Thơ</v>
      </c>
    </row>
    <row r="39" spans="1:4" x14ac:dyDescent="0.2">
      <c r="A39">
        <v>39</v>
      </c>
      <c r="B39" t="s">
        <v>68</v>
      </c>
      <c r="C39">
        <v>39</v>
      </c>
      <c r="D39" t="str">
        <v>Thái Bình</v>
      </c>
    </row>
    <row r="40" spans="1:4" x14ac:dyDescent="0.2">
      <c r="A40">
        <v>40</v>
      </c>
      <c r="B40" t="s">
        <v>62</v>
      </c>
      <c r="C40">
        <v>40</v>
      </c>
      <c r="D40" t="str">
        <v>An Giang</v>
      </c>
    </row>
    <row r="41" spans="1:4" x14ac:dyDescent="0.2">
      <c r="A41">
        <v>41</v>
      </c>
      <c r="B41" t="s">
        <v>60</v>
      </c>
      <c r="C41">
        <v>41</v>
      </c>
      <c r="D41" t="str">
        <v>Nam Định</v>
      </c>
    </row>
    <row r="42" spans="1:4" x14ac:dyDescent="0.2">
      <c r="A42">
        <v>42</v>
      </c>
      <c r="B42" t="s">
        <v>57</v>
      </c>
      <c r="C42">
        <v>42</v>
      </c>
      <c r="D42" t="str">
        <v>Bến Tre</v>
      </c>
    </row>
    <row r="43" spans="1:4" x14ac:dyDescent="0.2">
      <c r="A43">
        <v>43</v>
      </c>
      <c r="B43" t="s">
        <v>58</v>
      </c>
      <c r="C43">
        <v>43</v>
      </c>
      <c r="D43" t="str">
        <v>Hà Tĩnh</v>
      </c>
    </row>
    <row r="44" spans="1:4" x14ac:dyDescent="0.2">
      <c r="A44">
        <v>44</v>
      </c>
      <c r="B44" t="s">
        <v>83</v>
      </c>
      <c r="C44">
        <v>44</v>
      </c>
      <c r="D44" t="str">
        <v>Lâm Đồng</v>
      </c>
    </row>
    <row r="45" spans="1:4" x14ac:dyDescent="0.2">
      <c r="A45">
        <v>45</v>
      </c>
      <c r="B45" t="s">
        <v>73</v>
      </c>
      <c r="C45">
        <v>45</v>
      </c>
      <c r="D45" t="str">
        <v>Kiên Giang</v>
      </c>
    </row>
    <row r="46" spans="1:4" x14ac:dyDescent="0.2">
      <c r="A46">
        <v>46</v>
      </c>
      <c r="B46" t="s">
        <v>87</v>
      </c>
      <c r="C46">
        <v>46</v>
      </c>
      <c r="D46" t="str">
        <v>Quảng Trị</v>
      </c>
    </row>
    <row r="47" spans="1:4" x14ac:dyDescent="0.2">
      <c r="A47">
        <v>47</v>
      </c>
      <c r="B47" t="s">
        <v>85</v>
      </c>
      <c r="C47">
        <v>47</v>
      </c>
      <c r="D47" t="str">
        <v>Tuyên Quang</v>
      </c>
    </row>
    <row r="48" spans="1:4" x14ac:dyDescent="0.2">
      <c r="A48">
        <v>48</v>
      </c>
      <c r="B48" t="s">
        <v>82</v>
      </c>
      <c r="C48">
        <v>48</v>
      </c>
      <c r="D48" t="str">
        <v>Đồng Tháp</v>
      </c>
    </row>
    <row r="49" spans="1:4" x14ac:dyDescent="0.2">
      <c r="A49">
        <v>49</v>
      </c>
      <c r="B49" t="s">
        <v>65</v>
      </c>
      <c r="C49">
        <v>49</v>
      </c>
      <c r="D49" t="str">
        <v>Yên Bái</v>
      </c>
    </row>
    <row r="50" spans="1:4" x14ac:dyDescent="0.2">
      <c r="A50">
        <v>50</v>
      </c>
      <c r="B50" t="s">
        <v>120</v>
      </c>
      <c r="C50">
        <v>50</v>
      </c>
      <c r="D50" t="str">
        <v>Kon Tum</v>
      </c>
    </row>
    <row r="51" spans="1:4" x14ac:dyDescent="0.2">
      <c r="A51">
        <v>51</v>
      </c>
      <c r="B51" t="s">
        <v>89</v>
      </c>
      <c r="C51">
        <v>51</v>
      </c>
      <c r="D51" t="str">
        <v>Bắc Kạn</v>
      </c>
    </row>
    <row r="52" spans="1:4" x14ac:dyDescent="0.2">
      <c r="A52">
        <v>52</v>
      </c>
      <c r="B52" t="s">
        <v>74</v>
      </c>
      <c r="C52">
        <v>52</v>
      </c>
      <c r="D52" t="str">
        <v>Đăk Lăk</v>
      </c>
    </row>
    <row r="53" spans="1:4" x14ac:dyDescent="0.2">
      <c r="A53">
        <v>53</v>
      </c>
      <c r="B53" t="s">
        <v>119</v>
      </c>
      <c r="C53">
        <v>53</v>
      </c>
      <c r="D53" t="str">
        <v>Lạng Sơn</v>
      </c>
    </row>
    <row r="54" spans="1:4" x14ac:dyDescent="0.2">
      <c r="A54">
        <v>54</v>
      </c>
      <c r="B54" t="s">
        <v>136</v>
      </c>
      <c r="C54">
        <v>54</v>
      </c>
      <c r="D54" t="str">
        <v>Điện Biên</v>
      </c>
    </row>
    <row r="55" spans="1:4" x14ac:dyDescent="0.2">
      <c r="A55">
        <v>55</v>
      </c>
      <c r="B55" t="s">
        <v>117</v>
      </c>
      <c r="C55">
        <v>55</v>
      </c>
      <c r="D55" t="str">
        <v>Lào Cai</v>
      </c>
    </row>
    <row r="56" spans="1:4" x14ac:dyDescent="0.2">
      <c r="A56">
        <v>56</v>
      </c>
      <c r="B56" t="s">
        <v>78</v>
      </c>
      <c r="C56">
        <v>56</v>
      </c>
      <c r="D56" t="str">
        <v>Quảng Bình</v>
      </c>
    </row>
    <row r="57" spans="1:4" x14ac:dyDescent="0.2">
      <c r="A57">
        <v>57</v>
      </c>
      <c r="B57" t="s">
        <v>118</v>
      </c>
      <c r="C57">
        <v>57</v>
      </c>
      <c r="D57" t="str">
        <v>Hà Giang</v>
      </c>
    </row>
    <row r="58" spans="1:4" x14ac:dyDescent="0.2">
      <c r="A58">
        <v>58</v>
      </c>
      <c r="B58" t="s">
        <v>134</v>
      </c>
      <c r="C58">
        <v>58</v>
      </c>
      <c r="D58" t="str">
        <v>Sơn La</v>
      </c>
    </row>
    <row r="59" spans="1:4" x14ac:dyDescent="0.2">
      <c r="A59">
        <v>59</v>
      </c>
      <c r="B59" t="s">
        <v>121</v>
      </c>
      <c r="C59">
        <v>59</v>
      </c>
      <c r="D59" t="str">
        <v>Đăk Nông</v>
      </c>
    </row>
    <row r="60" spans="1:4" x14ac:dyDescent="0.2">
      <c r="A60">
        <v>60</v>
      </c>
      <c r="B60" t="s">
        <v>135</v>
      </c>
      <c r="C60">
        <v>60</v>
      </c>
      <c r="D60" t="str">
        <v>Cao Bằng</v>
      </c>
    </row>
    <row r="61" spans="1:4" x14ac:dyDescent="0.2">
      <c r="A61">
        <v>61</v>
      </c>
      <c r="B61" t="s">
        <v>150</v>
      </c>
      <c r="C61">
        <v>61</v>
      </c>
      <c r="D61" t="str">
        <v>Lai Châu</v>
      </c>
    </row>
    <row r="62" spans="1:4" x14ac:dyDescent="0.2">
      <c r="A62">
        <v>62</v>
      </c>
      <c r="B62" t="s">
        <v>86</v>
      </c>
      <c r="C62">
        <v>62</v>
      </c>
      <c r="D62" t="str">
        <v>Hòa Bình</v>
      </c>
    </row>
    <row r="63" spans="1:4" x14ac:dyDescent="0.2">
      <c r="A63" s="95">
        <v>1</v>
      </c>
      <c r="B63" s="96" t="s">
        <v>37</v>
      </c>
      <c r="C63">
        <v>63</v>
      </c>
      <c r="D63" t="str">
        <v>Gia Lai</v>
      </c>
    </row>
    <row r="64" spans="1:4" x14ac:dyDescent="0.2">
      <c r="A64" s="97">
        <v>2</v>
      </c>
      <c r="B64" s="92" t="s">
        <v>84</v>
      </c>
      <c r="C64">
        <v>64</v>
      </c>
      <c r="D64">
        <v>0</v>
      </c>
    </row>
    <row r="65" spans="1:3" x14ac:dyDescent="0.2">
      <c r="A65" s="97">
        <v>3</v>
      </c>
      <c r="B65" s="98" t="s">
        <v>42</v>
      </c>
      <c r="C65">
        <v>65</v>
      </c>
    </row>
    <row r="66" spans="1:3" x14ac:dyDescent="0.2">
      <c r="A66" s="97">
        <v>4</v>
      </c>
      <c r="B66" s="98" t="s">
        <v>44</v>
      </c>
      <c r="C66">
        <v>66</v>
      </c>
    </row>
    <row r="67" spans="1:3" x14ac:dyDescent="0.2">
      <c r="A67" s="97">
        <v>5</v>
      </c>
      <c r="B67" s="98" t="s">
        <v>39</v>
      </c>
      <c r="C67">
        <v>67</v>
      </c>
    </row>
    <row r="68" spans="1:3" x14ac:dyDescent="0.2">
      <c r="A68" s="97">
        <v>6</v>
      </c>
      <c r="B68" s="98" t="s">
        <v>43</v>
      </c>
      <c r="C68">
        <v>68</v>
      </c>
    </row>
    <row r="69" spans="1:3" x14ac:dyDescent="0.2">
      <c r="A69" s="97">
        <v>7</v>
      </c>
      <c r="B69" s="98" t="s">
        <v>41</v>
      </c>
      <c r="C69">
        <v>69</v>
      </c>
    </row>
    <row r="70" spans="1:3" x14ac:dyDescent="0.2">
      <c r="A70" s="97">
        <v>8</v>
      </c>
      <c r="B70" s="98" t="s">
        <v>38</v>
      </c>
      <c r="C70">
        <v>70</v>
      </c>
    </row>
    <row r="71" spans="1:3" x14ac:dyDescent="0.2">
      <c r="A71" s="97">
        <v>9</v>
      </c>
      <c r="B71" s="98" t="s">
        <v>47</v>
      </c>
      <c r="C71">
        <v>71</v>
      </c>
    </row>
    <row r="72" spans="1:3" x14ac:dyDescent="0.2">
      <c r="A72" s="97">
        <v>10</v>
      </c>
      <c r="B72" s="98" t="s">
        <v>45</v>
      </c>
      <c r="C72">
        <v>72</v>
      </c>
    </row>
    <row r="73" spans="1:3" x14ac:dyDescent="0.2">
      <c r="A73" s="97">
        <v>11</v>
      </c>
      <c r="B73" s="98" t="s">
        <v>51</v>
      </c>
      <c r="C73">
        <v>73</v>
      </c>
    </row>
    <row r="74" spans="1:3" x14ac:dyDescent="0.2">
      <c r="A74" s="97">
        <v>12</v>
      </c>
      <c r="B74" s="98" t="s">
        <v>57</v>
      </c>
      <c r="C74">
        <v>74</v>
      </c>
    </row>
    <row r="75" spans="1:3" x14ac:dyDescent="0.2">
      <c r="A75" s="97">
        <v>13</v>
      </c>
      <c r="B75" s="98" t="s">
        <v>46</v>
      </c>
      <c r="C75">
        <v>75</v>
      </c>
    </row>
    <row r="76" spans="1:3" x14ac:dyDescent="0.2">
      <c r="A76" s="97">
        <v>14</v>
      </c>
      <c r="B76" s="98" t="s">
        <v>50</v>
      </c>
      <c r="C76">
        <v>76</v>
      </c>
    </row>
    <row r="77" spans="1:3" x14ac:dyDescent="0.2">
      <c r="A77" s="97">
        <v>15</v>
      </c>
      <c r="B77" s="98" t="s">
        <v>49</v>
      </c>
      <c r="C77">
        <v>77</v>
      </c>
    </row>
    <row r="78" spans="1:3" x14ac:dyDescent="0.2">
      <c r="A78" s="97">
        <v>16</v>
      </c>
      <c r="B78" s="92" t="s">
        <v>48</v>
      </c>
      <c r="C78">
        <v>78</v>
      </c>
    </row>
    <row r="79" spans="1:3" x14ac:dyDescent="0.2">
      <c r="A79" s="97">
        <v>17</v>
      </c>
      <c r="B79" s="98" t="s">
        <v>52</v>
      </c>
      <c r="C79">
        <v>79</v>
      </c>
    </row>
    <row r="80" spans="1:3" x14ac:dyDescent="0.2">
      <c r="A80" s="97">
        <v>18</v>
      </c>
      <c r="B80" s="98" t="s">
        <v>55</v>
      </c>
      <c r="C80">
        <v>80</v>
      </c>
    </row>
    <row r="81" spans="1:3" x14ac:dyDescent="0.2">
      <c r="A81" s="97">
        <v>19</v>
      </c>
      <c r="B81" s="98" t="s">
        <v>53</v>
      </c>
      <c r="C81">
        <v>81</v>
      </c>
    </row>
    <row r="82" spans="1:3" x14ac:dyDescent="0.2">
      <c r="A82" s="97">
        <v>20</v>
      </c>
      <c r="B82" s="98" t="s">
        <v>70</v>
      </c>
      <c r="C82">
        <v>82</v>
      </c>
    </row>
    <row r="83" spans="1:3" x14ac:dyDescent="0.2">
      <c r="A83" s="97">
        <v>21</v>
      </c>
      <c r="B83" s="98" t="s">
        <v>61</v>
      </c>
      <c r="C83">
        <v>83</v>
      </c>
    </row>
    <row r="84" spans="1:3" x14ac:dyDescent="0.2">
      <c r="A84" s="97">
        <v>22</v>
      </c>
      <c r="B84" s="98" t="s">
        <v>78</v>
      </c>
      <c r="C84">
        <v>84</v>
      </c>
    </row>
    <row r="85" spans="1:3" x14ac:dyDescent="0.2">
      <c r="A85" s="97">
        <v>23</v>
      </c>
      <c r="B85" s="98" t="s">
        <v>81</v>
      </c>
      <c r="C85">
        <v>85</v>
      </c>
    </row>
    <row r="86" spans="1:3" x14ac:dyDescent="0.2">
      <c r="A86" s="97">
        <v>24</v>
      </c>
      <c r="B86" s="98" t="s">
        <v>69</v>
      </c>
      <c r="C86">
        <v>86</v>
      </c>
    </row>
    <row r="87" spans="1:3" x14ac:dyDescent="0.2">
      <c r="A87" s="97">
        <v>25</v>
      </c>
      <c r="B87" s="99" t="s">
        <v>56</v>
      </c>
      <c r="C87">
        <v>87</v>
      </c>
    </row>
    <row r="88" spans="1:3" x14ac:dyDescent="0.2">
      <c r="A88" s="97">
        <v>26</v>
      </c>
      <c r="B88" s="98" t="s">
        <v>63</v>
      </c>
      <c r="C88">
        <v>88</v>
      </c>
    </row>
    <row r="89" spans="1:3" x14ac:dyDescent="0.2">
      <c r="A89" s="97">
        <v>27</v>
      </c>
      <c r="B89" s="98" t="s">
        <v>121</v>
      </c>
      <c r="C89">
        <v>89</v>
      </c>
    </row>
    <row r="90" spans="1:3" x14ac:dyDescent="0.2">
      <c r="A90" s="97">
        <v>28</v>
      </c>
      <c r="B90" s="98" t="s">
        <v>76</v>
      </c>
      <c r="C90">
        <v>90</v>
      </c>
    </row>
    <row r="91" spans="1:3" x14ac:dyDescent="0.2">
      <c r="A91" s="97">
        <v>29</v>
      </c>
      <c r="B91" s="98" t="s">
        <v>40</v>
      </c>
      <c r="C91">
        <v>91</v>
      </c>
    </row>
    <row r="92" spans="1:3" x14ac:dyDescent="0.2">
      <c r="A92" s="97">
        <v>30</v>
      </c>
      <c r="B92" s="98" t="s">
        <v>71</v>
      </c>
      <c r="C92">
        <v>92</v>
      </c>
    </row>
    <row r="93" spans="1:3" x14ac:dyDescent="0.2">
      <c r="A93" s="97">
        <v>31</v>
      </c>
      <c r="B93" s="92" t="s">
        <v>64</v>
      </c>
      <c r="C93">
        <v>93</v>
      </c>
    </row>
    <row r="94" spans="1:3" x14ac:dyDescent="0.2">
      <c r="A94" s="97">
        <v>32</v>
      </c>
      <c r="B94" s="98" t="s">
        <v>60</v>
      </c>
      <c r="C94">
        <v>94</v>
      </c>
    </row>
    <row r="95" spans="1:3" x14ac:dyDescent="0.2">
      <c r="A95" s="97">
        <v>33</v>
      </c>
      <c r="B95" s="98" t="s">
        <v>68</v>
      </c>
      <c r="C95">
        <v>95</v>
      </c>
    </row>
    <row r="96" spans="1:3" x14ac:dyDescent="0.2">
      <c r="A96" s="97">
        <v>34</v>
      </c>
      <c r="B96" s="99" t="s">
        <v>67</v>
      </c>
      <c r="C96">
        <v>96</v>
      </c>
    </row>
    <row r="97" spans="1:3" x14ac:dyDescent="0.2">
      <c r="A97" s="97">
        <v>35</v>
      </c>
      <c r="B97" s="98" t="s">
        <v>80</v>
      </c>
      <c r="C97">
        <v>97</v>
      </c>
    </row>
    <row r="98" spans="1:3" x14ac:dyDescent="0.2">
      <c r="A98" s="97">
        <v>36</v>
      </c>
      <c r="B98" s="98" t="s">
        <v>66</v>
      </c>
      <c r="C98">
        <v>98</v>
      </c>
    </row>
    <row r="99" spans="1:3" x14ac:dyDescent="0.2">
      <c r="A99" s="97">
        <v>37</v>
      </c>
      <c r="B99" s="98" t="s">
        <v>77</v>
      </c>
      <c r="C99">
        <v>99</v>
      </c>
    </row>
    <row r="100" spans="1:3" x14ac:dyDescent="0.2">
      <c r="A100" s="97">
        <v>38</v>
      </c>
      <c r="B100" s="98" t="s">
        <v>59</v>
      </c>
      <c r="C100">
        <v>100</v>
      </c>
    </row>
    <row r="101" spans="1:3" x14ac:dyDescent="0.2">
      <c r="A101" s="97">
        <v>39</v>
      </c>
      <c r="B101" s="98" t="s">
        <v>133</v>
      </c>
      <c r="C101">
        <v>101</v>
      </c>
    </row>
    <row r="102" spans="1:3" x14ac:dyDescent="0.2">
      <c r="A102" s="97">
        <v>40</v>
      </c>
      <c r="B102" s="98" t="s">
        <v>86</v>
      </c>
      <c r="C102">
        <v>102</v>
      </c>
    </row>
    <row r="103" spans="1:3" x14ac:dyDescent="0.2">
      <c r="A103" s="97">
        <v>41</v>
      </c>
      <c r="B103" s="98" t="s">
        <v>87</v>
      </c>
      <c r="C103">
        <v>103</v>
      </c>
    </row>
    <row r="104" spans="1:3" x14ac:dyDescent="0.2">
      <c r="A104" s="97">
        <v>42</v>
      </c>
      <c r="B104" s="98" t="s">
        <v>83</v>
      </c>
      <c r="C104">
        <v>104</v>
      </c>
    </row>
    <row r="105" spans="1:3" x14ac:dyDescent="0.2">
      <c r="A105" s="97">
        <v>43</v>
      </c>
      <c r="B105" s="98" t="s">
        <v>82</v>
      </c>
      <c r="C105">
        <v>105</v>
      </c>
    </row>
    <row r="106" spans="1:3" x14ac:dyDescent="0.2">
      <c r="A106" s="97">
        <v>44</v>
      </c>
      <c r="B106" s="98" t="s">
        <v>58</v>
      </c>
      <c r="C106">
        <v>106</v>
      </c>
    </row>
    <row r="107" spans="1:3" x14ac:dyDescent="0.2">
      <c r="A107" s="97">
        <v>45</v>
      </c>
      <c r="B107" s="98" t="s">
        <v>73</v>
      </c>
      <c r="C107">
        <v>107</v>
      </c>
    </row>
    <row r="108" spans="1:3" x14ac:dyDescent="0.2">
      <c r="A108" s="97">
        <v>46</v>
      </c>
      <c r="B108" s="98" t="s">
        <v>85</v>
      </c>
      <c r="C108">
        <v>108</v>
      </c>
    </row>
    <row r="109" spans="1:3" x14ac:dyDescent="0.2">
      <c r="A109" s="97">
        <v>47</v>
      </c>
      <c r="B109" s="98" t="s">
        <v>122</v>
      </c>
      <c r="C109">
        <v>109</v>
      </c>
    </row>
    <row r="110" spans="1:3" x14ac:dyDescent="0.2">
      <c r="A110" s="97">
        <v>48</v>
      </c>
      <c r="B110" s="99" t="s">
        <v>65</v>
      </c>
      <c r="C110">
        <v>110</v>
      </c>
    </row>
    <row r="111" spans="1:3" x14ac:dyDescent="0.2">
      <c r="A111" s="97">
        <v>49</v>
      </c>
      <c r="B111" s="98" t="s">
        <v>117</v>
      </c>
      <c r="C111">
        <v>111</v>
      </c>
    </row>
    <row r="112" spans="1:3" x14ac:dyDescent="0.2">
      <c r="A112" s="97">
        <v>50</v>
      </c>
      <c r="B112" s="98" t="s">
        <v>62</v>
      </c>
      <c r="C112">
        <v>112</v>
      </c>
    </row>
    <row r="113" spans="1:3" x14ac:dyDescent="0.2">
      <c r="A113" s="97">
        <v>51</v>
      </c>
      <c r="B113" s="98" t="s">
        <v>75</v>
      </c>
      <c r="C113">
        <v>113</v>
      </c>
    </row>
    <row r="114" spans="1:3" x14ac:dyDescent="0.2">
      <c r="A114" s="97">
        <v>52</v>
      </c>
      <c r="B114" s="98" t="s">
        <v>74</v>
      </c>
      <c r="C114">
        <v>114</v>
      </c>
    </row>
    <row r="115" spans="1:3" x14ac:dyDescent="0.2">
      <c r="A115" s="97">
        <v>53</v>
      </c>
      <c r="B115" s="98" t="s">
        <v>134</v>
      </c>
      <c r="C115">
        <v>115</v>
      </c>
    </row>
    <row r="116" spans="1:3" x14ac:dyDescent="0.2">
      <c r="A116" s="97">
        <v>54</v>
      </c>
      <c r="B116" s="98" t="s">
        <v>72</v>
      </c>
      <c r="C116">
        <v>116</v>
      </c>
    </row>
    <row r="117" spans="1:3" x14ac:dyDescent="0.2">
      <c r="A117" s="97">
        <v>55</v>
      </c>
      <c r="B117" s="98" t="s">
        <v>120</v>
      </c>
      <c r="C117">
        <v>117</v>
      </c>
    </row>
    <row r="118" spans="1:3" x14ac:dyDescent="0.2">
      <c r="A118" s="97">
        <v>56</v>
      </c>
      <c r="B118" s="98" t="s">
        <v>136</v>
      </c>
      <c r="C118">
        <v>118</v>
      </c>
    </row>
    <row r="119" spans="1:3" x14ac:dyDescent="0.2">
      <c r="A119" s="97">
        <v>57</v>
      </c>
      <c r="B119" s="98" t="s">
        <v>135</v>
      </c>
    </row>
    <row r="120" spans="1:3" x14ac:dyDescent="0.2">
      <c r="A120" s="97">
        <v>59</v>
      </c>
      <c r="B120" s="98" t="s">
        <v>54</v>
      </c>
    </row>
    <row r="121" spans="1:3" x14ac:dyDescent="0.2">
      <c r="A121" s="97">
        <v>60</v>
      </c>
      <c r="B121" s="98" t="s">
        <v>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1F8BF-68E2-D249-B246-78B947E8DA06}">
  <dimension ref="A1:AD65"/>
  <sheetViews>
    <sheetView tabSelected="1" topLeftCell="B1" zoomScale="106" workbookViewId="0">
      <selection activeCell="B11" sqref="A11:B11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0" width="11.5" bestFit="1" customWidth="1"/>
    <col min="11" max="11" width="12.83203125" bestFit="1" customWidth="1"/>
    <col min="12" max="12" width="12.5" bestFit="1" customWidth="1"/>
    <col min="14" max="14" width="17.5" customWidth="1"/>
    <col min="15" max="15" width="19.33203125" customWidth="1"/>
    <col min="17" max="17" width="14.83203125" bestFit="1" customWidth="1"/>
    <col min="19" max="19" width="14.6640625" bestFit="1" customWidth="1"/>
    <col min="22" max="22" width="13.6640625" bestFit="1" customWidth="1"/>
    <col min="26" max="26" width="12" bestFit="1" customWidth="1"/>
  </cols>
  <sheetData>
    <row r="1" spans="1:30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</row>
    <row r="2" spans="1:30" x14ac:dyDescent="0.2">
      <c r="A2" s="5"/>
      <c r="B2" s="2"/>
      <c r="C2" s="18"/>
      <c r="D2" s="18"/>
      <c r="E2" s="19"/>
      <c r="F2" s="3"/>
      <c r="G2" s="18"/>
      <c r="H2" s="19"/>
      <c r="I2" s="18"/>
    </row>
    <row r="3" spans="1:30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P3" s="15" t="s">
        <v>32</v>
      </c>
      <c r="Q3" s="15"/>
      <c r="R3" s="15"/>
      <c r="S3" s="15"/>
      <c r="T3" s="15"/>
      <c r="U3" s="15"/>
      <c r="V3" s="15"/>
      <c r="W3" s="15"/>
      <c r="X3" s="15"/>
    </row>
    <row r="4" spans="1:30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P4" s="16" t="s">
        <v>1</v>
      </c>
      <c r="Q4" s="16"/>
      <c r="R4" s="16"/>
      <c r="S4" s="16"/>
      <c r="T4" s="16"/>
      <c r="U4" s="16"/>
      <c r="V4" s="16"/>
      <c r="W4" s="16"/>
      <c r="X4" s="16"/>
    </row>
    <row r="5" spans="1:30" x14ac:dyDescent="0.2">
      <c r="A5" s="1"/>
      <c r="B5" s="1"/>
      <c r="C5" s="1"/>
      <c r="D5" s="1"/>
      <c r="E5" s="1"/>
      <c r="F5" s="1"/>
      <c r="G5" s="1"/>
      <c r="H5" s="1"/>
      <c r="I5" s="1"/>
      <c r="J5" s="20"/>
      <c r="K5" t="s">
        <v>92</v>
      </c>
      <c r="L5" t="s">
        <v>93</v>
      </c>
      <c r="M5" t="s">
        <v>94</v>
      </c>
      <c r="N5" t="s">
        <v>101</v>
      </c>
      <c r="P5" s="1"/>
      <c r="Q5" s="1"/>
      <c r="R5" s="1"/>
      <c r="S5" s="1"/>
      <c r="T5" s="1"/>
      <c r="U5" s="1"/>
      <c r="V5" s="1"/>
      <c r="W5" s="1"/>
      <c r="X5" s="1"/>
      <c r="Z5" s="20"/>
      <c r="AA5" t="s">
        <v>92</v>
      </c>
      <c r="AB5" t="s">
        <v>93</v>
      </c>
      <c r="AC5" t="s">
        <v>94</v>
      </c>
      <c r="AD5" t="s">
        <v>101</v>
      </c>
    </row>
    <row r="6" spans="1:30" x14ac:dyDescent="0.2">
      <c r="A6" s="1"/>
      <c r="B6" s="1"/>
      <c r="C6" s="1"/>
      <c r="D6" s="1"/>
      <c r="E6" s="1"/>
      <c r="F6" s="1"/>
      <c r="G6" s="1"/>
      <c r="H6" s="1"/>
      <c r="I6" s="1"/>
      <c r="J6" s="50" t="s">
        <v>90</v>
      </c>
      <c r="K6" s="18" t="s">
        <v>91</v>
      </c>
      <c r="L6" t="s">
        <v>95</v>
      </c>
      <c r="M6" t="s">
        <v>96</v>
      </c>
      <c r="N6" t="str">
        <f>_xlfn.CONCAT("'",K6,L6,"'","!",M6)</f>
        <v>'[FDI.2015.xls]Thang 12 2015'!$C$7:$I$25</v>
      </c>
      <c r="P6" s="1"/>
      <c r="Q6" s="1"/>
      <c r="R6" s="1"/>
      <c r="S6" s="1"/>
      <c r="T6" s="1"/>
      <c r="U6" s="1"/>
      <c r="V6" s="1"/>
      <c r="W6" s="1"/>
      <c r="X6" s="1"/>
      <c r="Z6" s="50" t="s">
        <v>90</v>
      </c>
      <c r="AA6" s="18" t="s">
        <v>91</v>
      </c>
      <c r="AB6" t="s">
        <v>95</v>
      </c>
      <c r="AC6" t="s">
        <v>103</v>
      </c>
      <c r="AD6" t="str">
        <f>_xlfn.CONCAT("'",AA6,AB6,"'","!",AC6)</f>
        <v>'[FDI.2015.xls]Thang 12 2015'!$C$112:$I$164</v>
      </c>
    </row>
    <row r="7" spans="1:30" x14ac:dyDescent="0.2">
      <c r="A7" s="1"/>
      <c r="B7" s="1"/>
      <c r="C7" s="1"/>
      <c r="D7" s="1"/>
      <c r="E7" s="1"/>
      <c r="F7" s="1"/>
      <c r="G7" s="1"/>
      <c r="H7" s="1"/>
      <c r="I7" s="1"/>
      <c r="J7" s="50" t="s">
        <v>98</v>
      </c>
      <c r="K7" s="18" t="str">
        <f>K6</f>
        <v>[FDI.2015.xls]</v>
      </c>
      <c r="L7" t="str">
        <f>L6</f>
        <v>Thang 12 2015</v>
      </c>
      <c r="M7" t="s">
        <v>99</v>
      </c>
      <c r="N7" t="str">
        <f>_xlfn.CONCAT("'",K7,L7,"'","!",M7)</f>
        <v>'[FDI.2015.xls]Thang 12 2015'!$B$7:$B$25</v>
      </c>
      <c r="P7" s="1"/>
      <c r="Q7" s="1"/>
      <c r="R7" s="1"/>
      <c r="S7" s="1"/>
      <c r="T7" s="1"/>
      <c r="U7" s="1"/>
      <c r="V7" s="1"/>
      <c r="W7" s="1"/>
      <c r="X7" s="1"/>
      <c r="Z7" s="50" t="s">
        <v>98</v>
      </c>
      <c r="AA7" s="18" t="str">
        <f>AA6</f>
        <v>[FDI.2015.xls]</v>
      </c>
      <c r="AB7" t="str">
        <f>AB6</f>
        <v>Thang 12 2015</v>
      </c>
      <c r="AC7" t="s">
        <v>104</v>
      </c>
      <c r="AD7" t="str">
        <f>_xlfn.CONCAT("'",AA7,AB7,"'","!",AC7)</f>
        <v>'[FDI.2015.xls]Thang 12 2015'!$B$112:$B$164</v>
      </c>
    </row>
    <row r="8" spans="1:30" x14ac:dyDescent="0.2">
      <c r="A8" s="1"/>
      <c r="B8" s="1"/>
      <c r="C8" s="1"/>
      <c r="D8" s="1"/>
      <c r="E8" s="1"/>
      <c r="F8" s="1"/>
      <c r="G8" s="1"/>
      <c r="H8" s="1"/>
      <c r="I8" s="1"/>
      <c r="J8" s="50" t="s">
        <v>102</v>
      </c>
      <c r="K8" s="18" t="str">
        <f>K6</f>
        <v>[FDI.2015.xls]</v>
      </c>
      <c r="L8" t="str">
        <f>L6</f>
        <v>Thang 12 2015</v>
      </c>
      <c r="M8" t="s">
        <v>100</v>
      </c>
      <c r="N8" t="str">
        <f>_xlfn.CONCAT("'",K8,L8,"'","!",M8)</f>
        <v>'[FDI.2015.xls]Thang 12 2015'!$C$6:$I$6</v>
      </c>
      <c r="P8" s="1"/>
      <c r="Q8" s="1"/>
      <c r="R8" s="1"/>
      <c r="S8" s="1"/>
      <c r="T8" s="1"/>
      <c r="U8" s="1"/>
      <c r="V8" s="1"/>
      <c r="W8" s="1"/>
      <c r="X8" s="1"/>
      <c r="Z8" s="50" t="s">
        <v>102</v>
      </c>
      <c r="AA8" s="18" t="str">
        <f>AA6</f>
        <v>[FDI.2015.xls]</v>
      </c>
      <c r="AB8" t="str">
        <f>AB6</f>
        <v>Thang 12 2015</v>
      </c>
      <c r="AC8" t="s">
        <v>105</v>
      </c>
      <c r="AD8" t="str">
        <f>_xlfn.CONCAT("'",AA8,AB8,"'","!",AC8)</f>
        <v>'[FDI.2015.xls]Thang 12 2015'!$C$111:$I$111</v>
      </c>
    </row>
    <row r="9" spans="1:30" ht="17" thickBot="1" x14ac:dyDescent="0.25">
      <c r="A9" s="5"/>
      <c r="B9" s="2"/>
      <c r="C9" s="18"/>
      <c r="D9" s="18"/>
      <c r="E9" s="19"/>
      <c r="F9" s="3"/>
      <c r="G9" s="18"/>
      <c r="H9" s="19"/>
      <c r="I9" s="18"/>
      <c r="J9" s="18"/>
      <c r="K9" s="18"/>
      <c r="P9" s="5"/>
      <c r="Q9" s="2"/>
      <c r="R9" s="6"/>
      <c r="S9" s="6"/>
      <c r="T9" s="4"/>
      <c r="U9" s="3"/>
      <c r="V9" s="6"/>
      <c r="W9" s="4"/>
      <c r="X9" s="6"/>
    </row>
    <row r="10" spans="1:30" ht="71" thickTop="1" x14ac:dyDescent="0.2">
      <c r="A10" s="8" t="s">
        <v>2</v>
      </c>
      <c r="B10" s="21" t="s">
        <v>3</v>
      </c>
      <c r="C10" s="22" t="s">
        <v>27</v>
      </c>
      <c r="D10" s="22" t="s">
        <v>28</v>
      </c>
      <c r="E10" s="23" t="s">
        <v>29</v>
      </c>
      <c r="F10" s="24" t="s">
        <v>4</v>
      </c>
      <c r="G10" s="22" t="s">
        <v>30</v>
      </c>
      <c r="H10" s="23" t="s">
        <v>5</v>
      </c>
      <c r="I10" s="25" t="s">
        <v>31</v>
      </c>
      <c r="J10" s="48"/>
      <c r="K10" s="48"/>
      <c r="P10" s="8" t="s">
        <v>2</v>
      </c>
      <c r="Q10" s="9" t="s">
        <v>33</v>
      </c>
      <c r="R10" s="36" t="s">
        <v>34</v>
      </c>
      <c r="S10" s="36" t="s">
        <v>35</v>
      </c>
      <c r="T10" s="11" t="s">
        <v>29</v>
      </c>
      <c r="U10" s="10" t="s">
        <v>4</v>
      </c>
      <c r="V10" s="36" t="s">
        <v>36</v>
      </c>
      <c r="W10" s="11" t="s">
        <v>5</v>
      </c>
      <c r="X10" s="12" t="s">
        <v>6</v>
      </c>
    </row>
    <row r="11" spans="1:30" ht="57" x14ac:dyDescent="0.2">
      <c r="A11" s="26">
        <v>1</v>
      </c>
      <c r="B11" s="27" t="s">
        <v>7</v>
      </c>
      <c r="C11" s="28" t="e">
        <f ca="1">INDEX(INDIRECT($N$6),
       MATCH(TRIM($B11), INDIRECT($N$7), 0),
       MATCH(TRIM(C$10), INDIRECT($N$8), 0))</f>
        <v>#REF!</v>
      </c>
      <c r="D11" s="28" t="e">
        <f t="shared" ref="D11:I26" ca="1" si="0">INDEX(INDIRECT($N$6),
       MATCH(TRIM($B11), INDIRECT($N$7), 0),
       MATCH(TRIM(D$10), INDIRECT($N$8), 0))</f>
        <v>#REF!</v>
      </c>
      <c r="E11" s="28" t="e">
        <f t="shared" ca="1" si="0"/>
        <v>#REF!</v>
      </c>
      <c r="F11" s="28" t="e">
        <f t="shared" ca="1" si="0"/>
        <v>#REF!</v>
      </c>
      <c r="G11" s="28" t="e">
        <f t="shared" ca="1" si="0"/>
        <v>#REF!</v>
      </c>
      <c r="H11" s="28" t="e">
        <f t="shared" ca="1" si="0"/>
        <v>#REF!</v>
      </c>
      <c r="I11" s="28" t="e">
        <f t="shared" ca="1" si="0"/>
        <v>#REF!</v>
      </c>
      <c r="J11" s="49"/>
      <c r="K11" s="49"/>
      <c r="P11" s="13">
        <v>1</v>
      </c>
      <c r="Q11" s="14" t="s">
        <v>37</v>
      </c>
      <c r="R11" s="14" t="e">
        <f ca="1">INDEX(INDIRECT($AD$6),
       MATCH(TRIM($Q11), INDIRECT($AD$7), 0),
       MATCH(TRIM(R$10), INDIRECT($AD$8), 0))</f>
        <v>#REF!</v>
      </c>
      <c r="S11" s="14" t="e">
        <f t="shared" ref="S11:X26" ca="1" si="1">INDEX(INDIRECT($AD$6),
       MATCH(TRIM($Q11), INDIRECT($AD$7), 0),
       MATCH(TRIM(S$10), INDIRECT($AD$8), 0))</f>
        <v>#REF!</v>
      </c>
      <c r="T11" s="14" t="e">
        <f t="shared" ca="1" si="1"/>
        <v>#REF!</v>
      </c>
      <c r="U11" s="14" t="e">
        <f t="shared" ca="1" si="1"/>
        <v>#REF!</v>
      </c>
      <c r="V11" s="14" t="e">
        <f t="shared" ca="1" si="1"/>
        <v>#REF!</v>
      </c>
      <c r="W11" s="14" t="e">
        <f t="shared" ca="1" si="1"/>
        <v>#REF!</v>
      </c>
      <c r="X11" s="14" t="e">
        <f t="shared" ca="1" si="1"/>
        <v>#REF!</v>
      </c>
    </row>
    <row r="12" spans="1:30" ht="71" x14ac:dyDescent="0.2">
      <c r="A12" s="26">
        <v>2</v>
      </c>
      <c r="B12" s="27" t="s">
        <v>8</v>
      </c>
      <c r="C12" s="28" t="e">
        <f t="shared" ref="C12:I29" ca="1" si="2">INDEX(INDIRECT($N$6),
       MATCH(TRIM($B12), INDIRECT($N$7), 0),
       MATCH(TRIM(C$10), INDIRECT($N$8), 0))</f>
        <v>#REF!</v>
      </c>
      <c r="D12" s="28" t="e">
        <f t="shared" ca="1" si="0"/>
        <v>#REF!</v>
      </c>
      <c r="E12" s="28" t="e">
        <f t="shared" ca="1" si="0"/>
        <v>#REF!</v>
      </c>
      <c r="F12" s="28" t="e">
        <f t="shared" ca="1" si="0"/>
        <v>#REF!</v>
      </c>
      <c r="G12" s="28" t="e">
        <f t="shared" ca="1" si="0"/>
        <v>#REF!</v>
      </c>
      <c r="H12" s="28" t="e">
        <f t="shared" ca="1" si="0"/>
        <v>#REF!</v>
      </c>
      <c r="I12" s="28" t="e">
        <f t="shared" ca="1" si="0"/>
        <v>#REF!</v>
      </c>
      <c r="J12" s="46"/>
      <c r="K12" s="46"/>
      <c r="P12" s="13">
        <v>2</v>
      </c>
      <c r="Q12" s="14" t="s">
        <v>38</v>
      </c>
      <c r="R12" s="14" t="e">
        <f t="shared" ref="R12:X43" ca="1" si="3">INDEX(INDIRECT($AD$6),
       MATCH(TRIM($Q12), INDIRECT($AD$7), 0),
       MATCH(TRIM(R$10), INDIRECT($AD$8), 0))</f>
        <v>#REF!</v>
      </c>
      <c r="S12" s="14" t="e">
        <f t="shared" ca="1" si="1"/>
        <v>#REF!</v>
      </c>
      <c r="T12" s="14" t="e">
        <f t="shared" ca="1" si="1"/>
        <v>#REF!</v>
      </c>
      <c r="U12" s="14" t="e">
        <f t="shared" ca="1" si="1"/>
        <v>#REF!</v>
      </c>
      <c r="V12" s="14" t="e">
        <f t="shared" ca="1" si="1"/>
        <v>#REF!</v>
      </c>
      <c r="W12" s="14" t="e">
        <f t="shared" ca="1" si="1"/>
        <v>#REF!</v>
      </c>
      <c r="X12" s="14" t="e">
        <f t="shared" ca="1" si="1"/>
        <v>#REF!</v>
      </c>
    </row>
    <row r="13" spans="1:30" ht="57" x14ac:dyDescent="0.2">
      <c r="A13" s="26">
        <v>3</v>
      </c>
      <c r="B13" s="27" t="s">
        <v>9</v>
      </c>
      <c r="C13" s="28" t="e">
        <f t="shared" ca="1" si="2"/>
        <v>#REF!</v>
      </c>
      <c r="D13" s="28" t="e">
        <f t="shared" ca="1" si="0"/>
        <v>#REF!</v>
      </c>
      <c r="E13" s="28" t="e">
        <f t="shared" ca="1" si="0"/>
        <v>#REF!</v>
      </c>
      <c r="F13" s="28" t="e">
        <f t="shared" ca="1" si="0"/>
        <v>#REF!</v>
      </c>
      <c r="G13" s="28" t="e">
        <f t="shared" ca="1" si="0"/>
        <v>#REF!</v>
      </c>
      <c r="H13" s="28" t="e">
        <f t="shared" ca="1" si="0"/>
        <v>#REF!</v>
      </c>
      <c r="I13" s="28" t="e">
        <f t="shared" ca="1" si="0"/>
        <v>#REF!</v>
      </c>
      <c r="J13" s="46"/>
      <c r="K13" s="46"/>
      <c r="P13" s="13">
        <v>3</v>
      </c>
      <c r="Q13" s="14" t="s">
        <v>39</v>
      </c>
      <c r="R13" s="14" t="e">
        <f t="shared" ca="1" si="3"/>
        <v>#REF!</v>
      </c>
      <c r="S13" s="14" t="e">
        <f t="shared" ca="1" si="1"/>
        <v>#REF!</v>
      </c>
      <c r="T13" s="14" t="e">
        <f t="shared" ca="1" si="1"/>
        <v>#REF!</v>
      </c>
      <c r="U13" s="14" t="e">
        <f t="shared" ca="1" si="1"/>
        <v>#REF!</v>
      </c>
      <c r="V13" s="14" t="e">
        <f t="shared" ca="1" si="1"/>
        <v>#REF!</v>
      </c>
      <c r="W13" s="14" t="e">
        <f t="shared" ca="1" si="1"/>
        <v>#REF!</v>
      </c>
      <c r="X13" s="14" t="e">
        <f t="shared" ca="1" si="1"/>
        <v>#REF!</v>
      </c>
    </row>
    <row r="14" spans="1:30" x14ac:dyDescent="0.2">
      <c r="A14" s="26">
        <v>4</v>
      </c>
      <c r="B14" s="27" t="s">
        <v>10</v>
      </c>
      <c r="C14" s="28" t="e">
        <f t="shared" ca="1" si="2"/>
        <v>#REF!</v>
      </c>
      <c r="D14" s="28" t="e">
        <f t="shared" ca="1" si="0"/>
        <v>#REF!</v>
      </c>
      <c r="E14" s="28" t="e">
        <f t="shared" ca="1" si="0"/>
        <v>#REF!</v>
      </c>
      <c r="F14" s="28" t="e">
        <f t="shared" ca="1" si="0"/>
        <v>#REF!</v>
      </c>
      <c r="G14" s="28" t="e">
        <f t="shared" ca="1" si="0"/>
        <v>#REF!</v>
      </c>
      <c r="H14" s="28" t="e">
        <f t="shared" ca="1" si="0"/>
        <v>#REF!</v>
      </c>
      <c r="I14" s="28" t="e">
        <f t="shared" ca="1" si="0"/>
        <v>#REF!</v>
      </c>
      <c r="J14" s="46"/>
      <c r="K14" s="46"/>
      <c r="P14" s="13">
        <v>4</v>
      </c>
      <c r="Q14" s="14" t="s">
        <v>40</v>
      </c>
      <c r="R14" s="14" t="e">
        <f t="shared" ca="1" si="3"/>
        <v>#REF!</v>
      </c>
      <c r="S14" s="14" t="e">
        <f t="shared" ca="1" si="1"/>
        <v>#REF!</v>
      </c>
      <c r="T14" s="14" t="e">
        <f t="shared" ca="1" si="1"/>
        <v>#REF!</v>
      </c>
      <c r="U14" s="14" t="e">
        <f t="shared" ca="1" si="1"/>
        <v>#REF!</v>
      </c>
      <c r="V14" s="14" t="e">
        <f t="shared" ca="1" si="1"/>
        <v>#REF!</v>
      </c>
      <c r="W14" s="14" t="e">
        <f t="shared" ca="1" si="1"/>
        <v>#REF!</v>
      </c>
      <c r="X14" s="14" t="e">
        <f t="shared" ca="1" si="1"/>
        <v>#REF!</v>
      </c>
    </row>
    <row r="15" spans="1:30" ht="71" x14ac:dyDescent="0.2">
      <c r="A15" s="26">
        <v>5</v>
      </c>
      <c r="B15" s="27" t="s">
        <v>11</v>
      </c>
      <c r="C15" s="28" t="e">
        <f t="shared" ca="1" si="2"/>
        <v>#REF!</v>
      </c>
      <c r="D15" s="28" t="e">
        <f t="shared" ca="1" si="0"/>
        <v>#REF!</v>
      </c>
      <c r="E15" s="28" t="e">
        <f t="shared" ca="1" si="0"/>
        <v>#REF!</v>
      </c>
      <c r="F15" s="28" t="e">
        <f t="shared" ca="1" si="0"/>
        <v>#REF!</v>
      </c>
      <c r="G15" s="28" t="e">
        <f t="shared" ca="1" si="0"/>
        <v>#REF!</v>
      </c>
      <c r="H15" s="28" t="e">
        <f t="shared" ca="1" si="0"/>
        <v>#REF!</v>
      </c>
      <c r="I15" s="28" t="e">
        <f t="shared" ca="1" si="0"/>
        <v>#REF!</v>
      </c>
      <c r="J15" s="46"/>
      <c r="K15" s="46"/>
      <c r="P15" s="13">
        <v>5</v>
      </c>
      <c r="Q15" s="14" t="s">
        <v>41</v>
      </c>
      <c r="R15" s="14" t="e">
        <f t="shared" ca="1" si="3"/>
        <v>#REF!</v>
      </c>
      <c r="S15" s="14" t="e">
        <f t="shared" ca="1" si="1"/>
        <v>#REF!</v>
      </c>
      <c r="T15" s="14" t="e">
        <f t="shared" ca="1" si="1"/>
        <v>#REF!</v>
      </c>
      <c r="U15" s="14" t="e">
        <f t="shared" ca="1" si="1"/>
        <v>#REF!</v>
      </c>
      <c r="V15" s="14" t="e">
        <f t="shared" ca="1" si="1"/>
        <v>#REF!</v>
      </c>
      <c r="W15" s="14" t="e">
        <f t="shared" ca="1" si="1"/>
        <v>#REF!</v>
      </c>
      <c r="X15" s="14" t="e">
        <f t="shared" ca="1" si="1"/>
        <v>#REF!</v>
      </c>
    </row>
    <row r="16" spans="1:30" ht="57" x14ac:dyDescent="0.2">
      <c r="A16" s="26">
        <v>6</v>
      </c>
      <c r="B16" s="27" t="s">
        <v>12</v>
      </c>
      <c r="C16" s="28" t="e">
        <f t="shared" ca="1" si="2"/>
        <v>#REF!</v>
      </c>
      <c r="D16" s="28" t="e">
        <f t="shared" ca="1" si="0"/>
        <v>#REF!</v>
      </c>
      <c r="E16" s="28" t="e">
        <f t="shared" ca="1" si="0"/>
        <v>#REF!</v>
      </c>
      <c r="F16" s="28" t="e">
        <f t="shared" ca="1" si="0"/>
        <v>#REF!</v>
      </c>
      <c r="G16" s="28" t="e">
        <f t="shared" ca="1" si="0"/>
        <v>#REF!</v>
      </c>
      <c r="H16" s="28" t="e">
        <f t="shared" ca="1" si="0"/>
        <v>#REF!</v>
      </c>
      <c r="I16" s="28" t="e">
        <f t="shared" ca="1" si="0"/>
        <v>#REF!</v>
      </c>
      <c r="J16" s="46"/>
      <c r="K16" s="46"/>
      <c r="P16" s="13">
        <v>6</v>
      </c>
      <c r="Q16" s="14" t="s">
        <v>42</v>
      </c>
      <c r="R16" s="14" t="e">
        <f t="shared" ca="1" si="3"/>
        <v>#REF!</v>
      </c>
      <c r="S16" s="14" t="e">
        <f t="shared" ca="1" si="1"/>
        <v>#REF!</v>
      </c>
      <c r="T16" s="14" t="e">
        <f t="shared" ca="1" si="1"/>
        <v>#REF!</v>
      </c>
      <c r="U16" s="14" t="e">
        <f t="shared" ca="1" si="1"/>
        <v>#REF!</v>
      </c>
      <c r="V16" s="14" t="e">
        <f t="shared" ca="1" si="1"/>
        <v>#REF!</v>
      </c>
      <c r="W16" s="14" t="e">
        <f t="shared" ca="1" si="1"/>
        <v>#REF!</v>
      </c>
      <c r="X16" s="14" t="e">
        <f t="shared" ca="1" si="1"/>
        <v>#REF!</v>
      </c>
    </row>
    <row r="17" spans="1:24" ht="71" x14ac:dyDescent="0.2">
      <c r="A17" s="26">
        <v>7</v>
      </c>
      <c r="B17" s="27" t="s">
        <v>13</v>
      </c>
      <c r="C17" s="28" t="e">
        <f t="shared" ca="1" si="2"/>
        <v>#REF!</v>
      </c>
      <c r="D17" s="28" t="e">
        <f t="shared" ca="1" si="0"/>
        <v>#REF!</v>
      </c>
      <c r="E17" s="28" t="e">
        <f t="shared" ca="1" si="0"/>
        <v>#REF!</v>
      </c>
      <c r="F17" s="28" t="e">
        <f t="shared" ca="1" si="0"/>
        <v>#REF!</v>
      </c>
      <c r="G17" s="28" t="e">
        <f t="shared" ca="1" si="0"/>
        <v>#REF!</v>
      </c>
      <c r="H17" s="28" t="e">
        <f t="shared" ca="1" si="0"/>
        <v>#REF!</v>
      </c>
      <c r="I17" s="28" t="e">
        <f t="shared" ca="1" si="0"/>
        <v>#REF!</v>
      </c>
      <c r="J17" s="46"/>
      <c r="K17" s="46"/>
      <c r="P17" s="13">
        <v>7</v>
      </c>
      <c r="Q17" s="14" t="s">
        <v>43</v>
      </c>
      <c r="R17" s="14" t="e">
        <f t="shared" ca="1" si="3"/>
        <v>#REF!</v>
      </c>
      <c r="S17" s="14" t="e">
        <f t="shared" ca="1" si="1"/>
        <v>#REF!</v>
      </c>
      <c r="T17" s="14" t="e">
        <f t="shared" ca="1" si="1"/>
        <v>#REF!</v>
      </c>
      <c r="U17" s="14" t="e">
        <f t="shared" ca="1" si="1"/>
        <v>#REF!</v>
      </c>
      <c r="V17" s="14" t="e">
        <f t="shared" ca="1" si="1"/>
        <v>#REF!</v>
      </c>
      <c r="W17" s="14" t="e">
        <f t="shared" ca="1" si="1"/>
        <v>#REF!</v>
      </c>
      <c r="X17" s="14" t="e">
        <f t="shared" ca="1" si="1"/>
        <v>#REF!</v>
      </c>
    </row>
    <row r="18" spans="1:24" ht="29" x14ac:dyDescent="0.2">
      <c r="A18" s="26">
        <v>8</v>
      </c>
      <c r="B18" s="27" t="s">
        <v>14</v>
      </c>
      <c r="C18" s="28" t="e">
        <f t="shared" ca="1" si="2"/>
        <v>#REF!</v>
      </c>
      <c r="D18" s="28" t="e">
        <f t="shared" ca="1" si="0"/>
        <v>#REF!</v>
      </c>
      <c r="E18" s="28" t="e">
        <f t="shared" ca="1" si="0"/>
        <v>#REF!</v>
      </c>
      <c r="F18" s="28" t="e">
        <f t="shared" ca="1" si="0"/>
        <v>#REF!</v>
      </c>
      <c r="G18" s="28" t="e">
        <f t="shared" ca="1" si="0"/>
        <v>#REF!</v>
      </c>
      <c r="H18" s="28" t="e">
        <f t="shared" ca="1" si="0"/>
        <v>#REF!</v>
      </c>
      <c r="I18" s="28" t="e">
        <f t="shared" ca="1" si="0"/>
        <v>#REF!</v>
      </c>
      <c r="J18" s="46"/>
      <c r="K18" s="46"/>
      <c r="P18" s="13">
        <v>8</v>
      </c>
      <c r="Q18" s="14" t="s">
        <v>44</v>
      </c>
      <c r="R18" s="14" t="e">
        <f t="shared" ca="1" si="3"/>
        <v>#REF!</v>
      </c>
      <c r="S18" s="14" t="e">
        <f t="shared" ca="1" si="1"/>
        <v>#REF!</v>
      </c>
      <c r="T18" s="14" t="e">
        <f t="shared" ca="1" si="1"/>
        <v>#REF!</v>
      </c>
      <c r="U18" s="14" t="e">
        <f t="shared" ca="1" si="1"/>
        <v>#REF!</v>
      </c>
      <c r="V18" s="14" t="e">
        <f t="shared" ca="1" si="1"/>
        <v>#REF!</v>
      </c>
      <c r="W18" s="14" t="e">
        <f t="shared" ca="1" si="1"/>
        <v>#REF!</v>
      </c>
      <c r="X18" s="14" t="e">
        <f t="shared" ca="1" si="1"/>
        <v>#REF!</v>
      </c>
    </row>
    <row r="19" spans="1:24" ht="43" x14ac:dyDescent="0.2">
      <c r="A19" s="26">
        <v>9</v>
      </c>
      <c r="B19" s="27" t="s">
        <v>15</v>
      </c>
      <c r="C19" s="28" t="e">
        <f t="shared" ca="1" si="2"/>
        <v>#REF!</v>
      </c>
      <c r="D19" s="28" t="e">
        <f t="shared" ca="1" si="0"/>
        <v>#REF!</v>
      </c>
      <c r="E19" s="28" t="e">
        <f t="shared" ca="1" si="0"/>
        <v>#REF!</v>
      </c>
      <c r="F19" s="28" t="e">
        <f t="shared" ca="1" si="0"/>
        <v>#REF!</v>
      </c>
      <c r="G19" s="28" t="e">
        <f t="shared" ca="1" si="0"/>
        <v>#REF!</v>
      </c>
      <c r="H19" s="28" t="e">
        <f t="shared" ca="1" si="0"/>
        <v>#REF!</v>
      </c>
      <c r="I19" s="28" t="e">
        <f t="shared" ca="1" si="0"/>
        <v>#REF!</v>
      </c>
      <c r="J19" s="46"/>
      <c r="K19" s="46"/>
      <c r="P19" s="13">
        <v>9</v>
      </c>
      <c r="Q19" s="14" t="s">
        <v>45</v>
      </c>
      <c r="R19" s="14" t="e">
        <f t="shared" ca="1" si="3"/>
        <v>#REF!</v>
      </c>
      <c r="S19" s="14" t="e">
        <f t="shared" ca="1" si="1"/>
        <v>#REF!</v>
      </c>
      <c r="T19" s="14" t="e">
        <f t="shared" ca="1" si="1"/>
        <v>#REF!</v>
      </c>
      <c r="U19" s="14" t="e">
        <f t="shared" ca="1" si="1"/>
        <v>#REF!</v>
      </c>
      <c r="V19" s="14" t="e">
        <f t="shared" ca="1" si="1"/>
        <v>#REF!</v>
      </c>
      <c r="W19" s="14" t="e">
        <f t="shared" ca="1" si="1"/>
        <v>#REF!</v>
      </c>
      <c r="X19" s="14" t="e">
        <f t="shared" ca="1" si="1"/>
        <v>#REF!</v>
      </c>
    </row>
    <row r="20" spans="1:24" ht="43" x14ac:dyDescent="0.2">
      <c r="A20" s="26">
        <v>10</v>
      </c>
      <c r="B20" s="27" t="s">
        <v>16</v>
      </c>
      <c r="C20" s="28" t="e">
        <f t="shared" ca="1" si="2"/>
        <v>#REF!</v>
      </c>
      <c r="D20" s="28" t="e">
        <f t="shared" ca="1" si="0"/>
        <v>#REF!</v>
      </c>
      <c r="E20" s="28" t="e">
        <f t="shared" ca="1" si="0"/>
        <v>#REF!</v>
      </c>
      <c r="F20" s="28" t="e">
        <f t="shared" ca="1" si="0"/>
        <v>#REF!</v>
      </c>
      <c r="G20" s="28" t="e">
        <f t="shared" ca="1" si="0"/>
        <v>#REF!</v>
      </c>
      <c r="H20" s="28" t="e">
        <f t="shared" ca="1" si="0"/>
        <v>#REF!</v>
      </c>
      <c r="I20" s="28" t="e">
        <f t="shared" ca="1" si="0"/>
        <v>#REF!</v>
      </c>
      <c r="J20" s="46"/>
      <c r="K20" s="46"/>
      <c r="P20" s="13">
        <v>10</v>
      </c>
      <c r="Q20" s="14" t="s">
        <v>46</v>
      </c>
      <c r="R20" s="14" t="e">
        <f t="shared" ca="1" si="3"/>
        <v>#REF!</v>
      </c>
      <c r="S20" s="14" t="e">
        <f t="shared" ca="1" si="1"/>
        <v>#REF!</v>
      </c>
      <c r="T20" s="14" t="e">
        <f t="shared" ca="1" si="1"/>
        <v>#REF!</v>
      </c>
      <c r="U20" s="14" t="e">
        <f t="shared" ca="1" si="1"/>
        <v>#REF!</v>
      </c>
      <c r="V20" s="14" t="e">
        <f t="shared" ca="1" si="1"/>
        <v>#REF!</v>
      </c>
      <c r="W20" s="14" t="e">
        <f t="shared" ca="1" si="1"/>
        <v>#REF!</v>
      </c>
      <c r="X20" s="14" t="e">
        <f t="shared" ca="1" si="1"/>
        <v>#REF!</v>
      </c>
    </row>
    <row r="21" spans="1:24" ht="57" x14ac:dyDescent="0.2">
      <c r="A21" s="26">
        <v>11</v>
      </c>
      <c r="B21" s="27" t="s">
        <v>17</v>
      </c>
      <c r="C21" s="28" t="e">
        <f t="shared" ca="1" si="2"/>
        <v>#REF!</v>
      </c>
      <c r="D21" s="28" t="e">
        <f t="shared" ca="1" si="0"/>
        <v>#REF!</v>
      </c>
      <c r="E21" s="28" t="e">
        <f t="shared" ca="1" si="0"/>
        <v>#REF!</v>
      </c>
      <c r="F21" s="28" t="e">
        <f t="shared" ca="1" si="0"/>
        <v>#REF!</v>
      </c>
      <c r="G21" s="28" t="e">
        <f t="shared" ca="1" si="0"/>
        <v>#REF!</v>
      </c>
      <c r="H21" s="28" t="e">
        <f t="shared" ca="1" si="0"/>
        <v>#REF!</v>
      </c>
      <c r="I21" s="28" t="e">
        <f t="shared" ca="1" si="0"/>
        <v>#REF!</v>
      </c>
      <c r="J21" s="46"/>
      <c r="K21" s="46"/>
      <c r="P21" s="13">
        <v>11</v>
      </c>
      <c r="Q21" s="14" t="s">
        <v>47</v>
      </c>
      <c r="R21" s="14" t="e">
        <f t="shared" ca="1" si="3"/>
        <v>#REF!</v>
      </c>
      <c r="S21" s="14" t="e">
        <f t="shared" ca="1" si="1"/>
        <v>#REF!</v>
      </c>
      <c r="T21" s="14" t="e">
        <f t="shared" ca="1" si="1"/>
        <v>#REF!</v>
      </c>
      <c r="U21" s="14" t="e">
        <f t="shared" ca="1" si="1"/>
        <v>#REF!</v>
      </c>
      <c r="V21" s="14" t="e">
        <f t="shared" ca="1" si="1"/>
        <v>#REF!</v>
      </c>
      <c r="W21" s="14" t="e">
        <f t="shared" ca="1" si="1"/>
        <v>#REF!</v>
      </c>
      <c r="X21" s="14" t="e">
        <f t="shared" ca="1" si="1"/>
        <v>#REF!</v>
      </c>
    </row>
    <row r="22" spans="1:24" ht="29" x14ac:dyDescent="0.2">
      <c r="A22" s="26">
        <v>12</v>
      </c>
      <c r="B22" s="27" t="s">
        <v>18</v>
      </c>
      <c r="C22" s="28" t="e">
        <f t="shared" ca="1" si="2"/>
        <v>#REF!</v>
      </c>
      <c r="D22" s="28" t="e">
        <f t="shared" ca="1" si="0"/>
        <v>#REF!</v>
      </c>
      <c r="E22" s="28" t="e">
        <f t="shared" ca="1" si="0"/>
        <v>#REF!</v>
      </c>
      <c r="F22" s="28" t="e">
        <f t="shared" ca="1" si="0"/>
        <v>#REF!</v>
      </c>
      <c r="G22" s="28" t="e">
        <f t="shared" ca="1" si="0"/>
        <v>#REF!</v>
      </c>
      <c r="H22" s="28" t="e">
        <f t="shared" ca="1" si="0"/>
        <v>#REF!</v>
      </c>
      <c r="I22" s="28" t="e">
        <f t="shared" ca="1" si="0"/>
        <v>#REF!</v>
      </c>
      <c r="J22" s="46"/>
      <c r="K22" s="46"/>
      <c r="P22" s="13">
        <v>12</v>
      </c>
      <c r="Q22" s="14" t="s">
        <v>48</v>
      </c>
      <c r="R22" s="14" t="e">
        <f t="shared" ca="1" si="3"/>
        <v>#REF!</v>
      </c>
      <c r="S22" s="14" t="e">
        <f t="shared" ca="1" si="1"/>
        <v>#REF!</v>
      </c>
      <c r="T22" s="14" t="e">
        <f t="shared" ca="1" si="1"/>
        <v>#REF!</v>
      </c>
      <c r="U22" s="14" t="e">
        <f t="shared" ca="1" si="1"/>
        <v>#REF!</v>
      </c>
      <c r="V22" s="14" t="e">
        <f t="shared" ca="1" si="1"/>
        <v>#REF!</v>
      </c>
      <c r="W22" s="14" t="e">
        <f t="shared" ca="1" si="1"/>
        <v>#REF!</v>
      </c>
      <c r="X22" s="14" t="e">
        <f t="shared" ca="1" si="1"/>
        <v>#REF!</v>
      </c>
    </row>
    <row r="23" spans="1:24" ht="29" x14ac:dyDescent="0.2">
      <c r="A23" s="26">
        <v>13</v>
      </c>
      <c r="B23" s="27" t="s">
        <v>19</v>
      </c>
      <c r="C23" s="28" t="e">
        <f t="shared" ca="1" si="2"/>
        <v>#REF!</v>
      </c>
      <c r="D23" s="28" t="e">
        <f t="shared" ca="1" si="0"/>
        <v>#REF!</v>
      </c>
      <c r="E23" s="28" t="e">
        <f t="shared" ca="1" si="0"/>
        <v>#REF!</v>
      </c>
      <c r="F23" s="28" t="e">
        <f t="shared" ca="1" si="0"/>
        <v>#REF!</v>
      </c>
      <c r="G23" s="28" t="e">
        <f t="shared" ca="1" si="0"/>
        <v>#REF!</v>
      </c>
      <c r="H23" s="28" t="e">
        <f t="shared" ca="1" si="0"/>
        <v>#REF!</v>
      </c>
      <c r="I23" s="28" t="e">
        <f t="shared" ca="1" si="0"/>
        <v>#REF!</v>
      </c>
      <c r="J23" s="46"/>
      <c r="K23" s="46"/>
      <c r="P23" s="13">
        <v>13</v>
      </c>
      <c r="Q23" s="14" t="s">
        <v>49</v>
      </c>
      <c r="R23" s="14" t="e">
        <f t="shared" ca="1" si="3"/>
        <v>#REF!</v>
      </c>
      <c r="S23" s="14" t="e">
        <f t="shared" ca="1" si="1"/>
        <v>#REF!</v>
      </c>
      <c r="T23" s="14" t="e">
        <f t="shared" ca="1" si="1"/>
        <v>#REF!</v>
      </c>
      <c r="U23" s="14" t="e">
        <f t="shared" ca="1" si="1"/>
        <v>#REF!</v>
      </c>
      <c r="V23" s="14" t="e">
        <f t="shared" ca="1" si="1"/>
        <v>#REF!</v>
      </c>
      <c r="W23" s="14" t="e">
        <f t="shared" ca="1" si="1"/>
        <v>#REF!</v>
      </c>
      <c r="X23" s="14" t="e">
        <f t="shared" ca="1" si="1"/>
        <v>#REF!</v>
      </c>
    </row>
    <row r="24" spans="1:24" ht="43" x14ac:dyDescent="0.2">
      <c r="A24" s="26">
        <v>14</v>
      </c>
      <c r="B24" s="27" t="s">
        <v>20</v>
      </c>
      <c r="C24" s="28" t="e">
        <f t="shared" ca="1" si="2"/>
        <v>#REF!</v>
      </c>
      <c r="D24" s="28" t="e">
        <f t="shared" ca="1" si="0"/>
        <v>#REF!</v>
      </c>
      <c r="E24" s="28" t="e">
        <f t="shared" ca="1" si="0"/>
        <v>#REF!</v>
      </c>
      <c r="F24" s="28" t="e">
        <f t="shared" ca="1" si="0"/>
        <v>#REF!</v>
      </c>
      <c r="G24" s="28" t="e">
        <f t="shared" ca="1" si="0"/>
        <v>#REF!</v>
      </c>
      <c r="H24" s="28" t="e">
        <f t="shared" ca="1" si="0"/>
        <v>#REF!</v>
      </c>
      <c r="I24" s="28" t="e">
        <f t="shared" ca="1" si="0"/>
        <v>#REF!</v>
      </c>
      <c r="J24" s="46"/>
      <c r="K24" s="46"/>
      <c r="P24" s="13">
        <v>14</v>
      </c>
      <c r="Q24" s="14" t="s">
        <v>50</v>
      </c>
      <c r="R24" s="14" t="e">
        <f t="shared" ca="1" si="3"/>
        <v>#REF!</v>
      </c>
      <c r="S24" s="14" t="e">
        <f t="shared" ca="1" si="1"/>
        <v>#REF!</v>
      </c>
      <c r="T24" s="14" t="e">
        <f t="shared" ca="1" si="1"/>
        <v>#REF!</v>
      </c>
      <c r="U24" s="14" t="e">
        <f t="shared" ca="1" si="1"/>
        <v>#REF!</v>
      </c>
      <c r="V24" s="14" t="e">
        <f t="shared" ca="1" si="1"/>
        <v>#REF!</v>
      </c>
      <c r="W24" s="14" t="e">
        <f t="shared" ca="1" si="1"/>
        <v>#REF!</v>
      </c>
      <c r="X24" s="14" t="e">
        <f t="shared" ca="1" si="1"/>
        <v>#REF!</v>
      </c>
    </row>
    <row r="25" spans="1:24" ht="43" x14ac:dyDescent="0.2">
      <c r="A25" s="26">
        <v>15</v>
      </c>
      <c r="B25" s="27" t="s">
        <v>21</v>
      </c>
      <c r="C25" s="28" t="e">
        <f t="shared" ca="1" si="2"/>
        <v>#REF!</v>
      </c>
      <c r="D25" s="28" t="e">
        <f t="shared" ca="1" si="0"/>
        <v>#REF!</v>
      </c>
      <c r="E25" s="28" t="e">
        <f t="shared" ca="1" si="0"/>
        <v>#REF!</v>
      </c>
      <c r="F25" s="28" t="e">
        <f t="shared" ca="1" si="0"/>
        <v>#REF!</v>
      </c>
      <c r="G25" s="28" t="e">
        <f t="shared" ca="1" si="0"/>
        <v>#REF!</v>
      </c>
      <c r="H25" s="28" t="e">
        <f t="shared" ca="1" si="0"/>
        <v>#REF!</v>
      </c>
      <c r="I25" s="28" t="e">
        <f t="shared" ca="1" si="0"/>
        <v>#REF!</v>
      </c>
      <c r="J25" s="46"/>
      <c r="K25" s="46"/>
      <c r="P25" s="13">
        <v>15</v>
      </c>
      <c r="Q25" s="14" t="s">
        <v>51</v>
      </c>
      <c r="R25" s="14" t="e">
        <f t="shared" ca="1" si="3"/>
        <v>#REF!</v>
      </c>
      <c r="S25" s="14" t="e">
        <f t="shared" ca="1" si="1"/>
        <v>#REF!</v>
      </c>
      <c r="T25" s="14" t="e">
        <f t="shared" ca="1" si="1"/>
        <v>#REF!</v>
      </c>
      <c r="U25" s="14" t="e">
        <f t="shared" ca="1" si="1"/>
        <v>#REF!</v>
      </c>
      <c r="V25" s="14" t="e">
        <f t="shared" ca="1" si="1"/>
        <v>#REF!</v>
      </c>
      <c r="W25" s="14" t="e">
        <f t="shared" ca="1" si="1"/>
        <v>#REF!</v>
      </c>
      <c r="X25" s="14" t="e">
        <f t="shared" ca="1" si="1"/>
        <v>#REF!</v>
      </c>
    </row>
    <row r="26" spans="1:24" ht="29" x14ac:dyDescent="0.2">
      <c r="A26" s="26">
        <v>16</v>
      </c>
      <c r="B26" s="27" t="s">
        <v>22</v>
      </c>
      <c r="C26" s="28" t="e">
        <f t="shared" ca="1" si="2"/>
        <v>#REF!</v>
      </c>
      <c r="D26" s="28" t="e">
        <f t="shared" ca="1" si="0"/>
        <v>#REF!</v>
      </c>
      <c r="E26" s="28" t="e">
        <f t="shared" ca="1" si="0"/>
        <v>#REF!</v>
      </c>
      <c r="F26" s="28" t="e">
        <f t="shared" ca="1" si="0"/>
        <v>#REF!</v>
      </c>
      <c r="G26" s="28" t="e">
        <f t="shared" ca="1" si="0"/>
        <v>#REF!</v>
      </c>
      <c r="H26" s="28" t="e">
        <f t="shared" ca="1" si="0"/>
        <v>#REF!</v>
      </c>
      <c r="I26" s="28" t="e">
        <f t="shared" ca="1" si="0"/>
        <v>#REF!</v>
      </c>
      <c r="J26" s="46"/>
      <c r="K26" s="46"/>
      <c r="P26" s="13">
        <v>16</v>
      </c>
      <c r="Q26" s="14" t="s">
        <v>52</v>
      </c>
      <c r="R26" s="14" t="e">
        <f t="shared" ca="1" si="3"/>
        <v>#REF!</v>
      </c>
      <c r="S26" s="14" t="e">
        <f t="shared" ca="1" si="1"/>
        <v>#REF!</v>
      </c>
      <c r="T26" s="14" t="e">
        <f t="shared" ca="1" si="1"/>
        <v>#REF!</v>
      </c>
      <c r="U26" s="14" t="e">
        <f t="shared" ca="1" si="1"/>
        <v>#REF!</v>
      </c>
      <c r="V26" s="14" t="e">
        <f t="shared" ca="1" si="1"/>
        <v>#REF!</v>
      </c>
      <c r="W26" s="14" t="e">
        <f t="shared" ca="1" si="1"/>
        <v>#REF!</v>
      </c>
      <c r="X26" s="14" t="e">
        <f t="shared" ca="1" si="1"/>
        <v>#REF!</v>
      </c>
    </row>
    <row r="27" spans="1:24" ht="43" x14ac:dyDescent="0.2">
      <c r="A27" s="26">
        <v>17</v>
      </c>
      <c r="B27" s="27" t="s">
        <v>23</v>
      </c>
      <c r="C27" s="28" t="e">
        <f t="shared" ca="1" si="2"/>
        <v>#REF!</v>
      </c>
      <c r="D27" s="28" t="e">
        <f t="shared" ca="1" si="2"/>
        <v>#REF!</v>
      </c>
      <c r="E27" s="28" t="e">
        <f t="shared" ca="1" si="2"/>
        <v>#REF!</v>
      </c>
      <c r="F27" s="28" t="e">
        <f t="shared" ca="1" si="2"/>
        <v>#REF!</v>
      </c>
      <c r="G27" s="28" t="e">
        <f t="shared" ca="1" si="2"/>
        <v>#REF!</v>
      </c>
      <c r="H27" s="28" t="e">
        <f t="shared" ca="1" si="2"/>
        <v>#REF!</v>
      </c>
      <c r="I27" s="28" t="e">
        <f t="shared" ca="1" si="2"/>
        <v>#REF!</v>
      </c>
      <c r="J27" s="46"/>
      <c r="K27" s="46"/>
      <c r="P27" s="13">
        <v>17</v>
      </c>
      <c r="Q27" s="14" t="s">
        <v>53</v>
      </c>
      <c r="R27" s="14" t="e">
        <f t="shared" ca="1" si="3"/>
        <v>#REF!</v>
      </c>
      <c r="S27" s="14" t="e">
        <f t="shared" ca="1" si="3"/>
        <v>#REF!</v>
      </c>
      <c r="T27" s="14" t="e">
        <f t="shared" ca="1" si="3"/>
        <v>#REF!</v>
      </c>
      <c r="U27" s="14" t="e">
        <f t="shared" ca="1" si="3"/>
        <v>#REF!</v>
      </c>
      <c r="V27" s="14" t="e">
        <f t="shared" ca="1" si="3"/>
        <v>#REF!</v>
      </c>
      <c r="W27" s="14" t="e">
        <f t="shared" ca="1" si="3"/>
        <v>#REF!</v>
      </c>
      <c r="X27" s="14" t="e">
        <f t="shared" ca="1" si="3"/>
        <v>#REF!</v>
      </c>
    </row>
    <row r="28" spans="1:24" ht="57" x14ac:dyDescent="0.2">
      <c r="A28" s="26">
        <v>18</v>
      </c>
      <c r="B28" s="27" t="s">
        <v>24</v>
      </c>
      <c r="C28" s="28" t="e">
        <f t="shared" ca="1" si="2"/>
        <v>#REF!</v>
      </c>
      <c r="D28" s="28" t="e">
        <f t="shared" ca="1" si="2"/>
        <v>#REF!</v>
      </c>
      <c r="E28" s="28" t="e">
        <f t="shared" ca="1" si="2"/>
        <v>#REF!</v>
      </c>
      <c r="F28" s="28" t="e">
        <f t="shared" ca="1" si="2"/>
        <v>#REF!</v>
      </c>
      <c r="G28" s="28" t="e">
        <f t="shared" ca="1" si="2"/>
        <v>#REF!</v>
      </c>
      <c r="H28" s="28" t="e">
        <f t="shared" ca="1" si="2"/>
        <v>#REF!</v>
      </c>
      <c r="I28" s="28" t="e">
        <f t="shared" ca="1" si="2"/>
        <v>#REF!</v>
      </c>
      <c r="J28" s="46"/>
      <c r="K28" s="46"/>
      <c r="P28" s="13">
        <v>18</v>
      </c>
      <c r="Q28" s="14" t="s">
        <v>54</v>
      </c>
      <c r="R28" s="14" t="e">
        <f t="shared" ca="1" si="3"/>
        <v>#REF!</v>
      </c>
      <c r="S28" s="14" t="e">
        <f t="shared" ca="1" si="3"/>
        <v>#REF!</v>
      </c>
      <c r="T28" s="14" t="e">
        <f t="shared" ca="1" si="3"/>
        <v>#REF!</v>
      </c>
      <c r="U28" s="14" t="e">
        <f t="shared" ca="1" si="3"/>
        <v>#REF!</v>
      </c>
      <c r="V28" s="14" t="e">
        <f t="shared" ca="1" si="3"/>
        <v>#REF!</v>
      </c>
      <c r="W28" s="14" t="e">
        <f t="shared" ca="1" si="3"/>
        <v>#REF!</v>
      </c>
      <c r="X28" s="14" t="e">
        <f t="shared" ca="1" si="3"/>
        <v>#REF!</v>
      </c>
    </row>
    <row r="29" spans="1:24" ht="85" x14ac:dyDescent="0.2">
      <c r="A29" s="26">
        <v>19</v>
      </c>
      <c r="B29" s="27" t="s">
        <v>25</v>
      </c>
      <c r="C29" s="28" t="e">
        <f t="shared" ca="1" si="2"/>
        <v>#REF!</v>
      </c>
      <c r="D29" s="28" t="e">
        <f t="shared" ca="1" si="2"/>
        <v>#REF!</v>
      </c>
      <c r="E29" s="28" t="e">
        <f t="shared" ca="1" si="2"/>
        <v>#REF!</v>
      </c>
      <c r="F29" s="28" t="e">
        <f t="shared" ca="1" si="2"/>
        <v>#REF!</v>
      </c>
      <c r="G29" s="28" t="e">
        <f t="shared" ca="1" si="2"/>
        <v>#REF!</v>
      </c>
      <c r="H29" s="28" t="e">
        <f t="shared" ca="1" si="2"/>
        <v>#REF!</v>
      </c>
      <c r="I29" s="28" t="e">
        <f t="shared" ca="1" si="2"/>
        <v>#REF!</v>
      </c>
      <c r="J29" s="46"/>
      <c r="K29" s="46"/>
      <c r="P29" s="13">
        <v>19</v>
      </c>
      <c r="Q29" s="14" t="s">
        <v>55</v>
      </c>
      <c r="R29" s="14" t="e">
        <f t="shared" ca="1" si="3"/>
        <v>#REF!</v>
      </c>
      <c r="S29" s="14" t="e">
        <f t="shared" ca="1" si="3"/>
        <v>#REF!</v>
      </c>
      <c r="T29" s="14" t="e">
        <f t="shared" ca="1" si="3"/>
        <v>#REF!</v>
      </c>
      <c r="U29" s="14" t="e">
        <f t="shared" ca="1" si="3"/>
        <v>#REF!</v>
      </c>
      <c r="V29" s="14" t="e">
        <f t="shared" ca="1" si="3"/>
        <v>#REF!</v>
      </c>
      <c r="W29" s="14" t="e">
        <f t="shared" ca="1" si="3"/>
        <v>#REF!</v>
      </c>
      <c r="X29" s="14" t="e">
        <f t="shared" ca="1" si="3"/>
        <v>#REF!</v>
      </c>
    </row>
    <row r="30" spans="1:24" ht="17" thickBot="1" x14ac:dyDescent="0.25">
      <c r="A30" s="29" t="s">
        <v>26</v>
      </c>
      <c r="B30" s="30"/>
      <c r="C30" s="31" t="e">
        <f t="shared" ref="C30:I30" ca="1" si="4">SUM(C11:C29)</f>
        <v>#REF!</v>
      </c>
      <c r="D30" s="31" t="e">
        <f t="shared" ca="1" si="4"/>
        <v>#REF!</v>
      </c>
      <c r="E30" s="32" t="e">
        <f t="shared" ca="1" si="4"/>
        <v>#REF!</v>
      </c>
      <c r="F30" s="31" t="e">
        <f ca="1">SUM(F11:F29)</f>
        <v>#REF!</v>
      </c>
      <c r="G30" s="31" t="e">
        <f ca="1">SUM(G11:G29)</f>
        <v>#REF!</v>
      </c>
      <c r="H30" s="32" t="e">
        <f t="shared" ca="1" si="4"/>
        <v>#REF!</v>
      </c>
      <c r="I30" s="33" t="e">
        <f t="shared" ca="1" si="4"/>
        <v>#REF!</v>
      </c>
      <c r="J30" s="47"/>
      <c r="K30" s="47"/>
      <c r="P30" s="13">
        <v>20</v>
      </c>
      <c r="Q30" s="14" t="s">
        <v>56</v>
      </c>
      <c r="R30" s="14" t="e">
        <f t="shared" ca="1" si="3"/>
        <v>#REF!</v>
      </c>
      <c r="S30" s="14" t="e">
        <f t="shared" ca="1" si="3"/>
        <v>#REF!</v>
      </c>
      <c r="T30" s="14" t="e">
        <f t="shared" ca="1" si="3"/>
        <v>#REF!</v>
      </c>
      <c r="U30" s="14" t="e">
        <f t="shared" ca="1" si="3"/>
        <v>#REF!</v>
      </c>
      <c r="V30" s="14" t="e">
        <f t="shared" ca="1" si="3"/>
        <v>#REF!</v>
      </c>
      <c r="W30" s="14" t="e">
        <f t="shared" ca="1" si="3"/>
        <v>#REF!</v>
      </c>
      <c r="X30" s="14" t="e">
        <f t="shared" ca="1" si="3"/>
        <v>#REF!</v>
      </c>
    </row>
    <row r="31" spans="1:24" ht="17" thickTop="1" x14ac:dyDescent="0.2">
      <c r="P31" s="13">
        <v>21</v>
      </c>
      <c r="Q31" s="14" t="s">
        <v>57</v>
      </c>
      <c r="R31" s="14" t="e">
        <f t="shared" ca="1" si="3"/>
        <v>#REF!</v>
      </c>
      <c r="S31" s="14" t="e">
        <f t="shared" ca="1" si="3"/>
        <v>#REF!</v>
      </c>
      <c r="T31" s="14" t="e">
        <f t="shared" ca="1" si="3"/>
        <v>#REF!</v>
      </c>
      <c r="U31" s="14" t="e">
        <f t="shared" ca="1" si="3"/>
        <v>#REF!</v>
      </c>
      <c r="V31" s="14" t="e">
        <f t="shared" ca="1" si="3"/>
        <v>#REF!</v>
      </c>
      <c r="W31" s="14" t="e">
        <f t="shared" ca="1" si="3"/>
        <v>#REF!</v>
      </c>
      <c r="X31" s="14" t="e">
        <f t="shared" ca="1" si="3"/>
        <v>#REF!</v>
      </c>
    </row>
    <row r="32" spans="1:24" x14ac:dyDescent="0.2">
      <c r="P32" s="13">
        <v>22</v>
      </c>
      <c r="Q32" s="14" t="s">
        <v>58</v>
      </c>
      <c r="R32" s="14" t="e">
        <f t="shared" ca="1" si="3"/>
        <v>#REF!</v>
      </c>
      <c r="S32" s="14" t="e">
        <f t="shared" ca="1" si="3"/>
        <v>#REF!</v>
      </c>
      <c r="T32" s="14" t="e">
        <f t="shared" ca="1" si="3"/>
        <v>#REF!</v>
      </c>
      <c r="U32" s="14" t="e">
        <f t="shared" ca="1" si="3"/>
        <v>#REF!</v>
      </c>
      <c r="V32" s="14" t="e">
        <f t="shared" ca="1" si="3"/>
        <v>#REF!</v>
      </c>
      <c r="W32" s="14" t="e">
        <f t="shared" ca="1" si="3"/>
        <v>#REF!</v>
      </c>
      <c r="X32" s="14" t="e">
        <f t="shared" ca="1" si="3"/>
        <v>#REF!</v>
      </c>
    </row>
    <row r="33" spans="16:24" x14ac:dyDescent="0.2">
      <c r="P33" s="13">
        <v>23</v>
      </c>
      <c r="Q33" s="14" t="s">
        <v>59</v>
      </c>
      <c r="R33" s="14" t="e">
        <f t="shared" ca="1" si="3"/>
        <v>#REF!</v>
      </c>
      <c r="S33" s="14" t="e">
        <f t="shared" ca="1" si="3"/>
        <v>#REF!</v>
      </c>
      <c r="T33" s="14" t="e">
        <f t="shared" ca="1" si="3"/>
        <v>#REF!</v>
      </c>
      <c r="U33" s="14" t="e">
        <f t="shared" ca="1" si="3"/>
        <v>#REF!</v>
      </c>
      <c r="V33" s="14" t="e">
        <f t="shared" ca="1" si="3"/>
        <v>#REF!</v>
      </c>
      <c r="W33" s="14" t="e">
        <f t="shared" ca="1" si="3"/>
        <v>#REF!</v>
      </c>
      <c r="X33" s="14" t="e">
        <f t="shared" ca="1" si="3"/>
        <v>#REF!</v>
      </c>
    </row>
    <row r="34" spans="16:24" x14ac:dyDescent="0.2">
      <c r="P34" s="13">
        <v>24</v>
      </c>
      <c r="Q34" s="14" t="s">
        <v>60</v>
      </c>
      <c r="R34" s="14" t="e">
        <f t="shared" ca="1" si="3"/>
        <v>#REF!</v>
      </c>
      <c r="S34" s="14" t="e">
        <f t="shared" ca="1" si="3"/>
        <v>#REF!</v>
      </c>
      <c r="T34" s="14" t="e">
        <f t="shared" ca="1" si="3"/>
        <v>#REF!</v>
      </c>
      <c r="U34" s="14" t="e">
        <f t="shared" ca="1" si="3"/>
        <v>#REF!</v>
      </c>
      <c r="V34" s="14" t="e">
        <f t="shared" ca="1" si="3"/>
        <v>#REF!</v>
      </c>
      <c r="W34" s="14" t="e">
        <f t="shared" ca="1" si="3"/>
        <v>#REF!</v>
      </c>
      <c r="X34" s="14" t="e">
        <f t="shared" ca="1" si="3"/>
        <v>#REF!</v>
      </c>
    </row>
    <row r="35" spans="16:24" x14ac:dyDescent="0.2">
      <c r="P35" s="13">
        <v>25</v>
      </c>
      <c r="Q35" s="14" t="s">
        <v>61</v>
      </c>
      <c r="R35" s="14" t="e">
        <f t="shared" ca="1" si="3"/>
        <v>#REF!</v>
      </c>
      <c r="S35" s="14" t="e">
        <f t="shared" ca="1" si="3"/>
        <v>#REF!</v>
      </c>
      <c r="T35" s="14" t="e">
        <f t="shared" ca="1" si="3"/>
        <v>#REF!</v>
      </c>
      <c r="U35" s="14" t="e">
        <f t="shared" ca="1" si="3"/>
        <v>#REF!</v>
      </c>
      <c r="V35" s="14" t="e">
        <f t="shared" ca="1" si="3"/>
        <v>#REF!</v>
      </c>
      <c r="W35" s="14" t="e">
        <f t="shared" ca="1" si="3"/>
        <v>#REF!</v>
      </c>
      <c r="X35" s="14" t="e">
        <f t="shared" ca="1" si="3"/>
        <v>#REF!</v>
      </c>
    </row>
    <row r="36" spans="16:24" x14ac:dyDescent="0.2">
      <c r="P36" s="13">
        <v>26</v>
      </c>
      <c r="Q36" s="14" t="s">
        <v>62</v>
      </c>
      <c r="R36" s="14" t="e">
        <f t="shared" ca="1" si="3"/>
        <v>#REF!</v>
      </c>
      <c r="S36" s="14" t="e">
        <f t="shared" ca="1" si="3"/>
        <v>#REF!</v>
      </c>
      <c r="T36" s="14" t="e">
        <f t="shared" ca="1" si="3"/>
        <v>#REF!</v>
      </c>
      <c r="U36" s="14" t="e">
        <f t="shared" ca="1" si="3"/>
        <v>#REF!</v>
      </c>
      <c r="V36" s="14" t="e">
        <f t="shared" ca="1" si="3"/>
        <v>#REF!</v>
      </c>
      <c r="W36" s="14" t="e">
        <f t="shared" ca="1" si="3"/>
        <v>#REF!</v>
      </c>
      <c r="X36" s="14" t="e">
        <f t="shared" ca="1" si="3"/>
        <v>#REF!</v>
      </c>
    </row>
    <row r="37" spans="16:24" x14ac:dyDescent="0.2">
      <c r="P37" s="13">
        <v>27</v>
      </c>
      <c r="Q37" s="14" t="s">
        <v>63</v>
      </c>
      <c r="R37" s="14" t="e">
        <f t="shared" ca="1" si="3"/>
        <v>#REF!</v>
      </c>
      <c r="S37" s="14" t="e">
        <f t="shared" ca="1" si="3"/>
        <v>#REF!</v>
      </c>
      <c r="T37" s="14" t="e">
        <f t="shared" ca="1" si="3"/>
        <v>#REF!</v>
      </c>
      <c r="U37" s="14" t="e">
        <f t="shared" ca="1" si="3"/>
        <v>#REF!</v>
      </c>
      <c r="V37" s="14" t="e">
        <f t="shared" ca="1" si="3"/>
        <v>#REF!</v>
      </c>
      <c r="W37" s="14" t="e">
        <f t="shared" ca="1" si="3"/>
        <v>#REF!</v>
      </c>
      <c r="X37" s="14" t="e">
        <f t="shared" ca="1" si="3"/>
        <v>#REF!</v>
      </c>
    </row>
    <row r="38" spans="16:24" x14ac:dyDescent="0.2">
      <c r="P38" s="13">
        <v>28</v>
      </c>
      <c r="Q38" s="14" t="s">
        <v>64</v>
      </c>
      <c r="R38" s="14" t="e">
        <f t="shared" ca="1" si="3"/>
        <v>#REF!</v>
      </c>
      <c r="S38" s="14" t="e">
        <f t="shared" ca="1" si="3"/>
        <v>#REF!</v>
      </c>
      <c r="T38" s="14" t="e">
        <f t="shared" ca="1" si="3"/>
        <v>#REF!</v>
      </c>
      <c r="U38" s="14" t="e">
        <f t="shared" ca="1" si="3"/>
        <v>#REF!</v>
      </c>
      <c r="V38" s="14" t="e">
        <f t="shared" ca="1" si="3"/>
        <v>#REF!</v>
      </c>
      <c r="W38" s="14" t="e">
        <f t="shared" ca="1" si="3"/>
        <v>#REF!</v>
      </c>
      <c r="X38" s="14" t="e">
        <f t="shared" ca="1" si="3"/>
        <v>#REF!</v>
      </c>
    </row>
    <row r="39" spans="16:24" x14ac:dyDescent="0.2">
      <c r="P39" s="13">
        <v>29</v>
      </c>
      <c r="Q39" s="14" t="s">
        <v>65</v>
      </c>
      <c r="R39" s="14" t="e">
        <f t="shared" ca="1" si="3"/>
        <v>#REF!</v>
      </c>
      <c r="S39" s="14" t="e">
        <f t="shared" ca="1" si="3"/>
        <v>#REF!</v>
      </c>
      <c r="T39" s="14" t="e">
        <f t="shared" ca="1" si="3"/>
        <v>#REF!</v>
      </c>
      <c r="U39" s="14" t="e">
        <f t="shared" ca="1" si="3"/>
        <v>#REF!</v>
      </c>
      <c r="V39" s="14" t="e">
        <f t="shared" ca="1" si="3"/>
        <v>#REF!</v>
      </c>
      <c r="W39" s="14" t="e">
        <f t="shared" ca="1" si="3"/>
        <v>#REF!</v>
      </c>
      <c r="X39" s="14" t="e">
        <f t="shared" ca="1" si="3"/>
        <v>#REF!</v>
      </c>
    </row>
    <row r="40" spans="16:24" x14ac:dyDescent="0.2">
      <c r="P40" s="13">
        <v>30</v>
      </c>
      <c r="Q40" s="14" t="s">
        <v>66</v>
      </c>
      <c r="R40" s="14" t="e">
        <f t="shared" ca="1" si="3"/>
        <v>#REF!</v>
      </c>
      <c r="S40" s="14" t="e">
        <f t="shared" ca="1" si="3"/>
        <v>#REF!</v>
      </c>
      <c r="T40" s="14" t="e">
        <f t="shared" ca="1" si="3"/>
        <v>#REF!</v>
      </c>
      <c r="U40" s="14" t="e">
        <f t="shared" ca="1" si="3"/>
        <v>#REF!</v>
      </c>
      <c r="V40" s="14" t="e">
        <f t="shared" ca="1" si="3"/>
        <v>#REF!</v>
      </c>
      <c r="W40" s="14" t="e">
        <f t="shared" ca="1" si="3"/>
        <v>#REF!</v>
      </c>
      <c r="X40" s="14" t="e">
        <f t="shared" ca="1" si="3"/>
        <v>#REF!</v>
      </c>
    </row>
    <row r="41" spans="16:24" x14ac:dyDescent="0.2">
      <c r="P41" s="13">
        <v>31</v>
      </c>
      <c r="Q41" s="14" t="s">
        <v>67</v>
      </c>
      <c r="R41" s="14" t="e">
        <f t="shared" ca="1" si="3"/>
        <v>#REF!</v>
      </c>
      <c r="S41" s="14" t="e">
        <f t="shared" ca="1" si="3"/>
        <v>#REF!</v>
      </c>
      <c r="T41" s="14" t="e">
        <f t="shared" ca="1" si="3"/>
        <v>#REF!</v>
      </c>
      <c r="U41" s="14" t="e">
        <f t="shared" ca="1" si="3"/>
        <v>#REF!</v>
      </c>
      <c r="V41" s="14" t="e">
        <f t="shared" ca="1" si="3"/>
        <v>#REF!</v>
      </c>
      <c r="W41" s="14" t="e">
        <f t="shared" ca="1" si="3"/>
        <v>#REF!</v>
      </c>
      <c r="X41" s="14" t="e">
        <f t="shared" ca="1" si="3"/>
        <v>#REF!</v>
      </c>
    </row>
    <row r="42" spans="16:24" x14ac:dyDescent="0.2">
      <c r="P42" s="13">
        <v>32</v>
      </c>
      <c r="Q42" s="14" t="s">
        <v>68</v>
      </c>
      <c r="R42" s="14" t="e">
        <f t="shared" ca="1" si="3"/>
        <v>#REF!</v>
      </c>
      <c r="S42" s="14" t="e">
        <f t="shared" ca="1" si="3"/>
        <v>#REF!</v>
      </c>
      <c r="T42" s="14" t="e">
        <f t="shared" ca="1" si="3"/>
        <v>#REF!</v>
      </c>
      <c r="U42" s="14" t="e">
        <f t="shared" ca="1" si="3"/>
        <v>#REF!</v>
      </c>
      <c r="V42" s="14" t="e">
        <f t="shared" ca="1" si="3"/>
        <v>#REF!</v>
      </c>
      <c r="W42" s="14" t="e">
        <f t="shared" ca="1" si="3"/>
        <v>#REF!</v>
      </c>
      <c r="X42" s="14" t="e">
        <f t="shared" ca="1" si="3"/>
        <v>#REF!</v>
      </c>
    </row>
    <row r="43" spans="16:24" x14ac:dyDescent="0.2">
      <c r="P43" s="13">
        <v>33</v>
      </c>
      <c r="Q43" s="14" t="s">
        <v>69</v>
      </c>
      <c r="R43" s="14" t="e">
        <f t="shared" ca="1" si="3"/>
        <v>#REF!</v>
      </c>
      <c r="S43" s="14" t="e">
        <f t="shared" ca="1" si="3"/>
        <v>#REF!</v>
      </c>
      <c r="T43" s="14" t="e">
        <f t="shared" ca="1" si="3"/>
        <v>#REF!</v>
      </c>
      <c r="U43" s="14" t="e">
        <f t="shared" ca="1" si="3"/>
        <v>#REF!</v>
      </c>
      <c r="V43" s="14" t="e">
        <f t="shared" ca="1" si="3"/>
        <v>#REF!</v>
      </c>
      <c r="W43" s="14" t="e">
        <f t="shared" ca="1" si="3"/>
        <v>#REF!</v>
      </c>
      <c r="X43" s="14" t="e">
        <f t="shared" ca="1" si="3"/>
        <v>#REF!</v>
      </c>
    </row>
    <row r="44" spans="16:24" x14ac:dyDescent="0.2">
      <c r="P44" s="13">
        <v>34</v>
      </c>
      <c r="Q44" s="14" t="s">
        <v>70</v>
      </c>
      <c r="R44" s="14" t="e">
        <f t="shared" ref="R44:X63" ca="1" si="5">INDEX(INDIRECT($AD$6),
       MATCH(TRIM($Q44), INDIRECT($AD$7), 0),
       MATCH(TRIM(R$10), INDIRECT($AD$8), 0))</f>
        <v>#REF!</v>
      </c>
      <c r="S44" s="14" t="e">
        <f t="shared" ca="1" si="5"/>
        <v>#REF!</v>
      </c>
      <c r="T44" s="14" t="e">
        <f t="shared" ca="1" si="5"/>
        <v>#REF!</v>
      </c>
      <c r="U44" s="14" t="e">
        <f t="shared" ca="1" si="5"/>
        <v>#REF!</v>
      </c>
      <c r="V44" s="14" t="e">
        <f t="shared" ca="1" si="5"/>
        <v>#REF!</v>
      </c>
      <c r="W44" s="14" t="e">
        <f t="shared" ca="1" si="5"/>
        <v>#REF!</v>
      </c>
      <c r="X44" s="14" t="e">
        <f t="shared" ca="1" si="5"/>
        <v>#REF!</v>
      </c>
    </row>
    <row r="45" spans="16:24" x14ac:dyDescent="0.2">
      <c r="P45" s="13">
        <v>35</v>
      </c>
      <c r="Q45" s="14" t="s">
        <v>71</v>
      </c>
      <c r="R45" s="14" t="e">
        <f t="shared" ca="1" si="5"/>
        <v>#REF!</v>
      </c>
      <c r="S45" s="14" t="e">
        <f t="shared" ca="1" si="5"/>
        <v>#REF!</v>
      </c>
      <c r="T45" s="14" t="e">
        <f t="shared" ca="1" si="5"/>
        <v>#REF!</v>
      </c>
      <c r="U45" s="14" t="e">
        <f t="shared" ca="1" si="5"/>
        <v>#REF!</v>
      </c>
      <c r="V45" s="14" t="e">
        <f t="shared" ca="1" si="5"/>
        <v>#REF!</v>
      </c>
      <c r="W45" s="14" t="e">
        <f t="shared" ca="1" si="5"/>
        <v>#REF!</v>
      </c>
      <c r="X45" s="14" t="e">
        <f t="shared" ca="1" si="5"/>
        <v>#REF!</v>
      </c>
    </row>
    <row r="46" spans="16:24" x14ac:dyDescent="0.2">
      <c r="P46" s="13">
        <v>36</v>
      </c>
      <c r="Q46" s="14" t="s">
        <v>72</v>
      </c>
      <c r="R46" s="14" t="e">
        <f t="shared" ca="1" si="5"/>
        <v>#REF!</v>
      </c>
      <c r="S46" s="14" t="e">
        <f t="shared" ca="1" si="5"/>
        <v>#REF!</v>
      </c>
      <c r="T46" s="14" t="e">
        <f t="shared" ca="1" si="5"/>
        <v>#REF!</v>
      </c>
      <c r="U46" s="14" t="e">
        <f t="shared" ca="1" si="5"/>
        <v>#REF!</v>
      </c>
      <c r="V46" s="14" t="e">
        <f t="shared" ca="1" si="5"/>
        <v>#REF!</v>
      </c>
      <c r="W46" s="14" t="e">
        <f t="shared" ca="1" si="5"/>
        <v>#REF!</v>
      </c>
      <c r="X46" s="14" t="e">
        <f t="shared" ca="1" si="5"/>
        <v>#REF!</v>
      </c>
    </row>
    <row r="47" spans="16:24" x14ac:dyDescent="0.2">
      <c r="P47" s="13">
        <v>37</v>
      </c>
      <c r="Q47" s="14" t="s">
        <v>73</v>
      </c>
      <c r="R47" s="14" t="e">
        <f t="shared" ca="1" si="5"/>
        <v>#REF!</v>
      </c>
      <c r="S47" s="14" t="e">
        <f t="shared" ca="1" si="5"/>
        <v>#REF!</v>
      </c>
      <c r="T47" s="14" t="e">
        <f t="shared" ca="1" si="5"/>
        <v>#REF!</v>
      </c>
      <c r="U47" s="14" t="e">
        <f t="shared" ca="1" si="5"/>
        <v>#REF!</v>
      </c>
      <c r="V47" s="14" t="e">
        <f t="shared" ca="1" si="5"/>
        <v>#REF!</v>
      </c>
      <c r="W47" s="14" t="e">
        <f t="shared" ca="1" si="5"/>
        <v>#REF!</v>
      </c>
      <c r="X47" s="14" t="e">
        <f t="shared" ca="1" si="5"/>
        <v>#REF!</v>
      </c>
    </row>
    <row r="48" spans="16:24" x14ac:dyDescent="0.2">
      <c r="P48" s="13">
        <v>38</v>
      </c>
      <c r="Q48" s="14" t="s">
        <v>74</v>
      </c>
      <c r="R48" s="14" t="e">
        <f t="shared" ca="1" si="5"/>
        <v>#REF!</v>
      </c>
      <c r="S48" s="14" t="e">
        <f t="shared" ca="1" si="5"/>
        <v>#REF!</v>
      </c>
      <c r="T48" s="14" t="e">
        <f t="shared" ca="1" si="5"/>
        <v>#REF!</v>
      </c>
      <c r="U48" s="14" t="e">
        <f t="shared" ca="1" si="5"/>
        <v>#REF!</v>
      </c>
      <c r="V48" s="14" t="e">
        <f t="shared" ca="1" si="5"/>
        <v>#REF!</v>
      </c>
      <c r="W48" s="14" t="e">
        <f t="shared" ca="1" si="5"/>
        <v>#REF!</v>
      </c>
      <c r="X48" s="14" t="e">
        <f t="shared" ca="1" si="5"/>
        <v>#REF!</v>
      </c>
    </row>
    <row r="49" spans="16:24" x14ac:dyDescent="0.2">
      <c r="P49" s="13">
        <v>39</v>
      </c>
      <c r="Q49" s="14" t="s">
        <v>75</v>
      </c>
      <c r="R49" s="14" t="e">
        <f t="shared" ca="1" si="5"/>
        <v>#REF!</v>
      </c>
      <c r="S49" s="14" t="e">
        <f t="shared" ca="1" si="5"/>
        <v>#REF!</v>
      </c>
      <c r="T49" s="14" t="e">
        <f t="shared" ca="1" si="5"/>
        <v>#REF!</v>
      </c>
      <c r="U49" s="14" t="e">
        <f t="shared" ca="1" si="5"/>
        <v>#REF!</v>
      </c>
      <c r="V49" s="14" t="e">
        <f t="shared" ca="1" si="5"/>
        <v>#REF!</v>
      </c>
      <c r="W49" s="14" t="e">
        <f t="shared" ca="1" si="5"/>
        <v>#REF!</v>
      </c>
      <c r="X49" s="14" t="e">
        <f t="shared" ca="1" si="5"/>
        <v>#REF!</v>
      </c>
    </row>
    <row r="50" spans="16:24" x14ac:dyDescent="0.2">
      <c r="P50" s="13">
        <v>40</v>
      </c>
      <c r="Q50" s="14" t="s">
        <v>76</v>
      </c>
      <c r="R50" s="14" t="e">
        <f t="shared" ca="1" si="5"/>
        <v>#REF!</v>
      </c>
      <c r="S50" s="14" t="e">
        <f t="shared" ca="1" si="5"/>
        <v>#REF!</v>
      </c>
      <c r="T50" s="14" t="e">
        <f t="shared" ca="1" si="5"/>
        <v>#REF!</v>
      </c>
      <c r="U50" s="14" t="e">
        <f t="shared" ca="1" si="5"/>
        <v>#REF!</v>
      </c>
      <c r="V50" s="14" t="e">
        <f t="shared" ca="1" si="5"/>
        <v>#REF!</v>
      </c>
      <c r="W50" s="14" t="e">
        <f t="shared" ca="1" si="5"/>
        <v>#REF!</v>
      </c>
      <c r="X50" s="14" t="e">
        <f t="shared" ca="1" si="5"/>
        <v>#REF!</v>
      </c>
    </row>
    <row r="51" spans="16:24" x14ac:dyDescent="0.2">
      <c r="P51" s="13">
        <v>41</v>
      </c>
      <c r="Q51" s="14" t="s">
        <v>77</v>
      </c>
      <c r="R51" s="14" t="e">
        <f t="shared" ca="1" si="5"/>
        <v>#REF!</v>
      </c>
      <c r="S51" s="14" t="e">
        <f t="shared" ca="1" si="5"/>
        <v>#REF!</v>
      </c>
      <c r="T51" s="14" t="e">
        <f t="shared" ca="1" si="5"/>
        <v>#REF!</v>
      </c>
      <c r="U51" s="14" t="e">
        <f t="shared" ca="1" si="5"/>
        <v>#REF!</v>
      </c>
      <c r="V51" s="14" t="e">
        <f t="shared" ca="1" si="5"/>
        <v>#REF!</v>
      </c>
      <c r="W51" s="14" t="e">
        <f t="shared" ca="1" si="5"/>
        <v>#REF!</v>
      </c>
      <c r="X51" s="14" t="e">
        <f t="shared" ca="1" si="5"/>
        <v>#REF!</v>
      </c>
    </row>
    <row r="52" spans="16:24" x14ac:dyDescent="0.2">
      <c r="P52" s="13">
        <v>42</v>
      </c>
      <c r="Q52" s="14" t="s">
        <v>78</v>
      </c>
      <c r="R52" s="14" t="e">
        <f t="shared" ca="1" si="5"/>
        <v>#REF!</v>
      </c>
      <c r="S52" s="14" t="e">
        <f t="shared" ca="1" si="5"/>
        <v>#REF!</v>
      </c>
      <c r="T52" s="14" t="e">
        <f t="shared" ca="1" si="5"/>
        <v>#REF!</v>
      </c>
      <c r="U52" s="14" t="e">
        <f t="shared" ca="1" si="5"/>
        <v>#REF!</v>
      </c>
      <c r="V52" s="14" t="e">
        <f t="shared" ca="1" si="5"/>
        <v>#REF!</v>
      </c>
      <c r="W52" s="14" t="e">
        <f t="shared" ca="1" si="5"/>
        <v>#REF!</v>
      </c>
      <c r="X52" s="14" t="e">
        <f t="shared" ca="1" si="5"/>
        <v>#REF!</v>
      </c>
    </row>
    <row r="53" spans="16:24" x14ac:dyDescent="0.2">
      <c r="P53" s="13">
        <v>43</v>
      </c>
      <c r="Q53" s="14" t="s">
        <v>79</v>
      </c>
      <c r="R53" s="14" t="e">
        <f t="shared" ca="1" si="5"/>
        <v>#REF!</v>
      </c>
      <c r="S53" s="14" t="e">
        <f t="shared" ca="1" si="5"/>
        <v>#REF!</v>
      </c>
      <c r="T53" s="14" t="e">
        <f t="shared" ca="1" si="5"/>
        <v>#REF!</v>
      </c>
      <c r="U53" s="14" t="e">
        <f t="shared" ca="1" si="5"/>
        <v>#REF!</v>
      </c>
      <c r="V53" s="14" t="e">
        <f t="shared" ca="1" si="5"/>
        <v>#REF!</v>
      </c>
      <c r="W53" s="14" t="e">
        <f t="shared" ca="1" si="5"/>
        <v>#REF!</v>
      </c>
      <c r="X53" s="14" t="e">
        <f t="shared" ca="1" si="5"/>
        <v>#REF!</v>
      </c>
    </row>
    <row r="54" spans="16:24" x14ac:dyDescent="0.2">
      <c r="P54" s="13">
        <v>44</v>
      </c>
      <c r="Q54" s="14" t="s">
        <v>80</v>
      </c>
      <c r="R54" s="14" t="e">
        <f t="shared" ca="1" si="5"/>
        <v>#REF!</v>
      </c>
      <c r="S54" s="14" t="e">
        <f t="shared" ca="1" si="5"/>
        <v>#REF!</v>
      </c>
      <c r="T54" s="14" t="e">
        <f t="shared" ca="1" si="5"/>
        <v>#REF!</v>
      </c>
      <c r="U54" s="14" t="e">
        <f t="shared" ca="1" si="5"/>
        <v>#REF!</v>
      </c>
      <c r="V54" s="14" t="e">
        <f t="shared" ca="1" si="5"/>
        <v>#REF!</v>
      </c>
      <c r="W54" s="14" t="e">
        <f t="shared" ca="1" si="5"/>
        <v>#REF!</v>
      </c>
      <c r="X54" s="14" t="e">
        <f t="shared" ca="1" si="5"/>
        <v>#REF!</v>
      </c>
    </row>
    <row r="55" spans="16:24" x14ac:dyDescent="0.2">
      <c r="P55" s="13">
        <v>45</v>
      </c>
      <c r="Q55" s="14" t="s">
        <v>81</v>
      </c>
      <c r="R55" s="14" t="e">
        <f t="shared" ca="1" si="5"/>
        <v>#REF!</v>
      </c>
      <c r="S55" s="14" t="e">
        <f t="shared" ca="1" si="5"/>
        <v>#REF!</v>
      </c>
      <c r="T55" s="14" t="e">
        <f t="shared" ca="1" si="5"/>
        <v>#REF!</v>
      </c>
      <c r="U55" s="14" t="e">
        <f t="shared" ca="1" si="5"/>
        <v>#REF!</v>
      </c>
      <c r="V55" s="14" t="e">
        <f t="shared" ca="1" si="5"/>
        <v>#REF!</v>
      </c>
      <c r="W55" s="14" t="e">
        <f t="shared" ca="1" si="5"/>
        <v>#REF!</v>
      </c>
      <c r="X55" s="14" t="e">
        <f t="shared" ca="1" si="5"/>
        <v>#REF!</v>
      </c>
    </row>
    <row r="56" spans="16:24" x14ac:dyDescent="0.2">
      <c r="P56" s="13">
        <v>46</v>
      </c>
      <c r="Q56" s="14" t="s">
        <v>82</v>
      </c>
      <c r="R56" s="14" t="e">
        <f t="shared" ca="1" si="5"/>
        <v>#REF!</v>
      </c>
      <c r="S56" s="14" t="e">
        <f t="shared" ca="1" si="5"/>
        <v>#REF!</v>
      </c>
      <c r="T56" s="14" t="e">
        <f t="shared" ca="1" si="5"/>
        <v>#REF!</v>
      </c>
      <c r="U56" s="14" t="e">
        <f t="shared" ca="1" si="5"/>
        <v>#REF!</v>
      </c>
      <c r="V56" s="14" t="e">
        <f t="shared" ca="1" si="5"/>
        <v>#REF!</v>
      </c>
      <c r="W56" s="14" t="e">
        <f t="shared" ca="1" si="5"/>
        <v>#REF!</v>
      </c>
      <c r="X56" s="14" t="e">
        <f t="shared" ca="1" si="5"/>
        <v>#REF!</v>
      </c>
    </row>
    <row r="57" spans="16:24" x14ac:dyDescent="0.2">
      <c r="P57" s="13">
        <v>47</v>
      </c>
      <c r="Q57" s="14" t="s">
        <v>83</v>
      </c>
      <c r="R57" s="14" t="e">
        <f t="shared" ca="1" si="5"/>
        <v>#REF!</v>
      </c>
      <c r="S57" s="14" t="e">
        <f t="shared" ca="1" si="5"/>
        <v>#REF!</v>
      </c>
      <c r="T57" s="14" t="e">
        <f t="shared" ca="1" si="5"/>
        <v>#REF!</v>
      </c>
      <c r="U57" s="14" t="e">
        <f t="shared" ca="1" si="5"/>
        <v>#REF!</v>
      </c>
      <c r="V57" s="14" t="e">
        <f t="shared" ca="1" si="5"/>
        <v>#REF!</v>
      </c>
      <c r="W57" s="14" t="e">
        <f t="shared" ca="1" si="5"/>
        <v>#REF!</v>
      </c>
      <c r="X57" s="14" t="e">
        <f t="shared" ca="1" si="5"/>
        <v>#REF!</v>
      </c>
    </row>
    <row r="58" spans="16:24" x14ac:dyDescent="0.2">
      <c r="P58" s="13">
        <v>48</v>
      </c>
      <c r="Q58" s="14" t="s">
        <v>84</v>
      </c>
      <c r="R58" s="14" t="e">
        <f t="shared" ca="1" si="5"/>
        <v>#REF!</v>
      </c>
      <c r="S58" s="14" t="e">
        <f t="shared" ca="1" si="5"/>
        <v>#REF!</v>
      </c>
      <c r="T58" s="14" t="e">
        <f t="shared" ca="1" si="5"/>
        <v>#REF!</v>
      </c>
      <c r="U58" s="14" t="e">
        <f t="shared" ca="1" si="5"/>
        <v>#REF!</v>
      </c>
      <c r="V58" s="14" t="e">
        <f t="shared" ca="1" si="5"/>
        <v>#REF!</v>
      </c>
      <c r="W58" s="14" t="e">
        <f t="shared" ca="1" si="5"/>
        <v>#REF!</v>
      </c>
      <c r="X58" s="14" t="e">
        <f t="shared" ca="1" si="5"/>
        <v>#REF!</v>
      </c>
    </row>
    <row r="59" spans="16:24" x14ac:dyDescent="0.2">
      <c r="P59" s="13">
        <v>49</v>
      </c>
      <c r="Q59" s="14" t="s">
        <v>85</v>
      </c>
      <c r="R59" s="14" t="e">
        <f t="shared" ca="1" si="5"/>
        <v>#REF!</v>
      </c>
      <c r="S59" s="14" t="e">
        <f t="shared" ca="1" si="5"/>
        <v>#REF!</v>
      </c>
      <c r="T59" s="14" t="e">
        <f t="shared" ca="1" si="5"/>
        <v>#REF!</v>
      </c>
      <c r="U59" s="14" t="e">
        <f t="shared" ca="1" si="5"/>
        <v>#REF!</v>
      </c>
      <c r="V59" s="14" t="e">
        <f t="shared" ca="1" si="5"/>
        <v>#REF!</v>
      </c>
      <c r="W59" s="14" t="e">
        <f t="shared" ca="1" si="5"/>
        <v>#REF!</v>
      </c>
      <c r="X59" s="14" t="e">
        <f t="shared" ca="1" si="5"/>
        <v>#REF!</v>
      </c>
    </row>
    <row r="60" spans="16:24" x14ac:dyDescent="0.2">
      <c r="P60" s="13">
        <v>50</v>
      </c>
      <c r="Q60" s="14" t="s">
        <v>86</v>
      </c>
      <c r="R60" s="14" t="e">
        <f t="shared" ca="1" si="5"/>
        <v>#REF!</v>
      </c>
      <c r="S60" s="14" t="e">
        <f t="shared" ca="1" si="5"/>
        <v>#REF!</v>
      </c>
      <c r="T60" s="14" t="e">
        <f t="shared" ca="1" si="5"/>
        <v>#REF!</v>
      </c>
      <c r="U60" s="14" t="e">
        <f t="shared" ca="1" si="5"/>
        <v>#REF!</v>
      </c>
      <c r="V60" s="14" t="e">
        <f t="shared" ca="1" si="5"/>
        <v>#REF!</v>
      </c>
      <c r="W60" s="14" t="e">
        <f t="shared" ca="1" si="5"/>
        <v>#REF!</v>
      </c>
      <c r="X60" s="14" t="e">
        <f t="shared" ca="1" si="5"/>
        <v>#REF!</v>
      </c>
    </row>
    <row r="61" spans="16:24" x14ac:dyDescent="0.2">
      <c r="P61" s="13">
        <v>51</v>
      </c>
      <c r="Q61" s="14" t="s">
        <v>87</v>
      </c>
      <c r="R61" s="14" t="e">
        <f t="shared" ca="1" si="5"/>
        <v>#REF!</v>
      </c>
      <c r="S61" s="14" t="e">
        <f t="shared" ca="1" si="5"/>
        <v>#REF!</v>
      </c>
      <c r="T61" s="14" t="e">
        <f t="shared" ca="1" si="5"/>
        <v>#REF!</v>
      </c>
      <c r="U61" s="14" t="e">
        <f t="shared" ca="1" si="5"/>
        <v>#REF!</v>
      </c>
      <c r="V61" s="14" t="e">
        <f t="shared" ca="1" si="5"/>
        <v>#REF!</v>
      </c>
      <c r="W61" s="14" t="e">
        <f t="shared" ca="1" si="5"/>
        <v>#REF!</v>
      </c>
      <c r="X61" s="14" t="e">
        <f t="shared" ca="1" si="5"/>
        <v>#REF!</v>
      </c>
    </row>
    <row r="62" spans="16:24" x14ac:dyDescent="0.2">
      <c r="P62" s="13">
        <v>52</v>
      </c>
      <c r="Q62" s="14" t="s">
        <v>88</v>
      </c>
      <c r="R62" s="14" t="e">
        <f t="shared" ca="1" si="5"/>
        <v>#REF!</v>
      </c>
      <c r="S62" s="14" t="e">
        <f t="shared" ca="1" si="5"/>
        <v>#REF!</v>
      </c>
      <c r="T62" s="14" t="e">
        <f t="shared" ca="1" si="5"/>
        <v>#REF!</v>
      </c>
      <c r="U62" s="14" t="e">
        <f t="shared" ca="1" si="5"/>
        <v>#REF!</v>
      </c>
      <c r="V62" s="14" t="e">
        <f t="shared" ca="1" si="5"/>
        <v>#REF!</v>
      </c>
      <c r="W62" s="14" t="e">
        <f t="shared" ca="1" si="5"/>
        <v>#REF!</v>
      </c>
      <c r="X62" s="14" t="e">
        <f t="shared" ca="1" si="5"/>
        <v>#REF!</v>
      </c>
    </row>
    <row r="63" spans="16:24" x14ac:dyDescent="0.2">
      <c r="P63" s="13">
        <v>53</v>
      </c>
      <c r="Q63" s="37" t="s">
        <v>89</v>
      </c>
      <c r="R63" s="14" t="e">
        <f t="shared" ca="1" si="5"/>
        <v>#REF!</v>
      </c>
      <c r="S63" s="14" t="e">
        <f t="shared" ca="1" si="5"/>
        <v>#REF!</v>
      </c>
      <c r="T63" s="14" t="e">
        <f t="shared" ca="1" si="5"/>
        <v>#REF!</v>
      </c>
      <c r="U63" s="14" t="e">
        <f t="shared" ca="1" si="5"/>
        <v>#REF!</v>
      </c>
      <c r="V63" s="14" t="e">
        <f t="shared" ca="1" si="5"/>
        <v>#REF!</v>
      </c>
      <c r="W63" s="14" t="e">
        <f t="shared" ca="1" si="5"/>
        <v>#REF!</v>
      </c>
      <c r="X63" s="14" t="e">
        <f t="shared" ca="1" si="5"/>
        <v>#REF!</v>
      </c>
    </row>
    <row r="64" spans="16:24" ht="17" thickBot="1" x14ac:dyDescent="0.25">
      <c r="P64" s="43" t="s">
        <v>26</v>
      </c>
      <c r="Q64" s="44"/>
      <c r="R64" s="38">
        <v>2120</v>
      </c>
      <c r="S64" s="38">
        <v>16341042203</v>
      </c>
      <c r="T64" s="39">
        <v>16341</v>
      </c>
      <c r="U64" s="40">
        <v>918</v>
      </c>
      <c r="V64" s="40">
        <v>7773364433</v>
      </c>
      <c r="W64" s="41">
        <v>7774</v>
      </c>
      <c r="X64" s="42">
        <v>24115</v>
      </c>
    </row>
    <row r="65" ht="17" thickTop="1" x14ac:dyDescent="0.2"/>
  </sheetData>
  <mergeCells count="6">
    <mergeCell ref="P64:Q64"/>
    <mergeCell ref="A30:B30"/>
    <mergeCell ref="A3:I3"/>
    <mergeCell ref="A4:I4"/>
    <mergeCell ref="P3:X3"/>
    <mergeCell ref="P4:X4"/>
  </mergeCells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04363-BD13-0E47-8913-065328E8F94A}">
  <dimension ref="A1:AF71"/>
  <sheetViews>
    <sheetView topLeftCell="A6" zoomScale="106" workbookViewId="0">
      <selection activeCell="C15" sqref="C15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114</v>
      </c>
      <c r="N6" t="s">
        <v>97</v>
      </c>
      <c r="O6" t="s">
        <v>113</v>
      </c>
      <c r="P6" t="str">
        <f>_xlfn.CONCAT("'",M6,N6,"'","!",O6)</f>
        <v>'[FDI.2016.xls]Thang 12 2016'!$C$8:$K$26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[FDI.2016.xls]</v>
      </c>
      <c r="AD6" t="str">
        <f>N6</f>
        <v>Thang 12 2016</v>
      </c>
      <c r="AE6" t="s">
        <v>123</v>
      </c>
      <c r="AF6" t="str">
        <f>_xlfn.CONCAT("'",AC6,AD6,"'","!",AE6)</f>
        <v>'[FDI.2016.xls]Thang 12 2016'!$C$137:$K$193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[FDI.2016.xls]</v>
      </c>
      <c r="N7" t="str">
        <f>N6</f>
        <v>Thang 12 2016</v>
      </c>
      <c r="O7" t="s">
        <v>115</v>
      </c>
      <c r="P7" t="str">
        <f>_xlfn.CONCAT("'",M7,N7,"'","!",O7)</f>
        <v>'[FDI.2016.xls]Thang 12 2016'!$B$8:$B$26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[FDI.2016.xls]</v>
      </c>
      <c r="AD7" t="str">
        <f>AD6</f>
        <v>Thang 12 2016</v>
      </c>
      <c r="AE7" t="s">
        <v>124</v>
      </c>
      <c r="AF7" t="str">
        <f>_xlfn.CONCAT("'",AC7,AD7,"'","!",AE7)</f>
        <v>'[FDI.2016.xls]Thang 12 2016'!$B$137:$B$193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[FDI.2016.xls]</v>
      </c>
      <c r="N8" t="str">
        <f>N6</f>
        <v>Thang 12 2016</v>
      </c>
      <c r="O8" t="s">
        <v>116</v>
      </c>
      <c r="P8" t="str">
        <f>_xlfn.CONCAT("'",M8,N8,"'","!",O8)</f>
        <v>'[FDI.2016.xls]Thang 12 2016'!$C$7:$K$7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[FDI.2016.xls]</v>
      </c>
      <c r="AD8" t="str">
        <f>AD6</f>
        <v>Thang 12 2016</v>
      </c>
      <c r="AE8" t="s">
        <v>125</v>
      </c>
      <c r="AF8" t="str">
        <f>_xlfn.CONCAT("'",AC8,AD8,"'","!",AE8)</f>
        <v>'[FDI.2016.xls]Thang 12 2016'!$C$136:$K$136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52" t="s">
        <v>107</v>
      </c>
      <c r="D13" s="52"/>
      <c r="E13" s="52"/>
      <c r="F13" s="53" t="s">
        <v>108</v>
      </c>
      <c r="G13" s="53"/>
      <c r="H13" s="53"/>
      <c r="I13" s="54" t="s">
        <v>109</v>
      </c>
      <c r="J13" s="54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59" t="s">
        <v>4</v>
      </c>
      <c r="X13" s="57" t="s">
        <v>30</v>
      </c>
      <c r="Y13" s="60" t="s">
        <v>5</v>
      </c>
      <c r="Z13" s="61" t="s">
        <v>111</v>
      </c>
      <c r="AA13" s="58" t="s">
        <v>112</v>
      </c>
      <c r="AB13" s="62"/>
    </row>
    <row r="14" spans="1:32" ht="84" x14ac:dyDescent="0.2">
      <c r="A14" s="56"/>
      <c r="B14" s="56"/>
      <c r="C14" s="57" t="s">
        <v>27</v>
      </c>
      <c r="D14" s="57" t="s">
        <v>28</v>
      </c>
      <c r="E14" s="58" t="s">
        <v>29</v>
      </c>
      <c r="F14" s="59" t="s">
        <v>4</v>
      </c>
      <c r="G14" s="57" t="s">
        <v>30</v>
      </c>
      <c r="H14" s="60" t="s">
        <v>5</v>
      </c>
      <c r="I14" s="61" t="s">
        <v>111</v>
      </c>
      <c r="J14" s="58" t="s">
        <v>112</v>
      </c>
      <c r="K14" s="66" t="s">
        <v>110</v>
      </c>
      <c r="L14" s="49"/>
      <c r="M14" s="49"/>
      <c r="R14" s="63">
        <v>1</v>
      </c>
      <c r="S14" s="64" t="s">
        <v>37</v>
      </c>
      <c r="T14" s="14" t="e">
        <f ca="1">INDEX(INDIRECT($AF$6),
       MATCH(TRIM($S14), INDIRECT($AF$7), 0),
       MATCH(TRIM(T$13), INDIRECT($AF$8), 0))</f>
        <v>#REF!</v>
      </c>
      <c r="U14" s="14" t="e">
        <f ca="1">INDEX(INDIRECT($AF$6),
       MATCH(TRIM($S14), INDIRECT($AF$7), 0),
       MATCH(TRIM(U$13), INDIRECT($AF$8), 0))</f>
        <v>#REF!</v>
      </c>
      <c r="V14" s="14" t="e">
        <f ca="1">INDEX(INDIRECT($AF$6),
       MATCH(TRIM($S14), INDIRECT($AF$7), 0),
       MATCH(TRIM(V$13), INDIRECT($AF$8), 0))</f>
        <v>#REF!</v>
      </c>
      <c r="W14" s="14" t="e">
        <f ca="1">INDEX(INDIRECT($AF$6),
       MATCH(TRIM($S14), INDIRECT($AF$7), 0),
       MATCH(TRIM(W$13), INDIRECT($AF$8), 0))</f>
        <v>#REF!</v>
      </c>
      <c r="X14" s="14" t="e">
        <f ca="1">INDEX(INDIRECT($AF$6),
       MATCH(TRIM($S14), INDIRECT($AF$7), 0),
       MATCH(TRIM(X$13), INDIRECT($AF$8), 0))</f>
        <v>#REF!</v>
      </c>
      <c r="Y14" s="14" t="e">
        <f ca="1">INDEX(INDIRECT($AF$6),
       MATCH(TRIM($S14), INDIRECT($AF$7), 0),
       MATCH(TRIM(Y$13), INDIRECT($AF$8), 0))</f>
        <v>#REF!</v>
      </c>
      <c r="Z14" s="14" t="e">
        <f ca="1">INDEX(INDIRECT($AF$6),
       MATCH(TRIM($S14), INDIRECT($AF$7), 0),
       MATCH(TRIM(Z$13), INDIRECT($AF$8), 0))</f>
        <v>#REF!</v>
      </c>
      <c r="AA14" s="14" t="e">
        <f t="shared" ref="AA14:AB29" ca="1" si="0">INDEX(INDIRECT($AF$6),
       MATCH(TRIM($S14), INDIRECT($AF$7), 0),
       MATCH(TRIM(AA$13), INDIRECT($AF$8), 0))</f>
        <v>#REF!</v>
      </c>
      <c r="AB14" s="14" t="e">
        <f ca="1">V14+Y14+AA14</f>
        <v>#REF!</v>
      </c>
    </row>
    <row r="15" spans="1:32" ht="57" x14ac:dyDescent="0.2">
      <c r="A15" s="26">
        <v>1</v>
      </c>
      <c r="B15" s="27" t="s">
        <v>7</v>
      </c>
      <c r="C15" s="28" t="e">
        <f ca="1">INDEX(INDIRECT($P$6),
       MATCH(TRIM($B15), INDIRECT($P$7), 0),
       MATCH(TRIM(C$14), INDIRECT($P$8), 0))</f>
        <v>#REF!</v>
      </c>
      <c r="D15" s="28" t="e">
        <f ca="1">INDEX(INDIRECT($P$6),
       MATCH(TRIM($B15), INDIRECT($P$7), 0),
       MATCH(TRIM(D$14), INDIRECT($P$8), 0))</f>
        <v>#REF!</v>
      </c>
      <c r="E15" s="28" t="e">
        <f ca="1">INDEX(INDIRECT($P$6),
       MATCH(TRIM($B15), INDIRECT($P$7), 0),
       MATCH(TRIM(E$14), INDIRECT($P$8), 0))</f>
        <v>#REF!</v>
      </c>
      <c r="F15" s="28" t="e">
        <f ca="1">INDEX(INDIRECT($P$6),
       MATCH(TRIM($B15), INDIRECT($P$7), 0),
       MATCH(TRIM(F$14), INDIRECT($P$8), 0))</f>
        <v>#REF!</v>
      </c>
      <c r="G15" s="28" t="e">
        <f ca="1">INDEX(INDIRECT($P$6),
       MATCH(TRIM($B15), INDIRECT($P$7), 0),
       MATCH(TRIM(G$14), INDIRECT($P$8), 0))</f>
        <v>#REF!</v>
      </c>
      <c r="H15" s="28" t="e">
        <f ca="1">INDEX(INDIRECT($P$6),
       MATCH(TRIM($B15), INDIRECT($P$7), 0),
       MATCH(TRIM(H$14), INDIRECT($P$8), 0))</f>
        <v>#REF!</v>
      </c>
      <c r="I15" s="28" t="e">
        <f ca="1">INDEX(INDIRECT($P$6),
       MATCH(TRIM($B15), INDIRECT($P$7), 0),
       MATCH(TRIM(I$14), INDIRECT($P$8), 0))</f>
        <v>#REF!</v>
      </c>
      <c r="J15" s="28" t="e">
        <f ca="1">INDEX(INDIRECT($P$6),
       MATCH(TRIM($B15), INDIRECT($P$7), 0),
       MATCH(TRIM(J$14), INDIRECT($P$8), 0))</f>
        <v>#REF!</v>
      </c>
      <c r="K15" s="28" t="e">
        <f ca="1">E15+H15+J15</f>
        <v>#REF!</v>
      </c>
      <c r="L15" s="46"/>
      <c r="M15" s="46"/>
      <c r="R15" s="63">
        <v>2</v>
      </c>
      <c r="S15" s="64" t="s">
        <v>43</v>
      </c>
      <c r="T15" s="14" t="e">
        <f ca="1">INDEX(INDIRECT($AF$6),
       MATCH(TRIM($S15), INDIRECT($AF$7), 0),
       MATCH(TRIM(T$13), INDIRECT($AF$8), 0))</f>
        <v>#REF!</v>
      </c>
      <c r="U15" s="14" t="e">
        <f ca="1">INDEX(INDIRECT($AF$6),
       MATCH(TRIM($S15), INDIRECT($AF$7), 0),
       MATCH(TRIM(U$13), INDIRECT($AF$8), 0))</f>
        <v>#REF!</v>
      </c>
      <c r="V15" s="14" t="e">
        <f ca="1">INDEX(INDIRECT($AF$6),
       MATCH(TRIM($S15), INDIRECT($AF$7), 0),
       MATCH(TRIM(V$13), INDIRECT($AF$8), 0))</f>
        <v>#REF!</v>
      </c>
      <c r="W15" s="14" t="e">
        <f ca="1">INDEX(INDIRECT($AF$6),
       MATCH(TRIM($S15), INDIRECT($AF$7), 0),
       MATCH(TRIM(W$13), INDIRECT($AF$8), 0))</f>
        <v>#REF!</v>
      </c>
      <c r="X15" s="14" t="e">
        <f ca="1">INDEX(INDIRECT($AF$6),
       MATCH(TRIM($S15), INDIRECT($AF$7), 0),
       MATCH(TRIM(X$13), INDIRECT($AF$8), 0))</f>
        <v>#REF!</v>
      </c>
      <c r="Y15" s="14" t="e">
        <f ca="1">INDEX(INDIRECT($AF$6),
       MATCH(TRIM($S15), INDIRECT($AF$7), 0),
       MATCH(TRIM(Y$13), INDIRECT($AF$8), 0))</f>
        <v>#REF!</v>
      </c>
      <c r="Z15" s="14" t="e">
        <f t="shared" ref="Z15:AB46" ca="1" si="1">INDEX(INDIRECT($AF$6),
       MATCH(TRIM($S15), INDIRECT($AF$7), 0),
       MATCH(TRIM(Z$13), INDIRECT($AF$8), 0))</f>
        <v>#REF!</v>
      </c>
      <c r="AA15" s="14" t="e">
        <f t="shared" ca="1" si="0"/>
        <v>#REF!</v>
      </c>
      <c r="AB15" s="14" t="e">
        <f t="shared" ref="AB15:AB70" ca="1" si="2">V15+Y15+AA15</f>
        <v>#REF!</v>
      </c>
    </row>
    <row r="16" spans="1:32" ht="71" x14ac:dyDescent="0.2">
      <c r="A16" s="26">
        <v>2</v>
      </c>
      <c r="B16" s="27" t="s">
        <v>8</v>
      </c>
      <c r="C16" s="28" t="e">
        <f ca="1">INDEX(INDIRECT($P$6),
       MATCH(TRIM($B16), INDIRECT($P$7), 0),
       MATCH(TRIM(C$14), INDIRECT($P$8), 0))</f>
        <v>#REF!</v>
      </c>
      <c r="D16" s="28" t="e">
        <f ca="1">INDEX(INDIRECT($P$6),
       MATCH(TRIM($B16), INDIRECT($P$7), 0),
       MATCH(TRIM(D$14), INDIRECT($P$8), 0))</f>
        <v>#REF!</v>
      </c>
      <c r="E16" s="28" t="e">
        <f ca="1">INDEX(INDIRECT($P$6),
       MATCH(TRIM($B16), INDIRECT($P$7), 0),
       MATCH(TRIM(E$14), INDIRECT($P$8), 0))</f>
        <v>#REF!</v>
      </c>
      <c r="F16" s="28" t="e">
        <f ca="1">INDEX(INDIRECT($P$6),
       MATCH(TRIM($B16), INDIRECT($P$7), 0),
       MATCH(TRIM(F$14), INDIRECT($P$8), 0))</f>
        <v>#REF!</v>
      </c>
      <c r="G16" s="28" t="e">
        <f ca="1">INDEX(INDIRECT($P$6),
       MATCH(TRIM($B16), INDIRECT($P$7), 0),
       MATCH(TRIM(G$14), INDIRECT($P$8), 0))</f>
        <v>#REF!</v>
      </c>
      <c r="H16" s="28" t="e">
        <f ca="1">INDEX(INDIRECT($P$6),
       MATCH(TRIM($B16), INDIRECT($P$7), 0),
       MATCH(TRIM(H$14), INDIRECT($P$8), 0))</f>
        <v>#REF!</v>
      </c>
      <c r="I16" s="28" t="e">
        <f ca="1">INDEX(INDIRECT($P$6),
       MATCH(TRIM($B16), INDIRECT($P$7), 0),
       MATCH(TRIM(I$14), INDIRECT($P$8), 0))</f>
        <v>#REF!</v>
      </c>
      <c r="J16" s="28" t="e">
        <f ca="1">INDEX(INDIRECT($P$6),
       MATCH(TRIM($B16), INDIRECT($P$7), 0),
       MATCH(TRIM(J$14), INDIRECT($P$8), 0))</f>
        <v>#REF!</v>
      </c>
      <c r="K16" s="28" t="e">
        <f t="shared" ref="K16:K33" ca="1" si="3">E16+H16+J16</f>
        <v>#REF!</v>
      </c>
      <c r="L16" s="46"/>
      <c r="M16" s="46"/>
      <c r="R16" s="63">
        <v>3</v>
      </c>
      <c r="S16" s="64" t="s">
        <v>42</v>
      </c>
      <c r="T16" s="14" t="e">
        <f ca="1">INDEX(INDIRECT($AF$6),
       MATCH(TRIM($S16), INDIRECT($AF$7), 0),
       MATCH(TRIM(T$13), INDIRECT($AF$8), 0))</f>
        <v>#REF!</v>
      </c>
      <c r="U16" s="14" t="e">
        <f ca="1">INDEX(INDIRECT($AF$6),
       MATCH(TRIM($S16), INDIRECT($AF$7), 0),
       MATCH(TRIM(U$13), INDIRECT($AF$8), 0))</f>
        <v>#REF!</v>
      </c>
      <c r="V16" s="14" t="e">
        <f ca="1">INDEX(INDIRECT($AF$6),
       MATCH(TRIM($S16), INDIRECT($AF$7), 0),
       MATCH(TRIM(V$13), INDIRECT($AF$8), 0))</f>
        <v>#REF!</v>
      </c>
      <c r="W16" s="14" t="e">
        <f ca="1">INDEX(INDIRECT($AF$6),
       MATCH(TRIM($S16), INDIRECT($AF$7), 0),
       MATCH(TRIM(W$13), INDIRECT($AF$8), 0))</f>
        <v>#REF!</v>
      </c>
      <c r="X16" s="14" t="e">
        <f ca="1">INDEX(INDIRECT($AF$6),
       MATCH(TRIM($S16), INDIRECT($AF$7), 0),
       MATCH(TRIM(X$13), INDIRECT($AF$8), 0))</f>
        <v>#REF!</v>
      </c>
      <c r="Y16" s="14" t="e">
        <f ca="1">INDEX(INDIRECT($AF$6),
       MATCH(TRIM($S16), INDIRECT($AF$7), 0),
       MATCH(TRIM(Y$13), INDIRECT($AF$8), 0))</f>
        <v>#REF!</v>
      </c>
      <c r="Z16" s="14" t="e">
        <f t="shared" ca="1" si="1"/>
        <v>#REF!</v>
      </c>
      <c r="AA16" s="14" t="e">
        <f t="shared" ca="1" si="0"/>
        <v>#REF!</v>
      </c>
      <c r="AB16" s="14" t="e">
        <f t="shared" ca="1" si="2"/>
        <v>#REF!</v>
      </c>
    </row>
    <row r="17" spans="1:28" ht="57" x14ac:dyDescent="0.2">
      <c r="A17" s="26">
        <v>3</v>
      </c>
      <c r="B17" s="27" t="s">
        <v>9</v>
      </c>
      <c r="C17" s="28" t="e">
        <f ca="1">INDEX(INDIRECT($P$6),
       MATCH(TRIM($B17), INDIRECT($P$7), 0),
       MATCH(TRIM(C$14), INDIRECT($P$8), 0))</f>
        <v>#REF!</v>
      </c>
      <c r="D17" s="28" t="e">
        <f ca="1">INDEX(INDIRECT($P$6),
       MATCH(TRIM($B17), INDIRECT($P$7), 0),
       MATCH(TRIM(D$14), INDIRECT($P$8), 0))</f>
        <v>#REF!</v>
      </c>
      <c r="E17" s="28" t="e">
        <f ca="1">INDEX(INDIRECT($P$6),
       MATCH(TRIM($B17), INDIRECT($P$7), 0),
       MATCH(TRIM(E$14), INDIRECT($P$8), 0))</f>
        <v>#REF!</v>
      </c>
      <c r="F17" s="28" t="e">
        <f ca="1">INDEX(INDIRECT($P$6),
       MATCH(TRIM($B17), INDIRECT($P$7), 0),
       MATCH(TRIM(F$14), INDIRECT($P$8), 0))</f>
        <v>#REF!</v>
      </c>
      <c r="G17" s="28" t="e">
        <f ca="1">INDEX(INDIRECT($P$6),
       MATCH(TRIM($B17), INDIRECT($P$7), 0),
       MATCH(TRIM(G$14), INDIRECT($P$8), 0))</f>
        <v>#REF!</v>
      </c>
      <c r="H17" s="28" t="e">
        <f ca="1">INDEX(INDIRECT($P$6),
       MATCH(TRIM($B17), INDIRECT($P$7), 0),
       MATCH(TRIM(H$14), INDIRECT($P$8), 0))</f>
        <v>#REF!</v>
      </c>
      <c r="I17" s="28" t="e">
        <f ca="1">INDEX(INDIRECT($P$6),
       MATCH(TRIM($B17), INDIRECT($P$7), 0),
       MATCH(TRIM(I$14), INDIRECT($P$8), 0))</f>
        <v>#REF!</v>
      </c>
      <c r="J17" s="28" t="e">
        <f ca="1">INDEX(INDIRECT($P$6),
       MATCH(TRIM($B17), INDIRECT($P$7), 0),
       MATCH(TRIM(J$14), INDIRECT($P$8), 0))</f>
        <v>#REF!</v>
      </c>
      <c r="K17" s="28" t="e">
        <f t="shared" ca="1" si="3"/>
        <v>#REF!</v>
      </c>
      <c r="L17" s="46"/>
      <c r="M17" s="46"/>
      <c r="R17" s="63">
        <v>4</v>
      </c>
      <c r="S17" s="64" t="s">
        <v>39</v>
      </c>
      <c r="T17" s="14" t="e">
        <f ca="1">INDEX(INDIRECT($AF$6),
       MATCH(TRIM($S17), INDIRECT($AF$7), 0),
       MATCH(TRIM(T$13), INDIRECT($AF$8), 0))</f>
        <v>#REF!</v>
      </c>
      <c r="U17" s="14" t="e">
        <f ca="1">INDEX(INDIRECT($AF$6),
       MATCH(TRIM($S17), INDIRECT($AF$7), 0),
       MATCH(TRIM(U$13), INDIRECT($AF$8), 0))</f>
        <v>#REF!</v>
      </c>
      <c r="V17" s="14" t="e">
        <f ca="1">INDEX(INDIRECT($AF$6),
       MATCH(TRIM($S17), INDIRECT($AF$7), 0),
       MATCH(TRIM(V$13), INDIRECT($AF$8), 0))</f>
        <v>#REF!</v>
      </c>
      <c r="W17" s="14" t="e">
        <f ca="1">INDEX(INDIRECT($AF$6),
       MATCH(TRIM($S17), INDIRECT($AF$7), 0),
       MATCH(TRIM(W$13), INDIRECT($AF$8), 0))</f>
        <v>#REF!</v>
      </c>
      <c r="X17" s="14" t="e">
        <f ca="1">INDEX(INDIRECT($AF$6),
       MATCH(TRIM($S17), INDIRECT($AF$7), 0),
       MATCH(TRIM(X$13), INDIRECT($AF$8), 0))</f>
        <v>#REF!</v>
      </c>
      <c r="Y17" s="14" t="e">
        <f ca="1">INDEX(INDIRECT($AF$6),
       MATCH(TRIM($S17), INDIRECT($AF$7), 0),
       MATCH(TRIM(Y$13), INDIRECT($AF$8), 0))</f>
        <v>#REF!</v>
      </c>
      <c r="Z17" s="14" t="e">
        <f t="shared" ca="1" si="1"/>
        <v>#REF!</v>
      </c>
      <c r="AA17" s="14" t="e">
        <f t="shared" ca="1" si="0"/>
        <v>#REF!</v>
      </c>
      <c r="AB17" s="14" t="e">
        <f t="shared" ca="1" si="2"/>
        <v>#REF!</v>
      </c>
    </row>
    <row r="18" spans="1:28" x14ac:dyDescent="0.2">
      <c r="A18" s="26">
        <v>4</v>
      </c>
      <c r="B18" s="27" t="s">
        <v>10</v>
      </c>
      <c r="C18" s="28" t="e">
        <f ca="1">INDEX(INDIRECT($P$6),
       MATCH(TRIM($B18), INDIRECT($P$7), 0),
       MATCH(TRIM(C$14), INDIRECT($P$8), 0))</f>
        <v>#REF!</v>
      </c>
      <c r="D18" s="28" t="e">
        <f ca="1">INDEX(INDIRECT($P$6),
       MATCH(TRIM($B18), INDIRECT($P$7), 0),
       MATCH(TRIM(D$14), INDIRECT($P$8), 0))</f>
        <v>#REF!</v>
      </c>
      <c r="E18" s="28" t="e">
        <f ca="1">INDEX(INDIRECT($P$6),
       MATCH(TRIM($B18), INDIRECT($P$7), 0),
       MATCH(TRIM(E$14), INDIRECT($P$8), 0))</f>
        <v>#REF!</v>
      </c>
      <c r="F18" s="28" t="e">
        <f ca="1">INDEX(INDIRECT($P$6),
       MATCH(TRIM($B18), INDIRECT($P$7), 0),
       MATCH(TRIM(F$14), INDIRECT($P$8), 0))</f>
        <v>#REF!</v>
      </c>
      <c r="G18" s="28" t="e">
        <f ca="1">INDEX(INDIRECT($P$6),
       MATCH(TRIM($B18), INDIRECT($P$7), 0),
       MATCH(TRIM(G$14), INDIRECT($P$8), 0))</f>
        <v>#REF!</v>
      </c>
      <c r="H18" s="28" t="e">
        <f ca="1">INDEX(INDIRECT($P$6),
       MATCH(TRIM($B18), INDIRECT($P$7), 0),
       MATCH(TRIM(H$14), INDIRECT($P$8), 0))</f>
        <v>#REF!</v>
      </c>
      <c r="I18" s="28" t="e">
        <f ca="1">INDEX(INDIRECT($P$6),
       MATCH(TRIM($B18), INDIRECT($P$7), 0),
       MATCH(TRIM(I$14), INDIRECT($P$8), 0))</f>
        <v>#REF!</v>
      </c>
      <c r="J18" s="28" t="e">
        <f ca="1">INDEX(INDIRECT($P$6),
       MATCH(TRIM($B18), INDIRECT($P$7), 0),
       MATCH(TRIM(J$14), INDIRECT($P$8), 0))</f>
        <v>#REF!</v>
      </c>
      <c r="K18" s="28" t="e">
        <f t="shared" ca="1" si="3"/>
        <v>#REF!</v>
      </c>
      <c r="L18" s="46"/>
      <c r="M18" s="46"/>
      <c r="R18" s="63">
        <v>5</v>
      </c>
      <c r="S18" s="64" t="s">
        <v>41</v>
      </c>
      <c r="T18" s="14" t="e">
        <f ca="1">INDEX(INDIRECT($AF$6),
       MATCH(TRIM($S18), INDIRECT($AF$7), 0),
       MATCH(TRIM(T$13), INDIRECT($AF$8), 0))</f>
        <v>#REF!</v>
      </c>
      <c r="U18" s="14" t="e">
        <f ca="1">INDEX(INDIRECT($AF$6),
       MATCH(TRIM($S18), INDIRECT($AF$7), 0),
       MATCH(TRIM(U$13), INDIRECT($AF$8), 0))</f>
        <v>#REF!</v>
      </c>
      <c r="V18" s="14" t="e">
        <f ca="1">INDEX(INDIRECT($AF$6),
       MATCH(TRIM($S18), INDIRECT($AF$7), 0),
       MATCH(TRIM(V$13), INDIRECT($AF$8), 0))</f>
        <v>#REF!</v>
      </c>
      <c r="W18" s="14" t="e">
        <f ca="1">INDEX(INDIRECT($AF$6),
       MATCH(TRIM($S18), INDIRECT($AF$7), 0),
       MATCH(TRIM(W$13), INDIRECT($AF$8), 0))</f>
        <v>#REF!</v>
      </c>
      <c r="X18" s="14" t="e">
        <f ca="1">INDEX(INDIRECT($AF$6),
       MATCH(TRIM($S18), INDIRECT($AF$7), 0),
       MATCH(TRIM(X$13), INDIRECT($AF$8), 0))</f>
        <v>#REF!</v>
      </c>
      <c r="Y18" s="14" t="e">
        <f ca="1">INDEX(INDIRECT($AF$6),
       MATCH(TRIM($S18), INDIRECT($AF$7), 0),
       MATCH(TRIM(Y$13), INDIRECT($AF$8), 0))</f>
        <v>#REF!</v>
      </c>
      <c r="Z18" s="14" t="e">
        <f t="shared" ca="1" si="1"/>
        <v>#REF!</v>
      </c>
      <c r="AA18" s="14" t="e">
        <f t="shared" ca="1" si="0"/>
        <v>#REF!</v>
      </c>
      <c r="AB18" s="14" t="e">
        <f t="shared" ca="1" si="2"/>
        <v>#REF!</v>
      </c>
    </row>
    <row r="19" spans="1:28" ht="71" x14ac:dyDescent="0.2">
      <c r="A19" s="26">
        <v>5</v>
      </c>
      <c r="B19" s="27" t="s">
        <v>11</v>
      </c>
      <c r="C19" s="28" t="e">
        <f ca="1">INDEX(INDIRECT($P$6),
       MATCH(TRIM($B19), INDIRECT($P$7), 0),
       MATCH(TRIM(C$14), INDIRECT($P$8), 0))</f>
        <v>#REF!</v>
      </c>
      <c r="D19" s="28" t="e">
        <f ca="1">INDEX(INDIRECT($P$6),
       MATCH(TRIM($B19), INDIRECT($P$7), 0),
       MATCH(TRIM(D$14), INDIRECT($P$8), 0))</f>
        <v>#REF!</v>
      </c>
      <c r="E19" s="28" t="e">
        <f ca="1">INDEX(INDIRECT($P$6),
       MATCH(TRIM($B19), INDIRECT($P$7), 0),
       MATCH(TRIM(E$14), INDIRECT($P$8), 0))</f>
        <v>#REF!</v>
      </c>
      <c r="F19" s="28" t="e">
        <f ca="1">INDEX(INDIRECT($P$6),
       MATCH(TRIM($B19), INDIRECT($P$7), 0),
       MATCH(TRIM(F$14), INDIRECT($P$8), 0))</f>
        <v>#REF!</v>
      </c>
      <c r="G19" s="28" t="e">
        <f ca="1">INDEX(INDIRECT($P$6),
       MATCH(TRIM($B19), INDIRECT($P$7), 0),
       MATCH(TRIM(G$14), INDIRECT($P$8), 0))</f>
        <v>#REF!</v>
      </c>
      <c r="H19" s="28" t="e">
        <f ca="1">INDEX(INDIRECT($P$6),
       MATCH(TRIM($B19), INDIRECT($P$7), 0),
       MATCH(TRIM(H$14), INDIRECT($P$8), 0))</f>
        <v>#REF!</v>
      </c>
      <c r="I19" s="28" t="e">
        <f ca="1">INDEX(INDIRECT($P$6),
       MATCH(TRIM($B19), INDIRECT($P$7), 0),
       MATCH(TRIM(I$14), INDIRECT($P$8), 0))</f>
        <v>#REF!</v>
      </c>
      <c r="J19" s="28" t="e">
        <f ca="1">INDEX(INDIRECT($P$6),
       MATCH(TRIM($B19), INDIRECT($P$7), 0),
       MATCH(TRIM(J$14), INDIRECT($P$8), 0))</f>
        <v>#REF!</v>
      </c>
      <c r="K19" s="28" t="e">
        <f t="shared" ca="1" si="3"/>
        <v>#REF!</v>
      </c>
      <c r="L19" s="46"/>
      <c r="M19" s="46"/>
      <c r="R19" s="63">
        <v>6</v>
      </c>
      <c r="S19" s="64" t="s">
        <v>47</v>
      </c>
      <c r="T19" s="14" t="e">
        <f ca="1">INDEX(INDIRECT($AF$6),
       MATCH(TRIM($S19), INDIRECT($AF$7), 0),
       MATCH(TRIM(T$13), INDIRECT($AF$8), 0))</f>
        <v>#REF!</v>
      </c>
      <c r="U19" s="14" t="e">
        <f ca="1">INDEX(INDIRECT($AF$6),
       MATCH(TRIM($S19), INDIRECT($AF$7), 0),
       MATCH(TRIM(U$13), INDIRECT($AF$8), 0))</f>
        <v>#REF!</v>
      </c>
      <c r="V19" s="14" t="e">
        <f ca="1">INDEX(INDIRECT($AF$6),
       MATCH(TRIM($S19), INDIRECT($AF$7), 0),
       MATCH(TRIM(V$13), INDIRECT($AF$8), 0))</f>
        <v>#REF!</v>
      </c>
      <c r="W19" s="14" t="e">
        <f ca="1">INDEX(INDIRECT($AF$6),
       MATCH(TRIM($S19), INDIRECT($AF$7), 0),
       MATCH(TRIM(W$13), INDIRECT($AF$8), 0))</f>
        <v>#REF!</v>
      </c>
      <c r="X19" s="14" t="e">
        <f ca="1">INDEX(INDIRECT($AF$6),
       MATCH(TRIM($S19), INDIRECT($AF$7), 0),
       MATCH(TRIM(X$13), INDIRECT($AF$8), 0))</f>
        <v>#REF!</v>
      </c>
      <c r="Y19" s="14" t="e">
        <f ca="1">INDEX(INDIRECT($AF$6),
       MATCH(TRIM($S19), INDIRECT($AF$7), 0),
       MATCH(TRIM(Y$13), INDIRECT($AF$8), 0))</f>
        <v>#REF!</v>
      </c>
      <c r="Z19" s="14" t="e">
        <f t="shared" ca="1" si="1"/>
        <v>#REF!</v>
      </c>
      <c r="AA19" s="14" t="e">
        <f t="shared" ca="1" si="0"/>
        <v>#REF!</v>
      </c>
      <c r="AB19" s="14" t="e">
        <f t="shared" ca="1" si="2"/>
        <v>#REF!</v>
      </c>
    </row>
    <row r="20" spans="1:28" ht="57" x14ac:dyDescent="0.2">
      <c r="A20" s="26">
        <v>6</v>
      </c>
      <c r="B20" s="27" t="s">
        <v>12</v>
      </c>
      <c r="C20" s="28" t="e">
        <f ca="1">INDEX(INDIRECT($P$6),
       MATCH(TRIM($B20), INDIRECT($P$7), 0),
       MATCH(TRIM(C$14), INDIRECT($P$8), 0))</f>
        <v>#REF!</v>
      </c>
      <c r="D20" s="28" t="e">
        <f ca="1">INDEX(INDIRECT($P$6),
       MATCH(TRIM($B20), INDIRECT($P$7), 0),
       MATCH(TRIM(D$14), INDIRECT($P$8), 0))</f>
        <v>#REF!</v>
      </c>
      <c r="E20" s="28" t="e">
        <f ca="1">INDEX(INDIRECT($P$6),
       MATCH(TRIM($B20), INDIRECT($P$7), 0),
       MATCH(TRIM(E$14), INDIRECT($P$8), 0))</f>
        <v>#REF!</v>
      </c>
      <c r="F20" s="28" t="e">
        <f ca="1">INDEX(INDIRECT($P$6),
       MATCH(TRIM($B20), INDIRECT($P$7), 0),
       MATCH(TRIM(F$14), INDIRECT($P$8), 0))</f>
        <v>#REF!</v>
      </c>
      <c r="G20" s="28" t="e">
        <f ca="1">INDEX(INDIRECT($P$6),
       MATCH(TRIM($B20), INDIRECT($P$7), 0),
       MATCH(TRIM(G$14), INDIRECT($P$8), 0))</f>
        <v>#REF!</v>
      </c>
      <c r="H20" s="28" t="e">
        <f ca="1">INDEX(INDIRECT($P$6),
       MATCH(TRIM($B20), INDIRECT($P$7), 0),
       MATCH(TRIM(H$14), INDIRECT($P$8), 0))</f>
        <v>#REF!</v>
      </c>
      <c r="I20" s="28" t="e">
        <f ca="1">INDEX(INDIRECT($P$6),
       MATCH(TRIM($B20), INDIRECT($P$7), 0),
       MATCH(TRIM(I$14), INDIRECT($P$8), 0))</f>
        <v>#REF!</v>
      </c>
      <c r="J20" s="28" t="e">
        <f ca="1">INDEX(INDIRECT($P$6),
       MATCH(TRIM($B20), INDIRECT($P$7), 0),
       MATCH(TRIM(J$14), INDIRECT($P$8), 0))</f>
        <v>#REF!</v>
      </c>
      <c r="K20" s="28" t="e">
        <f t="shared" ca="1" si="3"/>
        <v>#REF!</v>
      </c>
      <c r="L20" s="46"/>
      <c r="M20" s="46"/>
      <c r="R20" s="63">
        <v>7</v>
      </c>
      <c r="S20" s="64" t="s">
        <v>38</v>
      </c>
      <c r="T20" s="14" t="e">
        <f ca="1">INDEX(INDIRECT($AF$6),
       MATCH(TRIM($S20), INDIRECT($AF$7), 0),
       MATCH(TRIM(T$13), INDIRECT($AF$8), 0))</f>
        <v>#REF!</v>
      </c>
      <c r="U20" s="14" t="e">
        <f ca="1">INDEX(INDIRECT($AF$6),
       MATCH(TRIM($S20), INDIRECT($AF$7), 0),
       MATCH(TRIM(U$13), INDIRECT($AF$8), 0))</f>
        <v>#REF!</v>
      </c>
      <c r="V20" s="14" t="e">
        <f ca="1">INDEX(INDIRECT($AF$6),
       MATCH(TRIM($S20), INDIRECT($AF$7), 0),
       MATCH(TRIM(V$13), INDIRECT($AF$8), 0))</f>
        <v>#REF!</v>
      </c>
      <c r="W20" s="14" t="e">
        <f ca="1">INDEX(INDIRECT($AF$6),
       MATCH(TRIM($S20), INDIRECT($AF$7), 0),
       MATCH(TRIM(W$13), INDIRECT($AF$8), 0))</f>
        <v>#REF!</v>
      </c>
      <c r="X20" s="14" t="e">
        <f ca="1">INDEX(INDIRECT($AF$6),
       MATCH(TRIM($S20), INDIRECT($AF$7), 0),
       MATCH(TRIM(X$13), INDIRECT($AF$8), 0))</f>
        <v>#REF!</v>
      </c>
      <c r="Y20" s="14" t="e">
        <f ca="1">INDEX(INDIRECT($AF$6),
       MATCH(TRIM($S20), INDIRECT($AF$7), 0),
       MATCH(TRIM(Y$13), INDIRECT($AF$8), 0))</f>
        <v>#REF!</v>
      </c>
      <c r="Z20" s="14" t="e">
        <f t="shared" ca="1" si="1"/>
        <v>#REF!</v>
      </c>
      <c r="AA20" s="14" t="e">
        <f t="shared" ca="1" si="0"/>
        <v>#REF!</v>
      </c>
      <c r="AB20" s="14" t="e">
        <f t="shared" ca="1" si="2"/>
        <v>#REF!</v>
      </c>
    </row>
    <row r="21" spans="1:28" ht="71" x14ac:dyDescent="0.2">
      <c r="A21" s="26">
        <v>7</v>
      </c>
      <c r="B21" s="27" t="s">
        <v>13</v>
      </c>
      <c r="C21" s="28" t="e">
        <f ca="1">INDEX(INDIRECT($P$6),
       MATCH(TRIM($B21), INDIRECT($P$7), 0),
       MATCH(TRIM(C$14), INDIRECT($P$8), 0))</f>
        <v>#REF!</v>
      </c>
      <c r="D21" s="28" t="e">
        <f ca="1">INDEX(INDIRECT($P$6),
       MATCH(TRIM($B21), INDIRECT($P$7), 0),
       MATCH(TRIM(D$14), INDIRECT($P$8), 0))</f>
        <v>#REF!</v>
      </c>
      <c r="E21" s="28" t="e">
        <f ca="1">INDEX(INDIRECT($P$6),
       MATCH(TRIM($B21), INDIRECT($P$7), 0),
       MATCH(TRIM(E$14), INDIRECT($P$8), 0))</f>
        <v>#REF!</v>
      </c>
      <c r="F21" s="28" t="e">
        <f ca="1">INDEX(INDIRECT($P$6),
       MATCH(TRIM($B21), INDIRECT($P$7), 0),
       MATCH(TRIM(F$14), INDIRECT($P$8), 0))</f>
        <v>#REF!</v>
      </c>
      <c r="G21" s="28" t="e">
        <f ca="1">INDEX(INDIRECT($P$6),
       MATCH(TRIM($B21), INDIRECT($P$7), 0),
       MATCH(TRIM(G$14), INDIRECT($P$8), 0))</f>
        <v>#REF!</v>
      </c>
      <c r="H21" s="28" t="e">
        <f ca="1">INDEX(INDIRECT($P$6),
       MATCH(TRIM($B21), INDIRECT($P$7), 0),
       MATCH(TRIM(H$14), INDIRECT($P$8), 0))</f>
        <v>#REF!</v>
      </c>
      <c r="I21" s="28" t="e">
        <f ca="1">INDEX(INDIRECT($P$6),
       MATCH(TRIM($B21), INDIRECT($P$7), 0),
       MATCH(TRIM(I$14), INDIRECT($P$8), 0))</f>
        <v>#REF!</v>
      </c>
      <c r="J21" s="28" t="e">
        <f ca="1">INDEX(INDIRECT($P$6),
       MATCH(TRIM($B21), INDIRECT($P$7), 0),
       MATCH(TRIM(J$14), INDIRECT($P$8), 0))</f>
        <v>#REF!</v>
      </c>
      <c r="K21" s="28" t="e">
        <f t="shared" ca="1" si="3"/>
        <v>#REF!</v>
      </c>
      <c r="L21" s="46"/>
      <c r="M21" s="46"/>
      <c r="R21" s="63">
        <v>8</v>
      </c>
      <c r="S21" s="64" t="s">
        <v>45</v>
      </c>
      <c r="T21" s="14" t="e">
        <f ca="1">INDEX(INDIRECT($AF$6),
       MATCH(TRIM($S21), INDIRECT($AF$7), 0),
       MATCH(TRIM(T$13), INDIRECT($AF$8), 0))</f>
        <v>#REF!</v>
      </c>
      <c r="U21" s="14" t="e">
        <f ca="1">INDEX(INDIRECT($AF$6),
       MATCH(TRIM($S21), INDIRECT($AF$7), 0),
       MATCH(TRIM(U$13), INDIRECT($AF$8), 0))</f>
        <v>#REF!</v>
      </c>
      <c r="V21" s="14" t="e">
        <f ca="1">INDEX(INDIRECT($AF$6),
       MATCH(TRIM($S21), INDIRECT($AF$7), 0),
       MATCH(TRIM(V$13), INDIRECT($AF$8), 0))</f>
        <v>#REF!</v>
      </c>
      <c r="W21" s="14" t="e">
        <f ca="1">INDEX(INDIRECT($AF$6),
       MATCH(TRIM($S21), INDIRECT($AF$7), 0),
       MATCH(TRIM(W$13), INDIRECT($AF$8), 0))</f>
        <v>#REF!</v>
      </c>
      <c r="X21" s="14" t="e">
        <f ca="1">INDEX(INDIRECT($AF$6),
       MATCH(TRIM($S21), INDIRECT($AF$7), 0),
       MATCH(TRIM(X$13), INDIRECT($AF$8), 0))</f>
        <v>#REF!</v>
      </c>
      <c r="Y21" s="14" t="e">
        <f ca="1">INDEX(INDIRECT($AF$6),
       MATCH(TRIM($S21), INDIRECT($AF$7), 0),
       MATCH(TRIM(Y$13), INDIRECT($AF$8), 0))</f>
        <v>#REF!</v>
      </c>
      <c r="Z21" s="14" t="e">
        <f t="shared" ca="1" si="1"/>
        <v>#REF!</v>
      </c>
      <c r="AA21" s="14" t="e">
        <f t="shared" ca="1" si="0"/>
        <v>#REF!</v>
      </c>
      <c r="AB21" s="14" t="e">
        <f t="shared" ca="1" si="2"/>
        <v>#REF!</v>
      </c>
    </row>
    <row r="22" spans="1:28" ht="29" x14ac:dyDescent="0.2">
      <c r="A22" s="26">
        <v>8</v>
      </c>
      <c r="B22" s="27" t="s">
        <v>14</v>
      </c>
      <c r="C22" s="28" t="e">
        <f ca="1">INDEX(INDIRECT($P$6),
       MATCH(TRIM($B22), INDIRECT($P$7), 0),
       MATCH(TRIM(C$14), INDIRECT($P$8), 0))</f>
        <v>#REF!</v>
      </c>
      <c r="D22" s="28" t="e">
        <f ca="1">INDEX(INDIRECT($P$6),
       MATCH(TRIM($B22), INDIRECT($P$7), 0),
       MATCH(TRIM(D$14), INDIRECT($P$8), 0))</f>
        <v>#REF!</v>
      </c>
      <c r="E22" s="28" t="e">
        <f ca="1">INDEX(INDIRECT($P$6),
       MATCH(TRIM($B22), INDIRECT($P$7), 0),
       MATCH(TRIM(E$14), INDIRECT($P$8), 0))</f>
        <v>#REF!</v>
      </c>
      <c r="F22" s="28" t="e">
        <f ca="1">INDEX(INDIRECT($P$6),
       MATCH(TRIM($B22), INDIRECT($P$7), 0),
       MATCH(TRIM(F$14), INDIRECT($P$8), 0))</f>
        <v>#REF!</v>
      </c>
      <c r="G22" s="28" t="e">
        <f ca="1">INDEX(INDIRECT($P$6),
       MATCH(TRIM($B22), INDIRECT($P$7), 0),
       MATCH(TRIM(G$14), INDIRECT($P$8), 0))</f>
        <v>#REF!</v>
      </c>
      <c r="H22" s="28" t="e">
        <f ca="1">INDEX(INDIRECT($P$6),
       MATCH(TRIM($B22), INDIRECT($P$7), 0),
       MATCH(TRIM(H$14), INDIRECT($P$8), 0))</f>
        <v>#REF!</v>
      </c>
      <c r="I22" s="28" t="e">
        <f ca="1">INDEX(INDIRECT($P$6),
       MATCH(TRIM($B22), INDIRECT($P$7), 0),
       MATCH(TRIM(I$14), INDIRECT($P$8), 0))</f>
        <v>#REF!</v>
      </c>
      <c r="J22" s="28" t="e">
        <f ca="1">INDEX(INDIRECT($P$6),
       MATCH(TRIM($B22), INDIRECT($P$7), 0),
       MATCH(TRIM(J$14), INDIRECT($P$8), 0))</f>
        <v>#REF!</v>
      </c>
      <c r="K22" s="28" t="e">
        <f t="shared" ca="1" si="3"/>
        <v>#REF!</v>
      </c>
      <c r="L22" s="46"/>
      <c r="M22" s="46"/>
      <c r="R22" s="63">
        <v>9</v>
      </c>
      <c r="S22" s="64" t="s">
        <v>51</v>
      </c>
      <c r="T22" s="14" t="e">
        <f ca="1">INDEX(INDIRECT($AF$6),
       MATCH(TRIM($S22), INDIRECT($AF$7), 0),
       MATCH(TRIM(T$13), INDIRECT($AF$8), 0))</f>
        <v>#REF!</v>
      </c>
      <c r="U22" s="14" t="e">
        <f ca="1">INDEX(INDIRECT($AF$6),
       MATCH(TRIM($S22), INDIRECT($AF$7), 0),
       MATCH(TRIM(U$13), INDIRECT($AF$8), 0))</f>
        <v>#REF!</v>
      </c>
      <c r="V22" s="14" t="e">
        <f ca="1">INDEX(INDIRECT($AF$6),
       MATCH(TRIM($S22), INDIRECT($AF$7), 0),
       MATCH(TRIM(V$13), INDIRECT($AF$8), 0))</f>
        <v>#REF!</v>
      </c>
      <c r="W22" s="14" t="e">
        <f ca="1">INDEX(INDIRECT($AF$6),
       MATCH(TRIM($S22), INDIRECT($AF$7), 0),
       MATCH(TRIM(W$13), INDIRECT($AF$8), 0))</f>
        <v>#REF!</v>
      </c>
      <c r="X22" s="14" t="e">
        <f ca="1">INDEX(INDIRECT($AF$6),
       MATCH(TRIM($S22), INDIRECT($AF$7), 0),
       MATCH(TRIM(X$13), INDIRECT($AF$8), 0))</f>
        <v>#REF!</v>
      </c>
      <c r="Y22" s="14" t="e">
        <f ca="1">INDEX(INDIRECT($AF$6),
       MATCH(TRIM($S22), INDIRECT($AF$7), 0),
       MATCH(TRIM(Y$13), INDIRECT($AF$8), 0))</f>
        <v>#REF!</v>
      </c>
      <c r="Z22" s="14" t="e">
        <f t="shared" ca="1" si="1"/>
        <v>#REF!</v>
      </c>
      <c r="AA22" s="14" t="e">
        <f t="shared" ca="1" si="0"/>
        <v>#REF!</v>
      </c>
      <c r="AB22" s="14" t="e">
        <f t="shared" ca="1" si="2"/>
        <v>#REF!</v>
      </c>
    </row>
    <row r="23" spans="1:28" ht="43" x14ac:dyDescent="0.2">
      <c r="A23" s="26">
        <v>9</v>
      </c>
      <c r="B23" s="27" t="s">
        <v>15</v>
      </c>
      <c r="C23" s="28" t="e">
        <f ca="1">INDEX(INDIRECT($P$6),
       MATCH(TRIM($B23), INDIRECT($P$7), 0),
       MATCH(TRIM(C$14), INDIRECT($P$8), 0))</f>
        <v>#REF!</v>
      </c>
      <c r="D23" s="28" t="e">
        <f ca="1">INDEX(INDIRECT($P$6),
       MATCH(TRIM($B23), INDIRECT($P$7), 0),
       MATCH(TRIM(D$14), INDIRECT($P$8), 0))</f>
        <v>#REF!</v>
      </c>
      <c r="E23" s="28" t="e">
        <f ca="1">INDEX(INDIRECT($P$6),
       MATCH(TRIM($B23), INDIRECT($P$7), 0),
       MATCH(TRIM(E$14), INDIRECT($P$8), 0))</f>
        <v>#REF!</v>
      </c>
      <c r="F23" s="28" t="e">
        <f ca="1">INDEX(INDIRECT($P$6),
       MATCH(TRIM($B23), INDIRECT($P$7), 0),
       MATCH(TRIM(F$14), INDIRECT($P$8), 0))</f>
        <v>#REF!</v>
      </c>
      <c r="G23" s="28" t="e">
        <f ca="1">INDEX(INDIRECT($P$6),
       MATCH(TRIM($B23), INDIRECT($P$7), 0),
       MATCH(TRIM(G$14), INDIRECT($P$8), 0))</f>
        <v>#REF!</v>
      </c>
      <c r="H23" s="28" t="e">
        <f ca="1">INDEX(INDIRECT($P$6),
       MATCH(TRIM($B23), INDIRECT($P$7), 0),
       MATCH(TRIM(H$14), INDIRECT($P$8), 0))</f>
        <v>#REF!</v>
      </c>
      <c r="I23" s="28" t="e">
        <f ca="1">INDEX(INDIRECT($P$6),
       MATCH(TRIM($B23), INDIRECT($P$7), 0),
       MATCH(TRIM(I$14), INDIRECT($P$8), 0))</f>
        <v>#REF!</v>
      </c>
      <c r="J23" s="28" t="e">
        <f ca="1">INDEX(INDIRECT($P$6),
       MATCH(TRIM($B23), INDIRECT($P$7), 0),
       MATCH(TRIM(J$14), INDIRECT($P$8), 0))</f>
        <v>#REF!</v>
      </c>
      <c r="K23" s="28" t="e">
        <f t="shared" ca="1" si="3"/>
        <v>#REF!</v>
      </c>
      <c r="L23" s="46"/>
      <c r="M23" s="46"/>
      <c r="R23" s="63">
        <v>10</v>
      </c>
      <c r="S23" s="64" t="s">
        <v>46</v>
      </c>
      <c r="T23" s="14" t="e">
        <f ca="1">INDEX(INDIRECT($AF$6),
       MATCH(TRIM($S23), INDIRECT($AF$7), 0),
       MATCH(TRIM(T$13), INDIRECT($AF$8), 0))</f>
        <v>#REF!</v>
      </c>
      <c r="U23" s="14" t="e">
        <f ca="1">INDEX(INDIRECT($AF$6),
       MATCH(TRIM($S23), INDIRECT($AF$7), 0),
       MATCH(TRIM(U$13), INDIRECT($AF$8), 0))</f>
        <v>#REF!</v>
      </c>
      <c r="V23" s="14" t="e">
        <f ca="1">INDEX(INDIRECT($AF$6),
       MATCH(TRIM($S23), INDIRECT($AF$7), 0),
       MATCH(TRIM(V$13), INDIRECT($AF$8), 0))</f>
        <v>#REF!</v>
      </c>
      <c r="W23" s="14" t="e">
        <f ca="1">INDEX(INDIRECT($AF$6),
       MATCH(TRIM($S23), INDIRECT($AF$7), 0),
       MATCH(TRIM(W$13), INDIRECT($AF$8), 0))</f>
        <v>#REF!</v>
      </c>
      <c r="X23" s="14" t="e">
        <f ca="1">INDEX(INDIRECT($AF$6),
       MATCH(TRIM($S23), INDIRECT($AF$7), 0),
       MATCH(TRIM(X$13), INDIRECT($AF$8), 0))</f>
        <v>#REF!</v>
      </c>
      <c r="Y23" s="14" t="e">
        <f ca="1">INDEX(INDIRECT($AF$6),
       MATCH(TRIM($S23), INDIRECT($AF$7), 0),
       MATCH(TRIM(Y$13), INDIRECT($AF$8), 0))</f>
        <v>#REF!</v>
      </c>
      <c r="Z23" s="14" t="e">
        <f t="shared" ca="1" si="1"/>
        <v>#REF!</v>
      </c>
      <c r="AA23" s="14" t="e">
        <f t="shared" ca="1" si="0"/>
        <v>#REF!</v>
      </c>
      <c r="AB23" s="14" t="e">
        <f t="shared" ca="1" si="2"/>
        <v>#REF!</v>
      </c>
    </row>
    <row r="24" spans="1:28" ht="43" x14ac:dyDescent="0.2">
      <c r="A24" s="26">
        <v>10</v>
      </c>
      <c r="B24" s="27" t="s">
        <v>16</v>
      </c>
      <c r="C24" s="28" t="e">
        <f ca="1">INDEX(INDIRECT($P$6),
       MATCH(TRIM($B24), INDIRECT($P$7), 0),
       MATCH(TRIM(C$14), INDIRECT($P$8), 0))</f>
        <v>#REF!</v>
      </c>
      <c r="D24" s="28" t="e">
        <f ca="1">INDEX(INDIRECT($P$6),
       MATCH(TRIM($B24), INDIRECT($P$7), 0),
       MATCH(TRIM(D$14), INDIRECT($P$8), 0))</f>
        <v>#REF!</v>
      </c>
      <c r="E24" s="28" t="e">
        <f ca="1">INDEX(INDIRECT($P$6),
       MATCH(TRIM($B24), INDIRECT($P$7), 0),
       MATCH(TRIM(E$14), INDIRECT($P$8), 0))</f>
        <v>#REF!</v>
      </c>
      <c r="F24" s="28" t="e">
        <f ca="1">INDEX(INDIRECT($P$6),
       MATCH(TRIM($B24), INDIRECT($P$7), 0),
       MATCH(TRIM(F$14), INDIRECT($P$8), 0))</f>
        <v>#REF!</v>
      </c>
      <c r="G24" s="28" t="e">
        <f ca="1">INDEX(INDIRECT($P$6),
       MATCH(TRIM($B24), INDIRECT($P$7), 0),
       MATCH(TRIM(G$14), INDIRECT($P$8), 0))</f>
        <v>#REF!</v>
      </c>
      <c r="H24" s="28" t="e">
        <f ca="1">INDEX(INDIRECT($P$6),
       MATCH(TRIM($B24), INDIRECT($P$7), 0),
       MATCH(TRIM(H$14), INDIRECT($P$8), 0))</f>
        <v>#REF!</v>
      </c>
      <c r="I24" s="28" t="e">
        <f ca="1">INDEX(INDIRECT($P$6),
       MATCH(TRIM($B24), INDIRECT($P$7), 0),
       MATCH(TRIM(I$14), INDIRECT($P$8), 0))</f>
        <v>#REF!</v>
      </c>
      <c r="J24" s="28" t="e">
        <f ca="1">INDEX(INDIRECT($P$6),
       MATCH(TRIM($B24), INDIRECT($P$7), 0),
       MATCH(TRIM(J$14), INDIRECT($P$8), 0))</f>
        <v>#REF!</v>
      </c>
      <c r="K24" s="28" t="e">
        <f t="shared" ca="1" si="3"/>
        <v>#REF!</v>
      </c>
      <c r="L24" s="46"/>
      <c r="M24" s="46"/>
      <c r="R24" s="63">
        <v>11</v>
      </c>
      <c r="S24" s="64" t="s">
        <v>72</v>
      </c>
      <c r="T24" s="14" t="e">
        <f ca="1">INDEX(INDIRECT($AF$6),
       MATCH(TRIM($S24), INDIRECT($AF$7), 0),
       MATCH(TRIM(T$13), INDIRECT($AF$8), 0))</f>
        <v>#REF!</v>
      </c>
      <c r="U24" s="14" t="e">
        <f ca="1">INDEX(INDIRECT($AF$6),
       MATCH(TRIM($S24), INDIRECT($AF$7), 0),
       MATCH(TRIM(U$13), INDIRECT($AF$8), 0))</f>
        <v>#REF!</v>
      </c>
      <c r="V24" s="14" t="e">
        <f ca="1">INDEX(INDIRECT($AF$6),
       MATCH(TRIM($S24), INDIRECT($AF$7), 0),
       MATCH(TRIM(V$13), INDIRECT($AF$8), 0))</f>
        <v>#REF!</v>
      </c>
      <c r="W24" s="14" t="e">
        <f ca="1">INDEX(INDIRECT($AF$6),
       MATCH(TRIM($S24), INDIRECT($AF$7), 0),
       MATCH(TRIM(W$13), INDIRECT($AF$8), 0))</f>
        <v>#REF!</v>
      </c>
      <c r="X24" s="14" t="e">
        <f ca="1">INDEX(INDIRECT($AF$6),
       MATCH(TRIM($S24), INDIRECT($AF$7), 0),
       MATCH(TRIM(X$13), INDIRECT($AF$8), 0))</f>
        <v>#REF!</v>
      </c>
      <c r="Y24" s="14" t="e">
        <f ca="1">INDEX(INDIRECT($AF$6),
       MATCH(TRIM($S24), INDIRECT($AF$7), 0),
       MATCH(TRIM(Y$13), INDIRECT($AF$8), 0))</f>
        <v>#REF!</v>
      </c>
      <c r="Z24" s="14" t="e">
        <f t="shared" ca="1" si="1"/>
        <v>#REF!</v>
      </c>
      <c r="AA24" s="14" t="e">
        <f t="shared" ca="1" si="0"/>
        <v>#REF!</v>
      </c>
      <c r="AB24" s="14" t="e">
        <f t="shared" ca="1" si="2"/>
        <v>#REF!</v>
      </c>
    </row>
    <row r="25" spans="1:28" ht="57" x14ac:dyDescent="0.2">
      <c r="A25" s="26">
        <v>11</v>
      </c>
      <c r="B25" s="27" t="s">
        <v>17</v>
      </c>
      <c r="C25" s="28" t="e">
        <f ca="1">INDEX(INDIRECT($P$6),
       MATCH(TRIM($B25), INDIRECT($P$7), 0),
       MATCH(TRIM(C$14), INDIRECT($P$8), 0))</f>
        <v>#REF!</v>
      </c>
      <c r="D25" s="28" t="e">
        <f ca="1">INDEX(INDIRECT($P$6),
       MATCH(TRIM($B25), INDIRECT($P$7), 0),
       MATCH(TRIM(D$14), INDIRECT($P$8), 0))</f>
        <v>#REF!</v>
      </c>
      <c r="E25" s="28" t="e">
        <f ca="1">INDEX(INDIRECT($P$6),
       MATCH(TRIM($B25), INDIRECT($P$7), 0),
       MATCH(TRIM(E$14), INDIRECT($P$8), 0))</f>
        <v>#REF!</v>
      </c>
      <c r="F25" s="28" t="e">
        <f ca="1">INDEX(INDIRECT($P$6),
       MATCH(TRIM($B25), INDIRECT($P$7), 0),
       MATCH(TRIM(F$14), INDIRECT($P$8), 0))</f>
        <v>#REF!</v>
      </c>
      <c r="G25" s="28" t="e">
        <f ca="1">INDEX(INDIRECT($P$6),
       MATCH(TRIM($B25), INDIRECT($P$7), 0),
       MATCH(TRIM(G$14), INDIRECT($P$8), 0))</f>
        <v>#REF!</v>
      </c>
      <c r="H25" s="28" t="e">
        <f ca="1">INDEX(INDIRECT($P$6),
       MATCH(TRIM($B25), INDIRECT($P$7), 0),
       MATCH(TRIM(H$14), INDIRECT($P$8), 0))</f>
        <v>#REF!</v>
      </c>
      <c r="I25" s="28" t="e">
        <f ca="1">INDEX(INDIRECT($P$6),
       MATCH(TRIM($B25), INDIRECT($P$7), 0),
       MATCH(TRIM(I$14), INDIRECT($P$8), 0))</f>
        <v>#REF!</v>
      </c>
      <c r="J25" s="28" t="e">
        <f ca="1">INDEX(INDIRECT($P$6),
       MATCH(TRIM($B25), INDIRECT($P$7), 0),
       MATCH(TRIM(J$14), INDIRECT($P$8), 0))</f>
        <v>#REF!</v>
      </c>
      <c r="K25" s="28" t="e">
        <f t="shared" ca="1" si="3"/>
        <v>#REF!</v>
      </c>
      <c r="L25" s="46"/>
      <c r="M25" s="46"/>
      <c r="R25" s="63">
        <v>12</v>
      </c>
      <c r="S25" s="64" t="s">
        <v>48</v>
      </c>
      <c r="T25" s="14" t="e">
        <f ca="1">INDEX(INDIRECT($AF$6),
       MATCH(TRIM($S25), INDIRECT($AF$7), 0),
       MATCH(TRIM(T$13), INDIRECT($AF$8), 0))</f>
        <v>#REF!</v>
      </c>
      <c r="U25" s="14" t="e">
        <f ca="1">INDEX(INDIRECT($AF$6),
       MATCH(TRIM($S25), INDIRECT($AF$7), 0),
       MATCH(TRIM(U$13), INDIRECT($AF$8), 0))</f>
        <v>#REF!</v>
      </c>
      <c r="V25" s="14" t="e">
        <f ca="1">INDEX(INDIRECT($AF$6),
       MATCH(TRIM($S25), INDIRECT($AF$7), 0),
       MATCH(TRIM(V$13), INDIRECT($AF$8), 0))</f>
        <v>#REF!</v>
      </c>
      <c r="W25" s="14" t="e">
        <f ca="1">INDEX(INDIRECT($AF$6),
       MATCH(TRIM($S25), INDIRECT($AF$7), 0),
       MATCH(TRIM(W$13), INDIRECT($AF$8), 0))</f>
        <v>#REF!</v>
      </c>
      <c r="X25" s="14" t="e">
        <f ca="1">INDEX(INDIRECT($AF$6),
       MATCH(TRIM($S25), INDIRECT($AF$7), 0),
       MATCH(TRIM(X$13), INDIRECT($AF$8), 0))</f>
        <v>#REF!</v>
      </c>
      <c r="Y25" s="14" t="e">
        <f ca="1">INDEX(INDIRECT($AF$6),
       MATCH(TRIM($S25), INDIRECT($AF$7), 0),
       MATCH(TRIM(Y$13), INDIRECT($AF$8), 0))</f>
        <v>#REF!</v>
      </c>
      <c r="Z25" s="14" t="e">
        <f t="shared" ca="1" si="1"/>
        <v>#REF!</v>
      </c>
      <c r="AA25" s="14" t="e">
        <f t="shared" ca="1" si="0"/>
        <v>#REF!</v>
      </c>
      <c r="AB25" s="14" t="e">
        <f t="shared" ca="1" si="2"/>
        <v>#REF!</v>
      </c>
    </row>
    <row r="26" spans="1:28" ht="29" x14ac:dyDescent="0.2">
      <c r="A26" s="26">
        <v>12</v>
      </c>
      <c r="B26" s="27" t="s">
        <v>18</v>
      </c>
      <c r="C26" s="28" t="e">
        <f ca="1">INDEX(INDIRECT($P$6),
       MATCH(TRIM($B26), INDIRECT($P$7), 0),
       MATCH(TRIM(C$14), INDIRECT($P$8), 0))</f>
        <v>#REF!</v>
      </c>
      <c r="D26" s="28" t="e">
        <f ca="1">INDEX(INDIRECT($P$6),
       MATCH(TRIM($B26), INDIRECT($P$7), 0),
       MATCH(TRIM(D$14), INDIRECT($P$8), 0))</f>
        <v>#REF!</v>
      </c>
      <c r="E26" s="28" t="e">
        <f ca="1">INDEX(INDIRECT($P$6),
       MATCH(TRIM($B26), INDIRECT($P$7), 0),
       MATCH(TRIM(E$14), INDIRECT($P$8), 0))</f>
        <v>#REF!</v>
      </c>
      <c r="F26" s="28" t="e">
        <f ca="1">INDEX(INDIRECT($P$6),
       MATCH(TRIM($B26), INDIRECT($P$7), 0),
       MATCH(TRIM(F$14), INDIRECT($P$8), 0))</f>
        <v>#REF!</v>
      </c>
      <c r="G26" s="28" t="e">
        <f ca="1">INDEX(INDIRECT($P$6),
       MATCH(TRIM($B26), INDIRECT($P$7), 0),
       MATCH(TRIM(G$14), INDIRECT($P$8), 0))</f>
        <v>#REF!</v>
      </c>
      <c r="H26" s="28" t="e">
        <f ca="1">INDEX(INDIRECT($P$6),
       MATCH(TRIM($B26), INDIRECT($P$7), 0),
       MATCH(TRIM(H$14), INDIRECT($P$8), 0))</f>
        <v>#REF!</v>
      </c>
      <c r="I26" s="28" t="e">
        <f ca="1">INDEX(INDIRECT($P$6),
       MATCH(TRIM($B26), INDIRECT($P$7), 0),
       MATCH(TRIM(I$14), INDIRECT($P$8), 0))</f>
        <v>#REF!</v>
      </c>
      <c r="J26" s="28" t="e">
        <f ca="1">INDEX(INDIRECT($P$6),
       MATCH(TRIM($B26), INDIRECT($P$7), 0),
       MATCH(TRIM(J$14), INDIRECT($P$8), 0))</f>
        <v>#REF!</v>
      </c>
      <c r="K26" s="28" t="e">
        <f t="shared" ca="1" si="3"/>
        <v>#REF!</v>
      </c>
      <c r="L26" s="46"/>
      <c r="M26" s="46"/>
      <c r="R26" s="63">
        <v>13</v>
      </c>
      <c r="S26" s="64" t="s">
        <v>44</v>
      </c>
      <c r="T26" s="14" t="e">
        <f ca="1">INDEX(INDIRECT($AF$6),
       MATCH(TRIM($S26), INDIRECT($AF$7), 0),
       MATCH(TRIM(T$13), INDIRECT($AF$8), 0))</f>
        <v>#REF!</v>
      </c>
      <c r="U26" s="14" t="e">
        <f ca="1">INDEX(INDIRECT($AF$6),
       MATCH(TRIM($S26), INDIRECT($AF$7), 0),
       MATCH(TRIM(U$13), INDIRECT($AF$8), 0))</f>
        <v>#REF!</v>
      </c>
      <c r="V26" s="14" t="e">
        <f ca="1">INDEX(INDIRECT($AF$6),
       MATCH(TRIM($S26), INDIRECT($AF$7), 0),
       MATCH(TRIM(V$13), INDIRECT($AF$8), 0))</f>
        <v>#REF!</v>
      </c>
      <c r="W26" s="14" t="e">
        <f ca="1">INDEX(INDIRECT($AF$6),
       MATCH(TRIM($S26), INDIRECT($AF$7), 0),
       MATCH(TRIM(W$13), INDIRECT($AF$8), 0))</f>
        <v>#REF!</v>
      </c>
      <c r="X26" s="14" t="e">
        <f ca="1">INDEX(INDIRECT($AF$6),
       MATCH(TRIM($S26), INDIRECT($AF$7), 0),
       MATCH(TRIM(X$13), INDIRECT($AF$8), 0))</f>
        <v>#REF!</v>
      </c>
      <c r="Y26" s="14" t="e">
        <f ca="1">INDEX(INDIRECT($AF$6),
       MATCH(TRIM($S26), INDIRECT($AF$7), 0),
       MATCH(TRIM(Y$13), INDIRECT($AF$8), 0))</f>
        <v>#REF!</v>
      </c>
      <c r="Z26" s="14" t="e">
        <f t="shared" ca="1" si="1"/>
        <v>#REF!</v>
      </c>
      <c r="AA26" s="14" t="e">
        <f t="shared" ca="1" si="0"/>
        <v>#REF!</v>
      </c>
      <c r="AB26" s="14" t="e">
        <f t="shared" ca="1" si="2"/>
        <v>#REF!</v>
      </c>
    </row>
    <row r="27" spans="1:28" ht="29" x14ac:dyDescent="0.2">
      <c r="A27" s="26">
        <v>13</v>
      </c>
      <c r="B27" s="27" t="s">
        <v>19</v>
      </c>
      <c r="C27" s="28" t="e">
        <f ca="1">INDEX(INDIRECT($P$6),
       MATCH(TRIM($B27), INDIRECT($P$7), 0),
       MATCH(TRIM(C$14), INDIRECT($P$8), 0))</f>
        <v>#REF!</v>
      </c>
      <c r="D27" s="28" t="e">
        <f ca="1">INDEX(INDIRECT($P$6),
       MATCH(TRIM($B27), INDIRECT($P$7), 0),
       MATCH(TRIM(D$14), INDIRECT($P$8), 0))</f>
        <v>#REF!</v>
      </c>
      <c r="E27" s="28" t="e">
        <f ca="1">INDEX(INDIRECT($P$6),
       MATCH(TRIM($B27), INDIRECT($P$7), 0),
       MATCH(TRIM(E$14), INDIRECT($P$8), 0))</f>
        <v>#REF!</v>
      </c>
      <c r="F27" s="28" t="e">
        <f ca="1">INDEX(INDIRECT($P$6),
       MATCH(TRIM($B27), INDIRECT($P$7), 0),
       MATCH(TRIM(F$14), INDIRECT($P$8), 0))</f>
        <v>#REF!</v>
      </c>
      <c r="G27" s="28" t="e">
        <f ca="1">INDEX(INDIRECT($P$6),
       MATCH(TRIM($B27), INDIRECT($P$7), 0),
       MATCH(TRIM(G$14), INDIRECT($P$8), 0))</f>
        <v>#REF!</v>
      </c>
      <c r="H27" s="28" t="e">
        <f ca="1">INDEX(INDIRECT($P$6),
       MATCH(TRIM($B27), INDIRECT($P$7), 0),
       MATCH(TRIM(H$14), INDIRECT($P$8), 0))</f>
        <v>#REF!</v>
      </c>
      <c r="I27" s="28" t="e">
        <f ca="1">INDEX(INDIRECT($P$6),
       MATCH(TRIM($B27), INDIRECT($P$7), 0),
       MATCH(TRIM(I$14), INDIRECT($P$8), 0))</f>
        <v>#REF!</v>
      </c>
      <c r="J27" s="28" t="e">
        <f ca="1">INDEX(INDIRECT($P$6),
       MATCH(TRIM($B27), INDIRECT($P$7), 0),
       MATCH(TRIM(J$14), INDIRECT($P$8), 0))</f>
        <v>#REF!</v>
      </c>
      <c r="K27" s="28" t="e">
        <f t="shared" ca="1" si="3"/>
        <v>#REF!</v>
      </c>
      <c r="L27" s="46"/>
      <c r="M27" s="46"/>
      <c r="R27" s="63">
        <v>14</v>
      </c>
      <c r="S27" s="64" t="s">
        <v>49</v>
      </c>
      <c r="T27" s="14" t="e">
        <f ca="1">INDEX(INDIRECT($AF$6),
       MATCH(TRIM($S27), INDIRECT($AF$7), 0),
       MATCH(TRIM(T$13), INDIRECT($AF$8), 0))</f>
        <v>#REF!</v>
      </c>
      <c r="U27" s="14" t="e">
        <f ca="1">INDEX(INDIRECT($AF$6),
       MATCH(TRIM($S27), INDIRECT($AF$7), 0),
       MATCH(TRIM(U$13), INDIRECT($AF$8), 0))</f>
        <v>#REF!</v>
      </c>
      <c r="V27" s="14" t="e">
        <f ca="1">INDEX(INDIRECT($AF$6),
       MATCH(TRIM($S27), INDIRECT($AF$7), 0),
       MATCH(TRIM(V$13), INDIRECT($AF$8), 0))</f>
        <v>#REF!</v>
      </c>
      <c r="W27" s="14" t="e">
        <f ca="1">INDEX(INDIRECT($AF$6),
       MATCH(TRIM($S27), INDIRECT($AF$7), 0),
       MATCH(TRIM(W$13), INDIRECT($AF$8), 0))</f>
        <v>#REF!</v>
      </c>
      <c r="X27" s="14" t="e">
        <f ca="1">INDEX(INDIRECT($AF$6),
       MATCH(TRIM($S27), INDIRECT($AF$7), 0),
       MATCH(TRIM(X$13), INDIRECT($AF$8), 0))</f>
        <v>#REF!</v>
      </c>
      <c r="Y27" s="14" t="e">
        <f ca="1">INDEX(INDIRECT($AF$6),
       MATCH(TRIM($S27), INDIRECT($AF$7), 0),
       MATCH(TRIM(Y$13), INDIRECT($AF$8), 0))</f>
        <v>#REF!</v>
      </c>
      <c r="Z27" s="14" t="e">
        <f t="shared" ca="1" si="1"/>
        <v>#REF!</v>
      </c>
      <c r="AA27" s="14" t="e">
        <f t="shared" ca="1" si="0"/>
        <v>#REF!</v>
      </c>
      <c r="AB27" s="14" t="e">
        <f t="shared" ca="1" si="2"/>
        <v>#REF!</v>
      </c>
    </row>
    <row r="28" spans="1:28" ht="43" x14ac:dyDescent="0.2">
      <c r="A28" s="26">
        <v>14</v>
      </c>
      <c r="B28" s="27" t="s">
        <v>20</v>
      </c>
      <c r="C28" s="28" t="e">
        <f ca="1">INDEX(INDIRECT($P$6),
       MATCH(TRIM($B28), INDIRECT($P$7), 0),
       MATCH(TRIM(C$14), INDIRECT($P$8), 0))</f>
        <v>#REF!</v>
      </c>
      <c r="D28" s="28" t="e">
        <f ca="1">INDEX(INDIRECT($P$6),
       MATCH(TRIM($B28), INDIRECT($P$7), 0),
       MATCH(TRIM(D$14), INDIRECT($P$8), 0))</f>
        <v>#REF!</v>
      </c>
      <c r="E28" s="28" t="e">
        <f ca="1">INDEX(INDIRECT($P$6),
       MATCH(TRIM($B28), INDIRECT($P$7), 0),
       MATCH(TRIM(E$14), INDIRECT($P$8), 0))</f>
        <v>#REF!</v>
      </c>
      <c r="F28" s="28" t="e">
        <f ca="1">INDEX(INDIRECT($P$6),
       MATCH(TRIM($B28), INDIRECT($P$7), 0),
       MATCH(TRIM(F$14), INDIRECT($P$8), 0))</f>
        <v>#REF!</v>
      </c>
      <c r="G28" s="28" t="e">
        <f ca="1">INDEX(INDIRECT($P$6),
       MATCH(TRIM($B28), INDIRECT($P$7), 0),
       MATCH(TRIM(G$14), INDIRECT($P$8), 0))</f>
        <v>#REF!</v>
      </c>
      <c r="H28" s="28" t="e">
        <f ca="1">INDEX(INDIRECT($P$6),
       MATCH(TRIM($B28), INDIRECT($P$7), 0),
       MATCH(TRIM(H$14), INDIRECT($P$8), 0))</f>
        <v>#REF!</v>
      </c>
      <c r="I28" s="28" t="e">
        <f ca="1">INDEX(INDIRECT($P$6),
       MATCH(TRIM($B28), INDIRECT($P$7), 0),
       MATCH(TRIM(I$14), INDIRECT($P$8), 0))</f>
        <v>#REF!</v>
      </c>
      <c r="J28" s="28" t="e">
        <f ca="1">INDEX(INDIRECT($P$6),
       MATCH(TRIM($B28), INDIRECT($P$7), 0),
       MATCH(TRIM(J$14), INDIRECT($P$8), 0))</f>
        <v>#REF!</v>
      </c>
      <c r="K28" s="28" t="e">
        <f t="shared" ca="1" si="3"/>
        <v>#REF!</v>
      </c>
      <c r="L28" s="46"/>
      <c r="M28" s="46"/>
      <c r="R28" s="63">
        <v>15</v>
      </c>
      <c r="S28" s="64" t="s">
        <v>63</v>
      </c>
      <c r="T28" s="14" t="e">
        <f ca="1">INDEX(INDIRECT($AF$6),
       MATCH(TRIM($S28), INDIRECT($AF$7), 0),
       MATCH(TRIM(T$13), INDIRECT($AF$8), 0))</f>
        <v>#REF!</v>
      </c>
      <c r="U28" s="14" t="e">
        <f ca="1">INDEX(INDIRECT($AF$6),
       MATCH(TRIM($S28), INDIRECT($AF$7), 0),
       MATCH(TRIM(U$13), INDIRECT($AF$8), 0))</f>
        <v>#REF!</v>
      </c>
      <c r="V28" s="14" t="e">
        <f ca="1">INDEX(INDIRECT($AF$6),
       MATCH(TRIM($S28), INDIRECT($AF$7), 0),
       MATCH(TRIM(V$13), INDIRECT($AF$8), 0))</f>
        <v>#REF!</v>
      </c>
      <c r="W28" s="14" t="e">
        <f ca="1">INDEX(INDIRECT($AF$6),
       MATCH(TRIM($S28), INDIRECT($AF$7), 0),
       MATCH(TRIM(W$13), INDIRECT($AF$8), 0))</f>
        <v>#REF!</v>
      </c>
      <c r="X28" s="14" t="e">
        <f ca="1">INDEX(INDIRECT($AF$6),
       MATCH(TRIM($S28), INDIRECT($AF$7), 0),
       MATCH(TRIM(X$13), INDIRECT($AF$8), 0))</f>
        <v>#REF!</v>
      </c>
      <c r="Y28" s="14" t="e">
        <f ca="1">INDEX(INDIRECT($AF$6),
       MATCH(TRIM($S28), INDIRECT($AF$7), 0),
       MATCH(TRIM(Y$13), INDIRECT($AF$8), 0))</f>
        <v>#REF!</v>
      </c>
      <c r="Z28" s="14" t="e">
        <f t="shared" ca="1" si="1"/>
        <v>#REF!</v>
      </c>
      <c r="AA28" s="14" t="e">
        <f t="shared" ca="1" si="0"/>
        <v>#REF!</v>
      </c>
      <c r="AB28" s="14" t="e">
        <f t="shared" ca="1" si="2"/>
        <v>#REF!</v>
      </c>
    </row>
    <row r="29" spans="1:28" ht="43" x14ac:dyDescent="0.2">
      <c r="A29" s="26">
        <v>15</v>
      </c>
      <c r="B29" s="27" t="s">
        <v>21</v>
      </c>
      <c r="C29" s="28" t="e">
        <f ca="1">INDEX(INDIRECT($P$6),
       MATCH(TRIM($B29), INDIRECT($P$7), 0),
       MATCH(TRIM(C$14), INDIRECT($P$8), 0))</f>
        <v>#REF!</v>
      </c>
      <c r="D29" s="28" t="e">
        <f ca="1">INDEX(INDIRECT($P$6),
       MATCH(TRIM($B29), INDIRECT($P$7), 0),
       MATCH(TRIM(D$14), INDIRECT($P$8), 0))</f>
        <v>#REF!</v>
      </c>
      <c r="E29" s="28" t="e">
        <f ca="1">INDEX(INDIRECT($P$6),
       MATCH(TRIM($B29), INDIRECT($P$7), 0),
       MATCH(TRIM(E$14), INDIRECT($P$8), 0))</f>
        <v>#REF!</v>
      </c>
      <c r="F29" s="28" t="e">
        <f ca="1">INDEX(INDIRECT($P$6),
       MATCH(TRIM($B29), INDIRECT($P$7), 0),
       MATCH(TRIM(F$14), INDIRECT($P$8), 0))</f>
        <v>#REF!</v>
      </c>
      <c r="G29" s="28" t="e">
        <f ca="1">INDEX(INDIRECT($P$6),
       MATCH(TRIM($B29), INDIRECT($P$7), 0),
       MATCH(TRIM(G$14), INDIRECT($P$8), 0))</f>
        <v>#REF!</v>
      </c>
      <c r="H29" s="28" t="e">
        <f ca="1">INDEX(INDIRECT($P$6),
       MATCH(TRIM($B29), INDIRECT($P$7), 0),
       MATCH(TRIM(H$14), INDIRECT($P$8), 0))</f>
        <v>#REF!</v>
      </c>
      <c r="I29" s="28" t="e">
        <f ca="1">INDEX(INDIRECT($P$6),
       MATCH(TRIM($B29), INDIRECT($P$7), 0),
       MATCH(TRIM(I$14), INDIRECT($P$8), 0))</f>
        <v>#REF!</v>
      </c>
      <c r="J29" s="28" t="e">
        <f ca="1">INDEX(INDIRECT($P$6),
       MATCH(TRIM($B29), INDIRECT($P$7), 0),
       MATCH(TRIM(J$14), INDIRECT($P$8), 0))</f>
        <v>#REF!</v>
      </c>
      <c r="K29" s="28" t="e">
        <f t="shared" ca="1" si="3"/>
        <v>#REF!</v>
      </c>
      <c r="L29" s="46"/>
      <c r="M29" s="46"/>
      <c r="R29" s="63">
        <v>16</v>
      </c>
      <c r="S29" s="64" t="s">
        <v>52</v>
      </c>
      <c r="T29" s="14" t="e">
        <f ca="1">INDEX(INDIRECT($AF$6),
       MATCH(TRIM($S29), INDIRECT($AF$7), 0),
       MATCH(TRIM(T$13), INDIRECT($AF$8), 0))</f>
        <v>#REF!</v>
      </c>
      <c r="U29" s="14" t="e">
        <f ca="1">INDEX(INDIRECT($AF$6),
       MATCH(TRIM($S29), INDIRECT($AF$7), 0),
       MATCH(TRIM(U$13), INDIRECT($AF$8), 0))</f>
        <v>#REF!</v>
      </c>
      <c r="V29" s="14" t="e">
        <f ca="1">INDEX(INDIRECT($AF$6),
       MATCH(TRIM($S29), INDIRECT($AF$7), 0),
       MATCH(TRIM(V$13), INDIRECT($AF$8), 0))</f>
        <v>#REF!</v>
      </c>
      <c r="W29" s="14" t="e">
        <f ca="1">INDEX(INDIRECT($AF$6),
       MATCH(TRIM($S29), INDIRECT($AF$7), 0),
       MATCH(TRIM(W$13), INDIRECT($AF$8), 0))</f>
        <v>#REF!</v>
      </c>
      <c r="X29" s="14" t="e">
        <f ca="1">INDEX(INDIRECT($AF$6),
       MATCH(TRIM($S29), INDIRECT($AF$7), 0),
       MATCH(TRIM(X$13), INDIRECT($AF$8), 0))</f>
        <v>#REF!</v>
      </c>
      <c r="Y29" s="14" t="e">
        <f ca="1">INDEX(INDIRECT($AF$6),
       MATCH(TRIM($S29), INDIRECT($AF$7), 0),
       MATCH(TRIM(Y$13), INDIRECT($AF$8), 0))</f>
        <v>#REF!</v>
      </c>
      <c r="Z29" s="14" t="e">
        <f t="shared" ca="1" si="1"/>
        <v>#REF!</v>
      </c>
      <c r="AA29" s="14" t="e">
        <f t="shared" ca="1" si="0"/>
        <v>#REF!</v>
      </c>
      <c r="AB29" s="14" t="e">
        <f t="shared" ca="1" si="2"/>
        <v>#REF!</v>
      </c>
    </row>
    <row r="30" spans="1:28" ht="29" x14ac:dyDescent="0.2">
      <c r="A30" s="26">
        <v>16</v>
      </c>
      <c r="B30" s="27" t="s">
        <v>22</v>
      </c>
      <c r="C30" s="28" t="e">
        <f ca="1">INDEX(INDIRECT($P$6),
       MATCH(TRIM($B30), INDIRECT($P$7), 0),
       MATCH(TRIM(C$14), INDIRECT($P$8), 0))</f>
        <v>#REF!</v>
      </c>
      <c r="D30" s="28" t="e">
        <f ca="1">INDEX(INDIRECT($P$6),
       MATCH(TRIM($B30), INDIRECT($P$7), 0),
       MATCH(TRIM(D$14), INDIRECT($P$8), 0))</f>
        <v>#REF!</v>
      </c>
      <c r="E30" s="28" t="e">
        <f ca="1">INDEX(INDIRECT($P$6),
       MATCH(TRIM($B30), INDIRECT($P$7), 0),
       MATCH(TRIM(E$14), INDIRECT($P$8), 0))</f>
        <v>#REF!</v>
      </c>
      <c r="F30" s="28" t="e">
        <f ca="1">INDEX(INDIRECT($P$6),
       MATCH(TRIM($B30), INDIRECT($P$7), 0),
       MATCH(TRIM(F$14), INDIRECT($P$8), 0))</f>
        <v>#REF!</v>
      </c>
      <c r="G30" s="28" t="e">
        <f ca="1">INDEX(INDIRECT($P$6),
       MATCH(TRIM($B30), INDIRECT($P$7), 0),
       MATCH(TRIM(G$14), INDIRECT($P$8), 0))</f>
        <v>#REF!</v>
      </c>
      <c r="H30" s="28" t="e">
        <f ca="1">INDEX(INDIRECT($P$6),
       MATCH(TRIM($B30), INDIRECT($P$7), 0),
       MATCH(TRIM(H$14), INDIRECT($P$8), 0))</f>
        <v>#REF!</v>
      </c>
      <c r="I30" s="28" t="e">
        <f ca="1">INDEX(INDIRECT($P$6),
       MATCH(TRIM($B30), INDIRECT($P$7), 0),
       MATCH(TRIM(I$14), INDIRECT($P$8), 0))</f>
        <v>#REF!</v>
      </c>
      <c r="J30" s="28" t="e">
        <f ca="1">INDEX(INDIRECT($P$6),
       MATCH(TRIM($B30), INDIRECT($P$7), 0),
       MATCH(TRIM(J$14), INDIRECT($P$8), 0))</f>
        <v>#REF!</v>
      </c>
      <c r="K30" s="28" t="e">
        <f t="shared" ca="1" si="3"/>
        <v>#REF!</v>
      </c>
      <c r="L30" s="46"/>
      <c r="M30" s="46"/>
      <c r="R30" s="63">
        <v>17</v>
      </c>
      <c r="S30" s="64" t="s">
        <v>58</v>
      </c>
      <c r="T30" s="14" t="e">
        <f ca="1">INDEX(INDIRECT($AF$6),
       MATCH(TRIM($S30), INDIRECT($AF$7), 0),
       MATCH(TRIM(T$13), INDIRECT($AF$8), 0))</f>
        <v>#REF!</v>
      </c>
      <c r="U30" s="14" t="e">
        <f ca="1">INDEX(INDIRECT($AF$6),
       MATCH(TRIM($S30), INDIRECT($AF$7), 0),
       MATCH(TRIM(U$13), INDIRECT($AF$8), 0))</f>
        <v>#REF!</v>
      </c>
      <c r="V30" s="14" t="e">
        <f ca="1">INDEX(INDIRECT($AF$6),
       MATCH(TRIM($S30), INDIRECT($AF$7), 0),
       MATCH(TRIM(V$13), INDIRECT($AF$8), 0))</f>
        <v>#REF!</v>
      </c>
      <c r="W30" s="14" t="e">
        <f ca="1">INDEX(INDIRECT($AF$6),
       MATCH(TRIM($S30), INDIRECT($AF$7), 0),
       MATCH(TRIM(W$13), INDIRECT($AF$8), 0))</f>
        <v>#REF!</v>
      </c>
      <c r="X30" s="14" t="e">
        <f ca="1">INDEX(INDIRECT($AF$6),
       MATCH(TRIM($S30), INDIRECT($AF$7), 0),
       MATCH(TRIM(X$13), INDIRECT($AF$8), 0))</f>
        <v>#REF!</v>
      </c>
      <c r="Y30" s="14" t="e">
        <f ca="1">INDEX(INDIRECT($AF$6),
       MATCH(TRIM($S30), INDIRECT($AF$7), 0),
       MATCH(TRIM(Y$13), INDIRECT($AF$8), 0))</f>
        <v>#REF!</v>
      </c>
      <c r="Z30" s="14" t="e">
        <f t="shared" ca="1" si="1"/>
        <v>#REF!</v>
      </c>
      <c r="AA30" s="14" t="e">
        <f t="shared" ca="1" si="1"/>
        <v>#REF!</v>
      </c>
      <c r="AB30" s="14" t="e">
        <f t="shared" ca="1" si="2"/>
        <v>#REF!</v>
      </c>
    </row>
    <row r="31" spans="1:28" ht="43" x14ac:dyDescent="0.2">
      <c r="A31" s="26">
        <v>17</v>
      </c>
      <c r="B31" s="27" t="s">
        <v>23</v>
      </c>
      <c r="C31" s="28" t="e">
        <f ca="1">INDEX(INDIRECT($P$6),
       MATCH(TRIM($B31), INDIRECT($P$7), 0),
       MATCH(TRIM(C$14), INDIRECT($P$8), 0))</f>
        <v>#REF!</v>
      </c>
      <c r="D31" s="28" t="e">
        <f ca="1">INDEX(INDIRECT($P$6),
       MATCH(TRIM($B31), INDIRECT($P$7), 0),
       MATCH(TRIM(D$14), INDIRECT($P$8), 0))</f>
        <v>#REF!</v>
      </c>
      <c r="E31" s="28" t="e">
        <f ca="1">INDEX(INDIRECT($P$6),
       MATCH(TRIM($B31), INDIRECT($P$7), 0),
       MATCH(TRIM(E$14), INDIRECT($P$8), 0))</f>
        <v>#REF!</v>
      </c>
      <c r="F31" s="28" t="e">
        <f ca="1">INDEX(INDIRECT($P$6),
       MATCH(TRIM($B31), INDIRECT($P$7), 0),
       MATCH(TRIM(F$14), INDIRECT($P$8), 0))</f>
        <v>#REF!</v>
      </c>
      <c r="G31" s="28" t="e">
        <f ca="1">INDEX(INDIRECT($P$6),
       MATCH(TRIM($B31), INDIRECT($P$7), 0),
       MATCH(TRIM(G$14), INDIRECT($P$8), 0))</f>
        <v>#REF!</v>
      </c>
      <c r="H31" s="28" t="e">
        <f ca="1">INDEX(INDIRECT($P$6),
       MATCH(TRIM($B31), INDIRECT($P$7), 0),
       MATCH(TRIM(H$14), INDIRECT($P$8), 0))</f>
        <v>#REF!</v>
      </c>
      <c r="I31" s="28" t="e">
        <f ca="1">INDEX(INDIRECT($P$6),
       MATCH(TRIM($B31), INDIRECT($P$7), 0),
       MATCH(TRIM(I$14), INDIRECT($P$8), 0))</f>
        <v>#REF!</v>
      </c>
      <c r="J31" s="28" t="e">
        <f ca="1">INDEX(INDIRECT($P$6),
       MATCH(TRIM($B31), INDIRECT($P$7), 0),
       MATCH(TRIM(J$14), INDIRECT($P$8), 0))</f>
        <v>#REF!</v>
      </c>
      <c r="K31" s="28" t="e">
        <f t="shared" ca="1" si="3"/>
        <v>#REF!</v>
      </c>
      <c r="L31" s="46"/>
      <c r="M31" s="46"/>
      <c r="R31" s="63">
        <v>18</v>
      </c>
      <c r="S31" s="64" t="s">
        <v>50</v>
      </c>
      <c r="T31" s="14" t="e">
        <f ca="1">INDEX(INDIRECT($AF$6),
       MATCH(TRIM($S31), INDIRECT($AF$7), 0),
       MATCH(TRIM(T$13), INDIRECT($AF$8), 0))</f>
        <v>#REF!</v>
      </c>
      <c r="U31" s="14" t="e">
        <f ca="1">INDEX(INDIRECT($AF$6),
       MATCH(TRIM($S31), INDIRECT($AF$7), 0),
       MATCH(TRIM(U$13), INDIRECT($AF$8), 0))</f>
        <v>#REF!</v>
      </c>
      <c r="V31" s="14" t="e">
        <f ca="1">INDEX(INDIRECT($AF$6),
       MATCH(TRIM($S31), INDIRECT($AF$7), 0),
       MATCH(TRIM(V$13), INDIRECT($AF$8), 0))</f>
        <v>#REF!</v>
      </c>
      <c r="W31" s="14" t="e">
        <f ca="1">INDEX(INDIRECT($AF$6),
       MATCH(TRIM($S31), INDIRECT($AF$7), 0),
       MATCH(TRIM(W$13), INDIRECT($AF$8), 0))</f>
        <v>#REF!</v>
      </c>
      <c r="X31" s="14" t="e">
        <f ca="1">INDEX(INDIRECT($AF$6),
       MATCH(TRIM($S31), INDIRECT($AF$7), 0),
       MATCH(TRIM(X$13), INDIRECT($AF$8), 0))</f>
        <v>#REF!</v>
      </c>
      <c r="Y31" s="14" t="e">
        <f ca="1">INDEX(INDIRECT($AF$6),
       MATCH(TRIM($S31), INDIRECT($AF$7), 0),
       MATCH(TRIM(Y$13), INDIRECT($AF$8), 0))</f>
        <v>#REF!</v>
      </c>
      <c r="Z31" s="14" t="e">
        <f t="shared" ca="1" si="1"/>
        <v>#REF!</v>
      </c>
      <c r="AA31" s="14" t="e">
        <f t="shared" ca="1" si="1"/>
        <v>#REF!</v>
      </c>
      <c r="AB31" s="14" t="e">
        <f t="shared" ca="1" si="2"/>
        <v>#REF!</v>
      </c>
    </row>
    <row r="32" spans="1:28" ht="57" x14ac:dyDescent="0.2">
      <c r="A32" s="26">
        <v>18</v>
      </c>
      <c r="B32" s="27" t="s">
        <v>24</v>
      </c>
      <c r="C32" s="28" t="e">
        <f ca="1">INDEX(INDIRECT($P$6),
       MATCH(TRIM($B32), INDIRECT($P$7), 0),
       MATCH(TRIM(C$14), INDIRECT($P$8), 0))</f>
        <v>#REF!</v>
      </c>
      <c r="D32" s="28" t="e">
        <f ca="1">INDEX(INDIRECT($P$6),
       MATCH(TRIM($B32), INDIRECT($P$7), 0),
       MATCH(TRIM(D$14), INDIRECT($P$8), 0))</f>
        <v>#REF!</v>
      </c>
      <c r="E32" s="28" t="e">
        <f ca="1">INDEX(INDIRECT($P$6),
       MATCH(TRIM($B32), INDIRECT($P$7), 0),
       MATCH(TRIM(E$14), INDIRECT($P$8), 0))</f>
        <v>#REF!</v>
      </c>
      <c r="F32" s="28" t="e">
        <f ca="1">INDEX(INDIRECT($P$6),
       MATCH(TRIM($B32), INDIRECT($P$7), 0),
       MATCH(TRIM(F$14), INDIRECT($P$8), 0))</f>
        <v>#REF!</v>
      </c>
      <c r="G32" s="28" t="e">
        <f ca="1">INDEX(INDIRECT($P$6),
       MATCH(TRIM($B32), INDIRECT($P$7), 0),
       MATCH(TRIM(G$14), INDIRECT($P$8), 0))</f>
        <v>#REF!</v>
      </c>
      <c r="H32" s="28" t="e">
        <f ca="1">INDEX(INDIRECT($P$6),
       MATCH(TRIM($B32), INDIRECT($P$7), 0),
       MATCH(TRIM(H$14), INDIRECT($P$8), 0))</f>
        <v>#REF!</v>
      </c>
      <c r="I32" s="28" t="e">
        <f ca="1">INDEX(INDIRECT($P$6),
       MATCH(TRIM($B32), INDIRECT($P$7), 0),
       MATCH(TRIM(I$14), INDIRECT($P$8), 0))</f>
        <v>#REF!</v>
      </c>
      <c r="J32" s="28" t="e">
        <f ca="1">INDEX(INDIRECT($P$6),
       MATCH(TRIM($B32), INDIRECT($P$7), 0),
       MATCH(TRIM(J$14), INDIRECT($P$8), 0))</f>
        <v>#REF!</v>
      </c>
      <c r="K32" s="28" t="e">
        <f t="shared" ca="1" si="3"/>
        <v>#REF!</v>
      </c>
      <c r="L32" s="46"/>
      <c r="M32" s="46"/>
      <c r="R32" s="63">
        <v>19</v>
      </c>
      <c r="S32" s="64" t="s">
        <v>60</v>
      </c>
      <c r="T32" s="14" t="e">
        <f ca="1">INDEX(INDIRECT($AF$6),
       MATCH(TRIM($S32), INDIRECT($AF$7), 0),
       MATCH(TRIM(T$13), INDIRECT($AF$8), 0))</f>
        <v>#REF!</v>
      </c>
      <c r="U32" s="14" t="e">
        <f ca="1">INDEX(INDIRECT($AF$6),
       MATCH(TRIM($S32), INDIRECT($AF$7), 0),
       MATCH(TRIM(U$13), INDIRECT($AF$8), 0))</f>
        <v>#REF!</v>
      </c>
      <c r="V32" s="14" t="e">
        <f ca="1">INDEX(INDIRECT($AF$6),
       MATCH(TRIM($S32), INDIRECT($AF$7), 0),
       MATCH(TRIM(V$13), INDIRECT($AF$8), 0))</f>
        <v>#REF!</v>
      </c>
      <c r="W32" s="14" t="e">
        <f ca="1">INDEX(INDIRECT($AF$6),
       MATCH(TRIM($S32), INDIRECT($AF$7), 0),
       MATCH(TRIM(W$13), INDIRECT($AF$8), 0))</f>
        <v>#REF!</v>
      </c>
      <c r="X32" s="14" t="e">
        <f ca="1">INDEX(INDIRECT($AF$6),
       MATCH(TRIM($S32), INDIRECT($AF$7), 0),
       MATCH(TRIM(X$13), INDIRECT($AF$8), 0))</f>
        <v>#REF!</v>
      </c>
      <c r="Y32" s="14" t="e">
        <f ca="1">INDEX(INDIRECT($AF$6),
       MATCH(TRIM($S32), INDIRECT($AF$7), 0),
       MATCH(TRIM(Y$13), INDIRECT($AF$8), 0))</f>
        <v>#REF!</v>
      </c>
      <c r="Z32" s="14" t="e">
        <f t="shared" ca="1" si="1"/>
        <v>#REF!</v>
      </c>
      <c r="AA32" s="14" t="e">
        <f t="shared" ca="1" si="1"/>
        <v>#REF!</v>
      </c>
      <c r="AB32" s="14" t="e">
        <f t="shared" ca="1" si="2"/>
        <v>#REF!</v>
      </c>
    </row>
    <row r="33" spans="1:28" ht="85" x14ac:dyDescent="0.2">
      <c r="A33" s="26">
        <v>19</v>
      </c>
      <c r="B33" s="27" t="s">
        <v>25</v>
      </c>
      <c r="C33" s="28" t="e">
        <f ca="1">INDEX(INDIRECT($P$6),
       MATCH(TRIM($B33), INDIRECT($P$7), 0),
       MATCH(TRIM(C$14), INDIRECT($P$8), 0))</f>
        <v>#REF!</v>
      </c>
      <c r="D33" s="28" t="e">
        <f ca="1">INDEX(INDIRECT($P$6),
       MATCH(TRIM($B33), INDIRECT($P$7), 0),
       MATCH(TRIM(D$14), INDIRECT($P$8), 0))</f>
        <v>#REF!</v>
      </c>
      <c r="E33" s="28" t="e">
        <f ca="1">INDEX(INDIRECT($P$6),
       MATCH(TRIM($B33), INDIRECT($P$7), 0),
       MATCH(TRIM(E$14), INDIRECT($P$8), 0))</f>
        <v>#REF!</v>
      </c>
      <c r="F33" s="28" t="e">
        <f ca="1">INDEX(INDIRECT($P$6),
       MATCH(TRIM($B33), INDIRECT($P$7), 0),
       MATCH(TRIM(F$14), INDIRECT($P$8), 0))</f>
        <v>#REF!</v>
      </c>
      <c r="G33" s="28" t="e">
        <f ca="1">INDEX(INDIRECT($P$6),
       MATCH(TRIM($B33), INDIRECT($P$7), 0),
       MATCH(TRIM(G$14), INDIRECT($P$8), 0))</f>
        <v>#REF!</v>
      </c>
      <c r="H33" s="28" t="e">
        <f ca="1">INDEX(INDIRECT($P$6),
       MATCH(TRIM($B33), INDIRECT($P$7), 0),
       MATCH(TRIM(H$14), INDIRECT($P$8), 0))</f>
        <v>#REF!</v>
      </c>
      <c r="I33" s="28" t="e">
        <f ca="1">INDEX(INDIRECT($P$6),
       MATCH(TRIM($B33), INDIRECT($P$7), 0),
       MATCH(TRIM(I$14), INDIRECT($P$8), 0))</f>
        <v>#REF!</v>
      </c>
      <c r="J33" s="28" t="e">
        <f ca="1">INDEX(INDIRECT($P$6),
       MATCH(TRIM($B33), INDIRECT($P$7), 0),
       MATCH(TRIM(J$14), INDIRECT($P$8), 0))</f>
        <v>#REF!</v>
      </c>
      <c r="K33" s="28" t="e">
        <f t="shared" ca="1" si="3"/>
        <v>#REF!</v>
      </c>
      <c r="L33" s="47"/>
      <c r="M33" s="47"/>
      <c r="R33" s="63">
        <v>20</v>
      </c>
      <c r="S33" s="64" t="s">
        <v>40</v>
      </c>
      <c r="T33" s="14" t="e">
        <f ca="1">INDEX(INDIRECT($AF$6),
       MATCH(TRIM($S33), INDIRECT($AF$7), 0),
       MATCH(TRIM(T$13), INDIRECT($AF$8), 0))</f>
        <v>#REF!</v>
      </c>
      <c r="U33" s="14" t="e">
        <f ca="1">INDEX(INDIRECT($AF$6),
       MATCH(TRIM($S33), INDIRECT($AF$7), 0),
       MATCH(TRIM(U$13), INDIRECT($AF$8), 0))</f>
        <v>#REF!</v>
      </c>
      <c r="V33" s="14" t="e">
        <f ca="1">INDEX(INDIRECT($AF$6),
       MATCH(TRIM($S33), INDIRECT($AF$7), 0),
       MATCH(TRIM(V$13), INDIRECT($AF$8), 0))</f>
        <v>#REF!</v>
      </c>
      <c r="W33" s="14" t="e">
        <f ca="1">INDEX(INDIRECT($AF$6),
       MATCH(TRIM($S33), INDIRECT($AF$7), 0),
       MATCH(TRIM(W$13), INDIRECT($AF$8), 0))</f>
        <v>#REF!</v>
      </c>
      <c r="X33" s="14" t="e">
        <f ca="1">INDEX(INDIRECT($AF$6),
       MATCH(TRIM($S33), INDIRECT($AF$7), 0),
       MATCH(TRIM(X$13), INDIRECT($AF$8), 0))</f>
        <v>#REF!</v>
      </c>
      <c r="Y33" s="14" t="e">
        <f ca="1">INDEX(INDIRECT($AF$6),
       MATCH(TRIM($S33), INDIRECT($AF$7), 0),
       MATCH(TRIM(Y$13), INDIRECT($AF$8), 0))</f>
        <v>#REF!</v>
      </c>
      <c r="Z33" s="14" t="e">
        <f t="shared" ca="1" si="1"/>
        <v>#REF!</v>
      </c>
      <c r="AA33" s="14" t="e">
        <f t="shared" ca="1" si="1"/>
        <v>#REF!</v>
      </c>
      <c r="AB33" s="14" t="e">
        <f t="shared" ca="1" si="2"/>
        <v>#REF!</v>
      </c>
    </row>
    <row r="34" spans="1:28" ht="17" thickBot="1" x14ac:dyDescent="0.25">
      <c r="A34" s="34" t="s">
        <v>26</v>
      </c>
      <c r="B34" s="35"/>
      <c r="C34" s="31" t="e">
        <f t="shared" ref="C34:E34" ca="1" si="4">SUM(C15:C33)</f>
        <v>#REF!</v>
      </c>
      <c r="D34" s="31" t="e">
        <f t="shared" ca="1" si="4"/>
        <v>#REF!</v>
      </c>
      <c r="E34" s="32" t="e">
        <f t="shared" ca="1" si="4"/>
        <v>#REF!</v>
      </c>
      <c r="F34" s="31" t="e">
        <f ca="1">SUM(F15:F33)</f>
        <v>#REF!</v>
      </c>
      <c r="G34" s="31" t="e">
        <f ca="1">SUM(G15:G33)</f>
        <v>#REF!</v>
      </c>
      <c r="H34" s="32" t="e">
        <f t="shared" ref="H34:K34" ca="1" si="5">SUM(H15:H33)</f>
        <v>#REF!</v>
      </c>
      <c r="I34" s="33" t="e">
        <f t="shared" ca="1" si="5"/>
        <v>#REF!</v>
      </c>
      <c r="J34" s="33" t="e">
        <f t="shared" ca="1" si="5"/>
        <v>#REF!</v>
      </c>
      <c r="K34" s="33" t="e">
        <f t="shared" ca="1" si="5"/>
        <v>#REF!</v>
      </c>
      <c r="R34" s="63">
        <v>21</v>
      </c>
      <c r="S34" s="64" t="s">
        <v>77</v>
      </c>
      <c r="T34" s="14" t="e">
        <f ca="1">INDEX(INDIRECT($AF$6),
       MATCH(TRIM($S34), INDIRECT($AF$7), 0),
       MATCH(TRIM(T$13), INDIRECT($AF$8), 0))</f>
        <v>#REF!</v>
      </c>
      <c r="U34" s="14" t="e">
        <f ca="1">INDEX(INDIRECT($AF$6),
       MATCH(TRIM($S34), INDIRECT($AF$7), 0),
       MATCH(TRIM(U$13), INDIRECT($AF$8), 0))</f>
        <v>#REF!</v>
      </c>
      <c r="V34" s="14" t="e">
        <f ca="1">INDEX(INDIRECT($AF$6),
       MATCH(TRIM($S34), INDIRECT($AF$7), 0),
       MATCH(TRIM(V$13), INDIRECT($AF$8), 0))</f>
        <v>#REF!</v>
      </c>
      <c r="W34" s="14" t="e">
        <f ca="1">INDEX(INDIRECT($AF$6),
       MATCH(TRIM($S34), INDIRECT($AF$7), 0),
       MATCH(TRIM(W$13), INDIRECT($AF$8), 0))</f>
        <v>#REF!</v>
      </c>
      <c r="X34" s="14" t="e">
        <f ca="1">INDEX(INDIRECT($AF$6),
       MATCH(TRIM($S34), INDIRECT($AF$7), 0),
       MATCH(TRIM(X$13), INDIRECT($AF$8), 0))</f>
        <v>#REF!</v>
      </c>
      <c r="Y34" s="14" t="e">
        <f ca="1">INDEX(INDIRECT($AF$6),
       MATCH(TRIM($S34), INDIRECT($AF$7), 0),
       MATCH(TRIM(Y$13), INDIRECT($AF$8), 0))</f>
        <v>#REF!</v>
      </c>
      <c r="Z34" s="14" t="e">
        <f t="shared" ca="1" si="1"/>
        <v>#REF!</v>
      </c>
      <c r="AA34" s="14" t="e">
        <f t="shared" ca="1" si="1"/>
        <v>#REF!</v>
      </c>
      <c r="AB34" s="14" t="e">
        <f t="shared" ca="1" si="2"/>
        <v>#REF!</v>
      </c>
    </row>
    <row r="35" spans="1:28" ht="17" thickTop="1" x14ac:dyDescent="0.2">
      <c r="R35" s="63">
        <v>22</v>
      </c>
      <c r="S35" s="64" t="s">
        <v>70</v>
      </c>
      <c r="T35" s="14" t="e">
        <f ca="1">INDEX(INDIRECT($AF$6),
       MATCH(TRIM($S35), INDIRECT($AF$7), 0),
       MATCH(TRIM(T$13), INDIRECT($AF$8), 0))</f>
        <v>#REF!</v>
      </c>
      <c r="U35" s="14" t="e">
        <f ca="1">INDEX(INDIRECT($AF$6),
       MATCH(TRIM($S35), INDIRECT($AF$7), 0),
       MATCH(TRIM(U$13), INDIRECT($AF$8), 0))</f>
        <v>#REF!</v>
      </c>
      <c r="V35" s="14" t="e">
        <f ca="1">INDEX(INDIRECT($AF$6),
       MATCH(TRIM($S35), INDIRECT($AF$7), 0),
       MATCH(TRIM(V$13), INDIRECT($AF$8), 0))</f>
        <v>#REF!</v>
      </c>
      <c r="W35" s="14" t="e">
        <f ca="1">INDEX(INDIRECT($AF$6),
       MATCH(TRIM($S35), INDIRECT($AF$7), 0),
       MATCH(TRIM(W$13), INDIRECT($AF$8), 0))</f>
        <v>#REF!</v>
      </c>
      <c r="X35" s="14" t="e">
        <f ca="1">INDEX(INDIRECT($AF$6),
       MATCH(TRIM($S35), INDIRECT($AF$7), 0),
       MATCH(TRIM(X$13), INDIRECT($AF$8), 0))</f>
        <v>#REF!</v>
      </c>
      <c r="Y35" s="14" t="e">
        <f ca="1">INDEX(INDIRECT($AF$6),
       MATCH(TRIM($S35), INDIRECT($AF$7), 0),
       MATCH(TRIM(Y$13), INDIRECT($AF$8), 0))</f>
        <v>#REF!</v>
      </c>
      <c r="Z35" s="14" t="e">
        <f t="shared" ca="1" si="1"/>
        <v>#REF!</v>
      </c>
      <c r="AA35" s="14" t="e">
        <f t="shared" ca="1" si="1"/>
        <v>#REF!</v>
      </c>
      <c r="AB35" s="14" t="e">
        <f t="shared" ca="1" si="2"/>
        <v>#REF!</v>
      </c>
    </row>
    <row r="36" spans="1:28" x14ac:dyDescent="0.2">
      <c r="R36" s="63">
        <v>23</v>
      </c>
      <c r="S36" s="64" t="s">
        <v>61</v>
      </c>
      <c r="T36" s="14" t="e">
        <f ca="1">INDEX(INDIRECT($AF$6),
       MATCH(TRIM($S36), INDIRECT($AF$7), 0),
       MATCH(TRIM(T$13), INDIRECT($AF$8), 0))</f>
        <v>#REF!</v>
      </c>
      <c r="U36" s="14" t="e">
        <f ca="1">INDEX(INDIRECT($AF$6),
       MATCH(TRIM($S36), INDIRECT($AF$7), 0),
       MATCH(TRIM(U$13), INDIRECT($AF$8), 0))</f>
        <v>#REF!</v>
      </c>
      <c r="V36" s="14" t="e">
        <f ca="1">INDEX(INDIRECT($AF$6),
       MATCH(TRIM($S36), INDIRECT($AF$7), 0),
       MATCH(TRIM(V$13), INDIRECT($AF$8), 0))</f>
        <v>#REF!</v>
      </c>
      <c r="W36" s="14" t="e">
        <f ca="1">INDEX(INDIRECT($AF$6),
       MATCH(TRIM($S36), INDIRECT($AF$7), 0),
       MATCH(TRIM(W$13), INDIRECT($AF$8), 0))</f>
        <v>#REF!</v>
      </c>
      <c r="X36" s="14" t="e">
        <f ca="1">INDEX(INDIRECT($AF$6),
       MATCH(TRIM($S36), INDIRECT($AF$7), 0),
       MATCH(TRIM(X$13), INDIRECT($AF$8), 0))</f>
        <v>#REF!</v>
      </c>
      <c r="Y36" s="14" t="e">
        <f ca="1">INDEX(INDIRECT($AF$6),
       MATCH(TRIM($S36), INDIRECT($AF$7), 0),
       MATCH(TRIM(Y$13), INDIRECT($AF$8), 0))</f>
        <v>#REF!</v>
      </c>
      <c r="Z36" s="14" t="e">
        <f t="shared" ca="1" si="1"/>
        <v>#REF!</v>
      </c>
      <c r="AA36" s="14" t="e">
        <f t="shared" ca="1" si="1"/>
        <v>#REF!</v>
      </c>
      <c r="AB36" s="14" t="e">
        <f t="shared" ca="1" si="2"/>
        <v>#REF!</v>
      </c>
    </row>
    <row r="37" spans="1:28" x14ac:dyDescent="0.2">
      <c r="R37" s="63">
        <v>24</v>
      </c>
      <c r="S37" s="64" t="s">
        <v>55</v>
      </c>
      <c r="T37" s="14" t="e">
        <f ca="1">INDEX(INDIRECT($AF$6),
       MATCH(TRIM($S37), INDIRECT($AF$7), 0),
       MATCH(TRIM(T$13), INDIRECT($AF$8), 0))</f>
        <v>#REF!</v>
      </c>
      <c r="U37" s="14" t="e">
        <f ca="1">INDEX(INDIRECT($AF$6),
       MATCH(TRIM($S37), INDIRECT($AF$7), 0),
       MATCH(TRIM(U$13), INDIRECT($AF$8), 0))</f>
        <v>#REF!</v>
      </c>
      <c r="V37" s="14" t="e">
        <f ca="1">INDEX(INDIRECT($AF$6),
       MATCH(TRIM($S37), INDIRECT($AF$7), 0),
       MATCH(TRIM(V$13), INDIRECT($AF$8), 0))</f>
        <v>#REF!</v>
      </c>
      <c r="W37" s="14" t="e">
        <f ca="1">INDEX(INDIRECT($AF$6),
       MATCH(TRIM($S37), INDIRECT($AF$7), 0),
       MATCH(TRIM(W$13), INDIRECT($AF$8), 0))</f>
        <v>#REF!</v>
      </c>
      <c r="X37" s="14" t="e">
        <f ca="1">INDEX(INDIRECT($AF$6),
       MATCH(TRIM($S37), INDIRECT($AF$7), 0),
       MATCH(TRIM(X$13), INDIRECT($AF$8), 0))</f>
        <v>#REF!</v>
      </c>
      <c r="Y37" s="14" t="e">
        <f ca="1">INDEX(INDIRECT($AF$6),
       MATCH(TRIM($S37), INDIRECT($AF$7), 0),
       MATCH(TRIM(Y$13), INDIRECT($AF$8), 0))</f>
        <v>#REF!</v>
      </c>
      <c r="Z37" s="14" t="e">
        <f t="shared" ca="1" si="1"/>
        <v>#REF!</v>
      </c>
      <c r="AA37" s="14" t="e">
        <f t="shared" ca="1" si="1"/>
        <v>#REF!</v>
      </c>
      <c r="AB37" s="14" t="e">
        <f t="shared" ca="1" si="2"/>
        <v>#REF!</v>
      </c>
    </row>
    <row r="38" spans="1:28" x14ac:dyDescent="0.2">
      <c r="R38" s="63">
        <v>25</v>
      </c>
      <c r="S38" s="64" t="s">
        <v>81</v>
      </c>
      <c r="T38" s="14" t="e">
        <f ca="1">INDEX(INDIRECT($AF$6),
       MATCH(TRIM($S38), INDIRECT($AF$7), 0),
       MATCH(TRIM(T$13), INDIRECT($AF$8), 0))</f>
        <v>#REF!</v>
      </c>
      <c r="U38" s="14" t="e">
        <f ca="1">INDEX(INDIRECT($AF$6),
       MATCH(TRIM($S38), INDIRECT($AF$7), 0),
       MATCH(TRIM(U$13), INDIRECT($AF$8), 0))</f>
        <v>#REF!</v>
      </c>
      <c r="V38" s="14" t="e">
        <f ca="1">INDEX(INDIRECT($AF$6),
       MATCH(TRIM($S38), INDIRECT($AF$7), 0),
       MATCH(TRIM(V$13), INDIRECT($AF$8), 0))</f>
        <v>#REF!</v>
      </c>
      <c r="W38" s="14" t="e">
        <f ca="1">INDEX(INDIRECT($AF$6),
       MATCH(TRIM($S38), INDIRECT($AF$7), 0),
       MATCH(TRIM(W$13), INDIRECT($AF$8), 0))</f>
        <v>#REF!</v>
      </c>
      <c r="X38" s="14" t="e">
        <f ca="1">INDEX(INDIRECT($AF$6),
       MATCH(TRIM($S38), INDIRECT($AF$7), 0),
       MATCH(TRIM(X$13), INDIRECT($AF$8), 0))</f>
        <v>#REF!</v>
      </c>
      <c r="Y38" s="14" t="e">
        <f ca="1">INDEX(INDIRECT($AF$6),
       MATCH(TRIM($S38), INDIRECT($AF$7), 0),
       MATCH(TRIM(Y$13), INDIRECT($AF$8), 0))</f>
        <v>#REF!</v>
      </c>
      <c r="Z38" s="14" t="e">
        <f t="shared" ca="1" si="1"/>
        <v>#REF!</v>
      </c>
      <c r="AA38" s="14" t="e">
        <f t="shared" ca="1" si="1"/>
        <v>#REF!</v>
      </c>
      <c r="AB38" s="14" t="e">
        <f t="shared" ca="1" si="2"/>
        <v>#REF!</v>
      </c>
    </row>
    <row r="39" spans="1:28" x14ac:dyDescent="0.2">
      <c r="R39" s="63">
        <v>26</v>
      </c>
      <c r="S39" s="64" t="s">
        <v>54</v>
      </c>
      <c r="T39" s="14" t="e">
        <f ca="1">INDEX(INDIRECT($AF$6),
       MATCH(TRIM($S39), INDIRECT($AF$7), 0),
       MATCH(TRIM(T$13), INDIRECT($AF$8), 0))</f>
        <v>#REF!</v>
      </c>
      <c r="U39" s="14" t="e">
        <f ca="1">INDEX(INDIRECT($AF$6),
       MATCH(TRIM($S39), INDIRECT($AF$7), 0),
       MATCH(TRIM(U$13), INDIRECT($AF$8), 0))</f>
        <v>#REF!</v>
      </c>
      <c r="V39" s="14" t="e">
        <f ca="1">INDEX(INDIRECT($AF$6),
       MATCH(TRIM($S39), INDIRECT($AF$7), 0),
       MATCH(TRIM(V$13), INDIRECT($AF$8), 0))</f>
        <v>#REF!</v>
      </c>
      <c r="W39" s="14" t="e">
        <f ca="1">INDEX(INDIRECT($AF$6),
       MATCH(TRIM($S39), INDIRECT($AF$7), 0),
       MATCH(TRIM(W$13), INDIRECT($AF$8), 0))</f>
        <v>#REF!</v>
      </c>
      <c r="X39" s="14" t="e">
        <f ca="1">INDEX(INDIRECT($AF$6),
       MATCH(TRIM($S39), INDIRECT($AF$7), 0),
       MATCH(TRIM(X$13), INDIRECT($AF$8), 0))</f>
        <v>#REF!</v>
      </c>
      <c r="Y39" s="14" t="e">
        <f ca="1">INDEX(INDIRECT($AF$6),
       MATCH(TRIM($S39), INDIRECT($AF$7), 0),
       MATCH(TRIM(Y$13), INDIRECT($AF$8), 0))</f>
        <v>#REF!</v>
      </c>
      <c r="Z39" s="14" t="e">
        <f t="shared" ca="1" si="1"/>
        <v>#REF!</v>
      </c>
      <c r="AA39" s="14" t="e">
        <f t="shared" ca="1" si="1"/>
        <v>#REF!</v>
      </c>
      <c r="AB39" s="14" t="e">
        <f t="shared" ca="1" si="2"/>
        <v>#REF!</v>
      </c>
    </row>
    <row r="40" spans="1:28" x14ac:dyDescent="0.2">
      <c r="R40" s="63">
        <v>27</v>
      </c>
      <c r="S40" s="64" t="s">
        <v>53</v>
      </c>
      <c r="T40" s="14" t="e">
        <f ca="1">INDEX(INDIRECT($AF$6),
       MATCH(TRIM($S40), INDIRECT($AF$7), 0),
       MATCH(TRIM(T$13), INDIRECT($AF$8), 0))</f>
        <v>#REF!</v>
      </c>
      <c r="U40" s="14" t="e">
        <f ca="1">INDEX(INDIRECT($AF$6),
       MATCH(TRIM($S40), INDIRECT($AF$7), 0),
       MATCH(TRIM(U$13), INDIRECT($AF$8), 0))</f>
        <v>#REF!</v>
      </c>
      <c r="V40" s="14" t="e">
        <f ca="1">INDEX(INDIRECT($AF$6),
       MATCH(TRIM($S40), INDIRECT($AF$7), 0),
       MATCH(TRIM(V$13), INDIRECT($AF$8), 0))</f>
        <v>#REF!</v>
      </c>
      <c r="W40" s="14" t="e">
        <f ca="1">INDEX(INDIRECT($AF$6),
       MATCH(TRIM($S40), INDIRECT($AF$7), 0),
       MATCH(TRIM(W$13), INDIRECT($AF$8), 0))</f>
        <v>#REF!</v>
      </c>
      <c r="X40" s="14" t="e">
        <f ca="1">INDEX(INDIRECT($AF$6),
       MATCH(TRIM($S40), INDIRECT($AF$7), 0),
       MATCH(TRIM(X$13), INDIRECT($AF$8), 0))</f>
        <v>#REF!</v>
      </c>
      <c r="Y40" s="14" t="e">
        <f ca="1">INDEX(INDIRECT($AF$6),
       MATCH(TRIM($S40), INDIRECT($AF$7), 0),
       MATCH(TRIM(Y$13), INDIRECT($AF$8), 0))</f>
        <v>#REF!</v>
      </c>
      <c r="Z40" s="14" t="e">
        <f t="shared" ca="1" si="1"/>
        <v>#REF!</v>
      </c>
      <c r="AA40" s="14" t="e">
        <f t="shared" ca="1" si="1"/>
        <v>#REF!</v>
      </c>
      <c r="AB40" s="14" t="e">
        <f t="shared" ca="1" si="2"/>
        <v>#REF!</v>
      </c>
    </row>
    <row r="41" spans="1:28" x14ac:dyDescent="0.2">
      <c r="R41" s="63">
        <v>28</v>
      </c>
      <c r="S41" s="64" t="s">
        <v>69</v>
      </c>
      <c r="T41" s="14" t="e">
        <f ca="1">INDEX(INDIRECT($AF$6),
       MATCH(TRIM($S41), INDIRECT($AF$7), 0),
       MATCH(TRIM(T$13), INDIRECT($AF$8), 0))</f>
        <v>#REF!</v>
      </c>
      <c r="U41" s="14" t="e">
        <f ca="1">INDEX(INDIRECT($AF$6),
       MATCH(TRIM($S41), INDIRECT($AF$7), 0),
       MATCH(TRIM(U$13), INDIRECT($AF$8), 0))</f>
        <v>#REF!</v>
      </c>
      <c r="V41" s="14" t="e">
        <f ca="1">INDEX(INDIRECT($AF$6),
       MATCH(TRIM($S41), INDIRECT($AF$7), 0),
       MATCH(TRIM(V$13), INDIRECT($AF$8), 0))</f>
        <v>#REF!</v>
      </c>
      <c r="W41" s="14" t="e">
        <f ca="1">INDEX(INDIRECT($AF$6),
       MATCH(TRIM($S41), INDIRECT($AF$7), 0),
       MATCH(TRIM(W$13), INDIRECT($AF$8), 0))</f>
        <v>#REF!</v>
      </c>
      <c r="X41" s="14" t="e">
        <f ca="1">INDEX(INDIRECT($AF$6),
       MATCH(TRIM($S41), INDIRECT($AF$7), 0),
       MATCH(TRIM(X$13), INDIRECT($AF$8), 0))</f>
        <v>#REF!</v>
      </c>
      <c r="Y41" s="14" t="e">
        <f ca="1">INDEX(INDIRECT($AF$6),
       MATCH(TRIM($S41), INDIRECT($AF$7), 0),
       MATCH(TRIM(Y$13), INDIRECT($AF$8), 0))</f>
        <v>#REF!</v>
      </c>
      <c r="Z41" s="14" t="e">
        <f t="shared" ca="1" si="1"/>
        <v>#REF!</v>
      </c>
      <c r="AA41" s="14" t="e">
        <f t="shared" ca="1" si="1"/>
        <v>#REF!</v>
      </c>
      <c r="AB41" s="14" t="e">
        <f t="shared" ca="1" si="2"/>
        <v>#REF!</v>
      </c>
    </row>
    <row r="42" spans="1:28" x14ac:dyDescent="0.2">
      <c r="R42" s="63">
        <v>29</v>
      </c>
      <c r="S42" s="64" t="s">
        <v>71</v>
      </c>
      <c r="T42" s="14" t="e">
        <f ca="1">INDEX(INDIRECT($AF$6),
       MATCH(TRIM($S42), INDIRECT($AF$7), 0),
       MATCH(TRIM(T$13), INDIRECT($AF$8), 0))</f>
        <v>#REF!</v>
      </c>
      <c r="U42" s="14" t="e">
        <f ca="1">INDEX(INDIRECT($AF$6),
       MATCH(TRIM($S42), INDIRECT($AF$7), 0),
       MATCH(TRIM(U$13), INDIRECT($AF$8), 0))</f>
        <v>#REF!</v>
      </c>
      <c r="V42" s="14" t="e">
        <f ca="1">INDEX(INDIRECT($AF$6),
       MATCH(TRIM($S42), INDIRECT($AF$7), 0),
       MATCH(TRIM(V$13), INDIRECT($AF$8), 0))</f>
        <v>#REF!</v>
      </c>
      <c r="W42" s="14" t="e">
        <f ca="1">INDEX(INDIRECT($AF$6),
       MATCH(TRIM($S42), INDIRECT($AF$7), 0),
       MATCH(TRIM(W$13), INDIRECT($AF$8), 0))</f>
        <v>#REF!</v>
      </c>
      <c r="X42" s="14" t="e">
        <f ca="1">INDEX(INDIRECT($AF$6),
       MATCH(TRIM($S42), INDIRECT($AF$7), 0),
       MATCH(TRIM(X$13), INDIRECT($AF$8), 0))</f>
        <v>#REF!</v>
      </c>
      <c r="Y42" s="14" t="e">
        <f ca="1">INDEX(INDIRECT($AF$6),
       MATCH(TRIM($S42), INDIRECT($AF$7), 0),
       MATCH(TRIM(Y$13), INDIRECT($AF$8), 0))</f>
        <v>#REF!</v>
      </c>
      <c r="Z42" s="14" t="e">
        <f t="shared" ca="1" si="1"/>
        <v>#REF!</v>
      </c>
      <c r="AA42" s="14" t="e">
        <f t="shared" ca="1" si="1"/>
        <v>#REF!</v>
      </c>
      <c r="AB42" s="14" t="e">
        <f t="shared" ca="1" si="2"/>
        <v>#REF!</v>
      </c>
    </row>
    <row r="43" spans="1:28" x14ac:dyDescent="0.2">
      <c r="R43" s="63">
        <v>30</v>
      </c>
      <c r="S43" s="64" t="s">
        <v>88</v>
      </c>
      <c r="T43" s="14" t="e">
        <f ca="1">INDEX(INDIRECT($AF$6),
       MATCH(TRIM($S43), INDIRECT($AF$7), 0),
       MATCH(TRIM(T$13), INDIRECT($AF$8), 0))</f>
        <v>#REF!</v>
      </c>
      <c r="U43" s="14" t="e">
        <f ca="1">INDEX(INDIRECT($AF$6),
       MATCH(TRIM($S43), INDIRECT($AF$7), 0),
       MATCH(TRIM(U$13), INDIRECT($AF$8), 0))</f>
        <v>#REF!</v>
      </c>
      <c r="V43" s="14" t="e">
        <f ca="1">INDEX(INDIRECT($AF$6),
       MATCH(TRIM($S43), INDIRECT($AF$7), 0),
       MATCH(TRIM(V$13), INDIRECT($AF$8), 0))</f>
        <v>#REF!</v>
      </c>
      <c r="W43" s="14" t="e">
        <f ca="1">INDEX(INDIRECT($AF$6),
       MATCH(TRIM($S43), INDIRECT($AF$7), 0),
       MATCH(TRIM(W$13), INDIRECT($AF$8), 0))</f>
        <v>#REF!</v>
      </c>
      <c r="X43" s="14" t="e">
        <f ca="1">INDEX(INDIRECT($AF$6),
       MATCH(TRIM($S43), INDIRECT($AF$7), 0),
       MATCH(TRIM(X$13), INDIRECT($AF$8), 0))</f>
        <v>#REF!</v>
      </c>
      <c r="Y43" s="14" t="e">
        <f ca="1">INDEX(INDIRECT($AF$6),
       MATCH(TRIM($S43), INDIRECT($AF$7), 0),
       MATCH(TRIM(Y$13), INDIRECT($AF$8), 0))</f>
        <v>#REF!</v>
      </c>
      <c r="Z43" s="14" t="e">
        <f t="shared" ca="1" si="1"/>
        <v>#REF!</v>
      </c>
      <c r="AA43" s="14" t="e">
        <f t="shared" ca="1" si="1"/>
        <v>#REF!</v>
      </c>
      <c r="AB43" s="14" t="e">
        <f t="shared" ca="1" si="2"/>
        <v>#REF!</v>
      </c>
    </row>
    <row r="44" spans="1:28" x14ac:dyDescent="0.2">
      <c r="R44" s="63">
        <v>31</v>
      </c>
      <c r="S44" s="64" t="s">
        <v>66</v>
      </c>
      <c r="T44" s="14" t="e">
        <f ca="1">INDEX(INDIRECT($AF$6),
       MATCH(TRIM($S44), INDIRECT($AF$7), 0),
       MATCH(TRIM(T$13), INDIRECT($AF$8), 0))</f>
        <v>#REF!</v>
      </c>
      <c r="U44" s="14" t="e">
        <f ca="1">INDEX(INDIRECT($AF$6),
       MATCH(TRIM($S44), INDIRECT($AF$7), 0),
       MATCH(TRIM(U$13), INDIRECT($AF$8), 0))</f>
        <v>#REF!</v>
      </c>
      <c r="V44" s="14" t="e">
        <f ca="1">INDEX(INDIRECT($AF$6),
       MATCH(TRIM($S44), INDIRECT($AF$7), 0),
       MATCH(TRIM(V$13), INDIRECT($AF$8), 0))</f>
        <v>#REF!</v>
      </c>
      <c r="W44" s="14" t="e">
        <f ca="1">INDEX(INDIRECT($AF$6),
       MATCH(TRIM($S44), INDIRECT($AF$7), 0),
       MATCH(TRIM(W$13), INDIRECT($AF$8), 0))</f>
        <v>#REF!</v>
      </c>
      <c r="X44" s="14" t="e">
        <f ca="1">INDEX(INDIRECT($AF$6),
       MATCH(TRIM($S44), INDIRECT($AF$7), 0),
       MATCH(TRIM(X$13), INDIRECT($AF$8), 0))</f>
        <v>#REF!</v>
      </c>
      <c r="Y44" s="14" t="e">
        <f ca="1">INDEX(INDIRECT($AF$6),
       MATCH(TRIM($S44), INDIRECT($AF$7), 0),
       MATCH(TRIM(Y$13), INDIRECT($AF$8), 0))</f>
        <v>#REF!</v>
      </c>
      <c r="Z44" s="14" t="e">
        <f t="shared" ca="1" si="1"/>
        <v>#REF!</v>
      </c>
      <c r="AA44" s="14" t="e">
        <f t="shared" ca="1" si="1"/>
        <v>#REF!</v>
      </c>
      <c r="AB44" s="14" t="e">
        <f t="shared" ca="1" si="2"/>
        <v>#REF!</v>
      </c>
    </row>
    <row r="45" spans="1:28" x14ac:dyDescent="0.2">
      <c r="R45" s="63">
        <v>32</v>
      </c>
      <c r="S45" s="64" t="s">
        <v>56</v>
      </c>
      <c r="T45" s="14" t="e">
        <f ca="1">INDEX(INDIRECT($AF$6),
       MATCH(TRIM($S45), INDIRECT($AF$7), 0),
       MATCH(TRIM(T$13), INDIRECT($AF$8), 0))</f>
        <v>#REF!</v>
      </c>
      <c r="U45" s="14" t="e">
        <f ca="1">INDEX(INDIRECT($AF$6),
       MATCH(TRIM($S45), INDIRECT($AF$7), 0),
       MATCH(TRIM(U$13), INDIRECT($AF$8), 0))</f>
        <v>#REF!</v>
      </c>
      <c r="V45" s="14" t="e">
        <f ca="1">INDEX(INDIRECT($AF$6),
       MATCH(TRIM($S45), INDIRECT($AF$7), 0),
       MATCH(TRIM(V$13), INDIRECT($AF$8), 0))</f>
        <v>#REF!</v>
      </c>
      <c r="W45" s="14" t="e">
        <f ca="1">INDEX(INDIRECT($AF$6),
       MATCH(TRIM($S45), INDIRECT($AF$7), 0),
       MATCH(TRIM(W$13), INDIRECT($AF$8), 0))</f>
        <v>#REF!</v>
      </c>
      <c r="X45" s="14" t="e">
        <f ca="1">INDEX(INDIRECT($AF$6),
       MATCH(TRIM($S45), INDIRECT($AF$7), 0),
       MATCH(TRIM(X$13), INDIRECT($AF$8), 0))</f>
        <v>#REF!</v>
      </c>
      <c r="Y45" s="14" t="e">
        <f ca="1">INDEX(INDIRECT($AF$6),
       MATCH(TRIM($S45), INDIRECT($AF$7), 0),
       MATCH(TRIM(Y$13), INDIRECT($AF$8), 0))</f>
        <v>#REF!</v>
      </c>
      <c r="Z45" s="14" t="e">
        <f t="shared" ca="1" si="1"/>
        <v>#REF!</v>
      </c>
      <c r="AA45" s="14" t="e">
        <f t="shared" ca="1" si="1"/>
        <v>#REF!</v>
      </c>
      <c r="AB45" s="14" t="e">
        <f t="shared" ca="1" si="2"/>
        <v>#REF!</v>
      </c>
    </row>
    <row r="46" spans="1:28" x14ac:dyDescent="0.2">
      <c r="R46" s="63">
        <v>33</v>
      </c>
      <c r="S46" s="64" t="s">
        <v>75</v>
      </c>
      <c r="T46" s="14" t="e">
        <f ca="1">INDEX(INDIRECT($AF$6),
       MATCH(TRIM($S46), INDIRECT($AF$7), 0),
       MATCH(TRIM(T$13), INDIRECT($AF$8), 0))</f>
        <v>#REF!</v>
      </c>
      <c r="U46" s="14" t="e">
        <f ca="1">INDEX(INDIRECT($AF$6),
       MATCH(TRIM($S46), INDIRECT($AF$7), 0),
       MATCH(TRIM(U$13), INDIRECT($AF$8), 0))</f>
        <v>#REF!</v>
      </c>
      <c r="V46" s="14" t="e">
        <f ca="1">INDEX(INDIRECT($AF$6),
       MATCH(TRIM($S46), INDIRECT($AF$7), 0),
       MATCH(TRIM(V$13), INDIRECT($AF$8), 0))</f>
        <v>#REF!</v>
      </c>
      <c r="W46" s="14" t="e">
        <f ca="1">INDEX(INDIRECT($AF$6),
       MATCH(TRIM($S46), INDIRECT($AF$7), 0),
       MATCH(TRIM(W$13), INDIRECT($AF$8), 0))</f>
        <v>#REF!</v>
      </c>
      <c r="X46" s="14" t="e">
        <f ca="1">INDEX(INDIRECT($AF$6),
       MATCH(TRIM($S46), INDIRECT($AF$7), 0),
       MATCH(TRIM(X$13), INDIRECT($AF$8), 0))</f>
        <v>#REF!</v>
      </c>
      <c r="Y46" s="14" t="e">
        <f ca="1">INDEX(INDIRECT($AF$6),
       MATCH(TRIM($S46), INDIRECT($AF$7), 0),
       MATCH(TRIM(Y$13), INDIRECT($AF$8), 0))</f>
        <v>#REF!</v>
      </c>
      <c r="Z46" s="14" t="e">
        <f t="shared" ca="1" si="1"/>
        <v>#REF!</v>
      </c>
      <c r="AA46" s="14" t="e">
        <f t="shared" ca="1" si="1"/>
        <v>#REF!</v>
      </c>
      <c r="AB46" s="14" t="e">
        <f t="shared" ca="1" si="2"/>
        <v>#REF!</v>
      </c>
    </row>
    <row r="47" spans="1:28" x14ac:dyDescent="0.2">
      <c r="R47" s="63">
        <v>34</v>
      </c>
      <c r="S47" s="64" t="s">
        <v>67</v>
      </c>
      <c r="T47" s="14" t="e">
        <f ca="1">INDEX(INDIRECT($AF$6),
       MATCH(TRIM($S47), INDIRECT($AF$7), 0),
       MATCH(TRIM(T$13), INDIRECT($AF$8), 0))</f>
        <v>#REF!</v>
      </c>
      <c r="U47" s="14" t="e">
        <f ca="1">INDEX(INDIRECT($AF$6),
       MATCH(TRIM($S47), INDIRECT($AF$7), 0),
       MATCH(TRIM(U$13), INDIRECT($AF$8), 0))</f>
        <v>#REF!</v>
      </c>
      <c r="V47" s="14" t="e">
        <f ca="1">INDEX(INDIRECT($AF$6),
       MATCH(TRIM($S47), INDIRECT($AF$7), 0),
       MATCH(TRIM(V$13), INDIRECT($AF$8), 0))</f>
        <v>#REF!</v>
      </c>
      <c r="W47" s="14" t="e">
        <f ca="1">INDEX(INDIRECT($AF$6),
       MATCH(TRIM($S47), INDIRECT($AF$7), 0),
       MATCH(TRIM(W$13), INDIRECT($AF$8), 0))</f>
        <v>#REF!</v>
      </c>
      <c r="X47" s="14" t="e">
        <f ca="1">INDEX(INDIRECT($AF$6),
       MATCH(TRIM($S47), INDIRECT($AF$7), 0),
       MATCH(TRIM(X$13), INDIRECT($AF$8), 0))</f>
        <v>#REF!</v>
      </c>
      <c r="Y47" s="14" t="e">
        <f ca="1">INDEX(INDIRECT($AF$6),
       MATCH(TRIM($S47), INDIRECT($AF$7), 0),
       MATCH(TRIM(Y$13), INDIRECT($AF$8), 0))</f>
        <v>#REF!</v>
      </c>
      <c r="Z47" s="14" t="e">
        <f t="shared" ref="Z47:AB70" ca="1" si="6">INDEX(INDIRECT($AF$6),
       MATCH(TRIM($S47), INDIRECT($AF$7), 0),
       MATCH(TRIM(Z$13), INDIRECT($AF$8), 0))</f>
        <v>#REF!</v>
      </c>
      <c r="AA47" s="14" t="e">
        <f t="shared" ca="1" si="6"/>
        <v>#REF!</v>
      </c>
      <c r="AB47" s="14" t="e">
        <f t="shared" ca="1" si="2"/>
        <v>#REF!</v>
      </c>
    </row>
    <row r="48" spans="1:28" x14ac:dyDescent="0.2">
      <c r="R48" s="63">
        <v>35</v>
      </c>
      <c r="S48" s="64" t="s">
        <v>68</v>
      </c>
      <c r="T48" s="14" t="e">
        <f ca="1">INDEX(INDIRECT($AF$6),
       MATCH(TRIM($S48), INDIRECT($AF$7), 0),
       MATCH(TRIM(T$13), INDIRECT($AF$8), 0))</f>
        <v>#REF!</v>
      </c>
      <c r="U48" s="14" t="e">
        <f ca="1">INDEX(INDIRECT($AF$6),
       MATCH(TRIM($S48), INDIRECT($AF$7), 0),
       MATCH(TRIM(U$13), INDIRECT($AF$8), 0))</f>
        <v>#REF!</v>
      </c>
      <c r="V48" s="14" t="e">
        <f ca="1">INDEX(INDIRECT($AF$6),
       MATCH(TRIM($S48), INDIRECT($AF$7), 0),
       MATCH(TRIM(V$13), INDIRECT($AF$8), 0))</f>
        <v>#REF!</v>
      </c>
      <c r="W48" s="14" t="e">
        <f ca="1">INDEX(INDIRECT($AF$6),
       MATCH(TRIM($S48), INDIRECT($AF$7), 0),
       MATCH(TRIM(W$13), INDIRECT($AF$8), 0))</f>
        <v>#REF!</v>
      </c>
      <c r="X48" s="14" t="e">
        <f ca="1">INDEX(INDIRECT($AF$6),
       MATCH(TRIM($S48), INDIRECT($AF$7), 0),
       MATCH(TRIM(X$13), INDIRECT($AF$8), 0))</f>
        <v>#REF!</v>
      </c>
      <c r="Y48" s="14" t="e">
        <f ca="1">INDEX(INDIRECT($AF$6),
       MATCH(TRIM($S48), INDIRECT($AF$7), 0),
       MATCH(TRIM(Y$13), INDIRECT($AF$8), 0))</f>
        <v>#REF!</v>
      </c>
      <c r="Z48" s="14" t="e">
        <f t="shared" ca="1" si="6"/>
        <v>#REF!</v>
      </c>
      <c r="AA48" s="14" t="e">
        <f t="shared" ca="1" si="6"/>
        <v>#REF!</v>
      </c>
      <c r="AB48" s="14" t="e">
        <f t="shared" ca="1" si="2"/>
        <v>#REF!</v>
      </c>
    </row>
    <row r="49" spans="18:28" x14ac:dyDescent="0.2">
      <c r="R49" s="63">
        <v>36</v>
      </c>
      <c r="S49" s="64" t="s">
        <v>85</v>
      </c>
      <c r="T49" s="14" t="e">
        <f ca="1">INDEX(INDIRECT($AF$6),
       MATCH(TRIM($S49), INDIRECT($AF$7), 0),
       MATCH(TRIM(T$13), INDIRECT($AF$8), 0))</f>
        <v>#REF!</v>
      </c>
      <c r="U49" s="14" t="e">
        <f ca="1">INDEX(INDIRECT($AF$6),
       MATCH(TRIM($S49), INDIRECT($AF$7), 0),
       MATCH(TRIM(U$13), INDIRECT($AF$8), 0))</f>
        <v>#REF!</v>
      </c>
      <c r="V49" s="14" t="e">
        <f ca="1">INDEX(INDIRECT($AF$6),
       MATCH(TRIM($S49), INDIRECT($AF$7), 0),
       MATCH(TRIM(V$13), INDIRECT($AF$8), 0))</f>
        <v>#REF!</v>
      </c>
      <c r="W49" s="14" t="e">
        <f ca="1">INDEX(INDIRECT($AF$6),
       MATCH(TRIM($S49), INDIRECT($AF$7), 0),
       MATCH(TRIM(W$13), INDIRECT($AF$8), 0))</f>
        <v>#REF!</v>
      </c>
      <c r="X49" s="14" t="e">
        <f ca="1">INDEX(INDIRECT($AF$6),
       MATCH(TRIM($S49), INDIRECT($AF$7), 0),
       MATCH(TRIM(X$13), INDIRECT($AF$8), 0))</f>
        <v>#REF!</v>
      </c>
      <c r="Y49" s="14" t="e">
        <f ca="1">INDEX(INDIRECT($AF$6),
       MATCH(TRIM($S49), INDIRECT($AF$7), 0),
       MATCH(TRIM(Y$13), INDIRECT($AF$8), 0))</f>
        <v>#REF!</v>
      </c>
      <c r="Z49" s="14" t="e">
        <f t="shared" ca="1" si="6"/>
        <v>#REF!</v>
      </c>
      <c r="AA49" s="14" t="e">
        <f t="shared" ca="1" si="6"/>
        <v>#REF!</v>
      </c>
      <c r="AB49" s="14" t="e">
        <f t="shared" ca="1" si="2"/>
        <v>#REF!</v>
      </c>
    </row>
    <row r="50" spans="18:28" x14ac:dyDescent="0.2">
      <c r="R50" s="63">
        <v>37</v>
      </c>
      <c r="S50" s="64" t="s">
        <v>78</v>
      </c>
      <c r="T50" s="14" t="e">
        <f ca="1">INDEX(INDIRECT($AF$6),
       MATCH(TRIM($S50), INDIRECT($AF$7), 0),
       MATCH(TRIM(T$13), INDIRECT($AF$8), 0))</f>
        <v>#REF!</v>
      </c>
      <c r="U50" s="14" t="e">
        <f ca="1">INDEX(INDIRECT($AF$6),
       MATCH(TRIM($S50), INDIRECT($AF$7), 0),
       MATCH(TRIM(U$13), INDIRECT($AF$8), 0))</f>
        <v>#REF!</v>
      </c>
      <c r="V50" s="14" t="e">
        <f ca="1">INDEX(INDIRECT($AF$6),
       MATCH(TRIM($S50), INDIRECT($AF$7), 0),
       MATCH(TRIM(V$13), INDIRECT($AF$8), 0))</f>
        <v>#REF!</v>
      </c>
      <c r="W50" s="14" t="e">
        <f ca="1">INDEX(INDIRECT($AF$6),
       MATCH(TRIM($S50), INDIRECT($AF$7), 0),
       MATCH(TRIM(W$13), INDIRECT($AF$8), 0))</f>
        <v>#REF!</v>
      </c>
      <c r="X50" s="14" t="e">
        <f ca="1">INDEX(INDIRECT($AF$6),
       MATCH(TRIM($S50), INDIRECT($AF$7), 0),
       MATCH(TRIM(X$13), INDIRECT($AF$8), 0))</f>
        <v>#REF!</v>
      </c>
      <c r="Y50" s="14" t="e">
        <f ca="1">INDEX(INDIRECT($AF$6),
       MATCH(TRIM($S50), INDIRECT($AF$7), 0),
       MATCH(TRIM(Y$13), INDIRECT($AF$8), 0))</f>
        <v>#REF!</v>
      </c>
      <c r="Z50" s="14" t="e">
        <f t="shared" ca="1" si="6"/>
        <v>#REF!</v>
      </c>
      <c r="AA50" s="14" t="e">
        <f t="shared" ca="1" si="6"/>
        <v>#REF!</v>
      </c>
      <c r="AB50" s="14" t="e">
        <f t="shared" ca="1" si="2"/>
        <v>#REF!</v>
      </c>
    </row>
    <row r="51" spans="18:28" x14ac:dyDescent="0.2">
      <c r="R51" s="63">
        <v>38</v>
      </c>
      <c r="S51" s="64" t="s">
        <v>83</v>
      </c>
      <c r="T51" s="14" t="e">
        <f ca="1">INDEX(INDIRECT($AF$6),
       MATCH(TRIM($S51), INDIRECT($AF$7), 0),
       MATCH(TRIM(T$13), INDIRECT($AF$8), 0))</f>
        <v>#REF!</v>
      </c>
      <c r="U51" s="14" t="e">
        <f ca="1">INDEX(INDIRECT($AF$6),
       MATCH(TRIM($S51), INDIRECT($AF$7), 0),
       MATCH(TRIM(U$13), INDIRECT($AF$8), 0))</f>
        <v>#REF!</v>
      </c>
      <c r="V51" s="14" t="e">
        <f ca="1">INDEX(INDIRECT($AF$6),
       MATCH(TRIM($S51), INDIRECT($AF$7), 0),
       MATCH(TRIM(V$13), INDIRECT($AF$8), 0))</f>
        <v>#REF!</v>
      </c>
      <c r="W51" s="14" t="e">
        <f ca="1">INDEX(INDIRECT($AF$6),
       MATCH(TRIM($S51), INDIRECT($AF$7), 0),
       MATCH(TRIM(W$13), INDIRECT($AF$8), 0))</f>
        <v>#REF!</v>
      </c>
      <c r="X51" s="14" t="e">
        <f ca="1">INDEX(INDIRECT($AF$6),
       MATCH(TRIM($S51), INDIRECT($AF$7), 0),
       MATCH(TRIM(X$13), INDIRECT($AF$8), 0))</f>
        <v>#REF!</v>
      </c>
      <c r="Y51" s="14" t="e">
        <f ca="1">INDEX(INDIRECT($AF$6),
       MATCH(TRIM($S51), INDIRECT($AF$7), 0),
       MATCH(TRIM(Y$13), INDIRECT($AF$8), 0))</f>
        <v>#REF!</v>
      </c>
      <c r="Z51" s="14" t="e">
        <f t="shared" ca="1" si="6"/>
        <v>#REF!</v>
      </c>
      <c r="AA51" s="14" t="e">
        <f t="shared" ca="1" si="6"/>
        <v>#REF!</v>
      </c>
      <c r="AB51" s="14" t="e">
        <f t="shared" ca="1" si="2"/>
        <v>#REF!</v>
      </c>
    </row>
    <row r="52" spans="18:28" x14ac:dyDescent="0.2">
      <c r="R52" s="63">
        <v>39</v>
      </c>
      <c r="S52" s="64" t="s">
        <v>57</v>
      </c>
      <c r="T52" s="14" t="e">
        <f ca="1">INDEX(INDIRECT($AF$6),
       MATCH(TRIM($S52), INDIRECT($AF$7), 0),
       MATCH(TRIM(T$13), INDIRECT($AF$8), 0))</f>
        <v>#REF!</v>
      </c>
      <c r="U52" s="14" t="e">
        <f ca="1">INDEX(INDIRECT($AF$6),
       MATCH(TRIM($S52), INDIRECT($AF$7), 0),
       MATCH(TRIM(U$13), INDIRECT($AF$8), 0))</f>
        <v>#REF!</v>
      </c>
      <c r="V52" s="14" t="e">
        <f ca="1">INDEX(INDIRECT($AF$6),
       MATCH(TRIM($S52), INDIRECT($AF$7), 0),
       MATCH(TRIM(V$13), INDIRECT($AF$8), 0))</f>
        <v>#REF!</v>
      </c>
      <c r="W52" s="14" t="e">
        <f ca="1">INDEX(INDIRECT($AF$6),
       MATCH(TRIM($S52), INDIRECT($AF$7), 0),
       MATCH(TRIM(W$13), INDIRECT($AF$8), 0))</f>
        <v>#REF!</v>
      </c>
      <c r="X52" s="14" t="e">
        <f ca="1">INDEX(INDIRECT($AF$6),
       MATCH(TRIM($S52), INDIRECT($AF$7), 0),
       MATCH(TRIM(X$13), INDIRECT($AF$8), 0))</f>
        <v>#REF!</v>
      </c>
      <c r="Y52" s="14" t="e">
        <f ca="1">INDEX(INDIRECT($AF$6),
       MATCH(TRIM($S52), INDIRECT($AF$7), 0),
       MATCH(TRIM(Y$13), INDIRECT($AF$8), 0))</f>
        <v>#REF!</v>
      </c>
      <c r="Z52" s="14" t="e">
        <f t="shared" ca="1" si="6"/>
        <v>#REF!</v>
      </c>
      <c r="AA52" s="14" t="e">
        <f t="shared" ca="1" si="6"/>
        <v>#REF!</v>
      </c>
      <c r="AB52" s="14" t="e">
        <f t="shared" ca="1" si="2"/>
        <v>#REF!</v>
      </c>
    </row>
    <row r="53" spans="18:28" x14ac:dyDescent="0.2">
      <c r="R53" s="63">
        <v>40</v>
      </c>
      <c r="S53" s="64" t="s">
        <v>79</v>
      </c>
      <c r="T53" s="14" t="e">
        <f ca="1">INDEX(INDIRECT($AF$6),
       MATCH(TRIM($S53), INDIRECT($AF$7), 0),
       MATCH(TRIM(T$13), INDIRECT($AF$8), 0))</f>
        <v>#REF!</v>
      </c>
      <c r="U53" s="14" t="e">
        <f ca="1">INDEX(INDIRECT($AF$6),
       MATCH(TRIM($S53), INDIRECT($AF$7), 0),
       MATCH(TRIM(U$13), INDIRECT($AF$8), 0))</f>
        <v>#REF!</v>
      </c>
      <c r="V53" s="14" t="e">
        <f ca="1">INDEX(INDIRECT($AF$6),
       MATCH(TRIM($S53), INDIRECT($AF$7), 0),
       MATCH(TRIM(V$13), INDIRECT($AF$8), 0))</f>
        <v>#REF!</v>
      </c>
      <c r="W53" s="14" t="e">
        <f ca="1">INDEX(INDIRECT($AF$6),
       MATCH(TRIM($S53), INDIRECT($AF$7), 0),
       MATCH(TRIM(W$13), INDIRECT($AF$8), 0))</f>
        <v>#REF!</v>
      </c>
      <c r="X53" s="14" t="e">
        <f ca="1">INDEX(INDIRECT($AF$6),
       MATCH(TRIM($S53), INDIRECT($AF$7), 0),
       MATCH(TRIM(X$13), INDIRECT($AF$8), 0))</f>
        <v>#REF!</v>
      </c>
      <c r="Y53" s="14" t="e">
        <f ca="1">INDEX(INDIRECT($AF$6),
       MATCH(TRIM($S53), INDIRECT($AF$7), 0),
       MATCH(TRIM(Y$13), INDIRECT($AF$8), 0))</f>
        <v>#REF!</v>
      </c>
      <c r="Z53" s="14" t="e">
        <f t="shared" ca="1" si="6"/>
        <v>#REF!</v>
      </c>
      <c r="AA53" s="14" t="e">
        <f t="shared" ca="1" si="6"/>
        <v>#REF!</v>
      </c>
      <c r="AB53" s="14" t="e">
        <f t="shared" ca="1" si="2"/>
        <v>#REF!</v>
      </c>
    </row>
    <row r="54" spans="18:28" x14ac:dyDescent="0.2">
      <c r="R54" s="63">
        <v>41</v>
      </c>
      <c r="S54" s="64" t="s">
        <v>59</v>
      </c>
      <c r="T54" s="14" t="e">
        <f ca="1">INDEX(INDIRECT($AF$6),
       MATCH(TRIM($S54), INDIRECT($AF$7), 0),
       MATCH(TRIM(T$13), INDIRECT($AF$8), 0))</f>
        <v>#REF!</v>
      </c>
      <c r="U54" s="14" t="e">
        <f ca="1">INDEX(INDIRECT($AF$6),
       MATCH(TRIM($S54), INDIRECT($AF$7), 0),
       MATCH(TRIM(U$13), INDIRECT($AF$8), 0))</f>
        <v>#REF!</v>
      </c>
      <c r="V54" s="14" t="e">
        <f ca="1">INDEX(INDIRECT($AF$6),
       MATCH(TRIM($S54), INDIRECT($AF$7), 0),
       MATCH(TRIM(V$13), INDIRECT($AF$8), 0))</f>
        <v>#REF!</v>
      </c>
      <c r="W54" s="14" t="e">
        <f ca="1">INDEX(INDIRECT($AF$6),
       MATCH(TRIM($S54), INDIRECT($AF$7), 0),
       MATCH(TRIM(W$13), INDIRECT($AF$8), 0))</f>
        <v>#REF!</v>
      </c>
      <c r="X54" s="14" t="e">
        <f ca="1">INDEX(INDIRECT($AF$6),
       MATCH(TRIM($S54), INDIRECT($AF$7), 0),
       MATCH(TRIM(X$13), INDIRECT($AF$8), 0))</f>
        <v>#REF!</v>
      </c>
      <c r="Y54" s="14" t="e">
        <f ca="1">INDEX(INDIRECT($AF$6),
       MATCH(TRIM($S54), INDIRECT($AF$7), 0),
       MATCH(TRIM(Y$13), INDIRECT($AF$8), 0))</f>
        <v>#REF!</v>
      </c>
      <c r="Z54" s="14" t="e">
        <f t="shared" ca="1" si="6"/>
        <v>#REF!</v>
      </c>
      <c r="AA54" s="14" t="e">
        <f t="shared" ca="1" si="6"/>
        <v>#REF!</v>
      </c>
      <c r="AB54" s="14" t="e">
        <f t="shared" ca="1" si="2"/>
        <v>#REF!</v>
      </c>
    </row>
    <row r="55" spans="18:28" x14ac:dyDescent="0.2">
      <c r="R55" s="63">
        <v>42</v>
      </c>
      <c r="S55" s="64" t="s">
        <v>117</v>
      </c>
      <c r="T55" s="14" t="e">
        <f ca="1">INDEX(INDIRECT($AF$6),
       MATCH(TRIM($S55), INDIRECT($AF$7), 0),
       MATCH(TRIM(T$13), INDIRECT($AF$8), 0))</f>
        <v>#REF!</v>
      </c>
      <c r="U55" s="14" t="e">
        <f ca="1">INDEX(INDIRECT($AF$6),
       MATCH(TRIM($S55), INDIRECT($AF$7), 0),
       MATCH(TRIM(U$13), INDIRECT($AF$8), 0))</f>
        <v>#REF!</v>
      </c>
      <c r="V55" s="14" t="e">
        <f ca="1">INDEX(INDIRECT($AF$6),
       MATCH(TRIM($S55), INDIRECT($AF$7), 0),
       MATCH(TRIM(V$13), INDIRECT($AF$8), 0))</f>
        <v>#REF!</v>
      </c>
      <c r="W55" s="14" t="e">
        <f ca="1">INDEX(INDIRECT($AF$6),
       MATCH(TRIM($S55), INDIRECT($AF$7), 0),
       MATCH(TRIM(W$13), INDIRECT($AF$8), 0))</f>
        <v>#REF!</v>
      </c>
      <c r="X55" s="14" t="e">
        <f ca="1">INDEX(INDIRECT($AF$6),
       MATCH(TRIM($S55), INDIRECT($AF$7), 0),
       MATCH(TRIM(X$13), INDIRECT($AF$8), 0))</f>
        <v>#REF!</v>
      </c>
      <c r="Y55" s="14" t="e">
        <f ca="1">INDEX(INDIRECT($AF$6),
       MATCH(TRIM($S55), INDIRECT($AF$7), 0),
       MATCH(TRIM(Y$13), INDIRECT($AF$8), 0))</f>
        <v>#REF!</v>
      </c>
      <c r="Z55" s="14" t="e">
        <f t="shared" ca="1" si="6"/>
        <v>#REF!</v>
      </c>
      <c r="AA55" s="14" t="e">
        <f t="shared" ca="1" si="6"/>
        <v>#REF!</v>
      </c>
      <c r="AB55" s="14" t="e">
        <f t="shared" ca="1" si="2"/>
        <v>#REF!</v>
      </c>
    </row>
    <row r="56" spans="18:28" x14ac:dyDescent="0.2">
      <c r="R56" s="63">
        <v>43</v>
      </c>
      <c r="S56" s="64" t="s">
        <v>76</v>
      </c>
      <c r="T56" s="14" t="e">
        <f ca="1">INDEX(INDIRECT($AF$6),
       MATCH(TRIM($S56), INDIRECT($AF$7), 0),
       MATCH(TRIM(T$13), INDIRECT($AF$8), 0))</f>
        <v>#REF!</v>
      </c>
      <c r="U56" s="14" t="e">
        <f ca="1">INDEX(INDIRECT($AF$6),
       MATCH(TRIM($S56), INDIRECT($AF$7), 0),
       MATCH(TRIM(U$13), INDIRECT($AF$8), 0))</f>
        <v>#REF!</v>
      </c>
      <c r="V56" s="14" t="e">
        <f ca="1">INDEX(INDIRECT($AF$6),
       MATCH(TRIM($S56), INDIRECT($AF$7), 0),
       MATCH(TRIM(V$13), INDIRECT($AF$8), 0))</f>
        <v>#REF!</v>
      </c>
      <c r="W56" s="14" t="e">
        <f ca="1">INDEX(INDIRECT($AF$6),
       MATCH(TRIM($S56), INDIRECT($AF$7), 0),
       MATCH(TRIM(W$13), INDIRECT($AF$8), 0))</f>
        <v>#REF!</v>
      </c>
      <c r="X56" s="14" t="e">
        <f ca="1">INDEX(INDIRECT($AF$6),
       MATCH(TRIM($S56), INDIRECT($AF$7), 0),
       MATCH(TRIM(X$13), INDIRECT($AF$8), 0))</f>
        <v>#REF!</v>
      </c>
      <c r="Y56" s="14" t="e">
        <f ca="1">INDEX(INDIRECT($AF$6),
       MATCH(TRIM($S56), INDIRECT($AF$7), 0),
       MATCH(TRIM(Y$13), INDIRECT($AF$8), 0))</f>
        <v>#REF!</v>
      </c>
      <c r="Z56" s="14" t="e">
        <f t="shared" ca="1" si="6"/>
        <v>#REF!</v>
      </c>
      <c r="AA56" s="14" t="e">
        <f t="shared" ca="1" si="6"/>
        <v>#REF!</v>
      </c>
      <c r="AB56" s="14" t="e">
        <f t="shared" ca="1" si="2"/>
        <v>#REF!</v>
      </c>
    </row>
    <row r="57" spans="18:28" x14ac:dyDescent="0.2">
      <c r="R57" s="63">
        <v>44</v>
      </c>
      <c r="S57" s="64" t="s">
        <v>82</v>
      </c>
      <c r="T57" s="14" t="e">
        <f ca="1">INDEX(INDIRECT($AF$6),
       MATCH(TRIM($S57), INDIRECT($AF$7), 0),
       MATCH(TRIM(T$13), INDIRECT($AF$8), 0))</f>
        <v>#REF!</v>
      </c>
      <c r="U57" s="14" t="e">
        <f ca="1">INDEX(INDIRECT($AF$6),
       MATCH(TRIM($S57), INDIRECT($AF$7), 0),
       MATCH(TRIM(U$13), INDIRECT($AF$8), 0))</f>
        <v>#REF!</v>
      </c>
      <c r="V57" s="14" t="e">
        <f ca="1">INDEX(INDIRECT($AF$6),
       MATCH(TRIM($S57), INDIRECT($AF$7), 0),
       MATCH(TRIM(V$13), INDIRECT($AF$8), 0))</f>
        <v>#REF!</v>
      </c>
      <c r="W57" s="14" t="e">
        <f ca="1">INDEX(INDIRECT($AF$6),
       MATCH(TRIM($S57), INDIRECT($AF$7), 0),
       MATCH(TRIM(W$13), INDIRECT($AF$8), 0))</f>
        <v>#REF!</v>
      </c>
      <c r="X57" s="14" t="e">
        <f ca="1">INDEX(INDIRECT($AF$6),
       MATCH(TRIM($S57), INDIRECT($AF$7), 0),
       MATCH(TRIM(X$13), INDIRECT($AF$8), 0))</f>
        <v>#REF!</v>
      </c>
      <c r="Y57" s="14" t="e">
        <f ca="1">INDEX(INDIRECT($AF$6),
       MATCH(TRIM($S57), INDIRECT($AF$7), 0),
       MATCH(TRIM(Y$13), INDIRECT($AF$8), 0))</f>
        <v>#REF!</v>
      </c>
      <c r="Z57" s="14" t="e">
        <f t="shared" ca="1" si="6"/>
        <v>#REF!</v>
      </c>
      <c r="AA57" s="14" t="e">
        <f t="shared" ca="1" si="6"/>
        <v>#REF!</v>
      </c>
      <c r="AB57" s="14" t="e">
        <f t="shared" ca="1" si="2"/>
        <v>#REF!</v>
      </c>
    </row>
    <row r="58" spans="18:28" x14ac:dyDescent="0.2">
      <c r="R58" s="63">
        <v>45</v>
      </c>
      <c r="S58" s="64" t="s">
        <v>118</v>
      </c>
      <c r="T58" s="14" t="e">
        <f ca="1">INDEX(INDIRECT($AF$6),
       MATCH(TRIM($S58), INDIRECT($AF$7), 0),
       MATCH(TRIM(T$13), INDIRECT($AF$8), 0))</f>
        <v>#REF!</v>
      </c>
      <c r="U58" s="14" t="e">
        <f ca="1">INDEX(INDIRECT($AF$6),
       MATCH(TRIM($S58), INDIRECT($AF$7), 0),
       MATCH(TRIM(U$13), INDIRECT($AF$8), 0))</f>
        <v>#REF!</v>
      </c>
      <c r="V58" s="14" t="e">
        <f ca="1">INDEX(INDIRECT($AF$6),
       MATCH(TRIM($S58), INDIRECT($AF$7), 0),
       MATCH(TRIM(V$13), INDIRECT($AF$8), 0))</f>
        <v>#REF!</v>
      </c>
      <c r="W58" s="14" t="e">
        <f ca="1">INDEX(INDIRECT($AF$6),
       MATCH(TRIM($S58), INDIRECT($AF$7), 0),
       MATCH(TRIM(W$13), INDIRECT($AF$8), 0))</f>
        <v>#REF!</v>
      </c>
      <c r="X58" s="14" t="e">
        <f ca="1">INDEX(INDIRECT($AF$6),
       MATCH(TRIM($S58), INDIRECT($AF$7), 0),
       MATCH(TRIM(X$13), INDIRECT($AF$8), 0))</f>
        <v>#REF!</v>
      </c>
      <c r="Y58" s="14" t="e">
        <f ca="1">INDEX(INDIRECT($AF$6),
       MATCH(TRIM($S58), INDIRECT($AF$7), 0),
       MATCH(TRIM(Y$13), INDIRECT($AF$8), 0))</f>
        <v>#REF!</v>
      </c>
      <c r="Z58" s="14" t="e">
        <f t="shared" ca="1" si="6"/>
        <v>#REF!</v>
      </c>
      <c r="AA58" s="14" t="e">
        <f t="shared" ca="1" si="6"/>
        <v>#REF!</v>
      </c>
      <c r="AB58" s="14" t="e">
        <f t="shared" ca="1" si="2"/>
        <v>#REF!</v>
      </c>
    </row>
    <row r="59" spans="18:28" x14ac:dyDescent="0.2">
      <c r="R59" s="63">
        <v>46</v>
      </c>
      <c r="S59" s="64" t="s">
        <v>62</v>
      </c>
      <c r="T59" s="14" t="e">
        <f ca="1">INDEX(INDIRECT($AF$6),
       MATCH(TRIM($S59), INDIRECT($AF$7), 0),
       MATCH(TRIM(T$13), INDIRECT($AF$8), 0))</f>
        <v>#REF!</v>
      </c>
      <c r="U59" s="14" t="e">
        <f ca="1">INDEX(INDIRECT($AF$6),
       MATCH(TRIM($S59), INDIRECT($AF$7), 0),
       MATCH(TRIM(U$13), INDIRECT($AF$8), 0))</f>
        <v>#REF!</v>
      </c>
      <c r="V59" s="14" t="e">
        <f ca="1">INDEX(INDIRECT($AF$6),
       MATCH(TRIM($S59), INDIRECT($AF$7), 0),
       MATCH(TRIM(V$13), INDIRECT($AF$8), 0))</f>
        <v>#REF!</v>
      </c>
      <c r="W59" s="14" t="e">
        <f ca="1">INDEX(INDIRECT($AF$6),
       MATCH(TRIM($S59), INDIRECT($AF$7), 0),
       MATCH(TRIM(W$13), INDIRECT($AF$8), 0))</f>
        <v>#REF!</v>
      </c>
      <c r="X59" s="14" t="e">
        <f ca="1">INDEX(INDIRECT($AF$6),
       MATCH(TRIM($S59), INDIRECT($AF$7), 0),
       MATCH(TRIM(X$13), INDIRECT($AF$8), 0))</f>
        <v>#REF!</v>
      </c>
      <c r="Y59" s="14" t="e">
        <f ca="1">INDEX(INDIRECT($AF$6),
       MATCH(TRIM($S59), INDIRECT($AF$7), 0),
       MATCH(TRIM(Y$13), INDIRECT($AF$8), 0))</f>
        <v>#REF!</v>
      </c>
      <c r="Z59" s="14" t="e">
        <f t="shared" ca="1" si="6"/>
        <v>#REF!</v>
      </c>
      <c r="AA59" s="14" t="e">
        <f t="shared" ca="1" si="6"/>
        <v>#REF!</v>
      </c>
      <c r="AB59" s="14" t="e">
        <f t="shared" ca="1" si="2"/>
        <v>#REF!</v>
      </c>
    </row>
    <row r="60" spans="18:28" x14ac:dyDescent="0.2">
      <c r="R60" s="63">
        <v>47</v>
      </c>
      <c r="S60" s="64" t="s">
        <v>86</v>
      </c>
      <c r="T60" s="14" t="e">
        <f ca="1">INDEX(INDIRECT($AF$6),
       MATCH(TRIM($S60), INDIRECT($AF$7), 0),
       MATCH(TRIM(T$13), INDIRECT($AF$8), 0))</f>
        <v>#REF!</v>
      </c>
      <c r="U60" s="14" t="e">
        <f ca="1">INDEX(INDIRECT($AF$6),
       MATCH(TRIM($S60), INDIRECT($AF$7), 0),
       MATCH(TRIM(U$13), INDIRECT($AF$8), 0))</f>
        <v>#REF!</v>
      </c>
      <c r="V60" s="14" t="e">
        <f ca="1">INDEX(INDIRECT($AF$6),
       MATCH(TRIM($S60), INDIRECT($AF$7), 0),
       MATCH(TRIM(V$13), INDIRECT($AF$8), 0))</f>
        <v>#REF!</v>
      </c>
      <c r="W60" s="14" t="e">
        <f ca="1">INDEX(INDIRECT($AF$6),
       MATCH(TRIM($S60), INDIRECT($AF$7), 0),
       MATCH(TRIM(W$13), INDIRECT($AF$8), 0))</f>
        <v>#REF!</v>
      </c>
      <c r="X60" s="14" t="e">
        <f ca="1">INDEX(INDIRECT($AF$6),
       MATCH(TRIM($S60), INDIRECT($AF$7), 0),
       MATCH(TRIM(X$13), INDIRECT($AF$8), 0))</f>
        <v>#REF!</v>
      </c>
      <c r="Y60" s="14" t="e">
        <f ca="1">INDEX(INDIRECT($AF$6),
       MATCH(TRIM($S60), INDIRECT($AF$7), 0),
       MATCH(TRIM(Y$13), INDIRECT($AF$8), 0))</f>
        <v>#REF!</v>
      </c>
      <c r="Z60" s="14" t="e">
        <f t="shared" ca="1" si="6"/>
        <v>#REF!</v>
      </c>
      <c r="AA60" s="14" t="e">
        <f t="shared" ca="1" si="6"/>
        <v>#REF!</v>
      </c>
      <c r="AB60" s="14" t="e">
        <f t="shared" ca="1" si="2"/>
        <v>#REF!</v>
      </c>
    </row>
    <row r="61" spans="18:28" x14ac:dyDescent="0.2">
      <c r="R61" s="63">
        <v>48</v>
      </c>
      <c r="S61" s="64" t="s">
        <v>119</v>
      </c>
      <c r="T61" s="14" t="e">
        <f ca="1">INDEX(INDIRECT($AF$6),
       MATCH(TRIM($S61), INDIRECT($AF$7), 0),
       MATCH(TRIM(T$13), INDIRECT($AF$8), 0))</f>
        <v>#REF!</v>
      </c>
      <c r="U61" s="14" t="e">
        <f ca="1">INDEX(INDIRECT($AF$6),
       MATCH(TRIM($S61), INDIRECT($AF$7), 0),
       MATCH(TRIM(U$13), INDIRECT($AF$8), 0))</f>
        <v>#REF!</v>
      </c>
      <c r="V61" s="14" t="e">
        <f ca="1">INDEX(INDIRECT($AF$6),
       MATCH(TRIM($S61), INDIRECT($AF$7), 0),
       MATCH(TRIM(V$13), INDIRECT($AF$8), 0))</f>
        <v>#REF!</v>
      </c>
      <c r="W61" s="14" t="e">
        <f ca="1">INDEX(INDIRECT($AF$6),
       MATCH(TRIM($S61), INDIRECT($AF$7), 0),
       MATCH(TRIM(W$13), INDIRECT($AF$8), 0))</f>
        <v>#REF!</v>
      </c>
      <c r="X61" s="14" t="e">
        <f ca="1">INDEX(INDIRECT($AF$6),
       MATCH(TRIM($S61), INDIRECT($AF$7), 0),
       MATCH(TRIM(X$13), INDIRECT($AF$8), 0))</f>
        <v>#REF!</v>
      </c>
      <c r="Y61" s="14" t="e">
        <f ca="1">INDEX(INDIRECT($AF$6),
       MATCH(TRIM($S61), INDIRECT($AF$7), 0),
       MATCH(TRIM(Y$13), INDIRECT($AF$8), 0))</f>
        <v>#REF!</v>
      </c>
      <c r="Z61" s="14" t="e">
        <f t="shared" ca="1" si="6"/>
        <v>#REF!</v>
      </c>
      <c r="AA61" s="14" t="e">
        <f t="shared" ca="1" si="6"/>
        <v>#REF!</v>
      </c>
      <c r="AB61" s="14" t="e">
        <f t="shared" ca="1" si="2"/>
        <v>#REF!</v>
      </c>
    </row>
    <row r="62" spans="18:28" x14ac:dyDescent="0.2">
      <c r="R62" s="63">
        <v>49</v>
      </c>
      <c r="S62" s="64" t="s">
        <v>64</v>
      </c>
      <c r="T62" s="14" t="e">
        <f ca="1">INDEX(INDIRECT($AF$6),
       MATCH(TRIM($S62), INDIRECT($AF$7), 0),
       MATCH(TRIM(T$13), INDIRECT($AF$8), 0))</f>
        <v>#REF!</v>
      </c>
      <c r="U62" s="14" t="e">
        <f ca="1">INDEX(INDIRECT($AF$6),
       MATCH(TRIM($S62), INDIRECT($AF$7), 0),
       MATCH(TRIM(U$13), INDIRECT($AF$8), 0))</f>
        <v>#REF!</v>
      </c>
      <c r="V62" s="14" t="e">
        <f ca="1">INDEX(INDIRECT($AF$6),
       MATCH(TRIM($S62), INDIRECT($AF$7), 0),
       MATCH(TRIM(V$13), INDIRECT($AF$8), 0))</f>
        <v>#REF!</v>
      </c>
      <c r="W62" s="14" t="e">
        <f ca="1">INDEX(INDIRECT($AF$6),
       MATCH(TRIM($S62), INDIRECT($AF$7), 0),
       MATCH(TRIM(W$13), INDIRECT($AF$8), 0))</f>
        <v>#REF!</v>
      </c>
      <c r="X62" s="14" t="e">
        <f ca="1">INDEX(INDIRECT($AF$6),
       MATCH(TRIM($S62), INDIRECT($AF$7), 0),
       MATCH(TRIM(X$13), INDIRECT($AF$8), 0))</f>
        <v>#REF!</v>
      </c>
      <c r="Y62" s="14" t="e">
        <f ca="1">INDEX(INDIRECT($AF$6),
       MATCH(TRIM($S62), INDIRECT($AF$7), 0),
       MATCH(TRIM(Y$13), INDIRECT($AF$8), 0))</f>
        <v>#REF!</v>
      </c>
      <c r="Z62" s="14" t="e">
        <f t="shared" ca="1" si="6"/>
        <v>#REF!</v>
      </c>
      <c r="AA62" s="14" t="e">
        <f t="shared" ca="1" si="6"/>
        <v>#REF!</v>
      </c>
      <c r="AB62" s="14" t="e">
        <f t="shared" ca="1" si="2"/>
        <v>#REF!</v>
      </c>
    </row>
    <row r="63" spans="18:28" x14ac:dyDescent="0.2">
      <c r="R63" s="63">
        <v>50</v>
      </c>
      <c r="S63" s="64" t="s">
        <v>120</v>
      </c>
      <c r="T63" s="14" t="e">
        <f ca="1">INDEX(INDIRECT($AF$6),
       MATCH(TRIM($S63), INDIRECT($AF$7), 0),
       MATCH(TRIM(T$13), INDIRECT($AF$8), 0))</f>
        <v>#REF!</v>
      </c>
      <c r="U63" s="14" t="e">
        <f ca="1">INDEX(INDIRECT($AF$6),
       MATCH(TRIM($S63), INDIRECT($AF$7), 0),
       MATCH(TRIM(U$13), INDIRECT($AF$8), 0))</f>
        <v>#REF!</v>
      </c>
      <c r="V63" s="14" t="e">
        <f ca="1">INDEX(INDIRECT($AF$6),
       MATCH(TRIM($S63), INDIRECT($AF$7), 0),
       MATCH(TRIM(V$13), INDIRECT($AF$8), 0))</f>
        <v>#REF!</v>
      </c>
      <c r="W63" s="14" t="e">
        <f ca="1">INDEX(INDIRECT($AF$6),
       MATCH(TRIM($S63), INDIRECT($AF$7), 0),
       MATCH(TRIM(W$13), INDIRECT($AF$8), 0))</f>
        <v>#REF!</v>
      </c>
      <c r="X63" s="14" t="e">
        <f ca="1">INDEX(INDIRECT($AF$6),
       MATCH(TRIM($S63), INDIRECT($AF$7), 0),
       MATCH(TRIM(X$13), INDIRECT($AF$8), 0))</f>
        <v>#REF!</v>
      </c>
      <c r="Y63" s="14" t="e">
        <f ca="1">INDEX(INDIRECT($AF$6),
       MATCH(TRIM($S63), INDIRECT($AF$7), 0),
       MATCH(TRIM(Y$13), INDIRECT($AF$8), 0))</f>
        <v>#REF!</v>
      </c>
      <c r="Z63" s="14" t="e">
        <f t="shared" ca="1" si="6"/>
        <v>#REF!</v>
      </c>
      <c r="AA63" s="14" t="e">
        <f t="shared" ca="1" si="6"/>
        <v>#REF!</v>
      </c>
      <c r="AB63" s="14" t="e">
        <f t="shared" ca="1" si="2"/>
        <v>#REF!</v>
      </c>
    </row>
    <row r="64" spans="18:28" x14ac:dyDescent="0.2">
      <c r="R64" s="63">
        <v>51</v>
      </c>
      <c r="S64" s="64" t="s">
        <v>80</v>
      </c>
      <c r="T64" s="14" t="e">
        <f ca="1">INDEX(INDIRECT($AF$6),
       MATCH(TRIM($S64), INDIRECT($AF$7), 0),
       MATCH(TRIM(T$13), INDIRECT($AF$8), 0))</f>
        <v>#REF!</v>
      </c>
      <c r="U64" s="14" t="e">
        <f ca="1">INDEX(INDIRECT($AF$6),
       MATCH(TRIM($S64), INDIRECT($AF$7), 0),
       MATCH(TRIM(U$13), INDIRECT($AF$8), 0))</f>
        <v>#REF!</v>
      </c>
      <c r="V64" s="14" t="e">
        <f ca="1">INDEX(INDIRECT($AF$6),
       MATCH(TRIM($S64), INDIRECT($AF$7), 0),
       MATCH(TRIM(V$13), INDIRECT($AF$8), 0))</f>
        <v>#REF!</v>
      </c>
      <c r="W64" s="14" t="e">
        <f ca="1">INDEX(INDIRECT($AF$6),
       MATCH(TRIM($S64), INDIRECT($AF$7), 0),
       MATCH(TRIM(W$13), INDIRECT($AF$8), 0))</f>
        <v>#REF!</v>
      </c>
      <c r="X64" s="14" t="e">
        <f ca="1">INDEX(INDIRECT($AF$6),
       MATCH(TRIM($S64), INDIRECT($AF$7), 0),
       MATCH(TRIM(X$13), INDIRECT($AF$8), 0))</f>
        <v>#REF!</v>
      </c>
      <c r="Y64" s="14" t="e">
        <f ca="1">INDEX(INDIRECT($AF$6),
       MATCH(TRIM($S64), INDIRECT($AF$7), 0),
       MATCH(TRIM(Y$13), INDIRECT($AF$8), 0))</f>
        <v>#REF!</v>
      </c>
      <c r="Z64" s="14" t="e">
        <f t="shared" ca="1" si="6"/>
        <v>#REF!</v>
      </c>
      <c r="AA64" s="14" t="e">
        <f t="shared" ca="1" si="6"/>
        <v>#REF!</v>
      </c>
      <c r="AB64" s="14" t="e">
        <f t="shared" ca="1" si="2"/>
        <v>#REF!</v>
      </c>
    </row>
    <row r="65" spans="18:28" x14ac:dyDescent="0.2">
      <c r="R65" s="63">
        <v>52</v>
      </c>
      <c r="S65" s="64" t="s">
        <v>73</v>
      </c>
      <c r="T65" s="14" t="e">
        <f ca="1">INDEX(INDIRECT($AF$6),
       MATCH(TRIM($S65), INDIRECT($AF$7), 0),
       MATCH(TRIM(T$13), INDIRECT($AF$8), 0))</f>
        <v>#REF!</v>
      </c>
      <c r="U65" s="14" t="e">
        <f ca="1">INDEX(INDIRECT($AF$6),
       MATCH(TRIM($S65), INDIRECT($AF$7), 0),
       MATCH(TRIM(U$13), INDIRECT($AF$8), 0))</f>
        <v>#REF!</v>
      </c>
      <c r="V65" s="14" t="e">
        <f ca="1">INDEX(INDIRECT($AF$6),
       MATCH(TRIM($S65), INDIRECT($AF$7), 0),
       MATCH(TRIM(V$13), INDIRECT($AF$8), 0))</f>
        <v>#REF!</v>
      </c>
      <c r="W65" s="14" t="e">
        <f ca="1">INDEX(INDIRECT($AF$6),
       MATCH(TRIM($S65), INDIRECT($AF$7), 0),
       MATCH(TRIM(W$13), INDIRECT($AF$8), 0))</f>
        <v>#REF!</v>
      </c>
      <c r="X65" s="14" t="e">
        <f ca="1">INDEX(INDIRECT($AF$6),
       MATCH(TRIM($S65), INDIRECT($AF$7), 0),
       MATCH(TRIM(X$13), INDIRECT($AF$8), 0))</f>
        <v>#REF!</v>
      </c>
      <c r="Y65" s="14" t="e">
        <f ca="1">INDEX(INDIRECT($AF$6),
       MATCH(TRIM($S65), INDIRECT($AF$7), 0),
       MATCH(TRIM(Y$13), INDIRECT($AF$8), 0))</f>
        <v>#REF!</v>
      </c>
      <c r="Z65" s="14" t="e">
        <f t="shared" ca="1" si="6"/>
        <v>#REF!</v>
      </c>
      <c r="AA65" s="14" t="e">
        <f t="shared" ca="1" si="6"/>
        <v>#REF!</v>
      </c>
      <c r="AB65" s="14" t="e">
        <f t="shared" ca="1" si="2"/>
        <v>#REF!</v>
      </c>
    </row>
    <row r="66" spans="18:28" x14ac:dyDescent="0.2">
      <c r="R66" s="63">
        <v>53</v>
      </c>
      <c r="S66" s="64" t="s">
        <v>87</v>
      </c>
      <c r="T66" s="14" t="e">
        <f ca="1">INDEX(INDIRECT($AF$6),
       MATCH(TRIM($S66), INDIRECT($AF$7), 0),
       MATCH(TRIM(T$13), INDIRECT($AF$8), 0))</f>
        <v>#REF!</v>
      </c>
      <c r="U66" s="14" t="e">
        <f ca="1">INDEX(INDIRECT($AF$6),
       MATCH(TRIM($S66), INDIRECT($AF$7), 0),
       MATCH(TRIM(U$13), INDIRECT($AF$8), 0))</f>
        <v>#REF!</v>
      </c>
      <c r="V66" s="14" t="e">
        <f ca="1">INDEX(INDIRECT($AF$6),
       MATCH(TRIM($S66), INDIRECT($AF$7), 0),
       MATCH(TRIM(V$13), INDIRECT($AF$8), 0))</f>
        <v>#REF!</v>
      </c>
      <c r="W66" s="14" t="e">
        <f ca="1">INDEX(INDIRECT($AF$6),
       MATCH(TRIM($S66), INDIRECT($AF$7), 0),
       MATCH(TRIM(W$13), INDIRECT($AF$8), 0))</f>
        <v>#REF!</v>
      </c>
      <c r="X66" s="14" t="e">
        <f ca="1">INDEX(INDIRECT($AF$6),
       MATCH(TRIM($S66), INDIRECT($AF$7), 0),
       MATCH(TRIM(X$13), INDIRECT($AF$8), 0))</f>
        <v>#REF!</v>
      </c>
      <c r="Y66" s="14" t="e">
        <f ca="1">INDEX(INDIRECT($AF$6),
       MATCH(TRIM($S66), INDIRECT($AF$7), 0),
       MATCH(TRIM(Y$13), INDIRECT($AF$8), 0))</f>
        <v>#REF!</v>
      </c>
      <c r="Z66" s="14" t="e">
        <f t="shared" ca="1" si="6"/>
        <v>#REF!</v>
      </c>
      <c r="AA66" s="14" t="e">
        <f t="shared" ca="1" si="6"/>
        <v>#REF!</v>
      </c>
      <c r="AB66" s="14" t="e">
        <f t="shared" ca="1" si="2"/>
        <v>#REF!</v>
      </c>
    </row>
    <row r="67" spans="18:28" x14ac:dyDescent="0.2">
      <c r="R67" s="63">
        <v>54</v>
      </c>
      <c r="S67" s="64" t="s">
        <v>65</v>
      </c>
      <c r="T67" s="14" t="e">
        <f ca="1">INDEX(INDIRECT($AF$6),
       MATCH(TRIM($S67), INDIRECT($AF$7), 0),
       MATCH(TRIM(T$13), INDIRECT($AF$8), 0))</f>
        <v>#REF!</v>
      </c>
      <c r="U67" s="14" t="e">
        <f ca="1">INDEX(INDIRECT($AF$6),
       MATCH(TRIM($S67), INDIRECT($AF$7), 0),
       MATCH(TRIM(U$13), INDIRECT($AF$8), 0))</f>
        <v>#REF!</v>
      </c>
      <c r="V67" s="14" t="e">
        <f ca="1">INDEX(INDIRECT($AF$6),
       MATCH(TRIM($S67), INDIRECT($AF$7), 0),
       MATCH(TRIM(V$13), INDIRECT($AF$8), 0))</f>
        <v>#REF!</v>
      </c>
      <c r="W67" s="14" t="e">
        <f ca="1">INDEX(INDIRECT($AF$6),
       MATCH(TRIM($S67), INDIRECT($AF$7), 0),
       MATCH(TRIM(W$13), INDIRECT($AF$8), 0))</f>
        <v>#REF!</v>
      </c>
      <c r="X67" s="14" t="e">
        <f ca="1">INDEX(INDIRECT($AF$6),
       MATCH(TRIM($S67), INDIRECT($AF$7), 0),
       MATCH(TRIM(X$13), INDIRECT($AF$8), 0))</f>
        <v>#REF!</v>
      </c>
      <c r="Y67" s="14" t="e">
        <f ca="1">INDEX(INDIRECT($AF$6),
       MATCH(TRIM($S67), INDIRECT($AF$7), 0),
       MATCH(TRIM(Y$13), INDIRECT($AF$8), 0))</f>
        <v>#REF!</v>
      </c>
      <c r="Z67" s="14" t="e">
        <f t="shared" ca="1" si="6"/>
        <v>#REF!</v>
      </c>
      <c r="AA67" s="14" t="e">
        <f t="shared" ca="1" si="6"/>
        <v>#REF!</v>
      </c>
      <c r="AB67" s="14" t="e">
        <f t="shared" ca="1" si="2"/>
        <v>#REF!</v>
      </c>
    </row>
    <row r="68" spans="18:28" x14ac:dyDescent="0.2">
      <c r="R68" s="63">
        <v>55</v>
      </c>
      <c r="S68" s="64" t="s">
        <v>74</v>
      </c>
      <c r="T68" s="14" t="e">
        <f ca="1">INDEX(INDIRECT($AF$6),
       MATCH(TRIM($S68), INDIRECT($AF$7), 0),
       MATCH(TRIM(T$13), INDIRECT($AF$8), 0))</f>
        <v>#REF!</v>
      </c>
      <c r="U68" s="14" t="e">
        <f ca="1">INDEX(INDIRECT($AF$6),
       MATCH(TRIM($S68), INDIRECT($AF$7), 0),
       MATCH(TRIM(U$13), INDIRECT($AF$8), 0))</f>
        <v>#REF!</v>
      </c>
      <c r="V68" s="14" t="e">
        <f ca="1">INDEX(INDIRECT($AF$6),
       MATCH(TRIM($S68), INDIRECT($AF$7), 0),
       MATCH(TRIM(V$13), INDIRECT($AF$8), 0))</f>
        <v>#REF!</v>
      </c>
      <c r="W68" s="14" t="e">
        <f ca="1">INDEX(INDIRECT($AF$6),
       MATCH(TRIM($S68), INDIRECT($AF$7), 0),
       MATCH(TRIM(W$13), INDIRECT($AF$8), 0))</f>
        <v>#REF!</v>
      </c>
      <c r="X68" s="14" t="e">
        <f ca="1">INDEX(INDIRECT($AF$6),
       MATCH(TRIM($S68), INDIRECT($AF$7), 0),
       MATCH(TRIM(X$13), INDIRECT($AF$8), 0))</f>
        <v>#REF!</v>
      </c>
      <c r="Y68" s="14" t="e">
        <f ca="1">INDEX(INDIRECT($AF$6),
       MATCH(TRIM($S68), INDIRECT($AF$7), 0),
       MATCH(TRIM(Y$13), INDIRECT($AF$8), 0))</f>
        <v>#REF!</v>
      </c>
      <c r="Z68" s="14" t="e">
        <f t="shared" ca="1" si="6"/>
        <v>#REF!</v>
      </c>
      <c r="AA68" s="14" t="e">
        <f t="shared" ca="1" si="6"/>
        <v>#REF!</v>
      </c>
      <c r="AB68" s="14" t="e">
        <f t="shared" ca="1" si="2"/>
        <v>#REF!</v>
      </c>
    </row>
    <row r="69" spans="18:28" x14ac:dyDescent="0.2">
      <c r="R69" s="63">
        <v>56</v>
      </c>
      <c r="S69" s="67" t="s">
        <v>121</v>
      </c>
      <c r="T69" s="14" t="e">
        <f ca="1">INDEX(INDIRECT($AF$6),
       MATCH(TRIM($S69), INDIRECT($AF$7), 0),
       MATCH(TRIM(T$13), INDIRECT($AF$8), 0))</f>
        <v>#REF!</v>
      </c>
      <c r="U69" s="14" t="e">
        <f ca="1">INDEX(INDIRECT($AF$6),
       MATCH(TRIM($S69), INDIRECT($AF$7), 0),
       MATCH(TRIM(U$13), INDIRECT($AF$8), 0))</f>
        <v>#REF!</v>
      </c>
      <c r="V69" s="14" t="e">
        <f ca="1">INDEX(INDIRECT($AF$6),
       MATCH(TRIM($S69), INDIRECT($AF$7), 0),
       MATCH(TRIM(V$13), INDIRECT($AF$8), 0))</f>
        <v>#REF!</v>
      </c>
      <c r="W69" s="14" t="e">
        <f ca="1">INDEX(INDIRECT($AF$6),
       MATCH(TRIM($S69), INDIRECT($AF$7), 0),
       MATCH(TRIM(W$13), INDIRECT($AF$8), 0))</f>
        <v>#REF!</v>
      </c>
      <c r="X69" s="14" t="e">
        <f ca="1">INDEX(INDIRECT($AF$6),
       MATCH(TRIM($S69), INDIRECT($AF$7), 0),
       MATCH(TRIM(X$13), INDIRECT($AF$8), 0))</f>
        <v>#REF!</v>
      </c>
      <c r="Y69" s="14" t="e">
        <f ca="1">INDEX(INDIRECT($AF$6),
       MATCH(TRIM($S69), INDIRECT($AF$7), 0),
       MATCH(TRIM(Y$13), INDIRECT($AF$8), 0))</f>
        <v>#REF!</v>
      </c>
      <c r="Z69" s="14" t="e">
        <f t="shared" ca="1" si="6"/>
        <v>#REF!</v>
      </c>
      <c r="AA69" s="14" t="e">
        <f t="shared" ca="1" si="6"/>
        <v>#REF!</v>
      </c>
      <c r="AB69" s="14" t="e">
        <f t="shared" ca="1" si="2"/>
        <v>#REF!</v>
      </c>
    </row>
    <row r="70" spans="18:28" x14ac:dyDescent="0.2">
      <c r="R70" s="63">
        <v>57</v>
      </c>
      <c r="S70" s="64" t="s">
        <v>122</v>
      </c>
      <c r="T70" s="14" t="e">
        <f ca="1">INDEX(INDIRECT($AF$6),
       MATCH(TRIM($S70), INDIRECT($AF$7), 0),
       MATCH(TRIM(T$13), INDIRECT($AF$8), 0))</f>
        <v>#REF!</v>
      </c>
      <c r="U70" s="14" t="e">
        <f ca="1">INDEX(INDIRECT($AF$6),
       MATCH(TRIM($S70), INDIRECT($AF$7), 0),
       MATCH(TRIM(U$13), INDIRECT($AF$8), 0))</f>
        <v>#REF!</v>
      </c>
      <c r="V70" s="14" t="e">
        <f ca="1">INDEX(INDIRECT($AF$6),
       MATCH(TRIM($S70), INDIRECT($AF$7), 0),
       MATCH(TRIM(V$13), INDIRECT($AF$8), 0))</f>
        <v>#REF!</v>
      </c>
      <c r="W70" s="14" t="e">
        <f ca="1">INDEX(INDIRECT($AF$6),
       MATCH(TRIM($S70), INDIRECT($AF$7), 0),
       MATCH(TRIM(W$13), INDIRECT($AF$8), 0))</f>
        <v>#REF!</v>
      </c>
      <c r="X70" s="14" t="e">
        <f ca="1">INDEX(INDIRECT($AF$6),
       MATCH(TRIM($S70), INDIRECT($AF$7), 0),
       MATCH(TRIM(X$13), INDIRECT($AF$8), 0))</f>
        <v>#REF!</v>
      </c>
      <c r="Y70" s="14" t="e">
        <f ca="1">INDEX(INDIRECT($AF$6),
       MATCH(TRIM($S70), INDIRECT($AF$7), 0),
       MATCH(TRIM(Y$13), INDIRECT($AF$8), 0))</f>
        <v>#REF!</v>
      </c>
      <c r="Z70" s="14" t="e">
        <f t="shared" ca="1" si="6"/>
        <v>#REF!</v>
      </c>
      <c r="AA70" s="14" t="e">
        <f t="shared" ca="1" si="6"/>
        <v>#REF!</v>
      </c>
      <c r="AB70" s="14" t="e">
        <f t="shared" ca="1" si="2"/>
        <v>#REF!</v>
      </c>
    </row>
    <row r="71" spans="18:28" x14ac:dyDescent="0.2">
      <c r="R71" s="68" t="s">
        <v>26</v>
      </c>
      <c r="S71" s="68"/>
      <c r="T71" s="69" t="e">
        <f ca="1">SUM(T13:T70)</f>
        <v>#REF!</v>
      </c>
      <c r="U71" s="69" t="e">
        <f ca="1">SUM(U13:U70)</f>
        <v>#REF!</v>
      </c>
      <c r="V71" s="70" t="e">
        <f ca="1">SUM(V13:V70)</f>
        <v>#REF!</v>
      </c>
      <c r="W71" s="69" t="e">
        <f ca="1">SUM(W14:W70)</f>
        <v>#REF!</v>
      </c>
      <c r="X71" s="69" t="e">
        <f ca="1">SUM(X13:X70)</f>
        <v>#REF!</v>
      </c>
      <c r="Y71" s="71" t="e">
        <f ca="1">SUM(Y13:Y70)</f>
        <v>#REF!</v>
      </c>
      <c r="Z71" s="69" t="e">
        <f ca="1">SUM(Z13:Z70)</f>
        <v>#REF!</v>
      </c>
      <c r="AA71" s="71" t="e">
        <f ca="1">SUM(AA13:AA70)</f>
        <v>#REF!</v>
      </c>
      <c r="AB71" s="71" t="e">
        <f ca="1">SUM(AB13:AB70)</f>
        <v>#REF!</v>
      </c>
    </row>
  </sheetData>
  <mergeCells count="14">
    <mergeCell ref="T12:V12"/>
    <mergeCell ref="W12:Y12"/>
    <mergeCell ref="Z12:AA12"/>
    <mergeCell ref="AB12:AB13"/>
    <mergeCell ref="I13:J13"/>
    <mergeCell ref="R71:S71"/>
    <mergeCell ref="A3:I3"/>
    <mergeCell ref="R3:Z3"/>
    <mergeCell ref="A4:I4"/>
    <mergeCell ref="R4:Z4"/>
    <mergeCell ref="A13:A14"/>
    <mergeCell ref="B13:B14"/>
    <mergeCell ref="C13:E13"/>
    <mergeCell ref="F13:H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30D1B-4519-EE45-BAB6-524C777AF31B}">
  <dimension ref="A1:AF73"/>
  <sheetViews>
    <sheetView topLeftCell="S47" zoomScale="106" workbookViewId="0">
      <selection activeCell="AA74" sqref="AA74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128</v>
      </c>
      <c r="N6" t="s">
        <v>129</v>
      </c>
      <c r="O6" t="s">
        <v>130</v>
      </c>
      <c r="P6" t="str">
        <f>_xlfn.CONCAT("'",M6,N6,"'","!",O6)</f>
        <v>'[FDI.2017.xls]Thang 12 2017'!$C$7:$L$25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[FDI.2017.xls]</v>
      </c>
      <c r="AD6" t="str">
        <f>N6</f>
        <v>Thang 12 2017</v>
      </c>
      <c r="AE6" t="s">
        <v>132</v>
      </c>
      <c r="AF6" t="str">
        <f>_xlfn.CONCAT("'",AC6,AD6,"'","!",AE6)</f>
        <v>'[FDI.2017.xls]Thang 12 2017'!$C$154:$L$212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[FDI.2017.xls]</v>
      </c>
      <c r="N7" t="str">
        <f>N6</f>
        <v>Thang 12 2017</v>
      </c>
      <c r="O7" t="s">
        <v>99</v>
      </c>
      <c r="P7" t="str">
        <f>_xlfn.CONCAT("'",M7,N7,"'","!",O7)</f>
        <v>'[FDI.2017.xls]Thang 12 2017'!$B$7:$B$25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[FDI.2017.xls]</v>
      </c>
      <c r="AD7" t="str">
        <f>AD6</f>
        <v>Thang 12 2017</v>
      </c>
      <c r="AE7" t="s">
        <v>137</v>
      </c>
      <c r="AF7" t="str">
        <f>_xlfn.CONCAT("'",AC7,AD7,"'","!",AE7)</f>
        <v>'[FDI.2017.xls]Thang 12 2017'!$B$154:$B$212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[FDI.2017.xls]</v>
      </c>
      <c r="N8" t="str">
        <f>N6</f>
        <v>Thang 12 2017</v>
      </c>
      <c r="O8" t="s">
        <v>131</v>
      </c>
      <c r="P8" t="str">
        <f>_xlfn.CONCAT("'",M8,N8,"'","!",O8)</f>
        <v>'[FDI.2017.xls]Thang 12 2017'!$C$6:$L$6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[FDI.2017.xls]</v>
      </c>
      <c r="AD8" t="str">
        <f>AD6</f>
        <v>Thang 12 2017</v>
      </c>
      <c r="AE8" t="s">
        <v>138</v>
      </c>
      <c r="AF8" t="str">
        <f>_xlfn.CONCAT("'",AC8,AD8,"'","!",AE8)</f>
        <v>'[FDI.2017.xls]Thang 12 2017'!$C$153:$L$153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80" t="s">
        <v>107</v>
      </c>
      <c r="D13" s="81"/>
      <c r="E13" s="82"/>
      <c r="F13" s="77" t="s">
        <v>108</v>
      </c>
      <c r="G13" s="78"/>
      <c r="H13" s="79"/>
      <c r="I13" s="75" t="s">
        <v>109</v>
      </c>
      <c r="J13" s="76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59" t="s">
        <v>4</v>
      </c>
      <c r="X13" s="57" t="s">
        <v>30</v>
      </c>
      <c r="Y13" s="60" t="s">
        <v>5</v>
      </c>
      <c r="Z13" s="61" t="s">
        <v>126</v>
      </c>
      <c r="AA13" s="73" t="s">
        <v>127</v>
      </c>
      <c r="AB13" s="62"/>
    </row>
    <row r="14" spans="1:32" ht="84" x14ac:dyDescent="0.2">
      <c r="A14" s="56"/>
      <c r="B14" s="56"/>
      <c r="C14" s="57" t="s">
        <v>27</v>
      </c>
      <c r="D14" s="57" t="s">
        <v>28</v>
      </c>
      <c r="E14" s="58" t="s">
        <v>29</v>
      </c>
      <c r="F14" s="59" t="s">
        <v>4</v>
      </c>
      <c r="G14" s="57" t="s">
        <v>30</v>
      </c>
      <c r="H14" s="60" t="s">
        <v>5</v>
      </c>
      <c r="I14" s="61" t="s">
        <v>126</v>
      </c>
      <c r="J14" s="73" t="s">
        <v>127</v>
      </c>
      <c r="K14" s="66" t="s">
        <v>110</v>
      </c>
      <c r="L14" s="49"/>
      <c r="M14" s="49"/>
      <c r="R14" s="83">
        <v>1</v>
      </c>
      <c r="S14" s="84" t="s">
        <v>37</v>
      </c>
      <c r="T14" s="14" t="e">
        <f ca="1">INDEX(INDIRECT($AF$6),
       MATCH(TRIM($S14), INDIRECT($AF$7), 0),
       MATCH(TRIM(T$13), INDIRECT($AF$8), 0))</f>
        <v>#REF!</v>
      </c>
      <c r="U14" s="14" t="e">
        <f ca="1">INDEX(INDIRECT($AF$6),
       MATCH(TRIM($S14), INDIRECT($AF$7), 0),
       MATCH(TRIM(U$13), INDIRECT($AF$8), 0))</f>
        <v>#REF!</v>
      </c>
      <c r="V14" s="14" t="e">
        <f ca="1">INDEX(INDIRECT($AF$6),
       MATCH(TRIM($S14), INDIRECT($AF$7), 0),
       MATCH(TRIM(V$13), INDIRECT($AF$8), 0))</f>
        <v>#REF!</v>
      </c>
      <c r="W14" s="14" t="e">
        <f ca="1">INDEX(INDIRECT($AF$6),
       MATCH(TRIM($S14), INDIRECT($AF$7), 0),
       MATCH(TRIM(W$13), INDIRECT($AF$8), 0))</f>
        <v>#REF!</v>
      </c>
      <c r="X14" s="14" t="e">
        <f ca="1">INDEX(INDIRECT($AF$6),
       MATCH(TRIM($S14), INDIRECT($AF$7), 0),
       MATCH(TRIM(X$13), INDIRECT($AF$8), 0))</f>
        <v>#REF!</v>
      </c>
      <c r="Y14" s="14" t="e">
        <f ca="1">INDEX(INDIRECT($AF$6),
       MATCH(TRIM($S14), INDIRECT($AF$7), 0),
       MATCH(TRIM(Y$13), INDIRECT($AF$8), 0))</f>
        <v>#REF!</v>
      </c>
      <c r="Z14" s="14" t="e">
        <f ca="1">INDEX(INDIRECT($AF$6),
       MATCH(TRIM($S14), INDIRECT($AF$7), 0),
       MATCH(TRIM(Z$13), INDIRECT($AF$8), 0))</f>
        <v>#REF!</v>
      </c>
      <c r="AA14" s="14" t="e">
        <f t="shared" ref="AA14:AB29" ca="1" si="0">INDEX(INDIRECT($AF$6),
       MATCH(TRIM($S14), INDIRECT($AF$7), 0),
       MATCH(TRIM(AA$13), INDIRECT($AF$8), 0))</f>
        <v>#REF!</v>
      </c>
      <c r="AB14" s="14" t="e">
        <f ca="1">V14+Y14+AA14</f>
        <v>#REF!</v>
      </c>
    </row>
    <row r="15" spans="1:32" ht="57" x14ac:dyDescent="0.2">
      <c r="A15" s="26">
        <v>1</v>
      </c>
      <c r="B15" s="27" t="s">
        <v>7</v>
      </c>
      <c r="C15" s="28" t="e">
        <f ca="1">INDEX(INDIRECT($P$6),
       MATCH(TRIM($B15), INDIRECT($P$7), 0),
       MATCH(TRIM(C$14), INDIRECT($P$8), 0))</f>
        <v>#REF!</v>
      </c>
      <c r="D15" s="28" t="e">
        <f ca="1">INDEX(INDIRECT($P$6),
       MATCH(TRIM($B15), INDIRECT($P$7), 0),
       MATCH(TRIM(D$14), INDIRECT($P$8), 0))</f>
        <v>#REF!</v>
      </c>
      <c r="E15" s="28" t="e">
        <f ca="1">INDEX(INDIRECT($P$6),
       MATCH(TRIM($B15), INDIRECT($P$7), 0),
       MATCH(TRIM(E$14), INDIRECT($P$8), 0))</f>
        <v>#REF!</v>
      </c>
      <c r="F15" s="28" t="e">
        <f ca="1">INDEX(INDIRECT($P$6),
       MATCH(TRIM($B15), INDIRECT($P$7), 0),
       MATCH(TRIM(F$14), INDIRECT($P$8), 0))</f>
        <v>#REF!</v>
      </c>
      <c r="G15" s="28" t="e">
        <f ca="1">INDEX(INDIRECT($P$6),
       MATCH(TRIM($B15), INDIRECT($P$7), 0),
       MATCH(TRIM(G$14), INDIRECT($P$8), 0))</f>
        <v>#REF!</v>
      </c>
      <c r="H15" s="28" t="e">
        <f ca="1">INDEX(INDIRECT($P$6),
       MATCH(TRIM($B15), INDIRECT($P$7), 0),
       MATCH(TRIM(H$14), INDIRECT($P$8), 0))</f>
        <v>#REF!</v>
      </c>
      <c r="I15" s="28" t="e">
        <f ca="1">INDEX(INDIRECT($P$6),
       MATCH(TRIM($B15), INDIRECT($P$7), 0),
       MATCH(TRIM(I$14), INDIRECT($P$8), 0))</f>
        <v>#REF!</v>
      </c>
      <c r="J15" s="28" t="e">
        <f ca="1">INDEX(INDIRECT($P$6),
       MATCH(TRIM($B15), INDIRECT($P$7), 0),
       MATCH(TRIM(J$14), INDIRECT($P$8), 0))</f>
        <v>#REF!</v>
      </c>
      <c r="K15" s="28" t="e">
        <f ca="1">E15+H15+J15</f>
        <v>#REF!</v>
      </c>
      <c r="L15" s="46"/>
      <c r="M15" s="46"/>
      <c r="R15" s="83">
        <v>2</v>
      </c>
      <c r="S15" s="84" t="s">
        <v>38</v>
      </c>
      <c r="T15" s="14" t="e">
        <f ca="1">INDEX(INDIRECT($AF$6),
       MATCH(TRIM($S15), INDIRECT($AF$7), 0),
       MATCH(TRIM(T$13), INDIRECT($AF$8), 0))</f>
        <v>#REF!</v>
      </c>
      <c r="U15" s="14" t="e">
        <f ca="1">INDEX(INDIRECT($AF$6),
       MATCH(TRIM($S15), INDIRECT($AF$7), 0),
       MATCH(TRIM(U$13), INDIRECT($AF$8), 0))</f>
        <v>#REF!</v>
      </c>
      <c r="V15" s="14" t="e">
        <f ca="1">INDEX(INDIRECT($AF$6),
       MATCH(TRIM($S15), INDIRECT($AF$7), 0),
       MATCH(TRIM(V$13), INDIRECT($AF$8), 0))</f>
        <v>#REF!</v>
      </c>
      <c r="W15" s="14" t="e">
        <f ca="1">INDEX(INDIRECT($AF$6),
       MATCH(TRIM($S15), INDIRECT($AF$7), 0),
       MATCH(TRIM(W$13), INDIRECT($AF$8), 0))</f>
        <v>#REF!</v>
      </c>
      <c r="X15" s="14" t="e">
        <f ca="1">INDEX(INDIRECT($AF$6),
       MATCH(TRIM($S15), INDIRECT($AF$7), 0),
       MATCH(TRIM(X$13), INDIRECT($AF$8), 0))</f>
        <v>#REF!</v>
      </c>
      <c r="Y15" s="14" t="e">
        <f ca="1">INDEX(INDIRECT($AF$6),
       MATCH(TRIM($S15), INDIRECT($AF$7), 0),
       MATCH(TRIM(Y$13), INDIRECT($AF$8), 0))</f>
        <v>#REF!</v>
      </c>
      <c r="Z15" s="14" t="e">
        <f t="shared" ref="Z15:AB46" ca="1" si="1">INDEX(INDIRECT($AF$6),
       MATCH(TRIM($S15), INDIRECT($AF$7), 0),
       MATCH(TRIM(Z$13), INDIRECT($AF$8), 0))</f>
        <v>#REF!</v>
      </c>
      <c r="AA15" s="14" t="e">
        <f t="shared" ca="1" si="0"/>
        <v>#REF!</v>
      </c>
      <c r="AB15" s="14" t="e">
        <f t="shared" ref="AB15:AB72" ca="1" si="2">V15+Y15+AA15</f>
        <v>#REF!</v>
      </c>
    </row>
    <row r="16" spans="1:32" ht="71" x14ac:dyDescent="0.2">
      <c r="A16" s="26">
        <v>2</v>
      </c>
      <c r="B16" s="27" t="s">
        <v>8</v>
      </c>
      <c r="C16" s="28" t="e">
        <f ca="1">INDEX(INDIRECT($P$6),
       MATCH(TRIM($B16), INDIRECT($P$7), 0),
       MATCH(TRIM(C$14), INDIRECT($P$8), 0))</f>
        <v>#REF!</v>
      </c>
      <c r="D16" s="28" t="e">
        <f ca="1">INDEX(INDIRECT($P$6),
       MATCH(TRIM($B16), INDIRECT($P$7), 0),
       MATCH(TRIM(D$14), INDIRECT($P$8), 0))</f>
        <v>#REF!</v>
      </c>
      <c r="E16" s="28" t="e">
        <f ca="1">INDEX(INDIRECT($P$6),
       MATCH(TRIM($B16), INDIRECT($P$7), 0),
       MATCH(TRIM(E$14), INDIRECT($P$8), 0))</f>
        <v>#REF!</v>
      </c>
      <c r="F16" s="28" t="e">
        <f ca="1">INDEX(INDIRECT($P$6),
       MATCH(TRIM($B16), INDIRECT($P$7), 0),
       MATCH(TRIM(F$14), INDIRECT($P$8), 0))</f>
        <v>#REF!</v>
      </c>
      <c r="G16" s="28" t="e">
        <f ca="1">INDEX(INDIRECT($P$6),
       MATCH(TRIM($B16), INDIRECT($P$7), 0),
       MATCH(TRIM(G$14), INDIRECT($P$8), 0))</f>
        <v>#REF!</v>
      </c>
      <c r="H16" s="28" t="e">
        <f ca="1">INDEX(INDIRECT($P$6),
       MATCH(TRIM($B16), INDIRECT($P$7), 0),
       MATCH(TRIM(H$14), INDIRECT($P$8), 0))</f>
        <v>#REF!</v>
      </c>
      <c r="I16" s="28" t="e">
        <f ca="1">INDEX(INDIRECT($P$6),
       MATCH(TRIM($B16), INDIRECT($P$7), 0),
       MATCH(TRIM(I$14), INDIRECT($P$8), 0))</f>
        <v>#REF!</v>
      </c>
      <c r="J16" s="28" t="e">
        <f ca="1">INDEX(INDIRECT($P$6),
       MATCH(TRIM($B16), INDIRECT($P$7), 0),
       MATCH(TRIM(J$14), INDIRECT($P$8), 0))</f>
        <v>#REF!</v>
      </c>
      <c r="K16" s="28" t="e">
        <f t="shared" ref="K16:K33" ca="1" si="3">E16+H16+J16</f>
        <v>#REF!</v>
      </c>
      <c r="L16" s="46"/>
      <c r="M16" s="46"/>
      <c r="R16" s="83">
        <v>3</v>
      </c>
      <c r="S16" s="85" t="s">
        <v>70</v>
      </c>
      <c r="T16" s="14" t="e">
        <f ca="1">INDEX(INDIRECT($AF$6),
       MATCH(TRIM($S16), INDIRECT($AF$7), 0),
       MATCH(TRIM(T$13), INDIRECT($AF$8), 0))</f>
        <v>#REF!</v>
      </c>
      <c r="U16" s="14" t="e">
        <f ca="1">INDEX(INDIRECT($AF$6),
       MATCH(TRIM($S16), INDIRECT($AF$7), 0),
       MATCH(TRIM(U$13), INDIRECT($AF$8), 0))</f>
        <v>#REF!</v>
      </c>
      <c r="V16" s="14" t="e">
        <f ca="1">INDEX(INDIRECT($AF$6),
       MATCH(TRIM($S16), INDIRECT($AF$7), 0),
       MATCH(TRIM(V$13), INDIRECT($AF$8), 0))</f>
        <v>#REF!</v>
      </c>
      <c r="W16" s="14" t="e">
        <f ca="1">INDEX(INDIRECT($AF$6),
       MATCH(TRIM($S16), INDIRECT($AF$7), 0),
       MATCH(TRIM(W$13), INDIRECT($AF$8), 0))</f>
        <v>#REF!</v>
      </c>
      <c r="X16" s="14" t="e">
        <f ca="1">INDEX(INDIRECT($AF$6),
       MATCH(TRIM($S16), INDIRECT($AF$7), 0),
       MATCH(TRIM(X$13), INDIRECT($AF$8), 0))</f>
        <v>#REF!</v>
      </c>
      <c r="Y16" s="14" t="e">
        <f ca="1">INDEX(INDIRECT($AF$6),
       MATCH(TRIM($S16), INDIRECT($AF$7), 0),
       MATCH(TRIM(Y$13), INDIRECT($AF$8), 0))</f>
        <v>#REF!</v>
      </c>
      <c r="Z16" s="14" t="e">
        <f t="shared" ca="1" si="1"/>
        <v>#REF!</v>
      </c>
      <c r="AA16" s="14" t="e">
        <f t="shared" ca="1" si="0"/>
        <v>#REF!</v>
      </c>
      <c r="AB16" s="14" t="e">
        <f t="shared" ca="1" si="2"/>
        <v>#REF!</v>
      </c>
    </row>
    <row r="17" spans="1:28" ht="57" x14ac:dyDescent="0.2">
      <c r="A17" s="26">
        <v>3</v>
      </c>
      <c r="B17" s="27" t="s">
        <v>9</v>
      </c>
      <c r="C17" s="28" t="e">
        <f ca="1">INDEX(INDIRECT($P$6),
       MATCH(TRIM($B17), INDIRECT($P$7), 0),
       MATCH(TRIM(C$14), INDIRECT($P$8), 0))</f>
        <v>#REF!</v>
      </c>
      <c r="D17" s="28" t="e">
        <f ca="1">INDEX(INDIRECT($P$6),
       MATCH(TRIM($B17), INDIRECT($P$7), 0),
       MATCH(TRIM(D$14), INDIRECT($P$8), 0))</f>
        <v>#REF!</v>
      </c>
      <c r="E17" s="28" t="e">
        <f ca="1">INDEX(INDIRECT($P$6),
       MATCH(TRIM($B17), INDIRECT($P$7), 0),
       MATCH(TRIM(E$14), INDIRECT($P$8), 0))</f>
        <v>#REF!</v>
      </c>
      <c r="F17" s="28" t="e">
        <f ca="1">INDEX(INDIRECT($P$6),
       MATCH(TRIM($B17), INDIRECT($P$7), 0),
       MATCH(TRIM(F$14), INDIRECT($P$8), 0))</f>
        <v>#REF!</v>
      </c>
      <c r="G17" s="28" t="e">
        <f ca="1">INDEX(INDIRECT($P$6),
       MATCH(TRIM($B17), INDIRECT($P$7), 0),
       MATCH(TRIM(G$14), INDIRECT($P$8), 0))</f>
        <v>#REF!</v>
      </c>
      <c r="H17" s="28" t="e">
        <f ca="1">INDEX(INDIRECT($P$6),
       MATCH(TRIM($B17), INDIRECT($P$7), 0),
       MATCH(TRIM(H$14), INDIRECT($P$8), 0))</f>
        <v>#REF!</v>
      </c>
      <c r="I17" s="28" t="e">
        <f ca="1">INDEX(INDIRECT($P$6),
       MATCH(TRIM($B17), INDIRECT($P$7), 0),
       MATCH(TRIM(I$14), INDIRECT($P$8), 0))</f>
        <v>#REF!</v>
      </c>
      <c r="J17" s="28" t="e">
        <f ca="1">INDEX(INDIRECT($P$6),
       MATCH(TRIM($B17), INDIRECT($P$7), 0),
       MATCH(TRIM(J$14), INDIRECT($P$8), 0))</f>
        <v>#REF!</v>
      </c>
      <c r="K17" s="28" t="e">
        <f t="shared" ca="1" si="3"/>
        <v>#REF!</v>
      </c>
      <c r="L17" s="46"/>
      <c r="M17" s="46"/>
      <c r="R17" s="83">
        <v>4</v>
      </c>
      <c r="S17" s="84" t="s">
        <v>39</v>
      </c>
      <c r="T17" s="14" t="e">
        <f ca="1">INDEX(INDIRECT($AF$6),
       MATCH(TRIM($S17), INDIRECT($AF$7), 0),
       MATCH(TRIM(T$13), INDIRECT($AF$8), 0))</f>
        <v>#REF!</v>
      </c>
      <c r="U17" s="14" t="e">
        <f ca="1">INDEX(INDIRECT($AF$6),
       MATCH(TRIM($S17), INDIRECT($AF$7), 0),
       MATCH(TRIM(U$13), INDIRECT($AF$8), 0))</f>
        <v>#REF!</v>
      </c>
      <c r="V17" s="14" t="e">
        <f ca="1">INDEX(INDIRECT($AF$6),
       MATCH(TRIM($S17), INDIRECT($AF$7), 0),
       MATCH(TRIM(V$13), INDIRECT($AF$8), 0))</f>
        <v>#REF!</v>
      </c>
      <c r="W17" s="14" t="e">
        <f ca="1">INDEX(INDIRECT($AF$6),
       MATCH(TRIM($S17), INDIRECT($AF$7), 0),
       MATCH(TRIM(W$13), INDIRECT($AF$8), 0))</f>
        <v>#REF!</v>
      </c>
      <c r="X17" s="14" t="e">
        <f ca="1">INDEX(INDIRECT($AF$6),
       MATCH(TRIM($S17), INDIRECT($AF$7), 0),
       MATCH(TRIM(X$13), INDIRECT($AF$8), 0))</f>
        <v>#REF!</v>
      </c>
      <c r="Y17" s="14" t="e">
        <f ca="1">INDEX(INDIRECT($AF$6),
       MATCH(TRIM($S17), INDIRECT($AF$7), 0),
       MATCH(TRIM(Y$13), INDIRECT($AF$8), 0))</f>
        <v>#REF!</v>
      </c>
      <c r="Z17" s="14" t="e">
        <f t="shared" ca="1" si="1"/>
        <v>#REF!</v>
      </c>
      <c r="AA17" s="14" t="e">
        <f t="shared" ca="1" si="0"/>
        <v>#REF!</v>
      </c>
      <c r="AB17" s="14" t="e">
        <f t="shared" ca="1" si="2"/>
        <v>#REF!</v>
      </c>
    </row>
    <row r="18" spans="1:28" x14ac:dyDescent="0.2">
      <c r="A18" s="26">
        <v>4</v>
      </c>
      <c r="B18" s="27" t="s">
        <v>10</v>
      </c>
      <c r="C18" s="28" t="e">
        <f ca="1">INDEX(INDIRECT($P$6),
       MATCH(TRIM($B18), INDIRECT($P$7), 0),
       MATCH(TRIM(C$14), INDIRECT($P$8), 0))</f>
        <v>#REF!</v>
      </c>
      <c r="D18" s="28" t="e">
        <f ca="1">INDEX(INDIRECT($P$6),
       MATCH(TRIM($B18), INDIRECT($P$7), 0),
       MATCH(TRIM(D$14), INDIRECT($P$8), 0))</f>
        <v>#REF!</v>
      </c>
      <c r="E18" s="28" t="e">
        <f ca="1">INDEX(INDIRECT($P$6),
       MATCH(TRIM($B18), INDIRECT($P$7), 0),
       MATCH(TRIM(E$14), INDIRECT($P$8), 0))</f>
        <v>#REF!</v>
      </c>
      <c r="F18" s="28" t="e">
        <f ca="1">INDEX(INDIRECT($P$6),
       MATCH(TRIM($B18), INDIRECT($P$7), 0),
       MATCH(TRIM(F$14), INDIRECT($P$8), 0))</f>
        <v>#REF!</v>
      </c>
      <c r="G18" s="28" t="e">
        <f ca="1">INDEX(INDIRECT($P$6),
       MATCH(TRIM($B18), INDIRECT($P$7), 0),
       MATCH(TRIM(G$14), INDIRECT($P$8), 0))</f>
        <v>#REF!</v>
      </c>
      <c r="H18" s="28" t="e">
        <f ca="1">INDEX(INDIRECT($P$6),
       MATCH(TRIM($B18), INDIRECT($P$7), 0),
       MATCH(TRIM(H$14), INDIRECT($P$8), 0))</f>
        <v>#REF!</v>
      </c>
      <c r="I18" s="28" t="e">
        <f ca="1">INDEX(INDIRECT($P$6),
       MATCH(TRIM($B18), INDIRECT($P$7), 0),
       MATCH(TRIM(I$14), INDIRECT($P$8), 0))</f>
        <v>#REF!</v>
      </c>
      <c r="J18" s="28" t="e">
        <f ca="1">INDEX(INDIRECT($P$6),
       MATCH(TRIM($B18), INDIRECT($P$7), 0),
       MATCH(TRIM(J$14), INDIRECT($P$8), 0))</f>
        <v>#REF!</v>
      </c>
      <c r="K18" s="28" t="e">
        <f t="shared" ca="1" si="3"/>
        <v>#REF!</v>
      </c>
      <c r="L18" s="46"/>
      <c r="M18" s="46"/>
      <c r="R18" s="83">
        <v>5</v>
      </c>
      <c r="S18" s="85" t="s">
        <v>42</v>
      </c>
      <c r="T18" s="14" t="e">
        <f ca="1">INDEX(INDIRECT($AF$6),
       MATCH(TRIM($S18), INDIRECT($AF$7), 0),
       MATCH(TRIM(T$13), INDIRECT($AF$8), 0))</f>
        <v>#REF!</v>
      </c>
      <c r="U18" s="14" t="e">
        <f ca="1">INDEX(INDIRECT($AF$6),
       MATCH(TRIM($S18), INDIRECT($AF$7), 0),
       MATCH(TRIM(U$13), INDIRECT($AF$8), 0))</f>
        <v>#REF!</v>
      </c>
      <c r="V18" s="14" t="e">
        <f ca="1">INDEX(INDIRECT($AF$6),
       MATCH(TRIM($S18), INDIRECT($AF$7), 0),
       MATCH(TRIM(V$13), INDIRECT($AF$8), 0))</f>
        <v>#REF!</v>
      </c>
      <c r="W18" s="14" t="e">
        <f ca="1">INDEX(INDIRECT($AF$6),
       MATCH(TRIM($S18), INDIRECT($AF$7), 0),
       MATCH(TRIM(W$13), INDIRECT($AF$8), 0))</f>
        <v>#REF!</v>
      </c>
      <c r="X18" s="14" t="e">
        <f ca="1">INDEX(INDIRECT($AF$6),
       MATCH(TRIM($S18), INDIRECT($AF$7), 0),
       MATCH(TRIM(X$13), INDIRECT($AF$8), 0))</f>
        <v>#REF!</v>
      </c>
      <c r="Y18" s="14" t="e">
        <f ca="1">INDEX(INDIRECT($AF$6),
       MATCH(TRIM($S18), INDIRECT($AF$7), 0),
       MATCH(TRIM(Y$13), INDIRECT($AF$8), 0))</f>
        <v>#REF!</v>
      </c>
      <c r="Z18" s="14" t="e">
        <f t="shared" ca="1" si="1"/>
        <v>#REF!</v>
      </c>
      <c r="AA18" s="14" t="e">
        <f t="shared" ca="1" si="0"/>
        <v>#REF!</v>
      </c>
      <c r="AB18" s="14" t="e">
        <f t="shared" ca="1" si="2"/>
        <v>#REF!</v>
      </c>
    </row>
    <row r="19" spans="1:28" ht="71" x14ac:dyDescent="0.2">
      <c r="A19" s="26">
        <v>5</v>
      </c>
      <c r="B19" s="27" t="s">
        <v>11</v>
      </c>
      <c r="C19" s="28" t="e">
        <f ca="1">INDEX(INDIRECT($P$6),
       MATCH(TRIM($B19), INDIRECT($P$7), 0),
       MATCH(TRIM(C$14), INDIRECT($P$8), 0))</f>
        <v>#REF!</v>
      </c>
      <c r="D19" s="28" t="e">
        <f ca="1">INDEX(INDIRECT($P$6),
       MATCH(TRIM($B19), INDIRECT($P$7), 0),
       MATCH(TRIM(D$14), INDIRECT($P$8), 0))</f>
        <v>#REF!</v>
      </c>
      <c r="E19" s="28" t="e">
        <f ca="1">INDEX(INDIRECT($P$6),
       MATCH(TRIM($B19), INDIRECT($P$7), 0),
       MATCH(TRIM(E$14), INDIRECT($P$8), 0))</f>
        <v>#REF!</v>
      </c>
      <c r="F19" s="28" t="e">
        <f ca="1">INDEX(INDIRECT($P$6),
       MATCH(TRIM($B19), INDIRECT($P$7), 0),
       MATCH(TRIM(F$14), INDIRECT($P$8), 0))</f>
        <v>#REF!</v>
      </c>
      <c r="G19" s="28" t="e">
        <f ca="1">INDEX(INDIRECT($P$6),
       MATCH(TRIM($B19), INDIRECT($P$7), 0),
       MATCH(TRIM(G$14), INDIRECT($P$8), 0))</f>
        <v>#REF!</v>
      </c>
      <c r="H19" s="28" t="e">
        <f ca="1">INDEX(INDIRECT($P$6),
       MATCH(TRIM($B19), INDIRECT($P$7), 0),
       MATCH(TRIM(H$14), INDIRECT($P$8), 0))</f>
        <v>#REF!</v>
      </c>
      <c r="I19" s="28" t="e">
        <f ca="1">INDEX(INDIRECT($P$6),
       MATCH(TRIM($B19), INDIRECT($P$7), 0),
       MATCH(TRIM(I$14), INDIRECT($P$8), 0))</f>
        <v>#REF!</v>
      </c>
      <c r="J19" s="28" t="e">
        <f ca="1">INDEX(INDIRECT($P$6),
       MATCH(TRIM($B19), INDIRECT($P$7), 0),
       MATCH(TRIM(J$14), INDIRECT($P$8), 0))</f>
        <v>#REF!</v>
      </c>
      <c r="K19" s="28" t="e">
        <f t="shared" ca="1" si="3"/>
        <v>#REF!</v>
      </c>
      <c r="L19" s="46"/>
      <c r="M19" s="46"/>
      <c r="R19" s="83">
        <v>6</v>
      </c>
      <c r="S19" s="84" t="s">
        <v>67</v>
      </c>
      <c r="T19" s="14" t="e">
        <f ca="1">INDEX(INDIRECT($AF$6),
       MATCH(TRIM($S19), INDIRECT($AF$7), 0),
       MATCH(TRIM(T$13), INDIRECT($AF$8), 0))</f>
        <v>#REF!</v>
      </c>
      <c r="U19" s="14" t="e">
        <f ca="1">INDEX(INDIRECT($AF$6),
       MATCH(TRIM($S19), INDIRECT($AF$7), 0),
       MATCH(TRIM(U$13), INDIRECT($AF$8), 0))</f>
        <v>#REF!</v>
      </c>
      <c r="V19" s="14" t="e">
        <f ca="1">INDEX(INDIRECT($AF$6),
       MATCH(TRIM($S19), INDIRECT($AF$7), 0),
       MATCH(TRIM(V$13), INDIRECT($AF$8), 0))</f>
        <v>#REF!</v>
      </c>
      <c r="W19" s="14" t="e">
        <f ca="1">INDEX(INDIRECT($AF$6),
       MATCH(TRIM($S19), INDIRECT($AF$7), 0),
       MATCH(TRIM(W$13), INDIRECT($AF$8), 0))</f>
        <v>#REF!</v>
      </c>
      <c r="X19" s="14" t="e">
        <f ca="1">INDEX(INDIRECT($AF$6),
       MATCH(TRIM($S19), INDIRECT($AF$7), 0),
       MATCH(TRIM(X$13), INDIRECT($AF$8), 0))</f>
        <v>#REF!</v>
      </c>
      <c r="Y19" s="14" t="e">
        <f ca="1">INDEX(INDIRECT($AF$6),
       MATCH(TRIM($S19), INDIRECT($AF$7), 0),
       MATCH(TRIM(Y$13), INDIRECT($AF$8), 0))</f>
        <v>#REF!</v>
      </c>
      <c r="Z19" s="14" t="e">
        <f t="shared" ca="1" si="1"/>
        <v>#REF!</v>
      </c>
      <c r="AA19" s="14" t="e">
        <f t="shared" ca="1" si="0"/>
        <v>#REF!</v>
      </c>
      <c r="AB19" s="14" t="e">
        <f t="shared" ca="1" si="2"/>
        <v>#REF!</v>
      </c>
    </row>
    <row r="20" spans="1:28" ht="57" x14ac:dyDescent="0.2">
      <c r="A20" s="26">
        <v>6</v>
      </c>
      <c r="B20" s="27" t="s">
        <v>12</v>
      </c>
      <c r="C20" s="28" t="e">
        <f ca="1">INDEX(INDIRECT($P$6),
       MATCH(TRIM($B20), INDIRECT($P$7), 0),
       MATCH(TRIM(C$14), INDIRECT($P$8), 0))</f>
        <v>#REF!</v>
      </c>
      <c r="D20" s="28" t="e">
        <f ca="1">INDEX(INDIRECT($P$6),
       MATCH(TRIM($B20), INDIRECT($P$7), 0),
       MATCH(TRIM(D$14), INDIRECT($P$8), 0))</f>
        <v>#REF!</v>
      </c>
      <c r="E20" s="28" t="e">
        <f ca="1">INDEX(INDIRECT($P$6),
       MATCH(TRIM($B20), INDIRECT($P$7), 0),
       MATCH(TRIM(E$14), INDIRECT($P$8), 0))</f>
        <v>#REF!</v>
      </c>
      <c r="F20" s="28" t="e">
        <f ca="1">INDEX(INDIRECT($P$6),
       MATCH(TRIM($B20), INDIRECT($P$7), 0),
       MATCH(TRIM(F$14), INDIRECT($P$8), 0))</f>
        <v>#REF!</v>
      </c>
      <c r="G20" s="28" t="e">
        <f ca="1">INDEX(INDIRECT($P$6),
       MATCH(TRIM($B20), INDIRECT($P$7), 0),
       MATCH(TRIM(G$14), INDIRECT($P$8), 0))</f>
        <v>#REF!</v>
      </c>
      <c r="H20" s="28" t="e">
        <f ca="1">INDEX(INDIRECT($P$6),
       MATCH(TRIM($B20), INDIRECT($P$7), 0),
       MATCH(TRIM(H$14), INDIRECT($P$8), 0))</f>
        <v>#REF!</v>
      </c>
      <c r="I20" s="28" t="e">
        <f ca="1">INDEX(INDIRECT($P$6),
       MATCH(TRIM($B20), INDIRECT($P$7), 0),
       MATCH(TRIM(I$14), INDIRECT($P$8), 0))</f>
        <v>#REF!</v>
      </c>
      <c r="J20" s="28" t="e">
        <f ca="1">INDEX(INDIRECT($P$6),
       MATCH(TRIM($B20), INDIRECT($P$7), 0),
       MATCH(TRIM(J$14), INDIRECT($P$8), 0))</f>
        <v>#REF!</v>
      </c>
      <c r="K20" s="28" t="e">
        <f t="shared" ca="1" si="3"/>
        <v>#REF!</v>
      </c>
      <c r="L20" s="46"/>
      <c r="M20" s="46"/>
      <c r="R20" s="83">
        <v>7</v>
      </c>
      <c r="S20" s="84" t="s">
        <v>60</v>
      </c>
      <c r="T20" s="14" t="e">
        <f ca="1">INDEX(INDIRECT($AF$6),
       MATCH(TRIM($S20), INDIRECT($AF$7), 0),
       MATCH(TRIM(T$13), INDIRECT($AF$8), 0))</f>
        <v>#REF!</v>
      </c>
      <c r="U20" s="14" t="e">
        <f ca="1">INDEX(INDIRECT($AF$6),
       MATCH(TRIM($S20), INDIRECT($AF$7), 0),
       MATCH(TRIM(U$13), INDIRECT($AF$8), 0))</f>
        <v>#REF!</v>
      </c>
      <c r="V20" s="14" t="e">
        <f ca="1">INDEX(INDIRECT($AF$6),
       MATCH(TRIM($S20), INDIRECT($AF$7), 0),
       MATCH(TRIM(V$13), INDIRECT($AF$8), 0))</f>
        <v>#REF!</v>
      </c>
      <c r="W20" s="14" t="e">
        <f ca="1">INDEX(INDIRECT($AF$6),
       MATCH(TRIM($S20), INDIRECT($AF$7), 0),
       MATCH(TRIM(W$13), INDIRECT($AF$8), 0))</f>
        <v>#REF!</v>
      </c>
      <c r="X20" s="14" t="e">
        <f ca="1">INDEX(INDIRECT($AF$6),
       MATCH(TRIM($S20), INDIRECT($AF$7), 0),
       MATCH(TRIM(X$13), INDIRECT($AF$8), 0))</f>
        <v>#REF!</v>
      </c>
      <c r="Y20" s="14" t="e">
        <f ca="1">INDEX(INDIRECT($AF$6),
       MATCH(TRIM($S20), INDIRECT($AF$7), 0),
       MATCH(TRIM(Y$13), INDIRECT($AF$8), 0))</f>
        <v>#REF!</v>
      </c>
      <c r="Z20" s="14" t="e">
        <f t="shared" ca="1" si="1"/>
        <v>#REF!</v>
      </c>
      <c r="AA20" s="14" t="e">
        <f t="shared" ca="1" si="0"/>
        <v>#REF!</v>
      </c>
      <c r="AB20" s="14" t="e">
        <f t="shared" ca="1" si="2"/>
        <v>#REF!</v>
      </c>
    </row>
    <row r="21" spans="1:28" ht="71" x14ac:dyDescent="0.2">
      <c r="A21" s="26">
        <v>7</v>
      </c>
      <c r="B21" s="27" t="s">
        <v>13</v>
      </c>
      <c r="C21" s="28" t="e">
        <f ca="1">INDEX(INDIRECT($P$6),
       MATCH(TRIM($B21), INDIRECT($P$7), 0),
       MATCH(TRIM(C$14), INDIRECT($P$8), 0))</f>
        <v>#REF!</v>
      </c>
      <c r="D21" s="28" t="e">
        <f ca="1">INDEX(INDIRECT($P$6),
       MATCH(TRIM($B21), INDIRECT($P$7), 0),
       MATCH(TRIM(D$14), INDIRECT($P$8), 0))</f>
        <v>#REF!</v>
      </c>
      <c r="E21" s="28" t="e">
        <f ca="1">INDEX(INDIRECT($P$6),
       MATCH(TRIM($B21), INDIRECT($P$7), 0),
       MATCH(TRIM(E$14), INDIRECT($P$8), 0))</f>
        <v>#REF!</v>
      </c>
      <c r="F21" s="28" t="e">
        <f ca="1">INDEX(INDIRECT($P$6),
       MATCH(TRIM($B21), INDIRECT($P$7), 0),
       MATCH(TRIM(F$14), INDIRECT($P$8), 0))</f>
        <v>#REF!</v>
      </c>
      <c r="G21" s="28" t="e">
        <f ca="1">INDEX(INDIRECT($P$6),
       MATCH(TRIM($B21), INDIRECT($P$7), 0),
       MATCH(TRIM(G$14), INDIRECT($P$8), 0))</f>
        <v>#REF!</v>
      </c>
      <c r="H21" s="28" t="e">
        <f ca="1">INDEX(INDIRECT($P$6),
       MATCH(TRIM($B21), INDIRECT($P$7), 0),
       MATCH(TRIM(H$14), INDIRECT($P$8), 0))</f>
        <v>#REF!</v>
      </c>
      <c r="I21" s="28" t="e">
        <f ca="1">INDEX(INDIRECT($P$6),
       MATCH(TRIM($B21), INDIRECT($P$7), 0),
       MATCH(TRIM(I$14), INDIRECT($P$8), 0))</f>
        <v>#REF!</v>
      </c>
      <c r="J21" s="28" t="e">
        <f ca="1">INDEX(INDIRECT($P$6),
       MATCH(TRIM($B21), INDIRECT($P$7), 0),
       MATCH(TRIM(J$14), INDIRECT($P$8), 0))</f>
        <v>#REF!</v>
      </c>
      <c r="K21" s="28" t="e">
        <f t="shared" ca="1" si="3"/>
        <v>#REF!</v>
      </c>
      <c r="L21" s="46"/>
      <c r="M21" s="46"/>
      <c r="R21" s="83">
        <v>8</v>
      </c>
      <c r="S21" s="84" t="s">
        <v>41</v>
      </c>
      <c r="T21" s="14" t="e">
        <f ca="1">INDEX(INDIRECT($AF$6),
       MATCH(TRIM($S21), INDIRECT($AF$7), 0),
       MATCH(TRIM(T$13), INDIRECT($AF$8), 0))</f>
        <v>#REF!</v>
      </c>
      <c r="U21" s="14" t="e">
        <f ca="1">INDEX(INDIRECT($AF$6),
       MATCH(TRIM($S21), INDIRECT($AF$7), 0),
       MATCH(TRIM(U$13), INDIRECT($AF$8), 0))</f>
        <v>#REF!</v>
      </c>
      <c r="V21" s="14" t="e">
        <f ca="1">INDEX(INDIRECT($AF$6),
       MATCH(TRIM($S21), INDIRECT($AF$7), 0),
       MATCH(TRIM(V$13), INDIRECT($AF$8), 0))</f>
        <v>#REF!</v>
      </c>
      <c r="W21" s="14" t="e">
        <f ca="1">INDEX(INDIRECT($AF$6),
       MATCH(TRIM($S21), INDIRECT($AF$7), 0),
       MATCH(TRIM(W$13), INDIRECT($AF$8), 0))</f>
        <v>#REF!</v>
      </c>
      <c r="X21" s="14" t="e">
        <f ca="1">INDEX(INDIRECT($AF$6),
       MATCH(TRIM($S21), INDIRECT($AF$7), 0),
       MATCH(TRIM(X$13), INDIRECT($AF$8), 0))</f>
        <v>#REF!</v>
      </c>
      <c r="Y21" s="14" t="e">
        <f ca="1">INDEX(INDIRECT($AF$6),
       MATCH(TRIM($S21), INDIRECT($AF$7), 0),
       MATCH(TRIM(Y$13), INDIRECT($AF$8), 0))</f>
        <v>#REF!</v>
      </c>
      <c r="Z21" s="14" t="e">
        <f t="shared" ca="1" si="1"/>
        <v>#REF!</v>
      </c>
      <c r="AA21" s="14" t="e">
        <f t="shared" ca="1" si="0"/>
        <v>#REF!</v>
      </c>
      <c r="AB21" s="14" t="e">
        <f t="shared" ca="1" si="2"/>
        <v>#REF!</v>
      </c>
    </row>
    <row r="22" spans="1:28" ht="29" x14ac:dyDescent="0.2">
      <c r="A22" s="26">
        <v>8</v>
      </c>
      <c r="B22" s="27" t="s">
        <v>14</v>
      </c>
      <c r="C22" s="28" t="e">
        <f ca="1">INDEX(INDIRECT($P$6),
       MATCH(TRIM($B22), INDIRECT($P$7), 0),
       MATCH(TRIM(C$14), INDIRECT($P$8), 0))</f>
        <v>#REF!</v>
      </c>
      <c r="D22" s="28" t="e">
        <f ca="1">INDEX(INDIRECT($P$6),
       MATCH(TRIM($B22), INDIRECT($P$7), 0),
       MATCH(TRIM(D$14), INDIRECT($P$8), 0))</f>
        <v>#REF!</v>
      </c>
      <c r="E22" s="28" t="e">
        <f ca="1">INDEX(INDIRECT($P$6),
       MATCH(TRIM($B22), INDIRECT($P$7), 0),
       MATCH(TRIM(E$14), INDIRECT($P$8), 0))</f>
        <v>#REF!</v>
      </c>
      <c r="F22" s="28" t="e">
        <f ca="1">INDEX(INDIRECT($P$6),
       MATCH(TRIM($B22), INDIRECT($P$7), 0),
       MATCH(TRIM(F$14), INDIRECT($P$8), 0))</f>
        <v>#REF!</v>
      </c>
      <c r="G22" s="28" t="e">
        <f ca="1">INDEX(INDIRECT($P$6),
       MATCH(TRIM($B22), INDIRECT($P$7), 0),
       MATCH(TRIM(G$14), INDIRECT($P$8), 0))</f>
        <v>#REF!</v>
      </c>
      <c r="H22" s="28" t="e">
        <f ca="1">INDEX(INDIRECT($P$6),
       MATCH(TRIM($B22), INDIRECT($P$7), 0),
       MATCH(TRIM(H$14), INDIRECT($P$8), 0))</f>
        <v>#REF!</v>
      </c>
      <c r="I22" s="28" t="e">
        <f ca="1">INDEX(INDIRECT($P$6),
       MATCH(TRIM($B22), INDIRECT($P$7), 0),
       MATCH(TRIM(I$14), INDIRECT($P$8), 0))</f>
        <v>#REF!</v>
      </c>
      <c r="J22" s="28" t="e">
        <f ca="1">INDEX(INDIRECT($P$6),
       MATCH(TRIM($B22), INDIRECT($P$7), 0),
       MATCH(TRIM(J$14), INDIRECT($P$8), 0))</f>
        <v>#REF!</v>
      </c>
      <c r="K22" s="28" t="e">
        <f t="shared" ca="1" si="3"/>
        <v>#REF!</v>
      </c>
      <c r="L22" s="46"/>
      <c r="M22" s="46"/>
      <c r="R22" s="83">
        <v>9</v>
      </c>
      <c r="S22" s="84" t="s">
        <v>73</v>
      </c>
      <c r="T22" s="14" t="e">
        <f ca="1">INDEX(INDIRECT($AF$6),
       MATCH(TRIM($S22), INDIRECT($AF$7), 0),
       MATCH(TRIM(T$13), INDIRECT($AF$8), 0))</f>
        <v>#REF!</v>
      </c>
      <c r="U22" s="14" t="e">
        <f ca="1">INDEX(INDIRECT($AF$6),
       MATCH(TRIM($S22), INDIRECT($AF$7), 0),
       MATCH(TRIM(U$13), INDIRECT($AF$8), 0))</f>
        <v>#REF!</v>
      </c>
      <c r="V22" s="14" t="e">
        <f ca="1">INDEX(INDIRECT($AF$6),
       MATCH(TRIM($S22), INDIRECT($AF$7), 0),
       MATCH(TRIM(V$13), INDIRECT($AF$8), 0))</f>
        <v>#REF!</v>
      </c>
      <c r="W22" s="14" t="e">
        <f ca="1">INDEX(INDIRECT($AF$6),
       MATCH(TRIM($S22), INDIRECT($AF$7), 0),
       MATCH(TRIM(W$13), INDIRECT($AF$8), 0))</f>
        <v>#REF!</v>
      </c>
      <c r="X22" s="14" t="e">
        <f ca="1">INDEX(INDIRECT($AF$6),
       MATCH(TRIM($S22), INDIRECT($AF$7), 0),
       MATCH(TRIM(X$13), INDIRECT($AF$8), 0))</f>
        <v>#REF!</v>
      </c>
      <c r="Y22" s="14" t="e">
        <f ca="1">INDEX(INDIRECT($AF$6),
       MATCH(TRIM($S22), INDIRECT($AF$7), 0),
       MATCH(TRIM(Y$13), INDIRECT($AF$8), 0))</f>
        <v>#REF!</v>
      </c>
      <c r="Z22" s="14" t="e">
        <f t="shared" ca="1" si="1"/>
        <v>#REF!</v>
      </c>
      <c r="AA22" s="14" t="e">
        <f t="shared" ca="1" si="0"/>
        <v>#REF!</v>
      </c>
      <c r="AB22" s="14" t="e">
        <f t="shared" ca="1" si="2"/>
        <v>#REF!</v>
      </c>
    </row>
    <row r="23" spans="1:28" ht="43" x14ac:dyDescent="0.2">
      <c r="A23" s="26">
        <v>9</v>
      </c>
      <c r="B23" s="27" t="s">
        <v>15</v>
      </c>
      <c r="C23" s="28" t="e">
        <f ca="1">INDEX(INDIRECT($P$6),
       MATCH(TRIM($B23), INDIRECT($P$7), 0),
       MATCH(TRIM(C$14), INDIRECT($P$8), 0))</f>
        <v>#REF!</v>
      </c>
      <c r="D23" s="28" t="e">
        <f ca="1">INDEX(INDIRECT($P$6),
       MATCH(TRIM($B23), INDIRECT($P$7), 0),
       MATCH(TRIM(D$14), INDIRECT($P$8), 0))</f>
        <v>#REF!</v>
      </c>
      <c r="E23" s="28" t="e">
        <f ca="1">INDEX(INDIRECT($P$6),
       MATCH(TRIM($B23), INDIRECT($P$7), 0),
       MATCH(TRIM(E$14), INDIRECT($P$8), 0))</f>
        <v>#REF!</v>
      </c>
      <c r="F23" s="28" t="e">
        <f ca="1">INDEX(INDIRECT($P$6),
       MATCH(TRIM($B23), INDIRECT($P$7), 0),
       MATCH(TRIM(F$14), INDIRECT($P$8), 0))</f>
        <v>#REF!</v>
      </c>
      <c r="G23" s="28" t="e">
        <f ca="1">INDEX(INDIRECT($P$6),
       MATCH(TRIM($B23), INDIRECT($P$7), 0),
       MATCH(TRIM(G$14), INDIRECT($P$8), 0))</f>
        <v>#REF!</v>
      </c>
      <c r="H23" s="28" t="e">
        <f ca="1">INDEX(INDIRECT($P$6),
       MATCH(TRIM($B23), INDIRECT($P$7), 0),
       MATCH(TRIM(H$14), INDIRECT($P$8), 0))</f>
        <v>#REF!</v>
      </c>
      <c r="I23" s="28" t="e">
        <f ca="1">INDEX(INDIRECT($P$6),
       MATCH(TRIM($B23), INDIRECT($P$7), 0),
       MATCH(TRIM(I$14), INDIRECT($P$8), 0))</f>
        <v>#REF!</v>
      </c>
      <c r="J23" s="28" t="e">
        <f ca="1">INDEX(INDIRECT($P$6),
       MATCH(TRIM($B23), INDIRECT($P$7), 0),
       MATCH(TRIM(J$14), INDIRECT($P$8), 0))</f>
        <v>#REF!</v>
      </c>
      <c r="K23" s="28" t="e">
        <f t="shared" ca="1" si="3"/>
        <v>#REF!</v>
      </c>
      <c r="L23" s="46"/>
      <c r="M23" s="46"/>
      <c r="R23" s="83">
        <v>10</v>
      </c>
      <c r="S23" s="84" t="s">
        <v>46</v>
      </c>
      <c r="T23" s="14" t="e">
        <f ca="1">INDEX(INDIRECT($AF$6),
       MATCH(TRIM($S23), INDIRECT($AF$7), 0),
       MATCH(TRIM(T$13), INDIRECT($AF$8), 0))</f>
        <v>#REF!</v>
      </c>
      <c r="U23" s="14" t="e">
        <f ca="1">INDEX(INDIRECT($AF$6),
       MATCH(TRIM($S23), INDIRECT($AF$7), 0),
       MATCH(TRIM(U$13), INDIRECT($AF$8), 0))</f>
        <v>#REF!</v>
      </c>
      <c r="V23" s="14" t="e">
        <f ca="1">INDEX(INDIRECT($AF$6),
       MATCH(TRIM($S23), INDIRECT($AF$7), 0),
       MATCH(TRIM(V$13), INDIRECT($AF$8), 0))</f>
        <v>#REF!</v>
      </c>
      <c r="W23" s="14" t="e">
        <f ca="1">INDEX(INDIRECT($AF$6),
       MATCH(TRIM($S23), INDIRECT($AF$7), 0),
       MATCH(TRIM(W$13), INDIRECT($AF$8), 0))</f>
        <v>#REF!</v>
      </c>
      <c r="X23" s="14" t="e">
        <f ca="1">INDEX(INDIRECT($AF$6),
       MATCH(TRIM($S23), INDIRECT($AF$7), 0),
       MATCH(TRIM(X$13), INDIRECT($AF$8), 0))</f>
        <v>#REF!</v>
      </c>
      <c r="Y23" s="14" t="e">
        <f ca="1">INDEX(INDIRECT($AF$6),
       MATCH(TRIM($S23), INDIRECT($AF$7), 0),
       MATCH(TRIM(Y$13), INDIRECT($AF$8), 0))</f>
        <v>#REF!</v>
      </c>
      <c r="Z23" s="14" t="e">
        <f t="shared" ca="1" si="1"/>
        <v>#REF!</v>
      </c>
      <c r="AA23" s="14" t="e">
        <f t="shared" ca="1" si="0"/>
        <v>#REF!</v>
      </c>
      <c r="AB23" s="14" t="e">
        <f t="shared" ca="1" si="2"/>
        <v>#REF!</v>
      </c>
    </row>
    <row r="24" spans="1:28" ht="43" x14ac:dyDescent="0.2">
      <c r="A24" s="26">
        <v>10</v>
      </c>
      <c r="B24" s="27" t="s">
        <v>16</v>
      </c>
      <c r="C24" s="28" t="e">
        <f ca="1">INDEX(INDIRECT($P$6),
       MATCH(TRIM($B24), INDIRECT($P$7), 0),
       MATCH(TRIM(C$14), INDIRECT($P$8), 0))</f>
        <v>#REF!</v>
      </c>
      <c r="D24" s="28" t="e">
        <f ca="1">INDEX(INDIRECT($P$6),
       MATCH(TRIM($B24), INDIRECT($P$7), 0),
       MATCH(TRIM(D$14), INDIRECT($P$8), 0))</f>
        <v>#REF!</v>
      </c>
      <c r="E24" s="28" t="e">
        <f ca="1">INDEX(INDIRECT($P$6),
       MATCH(TRIM($B24), INDIRECT($P$7), 0),
       MATCH(TRIM(E$14), INDIRECT($P$8), 0))</f>
        <v>#REF!</v>
      </c>
      <c r="F24" s="28" t="e">
        <f ca="1">INDEX(INDIRECT($P$6),
       MATCH(TRIM($B24), INDIRECT($P$7), 0),
       MATCH(TRIM(F$14), INDIRECT($P$8), 0))</f>
        <v>#REF!</v>
      </c>
      <c r="G24" s="28" t="e">
        <f ca="1">INDEX(INDIRECT($P$6),
       MATCH(TRIM($B24), INDIRECT($P$7), 0),
       MATCH(TRIM(G$14), INDIRECT($P$8), 0))</f>
        <v>#REF!</v>
      </c>
      <c r="H24" s="28" t="e">
        <f ca="1">INDEX(INDIRECT($P$6),
       MATCH(TRIM($B24), INDIRECT($P$7), 0),
       MATCH(TRIM(H$14), INDIRECT($P$8), 0))</f>
        <v>#REF!</v>
      </c>
      <c r="I24" s="28" t="e">
        <f ca="1">INDEX(INDIRECT($P$6),
       MATCH(TRIM($B24), INDIRECT($P$7), 0),
       MATCH(TRIM(I$14), INDIRECT($P$8), 0))</f>
        <v>#REF!</v>
      </c>
      <c r="J24" s="28" t="e">
        <f ca="1">INDEX(INDIRECT($P$6),
       MATCH(TRIM($B24), INDIRECT($P$7), 0),
       MATCH(TRIM(J$14), INDIRECT($P$8), 0))</f>
        <v>#REF!</v>
      </c>
      <c r="K24" s="28" t="e">
        <f t="shared" ca="1" si="3"/>
        <v>#REF!</v>
      </c>
      <c r="L24" s="46"/>
      <c r="M24" s="46"/>
      <c r="R24" s="83">
        <v>11</v>
      </c>
      <c r="S24" s="84" t="s">
        <v>43</v>
      </c>
      <c r="T24" s="14" t="e">
        <f ca="1">INDEX(INDIRECT($AF$6),
       MATCH(TRIM($S24), INDIRECT($AF$7), 0),
       MATCH(TRIM(T$13), INDIRECT($AF$8), 0))</f>
        <v>#REF!</v>
      </c>
      <c r="U24" s="14" t="e">
        <f ca="1">INDEX(INDIRECT($AF$6),
       MATCH(TRIM($S24), INDIRECT($AF$7), 0),
       MATCH(TRIM(U$13), INDIRECT($AF$8), 0))</f>
        <v>#REF!</v>
      </c>
      <c r="V24" s="14" t="e">
        <f ca="1">INDEX(INDIRECT($AF$6),
       MATCH(TRIM($S24), INDIRECT($AF$7), 0),
       MATCH(TRIM(V$13), INDIRECT($AF$8), 0))</f>
        <v>#REF!</v>
      </c>
      <c r="W24" s="14" t="e">
        <f ca="1">INDEX(INDIRECT($AF$6),
       MATCH(TRIM($S24), INDIRECT($AF$7), 0),
       MATCH(TRIM(W$13), INDIRECT($AF$8), 0))</f>
        <v>#REF!</v>
      </c>
      <c r="X24" s="14" t="e">
        <f ca="1">INDEX(INDIRECT($AF$6),
       MATCH(TRIM($S24), INDIRECT($AF$7), 0),
       MATCH(TRIM(X$13), INDIRECT($AF$8), 0))</f>
        <v>#REF!</v>
      </c>
      <c r="Y24" s="14" t="e">
        <f ca="1">INDEX(INDIRECT($AF$6),
       MATCH(TRIM($S24), INDIRECT($AF$7), 0),
       MATCH(TRIM(Y$13), INDIRECT($AF$8), 0))</f>
        <v>#REF!</v>
      </c>
      <c r="Z24" s="14" t="e">
        <f t="shared" ca="1" si="1"/>
        <v>#REF!</v>
      </c>
      <c r="AA24" s="14" t="e">
        <f t="shared" ca="1" si="0"/>
        <v>#REF!</v>
      </c>
      <c r="AB24" s="14" t="e">
        <f t="shared" ca="1" si="2"/>
        <v>#REF!</v>
      </c>
    </row>
    <row r="25" spans="1:28" ht="57" x14ac:dyDescent="0.2">
      <c r="A25" s="26">
        <v>11</v>
      </c>
      <c r="B25" s="27" t="s">
        <v>17</v>
      </c>
      <c r="C25" s="28" t="e">
        <f ca="1">INDEX(INDIRECT($P$6),
       MATCH(TRIM($B25), INDIRECT($P$7), 0),
       MATCH(TRIM(C$14), INDIRECT($P$8), 0))</f>
        <v>#REF!</v>
      </c>
      <c r="D25" s="28" t="e">
        <f ca="1">INDEX(INDIRECT($P$6),
       MATCH(TRIM($B25), INDIRECT($P$7), 0),
       MATCH(TRIM(D$14), INDIRECT($P$8), 0))</f>
        <v>#REF!</v>
      </c>
      <c r="E25" s="28" t="e">
        <f ca="1">INDEX(INDIRECT($P$6),
       MATCH(TRIM($B25), INDIRECT($P$7), 0),
       MATCH(TRIM(E$14), INDIRECT($P$8), 0))</f>
        <v>#REF!</v>
      </c>
      <c r="F25" s="28" t="e">
        <f ca="1">INDEX(INDIRECT($P$6),
       MATCH(TRIM($B25), INDIRECT($P$7), 0),
       MATCH(TRIM(F$14), INDIRECT($P$8), 0))</f>
        <v>#REF!</v>
      </c>
      <c r="G25" s="28" t="e">
        <f ca="1">INDEX(INDIRECT($P$6),
       MATCH(TRIM($B25), INDIRECT($P$7), 0),
       MATCH(TRIM(G$14), INDIRECT($P$8), 0))</f>
        <v>#REF!</v>
      </c>
      <c r="H25" s="28" t="e">
        <f ca="1">INDEX(INDIRECT($P$6),
       MATCH(TRIM($B25), INDIRECT($P$7), 0),
       MATCH(TRIM(H$14), INDIRECT($P$8), 0))</f>
        <v>#REF!</v>
      </c>
      <c r="I25" s="28" t="e">
        <f ca="1">INDEX(INDIRECT($P$6),
       MATCH(TRIM($B25), INDIRECT($P$7), 0),
       MATCH(TRIM(I$14), INDIRECT($P$8), 0))</f>
        <v>#REF!</v>
      </c>
      <c r="J25" s="28" t="e">
        <f ca="1">INDEX(INDIRECT($P$6),
       MATCH(TRIM($B25), INDIRECT($P$7), 0),
       MATCH(TRIM(J$14), INDIRECT($P$8), 0))</f>
        <v>#REF!</v>
      </c>
      <c r="K25" s="28" t="e">
        <f t="shared" ca="1" si="3"/>
        <v>#REF!</v>
      </c>
      <c r="L25" s="46"/>
      <c r="M25" s="46"/>
      <c r="R25" s="83">
        <v>12</v>
      </c>
      <c r="S25" s="85" t="s">
        <v>47</v>
      </c>
      <c r="T25" s="14" t="e">
        <f ca="1">INDEX(INDIRECT($AF$6),
       MATCH(TRIM($S25), INDIRECT($AF$7), 0),
       MATCH(TRIM(T$13), INDIRECT($AF$8), 0))</f>
        <v>#REF!</v>
      </c>
      <c r="U25" s="14" t="e">
        <f ca="1">INDEX(INDIRECT($AF$6),
       MATCH(TRIM($S25), INDIRECT($AF$7), 0),
       MATCH(TRIM(U$13), INDIRECT($AF$8), 0))</f>
        <v>#REF!</v>
      </c>
      <c r="V25" s="14" t="e">
        <f ca="1">INDEX(INDIRECT($AF$6),
       MATCH(TRIM($S25), INDIRECT($AF$7), 0),
       MATCH(TRIM(V$13), INDIRECT($AF$8), 0))</f>
        <v>#REF!</v>
      </c>
      <c r="W25" s="14" t="e">
        <f ca="1">INDEX(INDIRECT($AF$6),
       MATCH(TRIM($S25), INDIRECT($AF$7), 0),
       MATCH(TRIM(W$13), INDIRECT($AF$8), 0))</f>
        <v>#REF!</v>
      </c>
      <c r="X25" s="14" t="e">
        <f ca="1">INDEX(INDIRECT($AF$6),
       MATCH(TRIM($S25), INDIRECT($AF$7), 0),
       MATCH(TRIM(X$13), INDIRECT($AF$8), 0))</f>
        <v>#REF!</v>
      </c>
      <c r="Y25" s="14" t="e">
        <f ca="1">INDEX(INDIRECT($AF$6),
       MATCH(TRIM($S25), INDIRECT($AF$7), 0),
       MATCH(TRIM(Y$13), INDIRECT($AF$8), 0))</f>
        <v>#REF!</v>
      </c>
      <c r="Z25" s="14" t="e">
        <f t="shared" ca="1" si="1"/>
        <v>#REF!</v>
      </c>
      <c r="AA25" s="14" t="e">
        <f t="shared" ca="1" si="0"/>
        <v>#REF!</v>
      </c>
      <c r="AB25" s="14" t="e">
        <f t="shared" ca="1" si="2"/>
        <v>#REF!</v>
      </c>
    </row>
    <row r="26" spans="1:28" ht="29" x14ac:dyDescent="0.2">
      <c r="A26" s="26">
        <v>12</v>
      </c>
      <c r="B26" s="27" t="s">
        <v>18</v>
      </c>
      <c r="C26" s="28" t="e">
        <f ca="1">INDEX(INDIRECT($P$6),
       MATCH(TRIM($B26), INDIRECT($P$7), 0),
       MATCH(TRIM(C$14), INDIRECT($P$8), 0))</f>
        <v>#REF!</v>
      </c>
      <c r="D26" s="28" t="e">
        <f ca="1">INDEX(INDIRECT($P$6),
       MATCH(TRIM($B26), INDIRECT($P$7), 0),
       MATCH(TRIM(D$14), INDIRECT($P$8), 0))</f>
        <v>#REF!</v>
      </c>
      <c r="E26" s="28" t="e">
        <f ca="1">INDEX(INDIRECT($P$6),
       MATCH(TRIM($B26), INDIRECT($P$7), 0),
       MATCH(TRIM(E$14), INDIRECT($P$8), 0))</f>
        <v>#REF!</v>
      </c>
      <c r="F26" s="28" t="e">
        <f ca="1">INDEX(INDIRECT($P$6),
       MATCH(TRIM($B26), INDIRECT($P$7), 0),
       MATCH(TRIM(F$14), INDIRECT($P$8), 0))</f>
        <v>#REF!</v>
      </c>
      <c r="G26" s="28" t="e">
        <f ca="1">INDEX(INDIRECT($P$6),
       MATCH(TRIM($B26), INDIRECT($P$7), 0),
       MATCH(TRIM(G$14), INDIRECT($P$8), 0))</f>
        <v>#REF!</v>
      </c>
      <c r="H26" s="28" t="e">
        <f ca="1">INDEX(INDIRECT($P$6),
       MATCH(TRIM($B26), INDIRECT($P$7), 0),
       MATCH(TRIM(H$14), INDIRECT($P$8), 0))</f>
        <v>#REF!</v>
      </c>
      <c r="I26" s="28" t="e">
        <f ca="1">INDEX(INDIRECT($P$6),
       MATCH(TRIM($B26), INDIRECT($P$7), 0),
       MATCH(TRIM(I$14), INDIRECT($P$8), 0))</f>
        <v>#REF!</v>
      </c>
      <c r="J26" s="28" t="e">
        <f ca="1">INDEX(INDIRECT($P$6),
       MATCH(TRIM($B26), INDIRECT($P$7), 0),
       MATCH(TRIM(J$14), INDIRECT($P$8), 0))</f>
        <v>#REF!</v>
      </c>
      <c r="K26" s="28" t="e">
        <f t="shared" ca="1" si="3"/>
        <v>#REF!</v>
      </c>
      <c r="L26" s="46"/>
      <c r="M26" s="46"/>
      <c r="R26" s="83">
        <v>13</v>
      </c>
      <c r="S26" s="86" t="s">
        <v>44</v>
      </c>
      <c r="T26" s="14" t="e">
        <f ca="1">INDEX(INDIRECT($AF$6),
       MATCH(TRIM($S26), INDIRECT($AF$7), 0),
       MATCH(TRIM(T$13), INDIRECT($AF$8), 0))</f>
        <v>#REF!</v>
      </c>
      <c r="U26" s="14" t="e">
        <f ca="1">INDEX(INDIRECT($AF$6),
       MATCH(TRIM($S26), INDIRECT($AF$7), 0),
       MATCH(TRIM(U$13), INDIRECT($AF$8), 0))</f>
        <v>#REF!</v>
      </c>
      <c r="V26" s="14" t="e">
        <f ca="1">INDEX(INDIRECT($AF$6),
       MATCH(TRIM($S26), INDIRECT($AF$7), 0),
       MATCH(TRIM(V$13), INDIRECT($AF$8), 0))</f>
        <v>#REF!</v>
      </c>
      <c r="W26" s="14" t="e">
        <f ca="1">INDEX(INDIRECT($AF$6),
       MATCH(TRIM($S26), INDIRECT($AF$7), 0),
       MATCH(TRIM(W$13), INDIRECT($AF$8), 0))</f>
        <v>#REF!</v>
      </c>
      <c r="X26" s="14" t="e">
        <f ca="1">INDEX(INDIRECT($AF$6),
       MATCH(TRIM($S26), INDIRECT($AF$7), 0),
       MATCH(TRIM(X$13), INDIRECT($AF$8), 0))</f>
        <v>#REF!</v>
      </c>
      <c r="Y26" s="14" t="e">
        <f ca="1">INDEX(INDIRECT($AF$6),
       MATCH(TRIM($S26), INDIRECT($AF$7), 0),
       MATCH(TRIM(Y$13), INDIRECT($AF$8), 0))</f>
        <v>#REF!</v>
      </c>
      <c r="Z26" s="14" t="e">
        <f t="shared" ca="1" si="1"/>
        <v>#REF!</v>
      </c>
      <c r="AA26" s="14" t="e">
        <f t="shared" ca="1" si="0"/>
        <v>#REF!</v>
      </c>
      <c r="AB26" s="14" t="e">
        <f t="shared" ca="1" si="2"/>
        <v>#REF!</v>
      </c>
    </row>
    <row r="27" spans="1:28" ht="29" x14ac:dyDescent="0.2">
      <c r="A27" s="26">
        <v>13</v>
      </c>
      <c r="B27" s="27" t="s">
        <v>19</v>
      </c>
      <c r="C27" s="28" t="e">
        <f ca="1">INDEX(INDIRECT($P$6),
       MATCH(TRIM($B27), INDIRECT($P$7), 0),
       MATCH(TRIM(C$14), INDIRECT($P$8), 0))</f>
        <v>#REF!</v>
      </c>
      <c r="D27" s="28" t="e">
        <f ca="1">INDEX(INDIRECT($P$6),
       MATCH(TRIM($B27), INDIRECT($P$7), 0),
       MATCH(TRIM(D$14), INDIRECT($P$8), 0))</f>
        <v>#REF!</v>
      </c>
      <c r="E27" s="28" t="e">
        <f ca="1">INDEX(INDIRECT($P$6),
       MATCH(TRIM($B27), INDIRECT($P$7), 0),
       MATCH(TRIM(E$14), INDIRECT($P$8), 0))</f>
        <v>#REF!</v>
      </c>
      <c r="F27" s="28" t="e">
        <f ca="1">INDEX(INDIRECT($P$6),
       MATCH(TRIM($B27), INDIRECT($P$7), 0),
       MATCH(TRIM(F$14), INDIRECT($P$8), 0))</f>
        <v>#REF!</v>
      </c>
      <c r="G27" s="28" t="e">
        <f ca="1">INDEX(INDIRECT($P$6),
       MATCH(TRIM($B27), INDIRECT($P$7), 0),
       MATCH(TRIM(G$14), INDIRECT($P$8), 0))</f>
        <v>#REF!</v>
      </c>
      <c r="H27" s="28" t="e">
        <f ca="1">INDEX(INDIRECT($P$6),
       MATCH(TRIM($B27), INDIRECT($P$7), 0),
       MATCH(TRIM(H$14), INDIRECT($P$8), 0))</f>
        <v>#REF!</v>
      </c>
      <c r="I27" s="28" t="e">
        <f ca="1">INDEX(INDIRECT($P$6),
       MATCH(TRIM($B27), INDIRECT($P$7), 0),
       MATCH(TRIM(I$14), INDIRECT($P$8), 0))</f>
        <v>#REF!</v>
      </c>
      <c r="J27" s="28" t="e">
        <f ca="1">INDEX(INDIRECT($P$6),
       MATCH(TRIM($B27), INDIRECT($P$7), 0),
       MATCH(TRIM(J$14), INDIRECT($P$8), 0))</f>
        <v>#REF!</v>
      </c>
      <c r="K27" s="28" t="e">
        <f t="shared" ca="1" si="3"/>
        <v>#REF!</v>
      </c>
      <c r="L27" s="46"/>
      <c r="M27" s="46"/>
      <c r="R27" s="83">
        <v>14</v>
      </c>
      <c r="S27" s="84" t="s">
        <v>52</v>
      </c>
      <c r="T27" s="14" t="e">
        <f ca="1">INDEX(INDIRECT($AF$6),
       MATCH(TRIM($S27), INDIRECT($AF$7), 0),
       MATCH(TRIM(T$13), INDIRECT($AF$8), 0))</f>
        <v>#REF!</v>
      </c>
      <c r="U27" s="14" t="e">
        <f ca="1">INDEX(INDIRECT($AF$6),
       MATCH(TRIM($S27), INDIRECT($AF$7), 0),
       MATCH(TRIM(U$13), INDIRECT($AF$8), 0))</f>
        <v>#REF!</v>
      </c>
      <c r="V27" s="14" t="e">
        <f ca="1">INDEX(INDIRECT($AF$6),
       MATCH(TRIM($S27), INDIRECT($AF$7), 0),
       MATCH(TRIM(V$13), INDIRECT($AF$8), 0))</f>
        <v>#REF!</v>
      </c>
      <c r="W27" s="14" t="e">
        <f ca="1">INDEX(INDIRECT($AF$6),
       MATCH(TRIM($S27), INDIRECT($AF$7), 0),
       MATCH(TRIM(W$13), INDIRECT($AF$8), 0))</f>
        <v>#REF!</v>
      </c>
      <c r="X27" s="14" t="e">
        <f ca="1">INDEX(INDIRECT($AF$6),
       MATCH(TRIM($S27), INDIRECT($AF$7), 0),
       MATCH(TRIM(X$13), INDIRECT($AF$8), 0))</f>
        <v>#REF!</v>
      </c>
      <c r="Y27" s="14" t="e">
        <f ca="1">INDEX(INDIRECT($AF$6),
       MATCH(TRIM($S27), INDIRECT($AF$7), 0),
       MATCH(TRIM(Y$13), INDIRECT($AF$8), 0))</f>
        <v>#REF!</v>
      </c>
      <c r="Z27" s="14" t="e">
        <f t="shared" ca="1" si="1"/>
        <v>#REF!</v>
      </c>
      <c r="AA27" s="14" t="e">
        <f t="shared" ca="1" si="0"/>
        <v>#REF!</v>
      </c>
      <c r="AB27" s="14" t="e">
        <f t="shared" ca="1" si="2"/>
        <v>#REF!</v>
      </c>
    </row>
    <row r="28" spans="1:28" ht="43" x14ac:dyDescent="0.2">
      <c r="A28" s="26">
        <v>14</v>
      </c>
      <c r="B28" s="27" t="s">
        <v>20</v>
      </c>
      <c r="C28" s="28" t="e">
        <f ca="1">INDEX(INDIRECT($P$6),
       MATCH(TRIM($B28), INDIRECT($P$7), 0),
       MATCH(TRIM(C$14), INDIRECT($P$8), 0))</f>
        <v>#REF!</v>
      </c>
      <c r="D28" s="28" t="e">
        <f ca="1">INDEX(INDIRECT($P$6),
       MATCH(TRIM($B28), INDIRECT($P$7), 0),
       MATCH(TRIM(D$14), INDIRECT($P$8), 0))</f>
        <v>#REF!</v>
      </c>
      <c r="E28" s="28" t="e">
        <f ca="1">INDEX(INDIRECT($P$6),
       MATCH(TRIM($B28), INDIRECT($P$7), 0),
       MATCH(TRIM(E$14), INDIRECT($P$8), 0))</f>
        <v>#REF!</v>
      </c>
      <c r="F28" s="28" t="e">
        <f ca="1">INDEX(INDIRECT($P$6),
       MATCH(TRIM($B28), INDIRECT($P$7), 0),
       MATCH(TRIM(F$14), INDIRECT($P$8), 0))</f>
        <v>#REF!</v>
      </c>
      <c r="G28" s="28" t="e">
        <f ca="1">INDEX(INDIRECT($P$6),
       MATCH(TRIM($B28), INDIRECT($P$7), 0),
       MATCH(TRIM(G$14), INDIRECT($P$8), 0))</f>
        <v>#REF!</v>
      </c>
      <c r="H28" s="28" t="e">
        <f ca="1">INDEX(INDIRECT($P$6),
       MATCH(TRIM($B28), INDIRECT($P$7), 0),
       MATCH(TRIM(H$14), INDIRECT($P$8), 0))</f>
        <v>#REF!</v>
      </c>
      <c r="I28" s="28" t="e">
        <f ca="1">INDEX(INDIRECT($P$6),
       MATCH(TRIM($B28), INDIRECT($P$7), 0),
       MATCH(TRIM(I$14), INDIRECT($P$8), 0))</f>
        <v>#REF!</v>
      </c>
      <c r="J28" s="28" t="e">
        <f ca="1">INDEX(INDIRECT($P$6),
       MATCH(TRIM($B28), INDIRECT($P$7), 0),
       MATCH(TRIM(J$14), INDIRECT($P$8), 0))</f>
        <v>#REF!</v>
      </c>
      <c r="K28" s="28" t="e">
        <f t="shared" ca="1" si="3"/>
        <v>#REF!</v>
      </c>
      <c r="L28" s="46"/>
      <c r="M28" s="46"/>
      <c r="R28" s="83">
        <v>15</v>
      </c>
      <c r="S28" s="84" t="s">
        <v>53</v>
      </c>
      <c r="T28" s="14" t="e">
        <f ca="1">INDEX(INDIRECT($AF$6),
       MATCH(TRIM($S28), INDIRECT($AF$7), 0),
       MATCH(TRIM(T$13), INDIRECT($AF$8), 0))</f>
        <v>#REF!</v>
      </c>
      <c r="U28" s="14" t="e">
        <f ca="1">INDEX(INDIRECT($AF$6),
       MATCH(TRIM($S28), INDIRECT($AF$7), 0),
       MATCH(TRIM(U$13), INDIRECT($AF$8), 0))</f>
        <v>#REF!</v>
      </c>
      <c r="V28" s="14" t="e">
        <f ca="1">INDEX(INDIRECT($AF$6),
       MATCH(TRIM($S28), INDIRECT($AF$7), 0),
       MATCH(TRIM(V$13), INDIRECT($AF$8), 0))</f>
        <v>#REF!</v>
      </c>
      <c r="W28" s="14" t="e">
        <f ca="1">INDEX(INDIRECT($AF$6),
       MATCH(TRIM($S28), INDIRECT($AF$7), 0),
       MATCH(TRIM(W$13), INDIRECT($AF$8), 0))</f>
        <v>#REF!</v>
      </c>
      <c r="X28" s="14" t="e">
        <f ca="1">INDEX(INDIRECT($AF$6),
       MATCH(TRIM($S28), INDIRECT($AF$7), 0),
       MATCH(TRIM(X$13), INDIRECT($AF$8), 0))</f>
        <v>#REF!</v>
      </c>
      <c r="Y28" s="14" t="e">
        <f ca="1">INDEX(INDIRECT($AF$6),
       MATCH(TRIM($S28), INDIRECT($AF$7), 0),
       MATCH(TRIM(Y$13), INDIRECT($AF$8), 0))</f>
        <v>#REF!</v>
      </c>
      <c r="Z28" s="14" t="e">
        <f t="shared" ca="1" si="1"/>
        <v>#REF!</v>
      </c>
      <c r="AA28" s="14" t="e">
        <f t="shared" ca="1" si="0"/>
        <v>#REF!</v>
      </c>
      <c r="AB28" s="14" t="e">
        <f t="shared" ca="1" si="2"/>
        <v>#REF!</v>
      </c>
    </row>
    <row r="29" spans="1:28" ht="43" x14ac:dyDescent="0.2">
      <c r="A29" s="26">
        <v>15</v>
      </c>
      <c r="B29" s="27" t="s">
        <v>21</v>
      </c>
      <c r="C29" s="28" t="e">
        <f ca="1">INDEX(INDIRECT($P$6),
       MATCH(TRIM($B29), INDIRECT($P$7), 0),
       MATCH(TRIM(C$14), INDIRECT($P$8), 0))</f>
        <v>#REF!</v>
      </c>
      <c r="D29" s="28" t="e">
        <f ca="1">INDEX(INDIRECT($P$6),
       MATCH(TRIM($B29), INDIRECT($P$7), 0),
       MATCH(TRIM(D$14), INDIRECT($P$8), 0))</f>
        <v>#REF!</v>
      </c>
      <c r="E29" s="28" t="e">
        <f ca="1">INDEX(INDIRECT($P$6),
       MATCH(TRIM($B29), INDIRECT($P$7), 0),
       MATCH(TRIM(E$14), INDIRECT($P$8), 0))</f>
        <v>#REF!</v>
      </c>
      <c r="F29" s="28" t="e">
        <f ca="1">INDEX(INDIRECT($P$6),
       MATCH(TRIM($B29), INDIRECT($P$7), 0),
       MATCH(TRIM(F$14), INDIRECT($P$8), 0))</f>
        <v>#REF!</v>
      </c>
      <c r="G29" s="28" t="e">
        <f ca="1">INDEX(INDIRECT($P$6),
       MATCH(TRIM($B29), INDIRECT($P$7), 0),
       MATCH(TRIM(G$14), INDIRECT($P$8), 0))</f>
        <v>#REF!</v>
      </c>
      <c r="H29" s="28" t="e">
        <f ca="1">INDEX(INDIRECT($P$6),
       MATCH(TRIM($B29), INDIRECT($P$7), 0),
       MATCH(TRIM(H$14), INDIRECT($P$8), 0))</f>
        <v>#REF!</v>
      </c>
      <c r="I29" s="28" t="e">
        <f ca="1">INDEX(INDIRECT($P$6),
       MATCH(TRIM($B29), INDIRECT($P$7), 0),
       MATCH(TRIM(I$14), INDIRECT($P$8), 0))</f>
        <v>#REF!</v>
      </c>
      <c r="J29" s="28" t="e">
        <f ca="1">INDEX(INDIRECT($P$6),
       MATCH(TRIM($B29), INDIRECT($P$7), 0),
       MATCH(TRIM(J$14), INDIRECT($P$8), 0))</f>
        <v>#REF!</v>
      </c>
      <c r="K29" s="28" t="e">
        <f t="shared" ca="1" si="3"/>
        <v>#REF!</v>
      </c>
      <c r="L29" s="46"/>
      <c r="M29" s="46"/>
      <c r="R29" s="83">
        <v>16</v>
      </c>
      <c r="S29" s="84" t="s">
        <v>45</v>
      </c>
      <c r="T29" s="14" t="e">
        <f ca="1">INDEX(INDIRECT($AF$6),
       MATCH(TRIM($S29), INDIRECT($AF$7), 0),
       MATCH(TRIM(T$13), INDIRECT($AF$8), 0))</f>
        <v>#REF!</v>
      </c>
      <c r="U29" s="14" t="e">
        <f ca="1">INDEX(INDIRECT($AF$6),
       MATCH(TRIM($S29), INDIRECT($AF$7), 0),
       MATCH(TRIM(U$13), INDIRECT($AF$8), 0))</f>
        <v>#REF!</v>
      </c>
      <c r="V29" s="14" t="e">
        <f ca="1">INDEX(INDIRECT($AF$6),
       MATCH(TRIM($S29), INDIRECT($AF$7), 0),
       MATCH(TRIM(V$13), INDIRECT($AF$8), 0))</f>
        <v>#REF!</v>
      </c>
      <c r="W29" s="14" t="e">
        <f ca="1">INDEX(INDIRECT($AF$6),
       MATCH(TRIM($S29), INDIRECT($AF$7), 0),
       MATCH(TRIM(W$13), INDIRECT($AF$8), 0))</f>
        <v>#REF!</v>
      </c>
      <c r="X29" s="14" t="e">
        <f ca="1">INDEX(INDIRECT($AF$6),
       MATCH(TRIM($S29), INDIRECT($AF$7), 0),
       MATCH(TRIM(X$13), INDIRECT($AF$8), 0))</f>
        <v>#REF!</v>
      </c>
      <c r="Y29" s="14" t="e">
        <f ca="1">INDEX(INDIRECT($AF$6),
       MATCH(TRIM($S29), INDIRECT($AF$7), 0),
       MATCH(TRIM(Y$13), INDIRECT($AF$8), 0))</f>
        <v>#REF!</v>
      </c>
      <c r="Z29" s="14" t="e">
        <f t="shared" ca="1" si="1"/>
        <v>#REF!</v>
      </c>
      <c r="AA29" s="14" t="e">
        <f t="shared" ca="1" si="0"/>
        <v>#REF!</v>
      </c>
      <c r="AB29" s="14" t="e">
        <f t="shared" ca="1" si="2"/>
        <v>#REF!</v>
      </c>
    </row>
    <row r="30" spans="1:28" ht="29" x14ac:dyDescent="0.2">
      <c r="A30" s="26">
        <v>16</v>
      </c>
      <c r="B30" s="27" t="s">
        <v>22</v>
      </c>
      <c r="C30" s="28" t="e">
        <f ca="1">INDEX(INDIRECT($P$6),
       MATCH(TRIM($B30), INDIRECT($P$7), 0),
       MATCH(TRIM(C$14), INDIRECT($P$8), 0))</f>
        <v>#REF!</v>
      </c>
      <c r="D30" s="28" t="e">
        <f ca="1">INDEX(INDIRECT($P$6),
       MATCH(TRIM($B30), INDIRECT($P$7), 0),
       MATCH(TRIM(D$14), INDIRECT($P$8), 0))</f>
        <v>#REF!</v>
      </c>
      <c r="E30" s="28" t="e">
        <f ca="1">INDEX(INDIRECT($P$6),
       MATCH(TRIM($B30), INDIRECT($P$7), 0),
       MATCH(TRIM(E$14), INDIRECT($P$8), 0))</f>
        <v>#REF!</v>
      </c>
      <c r="F30" s="28" t="e">
        <f ca="1">INDEX(INDIRECT($P$6),
       MATCH(TRIM($B30), INDIRECT($P$7), 0),
       MATCH(TRIM(F$14), INDIRECT($P$8), 0))</f>
        <v>#REF!</v>
      </c>
      <c r="G30" s="28" t="e">
        <f ca="1">INDEX(INDIRECT($P$6),
       MATCH(TRIM($B30), INDIRECT($P$7), 0),
       MATCH(TRIM(G$14), INDIRECT($P$8), 0))</f>
        <v>#REF!</v>
      </c>
      <c r="H30" s="28" t="e">
        <f ca="1">INDEX(INDIRECT($P$6),
       MATCH(TRIM($B30), INDIRECT($P$7), 0),
       MATCH(TRIM(H$14), INDIRECT($P$8), 0))</f>
        <v>#REF!</v>
      </c>
      <c r="I30" s="28" t="e">
        <f ca="1">INDEX(INDIRECT($P$6),
       MATCH(TRIM($B30), INDIRECT($P$7), 0),
       MATCH(TRIM(I$14), INDIRECT($P$8), 0))</f>
        <v>#REF!</v>
      </c>
      <c r="J30" s="28" t="e">
        <f ca="1">INDEX(INDIRECT($P$6),
       MATCH(TRIM($B30), INDIRECT($P$7), 0),
       MATCH(TRIM(J$14), INDIRECT($P$8), 0))</f>
        <v>#REF!</v>
      </c>
      <c r="K30" s="28" t="e">
        <f t="shared" ca="1" si="3"/>
        <v>#REF!</v>
      </c>
      <c r="L30" s="46"/>
      <c r="M30" s="46"/>
      <c r="R30" s="83">
        <v>17</v>
      </c>
      <c r="S30" s="85" t="s">
        <v>76</v>
      </c>
      <c r="T30" s="14" t="e">
        <f ca="1">INDEX(INDIRECT($AF$6),
       MATCH(TRIM($S30), INDIRECT($AF$7), 0),
       MATCH(TRIM(T$13), INDIRECT($AF$8), 0))</f>
        <v>#REF!</v>
      </c>
      <c r="U30" s="14" t="e">
        <f ca="1">INDEX(INDIRECT($AF$6),
       MATCH(TRIM($S30), INDIRECT($AF$7), 0),
       MATCH(TRIM(U$13), INDIRECT($AF$8), 0))</f>
        <v>#REF!</v>
      </c>
      <c r="V30" s="14" t="e">
        <f ca="1">INDEX(INDIRECT($AF$6),
       MATCH(TRIM($S30), INDIRECT($AF$7), 0),
       MATCH(TRIM(V$13), INDIRECT($AF$8), 0))</f>
        <v>#REF!</v>
      </c>
      <c r="W30" s="14" t="e">
        <f ca="1">INDEX(INDIRECT($AF$6),
       MATCH(TRIM($S30), INDIRECT($AF$7), 0),
       MATCH(TRIM(W$13), INDIRECT($AF$8), 0))</f>
        <v>#REF!</v>
      </c>
      <c r="X30" s="14" t="e">
        <f ca="1">INDEX(INDIRECT($AF$6),
       MATCH(TRIM($S30), INDIRECT($AF$7), 0),
       MATCH(TRIM(X$13), INDIRECT($AF$8), 0))</f>
        <v>#REF!</v>
      </c>
      <c r="Y30" s="14" t="e">
        <f ca="1">INDEX(INDIRECT($AF$6),
       MATCH(TRIM($S30), INDIRECT($AF$7), 0),
       MATCH(TRIM(Y$13), INDIRECT($AF$8), 0))</f>
        <v>#REF!</v>
      </c>
      <c r="Z30" s="14" t="e">
        <f t="shared" ca="1" si="1"/>
        <v>#REF!</v>
      </c>
      <c r="AA30" s="14" t="e">
        <f t="shared" ca="1" si="1"/>
        <v>#REF!</v>
      </c>
      <c r="AB30" s="14" t="e">
        <f t="shared" ca="1" si="2"/>
        <v>#REF!</v>
      </c>
    </row>
    <row r="31" spans="1:28" ht="43" x14ac:dyDescent="0.2">
      <c r="A31" s="26">
        <v>17</v>
      </c>
      <c r="B31" s="27" t="s">
        <v>23</v>
      </c>
      <c r="C31" s="28" t="e">
        <f ca="1">INDEX(INDIRECT($P$6),
       MATCH(TRIM($B31), INDIRECT($P$7), 0),
       MATCH(TRIM(C$14), INDIRECT($P$8), 0))</f>
        <v>#REF!</v>
      </c>
      <c r="D31" s="28" t="e">
        <f ca="1">INDEX(INDIRECT($P$6),
       MATCH(TRIM($B31), INDIRECT($P$7), 0),
       MATCH(TRIM(D$14), INDIRECT($P$8), 0))</f>
        <v>#REF!</v>
      </c>
      <c r="E31" s="28" t="e">
        <f ca="1">INDEX(INDIRECT($P$6),
       MATCH(TRIM($B31), INDIRECT($P$7), 0),
       MATCH(TRIM(E$14), INDIRECT($P$8), 0))</f>
        <v>#REF!</v>
      </c>
      <c r="F31" s="28" t="e">
        <f ca="1">INDEX(INDIRECT($P$6),
       MATCH(TRIM($B31), INDIRECT($P$7), 0),
       MATCH(TRIM(F$14), INDIRECT($P$8), 0))</f>
        <v>#REF!</v>
      </c>
      <c r="G31" s="28" t="e">
        <f ca="1">INDEX(INDIRECT($P$6),
       MATCH(TRIM($B31), INDIRECT($P$7), 0),
       MATCH(TRIM(G$14), INDIRECT($P$8), 0))</f>
        <v>#REF!</v>
      </c>
      <c r="H31" s="28" t="e">
        <f ca="1">INDEX(INDIRECT($P$6),
       MATCH(TRIM($B31), INDIRECT($P$7), 0),
       MATCH(TRIM(H$14), INDIRECT($P$8), 0))</f>
        <v>#REF!</v>
      </c>
      <c r="I31" s="28" t="e">
        <f ca="1">INDEX(INDIRECT($P$6),
       MATCH(TRIM($B31), INDIRECT($P$7), 0),
       MATCH(TRIM(I$14), INDIRECT($P$8), 0))</f>
        <v>#REF!</v>
      </c>
      <c r="J31" s="28" t="e">
        <f ca="1">INDEX(INDIRECT($P$6),
       MATCH(TRIM($B31), INDIRECT($P$7), 0),
       MATCH(TRIM(J$14), INDIRECT($P$8), 0))</f>
        <v>#REF!</v>
      </c>
      <c r="K31" s="28" t="e">
        <f t="shared" ca="1" si="3"/>
        <v>#REF!</v>
      </c>
      <c r="L31" s="46"/>
      <c r="M31" s="46"/>
      <c r="R31" s="83">
        <v>18</v>
      </c>
      <c r="S31" s="84" t="s">
        <v>49</v>
      </c>
      <c r="T31" s="14" t="e">
        <f ca="1">INDEX(INDIRECT($AF$6),
       MATCH(TRIM($S31), INDIRECT($AF$7), 0),
       MATCH(TRIM(T$13), INDIRECT($AF$8), 0))</f>
        <v>#REF!</v>
      </c>
      <c r="U31" s="14" t="e">
        <f ca="1">INDEX(INDIRECT($AF$6),
       MATCH(TRIM($S31), INDIRECT($AF$7), 0),
       MATCH(TRIM(U$13), INDIRECT($AF$8), 0))</f>
        <v>#REF!</v>
      </c>
      <c r="V31" s="14" t="e">
        <f ca="1">INDEX(INDIRECT($AF$6),
       MATCH(TRIM($S31), INDIRECT($AF$7), 0),
       MATCH(TRIM(V$13), INDIRECT($AF$8), 0))</f>
        <v>#REF!</v>
      </c>
      <c r="W31" s="14" t="e">
        <f ca="1">INDEX(INDIRECT($AF$6),
       MATCH(TRIM($S31), INDIRECT($AF$7), 0),
       MATCH(TRIM(W$13), INDIRECT($AF$8), 0))</f>
        <v>#REF!</v>
      </c>
      <c r="X31" s="14" t="e">
        <f ca="1">INDEX(INDIRECT($AF$6),
       MATCH(TRIM($S31), INDIRECT($AF$7), 0),
       MATCH(TRIM(X$13), INDIRECT($AF$8), 0))</f>
        <v>#REF!</v>
      </c>
      <c r="Y31" s="14" t="e">
        <f ca="1">INDEX(INDIRECT($AF$6),
       MATCH(TRIM($S31), INDIRECT($AF$7), 0),
       MATCH(TRIM(Y$13), INDIRECT($AF$8), 0))</f>
        <v>#REF!</v>
      </c>
      <c r="Z31" s="14" t="e">
        <f t="shared" ca="1" si="1"/>
        <v>#REF!</v>
      </c>
      <c r="AA31" s="14" t="e">
        <f t="shared" ca="1" si="1"/>
        <v>#REF!</v>
      </c>
      <c r="AB31" s="14" t="e">
        <f t="shared" ca="1" si="2"/>
        <v>#REF!</v>
      </c>
    </row>
    <row r="32" spans="1:28" ht="57" x14ac:dyDescent="0.2">
      <c r="A32" s="26">
        <v>18</v>
      </c>
      <c r="B32" s="27" t="s">
        <v>24</v>
      </c>
      <c r="C32" s="28" t="e">
        <f ca="1">INDEX(INDIRECT($P$6),
       MATCH(TRIM($B32), INDIRECT($P$7), 0),
       MATCH(TRIM(C$14), INDIRECT($P$8), 0))</f>
        <v>#REF!</v>
      </c>
      <c r="D32" s="28" t="e">
        <f ca="1">INDEX(INDIRECT($P$6),
       MATCH(TRIM($B32), INDIRECT($P$7), 0),
       MATCH(TRIM(D$14), INDIRECT($P$8), 0))</f>
        <v>#REF!</v>
      </c>
      <c r="E32" s="28" t="e">
        <f ca="1">INDEX(INDIRECT($P$6),
       MATCH(TRIM($B32), INDIRECT($P$7), 0),
       MATCH(TRIM(E$14), INDIRECT($P$8), 0))</f>
        <v>#REF!</v>
      </c>
      <c r="F32" s="28" t="e">
        <f ca="1">INDEX(INDIRECT($P$6),
       MATCH(TRIM($B32), INDIRECT($P$7), 0),
       MATCH(TRIM(F$14), INDIRECT($P$8), 0))</f>
        <v>#REF!</v>
      </c>
      <c r="G32" s="28" t="e">
        <f ca="1">INDEX(INDIRECT($P$6),
       MATCH(TRIM($B32), INDIRECT($P$7), 0),
       MATCH(TRIM(G$14), INDIRECT($P$8), 0))</f>
        <v>#REF!</v>
      </c>
      <c r="H32" s="28" t="e">
        <f ca="1">INDEX(INDIRECT($P$6),
       MATCH(TRIM($B32), INDIRECT($P$7), 0),
       MATCH(TRIM(H$14), INDIRECT($P$8), 0))</f>
        <v>#REF!</v>
      </c>
      <c r="I32" s="28" t="e">
        <f ca="1">INDEX(INDIRECT($P$6),
       MATCH(TRIM($B32), INDIRECT($P$7), 0),
       MATCH(TRIM(I$14), INDIRECT($P$8), 0))</f>
        <v>#REF!</v>
      </c>
      <c r="J32" s="28" t="e">
        <f ca="1">INDEX(INDIRECT($P$6),
       MATCH(TRIM($B32), INDIRECT($P$7), 0),
       MATCH(TRIM(J$14), INDIRECT($P$8), 0))</f>
        <v>#REF!</v>
      </c>
      <c r="K32" s="28" t="e">
        <f t="shared" ca="1" si="3"/>
        <v>#REF!</v>
      </c>
      <c r="L32" s="46"/>
      <c r="M32" s="46"/>
      <c r="R32" s="83">
        <v>19</v>
      </c>
      <c r="S32" s="85" t="s">
        <v>88</v>
      </c>
      <c r="T32" s="14" t="e">
        <f ca="1">INDEX(INDIRECT($AF$6),
       MATCH(TRIM($S32), INDIRECT($AF$7), 0),
       MATCH(TRIM(T$13), INDIRECT($AF$8), 0))</f>
        <v>#REF!</v>
      </c>
      <c r="U32" s="14" t="e">
        <f ca="1">INDEX(INDIRECT($AF$6),
       MATCH(TRIM($S32), INDIRECT($AF$7), 0),
       MATCH(TRIM(U$13), INDIRECT($AF$8), 0))</f>
        <v>#REF!</v>
      </c>
      <c r="V32" s="14" t="e">
        <f ca="1">INDEX(INDIRECT($AF$6),
       MATCH(TRIM($S32), INDIRECT($AF$7), 0),
       MATCH(TRIM(V$13), INDIRECT($AF$8), 0))</f>
        <v>#REF!</v>
      </c>
      <c r="W32" s="14" t="e">
        <f ca="1">INDEX(INDIRECT($AF$6),
       MATCH(TRIM($S32), INDIRECT($AF$7), 0),
       MATCH(TRIM(W$13), INDIRECT($AF$8), 0))</f>
        <v>#REF!</v>
      </c>
      <c r="X32" s="14" t="e">
        <f ca="1">INDEX(INDIRECT($AF$6),
       MATCH(TRIM($S32), INDIRECT($AF$7), 0),
       MATCH(TRIM(X$13), INDIRECT($AF$8), 0))</f>
        <v>#REF!</v>
      </c>
      <c r="Y32" s="14" t="e">
        <f ca="1">INDEX(INDIRECT($AF$6),
       MATCH(TRIM($S32), INDIRECT($AF$7), 0),
       MATCH(TRIM(Y$13), INDIRECT($AF$8), 0))</f>
        <v>#REF!</v>
      </c>
      <c r="Z32" s="14" t="e">
        <f t="shared" ca="1" si="1"/>
        <v>#REF!</v>
      </c>
      <c r="AA32" s="14" t="e">
        <f t="shared" ca="1" si="1"/>
        <v>#REF!</v>
      </c>
      <c r="AB32" s="14" t="e">
        <f t="shared" ca="1" si="2"/>
        <v>#REF!</v>
      </c>
    </row>
    <row r="33" spans="1:28" ht="85" x14ac:dyDescent="0.2">
      <c r="A33" s="26">
        <v>19</v>
      </c>
      <c r="B33" s="27" t="s">
        <v>25</v>
      </c>
      <c r="C33" s="28" t="e">
        <f ca="1">INDEX(INDIRECT($P$6),
       MATCH(TRIM($B33), INDIRECT($P$7), 0),
       MATCH(TRIM(C$14), INDIRECT($P$8), 0))</f>
        <v>#REF!</v>
      </c>
      <c r="D33" s="28" t="e">
        <f ca="1">INDEX(INDIRECT($P$6),
       MATCH(TRIM($B33), INDIRECT($P$7), 0),
       MATCH(TRIM(D$14), INDIRECT($P$8), 0))</f>
        <v>#REF!</v>
      </c>
      <c r="E33" s="28" t="e">
        <f ca="1">INDEX(INDIRECT($P$6),
       MATCH(TRIM($B33), INDIRECT($P$7), 0),
       MATCH(TRIM(E$14), INDIRECT($P$8), 0))</f>
        <v>#REF!</v>
      </c>
      <c r="F33" s="28" t="e">
        <f ca="1">INDEX(INDIRECT($P$6),
       MATCH(TRIM($B33), INDIRECT($P$7), 0),
       MATCH(TRIM(F$14), INDIRECT($P$8), 0))</f>
        <v>#REF!</v>
      </c>
      <c r="G33" s="28" t="e">
        <f ca="1">INDEX(INDIRECT($P$6),
       MATCH(TRIM($B33), INDIRECT($P$7), 0),
       MATCH(TRIM(G$14), INDIRECT($P$8), 0))</f>
        <v>#REF!</v>
      </c>
      <c r="H33" s="28" t="e">
        <f ca="1">INDEX(INDIRECT($P$6),
       MATCH(TRIM($B33), INDIRECT($P$7), 0),
       MATCH(TRIM(H$14), INDIRECT($P$8), 0))</f>
        <v>#REF!</v>
      </c>
      <c r="I33" s="28" t="e">
        <f ca="1">INDEX(INDIRECT($P$6),
       MATCH(TRIM($B33), INDIRECT($P$7), 0),
       MATCH(TRIM(I$14), INDIRECT($P$8), 0))</f>
        <v>#REF!</v>
      </c>
      <c r="J33" s="28" t="e">
        <f ca="1">INDEX(INDIRECT($P$6),
       MATCH(TRIM($B33), INDIRECT($P$7), 0),
       MATCH(TRIM(J$14), INDIRECT($P$8), 0))</f>
        <v>#REF!</v>
      </c>
      <c r="K33" s="28" t="e">
        <f t="shared" ca="1" si="3"/>
        <v>#REF!</v>
      </c>
      <c r="L33" s="47"/>
      <c r="M33" s="47"/>
      <c r="R33" s="83">
        <v>20</v>
      </c>
      <c r="S33" s="84" t="s">
        <v>51</v>
      </c>
      <c r="T33" s="14" t="e">
        <f ca="1">INDEX(INDIRECT($AF$6),
       MATCH(TRIM($S33), INDIRECT($AF$7), 0),
       MATCH(TRIM(T$13), INDIRECT($AF$8), 0))</f>
        <v>#REF!</v>
      </c>
      <c r="U33" s="14" t="e">
        <f ca="1">INDEX(INDIRECT($AF$6),
       MATCH(TRIM($S33), INDIRECT($AF$7), 0),
       MATCH(TRIM(U$13), INDIRECT($AF$8), 0))</f>
        <v>#REF!</v>
      </c>
      <c r="V33" s="14" t="e">
        <f ca="1">INDEX(INDIRECT($AF$6),
       MATCH(TRIM($S33), INDIRECT($AF$7), 0),
       MATCH(TRIM(V$13), INDIRECT($AF$8), 0))</f>
        <v>#REF!</v>
      </c>
      <c r="W33" s="14" t="e">
        <f ca="1">INDEX(INDIRECT($AF$6),
       MATCH(TRIM($S33), INDIRECT($AF$7), 0),
       MATCH(TRIM(W$13), INDIRECT($AF$8), 0))</f>
        <v>#REF!</v>
      </c>
      <c r="X33" s="14" t="e">
        <f ca="1">INDEX(INDIRECT($AF$6),
       MATCH(TRIM($S33), INDIRECT($AF$7), 0),
       MATCH(TRIM(X$13), INDIRECT($AF$8), 0))</f>
        <v>#REF!</v>
      </c>
      <c r="Y33" s="14" t="e">
        <f ca="1">INDEX(INDIRECT($AF$6),
       MATCH(TRIM($S33), INDIRECT($AF$7), 0),
       MATCH(TRIM(Y$13), INDIRECT($AF$8), 0))</f>
        <v>#REF!</v>
      </c>
      <c r="Z33" s="14" t="e">
        <f t="shared" ca="1" si="1"/>
        <v>#REF!</v>
      </c>
      <c r="AA33" s="14" t="e">
        <f t="shared" ca="1" si="1"/>
        <v>#REF!</v>
      </c>
      <c r="AB33" s="14" t="e">
        <f t="shared" ca="1" si="2"/>
        <v>#REF!</v>
      </c>
    </row>
    <row r="34" spans="1:28" ht="17" thickBot="1" x14ac:dyDescent="0.25">
      <c r="A34" s="34" t="s">
        <v>26</v>
      </c>
      <c r="B34" s="35"/>
      <c r="C34" s="31" t="e">
        <f t="shared" ref="C34:E34" ca="1" si="4">SUM(C15:C33)</f>
        <v>#REF!</v>
      </c>
      <c r="D34" s="31" t="e">
        <f t="shared" ca="1" si="4"/>
        <v>#REF!</v>
      </c>
      <c r="E34" s="32" t="e">
        <f t="shared" ca="1" si="4"/>
        <v>#REF!</v>
      </c>
      <c r="F34" s="31" t="e">
        <f ca="1">SUM(F15:F33)</f>
        <v>#REF!</v>
      </c>
      <c r="G34" s="31" t="e">
        <f ca="1">SUM(G15:G33)</f>
        <v>#REF!</v>
      </c>
      <c r="H34" s="32" t="e">
        <f t="shared" ref="H34:K34" ca="1" si="5">SUM(H15:H33)</f>
        <v>#REF!</v>
      </c>
      <c r="I34" s="33" t="e">
        <f t="shared" ca="1" si="5"/>
        <v>#REF!</v>
      </c>
      <c r="J34" s="33" t="e">
        <f t="shared" ca="1" si="5"/>
        <v>#REF!</v>
      </c>
      <c r="K34" s="33" t="e">
        <f t="shared" ca="1" si="5"/>
        <v>#REF!</v>
      </c>
      <c r="R34" s="83">
        <v>21</v>
      </c>
      <c r="S34" s="85" t="s">
        <v>65</v>
      </c>
      <c r="T34" s="14" t="e">
        <f ca="1">INDEX(INDIRECT($AF$6),
       MATCH(TRIM($S34), INDIRECT($AF$7), 0),
       MATCH(TRIM(T$13), INDIRECT($AF$8), 0))</f>
        <v>#REF!</v>
      </c>
      <c r="U34" s="14" t="e">
        <f ca="1">INDEX(INDIRECT($AF$6),
       MATCH(TRIM($S34), INDIRECT($AF$7), 0),
       MATCH(TRIM(U$13), INDIRECT($AF$8), 0))</f>
        <v>#REF!</v>
      </c>
      <c r="V34" s="14" t="e">
        <f ca="1">INDEX(INDIRECT($AF$6),
       MATCH(TRIM($S34), INDIRECT($AF$7), 0),
       MATCH(TRIM(V$13), INDIRECT($AF$8), 0))</f>
        <v>#REF!</v>
      </c>
      <c r="W34" s="14" t="e">
        <f ca="1">INDEX(INDIRECT($AF$6),
       MATCH(TRIM($S34), INDIRECT($AF$7), 0),
       MATCH(TRIM(W$13), INDIRECT($AF$8), 0))</f>
        <v>#REF!</v>
      </c>
      <c r="X34" s="14" t="e">
        <f ca="1">INDEX(INDIRECT($AF$6),
       MATCH(TRIM($S34), INDIRECT($AF$7), 0),
       MATCH(TRIM(X$13), INDIRECT($AF$8), 0))</f>
        <v>#REF!</v>
      </c>
      <c r="Y34" s="14" t="e">
        <f ca="1">INDEX(INDIRECT($AF$6),
       MATCH(TRIM($S34), INDIRECT($AF$7), 0),
       MATCH(TRIM(Y$13), INDIRECT($AF$8), 0))</f>
        <v>#REF!</v>
      </c>
      <c r="Z34" s="14" t="e">
        <f t="shared" ca="1" si="1"/>
        <v>#REF!</v>
      </c>
      <c r="AA34" s="14" t="e">
        <f t="shared" ca="1" si="1"/>
        <v>#REF!</v>
      </c>
      <c r="AB34" s="14" t="e">
        <f t="shared" ca="1" si="2"/>
        <v>#REF!</v>
      </c>
    </row>
    <row r="35" spans="1:28" ht="17" thickTop="1" x14ac:dyDescent="0.2">
      <c r="R35" s="83">
        <v>22</v>
      </c>
      <c r="S35" s="85" t="s">
        <v>57</v>
      </c>
      <c r="T35" s="14" t="e">
        <f ca="1">INDEX(INDIRECT($AF$6),
       MATCH(TRIM($S35), INDIRECT($AF$7), 0),
       MATCH(TRIM(T$13), INDIRECT($AF$8), 0))</f>
        <v>#REF!</v>
      </c>
      <c r="U35" s="14" t="e">
        <f ca="1">INDEX(INDIRECT($AF$6),
       MATCH(TRIM($S35), INDIRECT($AF$7), 0),
       MATCH(TRIM(U$13), INDIRECT($AF$8), 0))</f>
        <v>#REF!</v>
      </c>
      <c r="V35" s="14" t="e">
        <f ca="1">INDEX(INDIRECT($AF$6),
       MATCH(TRIM($S35), INDIRECT($AF$7), 0),
       MATCH(TRIM(V$13), INDIRECT($AF$8), 0))</f>
        <v>#REF!</v>
      </c>
      <c r="W35" s="14" t="e">
        <f ca="1">INDEX(INDIRECT($AF$6),
       MATCH(TRIM($S35), INDIRECT($AF$7), 0),
       MATCH(TRIM(W$13), INDIRECT($AF$8), 0))</f>
        <v>#REF!</v>
      </c>
      <c r="X35" s="14" t="e">
        <f ca="1">INDEX(INDIRECT($AF$6),
       MATCH(TRIM($S35), INDIRECT($AF$7), 0),
       MATCH(TRIM(X$13), INDIRECT($AF$8), 0))</f>
        <v>#REF!</v>
      </c>
      <c r="Y35" s="14" t="e">
        <f ca="1">INDEX(INDIRECT($AF$6),
       MATCH(TRIM($S35), INDIRECT($AF$7), 0),
       MATCH(TRIM(Y$13), INDIRECT($AF$8), 0))</f>
        <v>#REF!</v>
      </c>
      <c r="Z35" s="14" t="e">
        <f t="shared" ca="1" si="1"/>
        <v>#REF!</v>
      </c>
      <c r="AA35" s="14" t="e">
        <f t="shared" ca="1" si="1"/>
        <v>#REF!</v>
      </c>
      <c r="AB35" s="14" t="e">
        <f t="shared" ca="1" si="2"/>
        <v>#REF!</v>
      </c>
    </row>
    <row r="36" spans="1:28" x14ac:dyDescent="0.2">
      <c r="R36" s="83">
        <v>23</v>
      </c>
      <c r="S36" s="86" t="s">
        <v>71</v>
      </c>
      <c r="T36" s="14" t="e">
        <f ca="1">INDEX(INDIRECT($AF$6),
       MATCH(TRIM($S36), INDIRECT($AF$7), 0),
       MATCH(TRIM(T$13), INDIRECT($AF$8), 0))</f>
        <v>#REF!</v>
      </c>
      <c r="U36" s="14" t="e">
        <f ca="1">INDEX(INDIRECT($AF$6),
       MATCH(TRIM($S36), INDIRECT($AF$7), 0),
       MATCH(TRIM(U$13), INDIRECT($AF$8), 0))</f>
        <v>#REF!</v>
      </c>
      <c r="V36" s="14" t="e">
        <f ca="1">INDEX(INDIRECT($AF$6),
       MATCH(TRIM($S36), INDIRECT($AF$7), 0),
       MATCH(TRIM(V$13), INDIRECT($AF$8), 0))</f>
        <v>#REF!</v>
      </c>
      <c r="W36" s="14" t="e">
        <f ca="1">INDEX(INDIRECT($AF$6),
       MATCH(TRIM($S36), INDIRECT($AF$7), 0),
       MATCH(TRIM(W$13), INDIRECT($AF$8), 0))</f>
        <v>#REF!</v>
      </c>
      <c r="X36" s="14" t="e">
        <f ca="1">INDEX(INDIRECT($AF$6),
       MATCH(TRIM($S36), INDIRECT($AF$7), 0),
       MATCH(TRIM(X$13), INDIRECT($AF$8), 0))</f>
        <v>#REF!</v>
      </c>
      <c r="Y36" s="14" t="e">
        <f ca="1">INDEX(INDIRECT($AF$6),
       MATCH(TRIM($S36), INDIRECT($AF$7), 0),
       MATCH(TRIM(Y$13), INDIRECT($AF$8), 0))</f>
        <v>#REF!</v>
      </c>
      <c r="Z36" s="14" t="e">
        <f t="shared" ca="1" si="1"/>
        <v>#REF!</v>
      </c>
      <c r="AA36" s="14" t="e">
        <f t="shared" ca="1" si="1"/>
        <v>#REF!</v>
      </c>
      <c r="AB36" s="14" t="e">
        <f t="shared" ca="1" si="2"/>
        <v>#REF!</v>
      </c>
    </row>
    <row r="37" spans="1:28" x14ac:dyDescent="0.2">
      <c r="R37" s="83">
        <v>24</v>
      </c>
      <c r="S37" s="84" t="s">
        <v>61</v>
      </c>
      <c r="T37" s="14" t="e">
        <f ca="1">INDEX(INDIRECT($AF$6),
       MATCH(TRIM($S37), INDIRECT($AF$7), 0),
       MATCH(TRIM(T$13), INDIRECT($AF$8), 0))</f>
        <v>#REF!</v>
      </c>
      <c r="U37" s="14" t="e">
        <f ca="1">INDEX(INDIRECT($AF$6),
       MATCH(TRIM($S37), INDIRECT($AF$7), 0),
       MATCH(TRIM(U$13), INDIRECT($AF$8), 0))</f>
        <v>#REF!</v>
      </c>
      <c r="V37" s="14" t="e">
        <f ca="1">INDEX(INDIRECT($AF$6),
       MATCH(TRIM($S37), INDIRECT($AF$7), 0),
       MATCH(TRIM(V$13), INDIRECT($AF$8), 0))</f>
        <v>#REF!</v>
      </c>
      <c r="W37" s="14" t="e">
        <f ca="1">INDEX(INDIRECT($AF$6),
       MATCH(TRIM($S37), INDIRECT($AF$7), 0),
       MATCH(TRIM(W$13), INDIRECT($AF$8), 0))</f>
        <v>#REF!</v>
      </c>
      <c r="X37" s="14" t="e">
        <f ca="1">INDEX(INDIRECT($AF$6),
       MATCH(TRIM($S37), INDIRECT($AF$7), 0),
       MATCH(TRIM(X$13), INDIRECT($AF$8), 0))</f>
        <v>#REF!</v>
      </c>
      <c r="Y37" s="14" t="e">
        <f ca="1">INDEX(INDIRECT($AF$6),
       MATCH(TRIM($S37), INDIRECT($AF$7), 0),
       MATCH(TRIM(Y$13), INDIRECT($AF$8), 0))</f>
        <v>#REF!</v>
      </c>
      <c r="Z37" s="14" t="e">
        <f t="shared" ca="1" si="1"/>
        <v>#REF!</v>
      </c>
      <c r="AA37" s="14" t="e">
        <f t="shared" ca="1" si="1"/>
        <v>#REF!</v>
      </c>
      <c r="AB37" s="14" t="e">
        <f t="shared" ca="1" si="2"/>
        <v>#REF!</v>
      </c>
    </row>
    <row r="38" spans="1:28" x14ac:dyDescent="0.2">
      <c r="R38" s="83">
        <v>25</v>
      </c>
      <c r="S38" s="84" t="s">
        <v>78</v>
      </c>
      <c r="T38" s="14" t="e">
        <f ca="1">INDEX(INDIRECT($AF$6),
       MATCH(TRIM($S38), INDIRECT($AF$7), 0),
       MATCH(TRIM(T$13), INDIRECT($AF$8), 0))</f>
        <v>#REF!</v>
      </c>
      <c r="U38" s="14" t="e">
        <f ca="1">INDEX(INDIRECT($AF$6),
       MATCH(TRIM($S38), INDIRECT($AF$7), 0),
       MATCH(TRIM(U$13), INDIRECT($AF$8), 0))</f>
        <v>#REF!</v>
      </c>
      <c r="V38" s="14" t="e">
        <f ca="1">INDEX(INDIRECT($AF$6),
       MATCH(TRIM($S38), INDIRECT($AF$7), 0),
       MATCH(TRIM(V$13), INDIRECT($AF$8), 0))</f>
        <v>#REF!</v>
      </c>
      <c r="W38" s="14" t="e">
        <f ca="1">INDEX(INDIRECT($AF$6),
       MATCH(TRIM($S38), INDIRECT($AF$7), 0),
       MATCH(TRIM(W$13), INDIRECT($AF$8), 0))</f>
        <v>#REF!</v>
      </c>
      <c r="X38" s="14" t="e">
        <f ca="1">INDEX(INDIRECT($AF$6),
       MATCH(TRIM($S38), INDIRECT($AF$7), 0),
       MATCH(TRIM(X$13), INDIRECT($AF$8), 0))</f>
        <v>#REF!</v>
      </c>
      <c r="Y38" s="14" t="e">
        <f ca="1">INDEX(INDIRECT($AF$6),
       MATCH(TRIM($S38), INDIRECT($AF$7), 0),
       MATCH(TRIM(Y$13), INDIRECT($AF$8), 0))</f>
        <v>#REF!</v>
      </c>
      <c r="Z38" s="14" t="e">
        <f t="shared" ca="1" si="1"/>
        <v>#REF!</v>
      </c>
      <c r="AA38" s="14" t="e">
        <f t="shared" ca="1" si="1"/>
        <v>#REF!</v>
      </c>
      <c r="AB38" s="14" t="e">
        <f t="shared" ca="1" si="2"/>
        <v>#REF!</v>
      </c>
    </row>
    <row r="39" spans="1:28" x14ac:dyDescent="0.2">
      <c r="R39" s="83">
        <v>26</v>
      </c>
      <c r="S39" s="84" t="s">
        <v>50</v>
      </c>
      <c r="T39" s="14" t="e">
        <f ca="1">INDEX(INDIRECT($AF$6),
       MATCH(TRIM($S39), INDIRECT($AF$7), 0),
       MATCH(TRIM(T$13), INDIRECT($AF$8), 0))</f>
        <v>#REF!</v>
      </c>
      <c r="U39" s="14" t="e">
        <f ca="1">INDEX(INDIRECT($AF$6),
       MATCH(TRIM($S39), INDIRECT($AF$7), 0),
       MATCH(TRIM(U$13), INDIRECT($AF$8), 0))</f>
        <v>#REF!</v>
      </c>
      <c r="V39" s="14" t="e">
        <f ca="1">INDEX(INDIRECT($AF$6),
       MATCH(TRIM($S39), INDIRECT($AF$7), 0),
       MATCH(TRIM(V$13), INDIRECT($AF$8), 0))</f>
        <v>#REF!</v>
      </c>
      <c r="W39" s="14" t="e">
        <f ca="1">INDEX(INDIRECT($AF$6),
       MATCH(TRIM($S39), INDIRECT($AF$7), 0),
       MATCH(TRIM(W$13), INDIRECT($AF$8), 0))</f>
        <v>#REF!</v>
      </c>
      <c r="X39" s="14" t="e">
        <f ca="1">INDEX(INDIRECT($AF$6),
       MATCH(TRIM($S39), INDIRECT($AF$7), 0),
       MATCH(TRIM(X$13), INDIRECT($AF$8), 0))</f>
        <v>#REF!</v>
      </c>
      <c r="Y39" s="14" t="e">
        <f ca="1">INDEX(INDIRECT($AF$6),
       MATCH(TRIM($S39), INDIRECT($AF$7), 0),
       MATCH(TRIM(Y$13), INDIRECT($AF$8), 0))</f>
        <v>#REF!</v>
      </c>
      <c r="Z39" s="14" t="e">
        <f t="shared" ca="1" si="1"/>
        <v>#REF!</v>
      </c>
      <c r="AA39" s="14" t="e">
        <f t="shared" ca="1" si="1"/>
        <v>#REF!</v>
      </c>
      <c r="AB39" s="14" t="e">
        <f t="shared" ca="1" si="2"/>
        <v>#REF!</v>
      </c>
    </row>
    <row r="40" spans="1:28" x14ac:dyDescent="0.2">
      <c r="R40" s="83">
        <v>27</v>
      </c>
      <c r="S40" s="85" t="s">
        <v>66</v>
      </c>
      <c r="T40" s="14" t="e">
        <f ca="1">INDEX(INDIRECT($AF$6),
       MATCH(TRIM($S40), INDIRECT($AF$7), 0),
       MATCH(TRIM(T$13), INDIRECT($AF$8), 0))</f>
        <v>#REF!</v>
      </c>
      <c r="U40" s="14" t="e">
        <f ca="1">INDEX(INDIRECT($AF$6),
       MATCH(TRIM($S40), INDIRECT($AF$7), 0),
       MATCH(TRIM(U$13), INDIRECT($AF$8), 0))</f>
        <v>#REF!</v>
      </c>
      <c r="V40" s="14" t="e">
        <f ca="1">INDEX(INDIRECT($AF$6),
       MATCH(TRIM($S40), INDIRECT($AF$7), 0),
       MATCH(TRIM(V$13), INDIRECT($AF$8), 0))</f>
        <v>#REF!</v>
      </c>
      <c r="W40" s="14" t="e">
        <f ca="1">INDEX(INDIRECT($AF$6),
       MATCH(TRIM($S40), INDIRECT($AF$7), 0),
       MATCH(TRIM(W$13), INDIRECT($AF$8), 0))</f>
        <v>#REF!</v>
      </c>
      <c r="X40" s="14" t="e">
        <f ca="1">INDEX(INDIRECT($AF$6),
       MATCH(TRIM($S40), INDIRECT($AF$7), 0),
       MATCH(TRIM(X$13), INDIRECT($AF$8), 0))</f>
        <v>#REF!</v>
      </c>
      <c r="Y40" s="14" t="e">
        <f ca="1">INDEX(INDIRECT($AF$6),
       MATCH(TRIM($S40), INDIRECT($AF$7), 0),
       MATCH(TRIM(Y$13), INDIRECT($AF$8), 0))</f>
        <v>#REF!</v>
      </c>
      <c r="Z40" s="14" t="e">
        <f t="shared" ca="1" si="1"/>
        <v>#REF!</v>
      </c>
      <c r="AA40" s="14" t="e">
        <f t="shared" ca="1" si="1"/>
        <v>#REF!</v>
      </c>
      <c r="AB40" s="14" t="e">
        <f t="shared" ca="1" si="2"/>
        <v>#REF!</v>
      </c>
    </row>
    <row r="41" spans="1:28" x14ac:dyDescent="0.2">
      <c r="R41" s="83">
        <v>28</v>
      </c>
      <c r="S41" s="84" t="s">
        <v>63</v>
      </c>
      <c r="T41" s="14" t="e">
        <f ca="1">INDEX(INDIRECT($AF$6),
       MATCH(TRIM($S41), INDIRECT($AF$7), 0),
       MATCH(TRIM(T$13), INDIRECT($AF$8), 0))</f>
        <v>#REF!</v>
      </c>
      <c r="U41" s="14" t="e">
        <f ca="1">INDEX(INDIRECT($AF$6),
       MATCH(TRIM($S41), INDIRECT($AF$7), 0),
       MATCH(TRIM(U$13), INDIRECT($AF$8), 0))</f>
        <v>#REF!</v>
      </c>
      <c r="V41" s="14" t="e">
        <f ca="1">INDEX(INDIRECT($AF$6),
       MATCH(TRIM($S41), INDIRECT($AF$7), 0),
       MATCH(TRIM(V$13), INDIRECT($AF$8), 0))</f>
        <v>#REF!</v>
      </c>
      <c r="W41" s="14" t="e">
        <f ca="1">INDEX(INDIRECT($AF$6),
       MATCH(TRIM($S41), INDIRECT($AF$7), 0),
       MATCH(TRIM(W$13), INDIRECT($AF$8), 0))</f>
        <v>#REF!</v>
      </c>
      <c r="X41" s="14" t="e">
        <f ca="1">INDEX(INDIRECT($AF$6),
       MATCH(TRIM($S41), INDIRECT($AF$7), 0),
       MATCH(TRIM(X$13), INDIRECT($AF$8), 0))</f>
        <v>#REF!</v>
      </c>
      <c r="Y41" s="14" t="e">
        <f ca="1">INDEX(INDIRECT($AF$6),
       MATCH(TRIM($S41), INDIRECT($AF$7), 0),
       MATCH(TRIM(Y$13), INDIRECT($AF$8), 0))</f>
        <v>#REF!</v>
      </c>
      <c r="Z41" s="14" t="e">
        <f t="shared" ca="1" si="1"/>
        <v>#REF!</v>
      </c>
      <c r="AA41" s="14" t="e">
        <f t="shared" ca="1" si="1"/>
        <v>#REF!</v>
      </c>
      <c r="AB41" s="14" t="e">
        <f t="shared" ca="1" si="2"/>
        <v>#REF!</v>
      </c>
    </row>
    <row r="42" spans="1:28" x14ac:dyDescent="0.2">
      <c r="R42" s="83">
        <v>29</v>
      </c>
      <c r="S42" s="85" t="s">
        <v>40</v>
      </c>
      <c r="T42" s="14" t="e">
        <f ca="1">INDEX(INDIRECT($AF$6),
       MATCH(TRIM($S42), INDIRECT($AF$7), 0),
       MATCH(TRIM(T$13), INDIRECT($AF$8), 0))</f>
        <v>#REF!</v>
      </c>
      <c r="U42" s="14" t="e">
        <f ca="1">INDEX(INDIRECT($AF$6),
       MATCH(TRIM($S42), INDIRECT($AF$7), 0),
       MATCH(TRIM(U$13), INDIRECT($AF$8), 0))</f>
        <v>#REF!</v>
      </c>
      <c r="V42" s="14" t="e">
        <f ca="1">INDEX(INDIRECT($AF$6),
       MATCH(TRIM($S42), INDIRECT($AF$7), 0),
       MATCH(TRIM(V$13), INDIRECT($AF$8), 0))</f>
        <v>#REF!</v>
      </c>
      <c r="W42" s="14" t="e">
        <f ca="1">INDEX(INDIRECT($AF$6),
       MATCH(TRIM($S42), INDIRECT($AF$7), 0),
       MATCH(TRIM(W$13), INDIRECT($AF$8), 0))</f>
        <v>#REF!</v>
      </c>
      <c r="X42" s="14" t="e">
        <f ca="1">INDEX(INDIRECT($AF$6),
       MATCH(TRIM($S42), INDIRECT($AF$7), 0),
       MATCH(TRIM(X$13), INDIRECT($AF$8), 0))</f>
        <v>#REF!</v>
      </c>
      <c r="Y42" s="14" t="e">
        <f ca="1">INDEX(INDIRECT($AF$6),
       MATCH(TRIM($S42), INDIRECT($AF$7), 0),
       MATCH(TRIM(Y$13), INDIRECT($AF$8), 0))</f>
        <v>#REF!</v>
      </c>
      <c r="Z42" s="14" t="e">
        <f t="shared" ca="1" si="1"/>
        <v>#REF!</v>
      </c>
      <c r="AA42" s="14" t="e">
        <f t="shared" ca="1" si="1"/>
        <v>#REF!</v>
      </c>
      <c r="AB42" s="14" t="e">
        <f t="shared" ca="1" si="2"/>
        <v>#REF!</v>
      </c>
    </row>
    <row r="43" spans="1:28" x14ac:dyDescent="0.2">
      <c r="R43" s="83">
        <v>30</v>
      </c>
      <c r="S43" s="85" t="s">
        <v>69</v>
      </c>
      <c r="T43" s="14" t="e">
        <f ca="1">INDEX(INDIRECT($AF$6),
       MATCH(TRIM($S43), INDIRECT($AF$7), 0),
       MATCH(TRIM(T$13), INDIRECT($AF$8), 0))</f>
        <v>#REF!</v>
      </c>
      <c r="U43" s="14" t="e">
        <f ca="1">INDEX(INDIRECT($AF$6),
       MATCH(TRIM($S43), INDIRECT($AF$7), 0),
       MATCH(TRIM(U$13), INDIRECT($AF$8), 0))</f>
        <v>#REF!</v>
      </c>
      <c r="V43" s="14" t="e">
        <f ca="1">INDEX(INDIRECT($AF$6),
       MATCH(TRIM($S43), INDIRECT($AF$7), 0),
       MATCH(TRIM(V$13), INDIRECT($AF$8), 0))</f>
        <v>#REF!</v>
      </c>
      <c r="W43" s="14" t="e">
        <f ca="1">INDEX(INDIRECT($AF$6),
       MATCH(TRIM($S43), INDIRECT($AF$7), 0),
       MATCH(TRIM(W$13), INDIRECT($AF$8), 0))</f>
        <v>#REF!</v>
      </c>
      <c r="X43" s="14" t="e">
        <f ca="1">INDEX(INDIRECT($AF$6),
       MATCH(TRIM($S43), INDIRECT($AF$7), 0),
       MATCH(TRIM(X$13), INDIRECT($AF$8), 0))</f>
        <v>#REF!</v>
      </c>
      <c r="Y43" s="14" t="e">
        <f ca="1">INDEX(INDIRECT($AF$6),
       MATCH(TRIM($S43), INDIRECT($AF$7), 0),
       MATCH(TRIM(Y$13), INDIRECT($AF$8), 0))</f>
        <v>#REF!</v>
      </c>
      <c r="Z43" s="14" t="e">
        <f t="shared" ca="1" si="1"/>
        <v>#REF!</v>
      </c>
      <c r="AA43" s="14" t="e">
        <f t="shared" ca="1" si="1"/>
        <v>#REF!</v>
      </c>
      <c r="AB43" s="14" t="e">
        <f t="shared" ca="1" si="2"/>
        <v>#REF!</v>
      </c>
    </row>
    <row r="44" spans="1:28" x14ac:dyDescent="0.2">
      <c r="R44" s="83">
        <v>31</v>
      </c>
      <c r="S44" s="84" t="s">
        <v>54</v>
      </c>
      <c r="T44" s="14" t="e">
        <f ca="1">INDEX(INDIRECT($AF$6),
       MATCH(TRIM($S44), INDIRECT($AF$7), 0),
       MATCH(TRIM(T$13), INDIRECT($AF$8), 0))</f>
        <v>#REF!</v>
      </c>
      <c r="U44" s="14" t="e">
        <f ca="1">INDEX(INDIRECT($AF$6),
       MATCH(TRIM($S44), INDIRECT($AF$7), 0),
       MATCH(TRIM(U$13), INDIRECT($AF$8), 0))</f>
        <v>#REF!</v>
      </c>
      <c r="V44" s="14" t="e">
        <f ca="1">INDEX(INDIRECT($AF$6),
       MATCH(TRIM($S44), INDIRECT($AF$7), 0),
       MATCH(TRIM(V$13), INDIRECT($AF$8), 0))</f>
        <v>#REF!</v>
      </c>
      <c r="W44" s="14" t="e">
        <f ca="1">INDEX(INDIRECT($AF$6),
       MATCH(TRIM($S44), INDIRECT($AF$7), 0),
       MATCH(TRIM(W$13), INDIRECT($AF$8), 0))</f>
        <v>#REF!</v>
      </c>
      <c r="X44" s="14" t="e">
        <f ca="1">INDEX(INDIRECT($AF$6),
       MATCH(TRIM($S44), INDIRECT($AF$7), 0),
       MATCH(TRIM(X$13), INDIRECT($AF$8), 0))</f>
        <v>#REF!</v>
      </c>
      <c r="Y44" s="14" t="e">
        <f ca="1">INDEX(INDIRECT($AF$6),
       MATCH(TRIM($S44), INDIRECT($AF$7), 0),
       MATCH(TRIM(Y$13), INDIRECT($AF$8), 0))</f>
        <v>#REF!</v>
      </c>
      <c r="Z44" s="14" t="e">
        <f t="shared" ca="1" si="1"/>
        <v>#REF!</v>
      </c>
      <c r="AA44" s="14" t="e">
        <f t="shared" ca="1" si="1"/>
        <v>#REF!</v>
      </c>
      <c r="AB44" s="14" t="e">
        <f t="shared" ca="1" si="2"/>
        <v>#REF!</v>
      </c>
    </row>
    <row r="45" spans="1:28" x14ac:dyDescent="0.2">
      <c r="R45" s="83">
        <v>32</v>
      </c>
      <c r="S45" s="86" t="s">
        <v>81</v>
      </c>
      <c r="T45" s="14" t="e">
        <f ca="1">INDEX(INDIRECT($AF$6),
       MATCH(TRIM($S45), INDIRECT($AF$7), 0),
       MATCH(TRIM(T$13), INDIRECT($AF$8), 0))</f>
        <v>#REF!</v>
      </c>
      <c r="U45" s="14" t="e">
        <f ca="1">INDEX(INDIRECT($AF$6),
       MATCH(TRIM($S45), INDIRECT($AF$7), 0),
       MATCH(TRIM(U$13), INDIRECT($AF$8), 0))</f>
        <v>#REF!</v>
      </c>
      <c r="V45" s="14" t="e">
        <f ca="1">INDEX(INDIRECT($AF$6),
       MATCH(TRIM($S45), INDIRECT($AF$7), 0),
       MATCH(TRIM(V$13), INDIRECT($AF$8), 0))</f>
        <v>#REF!</v>
      </c>
      <c r="W45" s="14" t="e">
        <f ca="1">INDEX(INDIRECT($AF$6),
       MATCH(TRIM($S45), INDIRECT($AF$7), 0),
       MATCH(TRIM(W$13), INDIRECT($AF$8), 0))</f>
        <v>#REF!</v>
      </c>
      <c r="X45" s="14" t="e">
        <f ca="1">INDEX(INDIRECT($AF$6),
       MATCH(TRIM($S45), INDIRECT($AF$7), 0),
       MATCH(TRIM(X$13), INDIRECT($AF$8), 0))</f>
        <v>#REF!</v>
      </c>
      <c r="Y45" s="14" t="e">
        <f ca="1">INDEX(INDIRECT($AF$6),
       MATCH(TRIM($S45), INDIRECT($AF$7), 0),
       MATCH(TRIM(Y$13), INDIRECT($AF$8), 0))</f>
        <v>#REF!</v>
      </c>
      <c r="Z45" s="14" t="e">
        <f t="shared" ca="1" si="1"/>
        <v>#REF!</v>
      </c>
      <c r="AA45" s="14" t="e">
        <f t="shared" ca="1" si="1"/>
        <v>#REF!</v>
      </c>
      <c r="AB45" s="14" t="e">
        <f t="shared" ca="1" si="2"/>
        <v>#REF!</v>
      </c>
    </row>
    <row r="46" spans="1:28" x14ac:dyDescent="0.2">
      <c r="R46" s="83">
        <v>33</v>
      </c>
      <c r="S46" s="84" t="s">
        <v>56</v>
      </c>
      <c r="T46" s="14" t="e">
        <f ca="1">INDEX(INDIRECT($AF$6),
       MATCH(TRIM($S46), INDIRECT($AF$7), 0),
       MATCH(TRIM(T$13), INDIRECT($AF$8), 0))</f>
        <v>#REF!</v>
      </c>
      <c r="U46" s="14" t="e">
        <f ca="1">INDEX(INDIRECT($AF$6),
       MATCH(TRIM($S46), INDIRECT($AF$7), 0),
       MATCH(TRIM(U$13), INDIRECT($AF$8), 0))</f>
        <v>#REF!</v>
      </c>
      <c r="V46" s="14" t="e">
        <f ca="1">INDEX(INDIRECT($AF$6),
       MATCH(TRIM($S46), INDIRECT($AF$7), 0),
       MATCH(TRIM(V$13), INDIRECT($AF$8), 0))</f>
        <v>#REF!</v>
      </c>
      <c r="W46" s="14" t="e">
        <f ca="1">INDEX(INDIRECT($AF$6),
       MATCH(TRIM($S46), INDIRECT($AF$7), 0),
       MATCH(TRIM(W$13), INDIRECT($AF$8), 0))</f>
        <v>#REF!</v>
      </c>
      <c r="X46" s="14" t="e">
        <f ca="1">INDEX(INDIRECT($AF$6),
       MATCH(TRIM($S46), INDIRECT($AF$7), 0),
       MATCH(TRIM(X$13), INDIRECT($AF$8), 0))</f>
        <v>#REF!</v>
      </c>
      <c r="Y46" s="14" t="e">
        <f ca="1">INDEX(INDIRECT($AF$6),
       MATCH(TRIM($S46), INDIRECT($AF$7), 0),
       MATCH(TRIM(Y$13), INDIRECT($AF$8), 0))</f>
        <v>#REF!</v>
      </c>
      <c r="Z46" s="14" t="e">
        <f t="shared" ca="1" si="1"/>
        <v>#REF!</v>
      </c>
      <c r="AA46" s="14" t="e">
        <f t="shared" ca="1" si="1"/>
        <v>#REF!</v>
      </c>
      <c r="AB46" s="14" t="e">
        <f t="shared" ca="1" si="2"/>
        <v>#REF!</v>
      </c>
    </row>
    <row r="47" spans="1:28" x14ac:dyDescent="0.2">
      <c r="R47" s="83">
        <v>34</v>
      </c>
      <c r="S47" s="85" t="s">
        <v>55</v>
      </c>
      <c r="T47" s="14" t="e">
        <f ca="1">INDEX(INDIRECT($AF$6),
       MATCH(TRIM($S47), INDIRECT($AF$7), 0),
       MATCH(TRIM(T$13), INDIRECT($AF$8), 0))</f>
        <v>#REF!</v>
      </c>
      <c r="U47" s="14" t="e">
        <f ca="1">INDEX(INDIRECT($AF$6),
       MATCH(TRIM($S47), INDIRECT($AF$7), 0),
       MATCH(TRIM(U$13), INDIRECT($AF$8), 0))</f>
        <v>#REF!</v>
      </c>
      <c r="V47" s="14" t="e">
        <f ca="1">INDEX(INDIRECT($AF$6),
       MATCH(TRIM($S47), INDIRECT($AF$7), 0),
       MATCH(TRIM(V$13), INDIRECT($AF$8), 0))</f>
        <v>#REF!</v>
      </c>
      <c r="W47" s="14" t="e">
        <f ca="1">INDEX(INDIRECT($AF$6),
       MATCH(TRIM($S47), INDIRECT($AF$7), 0),
       MATCH(TRIM(W$13), INDIRECT($AF$8), 0))</f>
        <v>#REF!</v>
      </c>
      <c r="X47" s="14" t="e">
        <f ca="1">INDEX(INDIRECT($AF$6),
       MATCH(TRIM($S47), INDIRECT($AF$7), 0),
       MATCH(TRIM(X$13), INDIRECT($AF$8), 0))</f>
        <v>#REF!</v>
      </c>
      <c r="Y47" s="14" t="e">
        <f ca="1">INDEX(INDIRECT($AF$6),
       MATCH(TRIM($S47), INDIRECT($AF$7), 0),
       MATCH(TRIM(Y$13), INDIRECT($AF$8), 0))</f>
        <v>#REF!</v>
      </c>
      <c r="Z47" s="14" t="e">
        <f t="shared" ref="Z47:AB70" ca="1" si="6">INDEX(INDIRECT($AF$6),
       MATCH(TRIM($S47), INDIRECT($AF$7), 0),
       MATCH(TRIM(Z$13), INDIRECT($AF$8), 0))</f>
        <v>#REF!</v>
      </c>
      <c r="AA47" s="14" t="e">
        <f t="shared" ca="1" si="6"/>
        <v>#REF!</v>
      </c>
      <c r="AB47" s="14" t="e">
        <f t="shared" ca="1" si="2"/>
        <v>#REF!</v>
      </c>
    </row>
    <row r="48" spans="1:28" x14ac:dyDescent="0.2">
      <c r="R48" s="83">
        <v>35</v>
      </c>
      <c r="S48" s="85" t="s">
        <v>68</v>
      </c>
      <c r="T48" s="14" t="e">
        <f ca="1">INDEX(INDIRECT($AF$6),
       MATCH(TRIM($S48), INDIRECT($AF$7), 0),
       MATCH(TRIM(T$13), INDIRECT($AF$8), 0))</f>
        <v>#REF!</v>
      </c>
      <c r="U48" s="14" t="e">
        <f ca="1">INDEX(INDIRECT($AF$6),
       MATCH(TRIM($S48), INDIRECT($AF$7), 0),
       MATCH(TRIM(U$13), INDIRECT($AF$8), 0))</f>
        <v>#REF!</v>
      </c>
      <c r="V48" s="14" t="e">
        <f ca="1">INDEX(INDIRECT($AF$6),
       MATCH(TRIM($S48), INDIRECT($AF$7), 0),
       MATCH(TRIM(V$13), INDIRECT($AF$8), 0))</f>
        <v>#REF!</v>
      </c>
      <c r="W48" s="14" t="e">
        <f ca="1">INDEX(INDIRECT($AF$6),
       MATCH(TRIM($S48), INDIRECT($AF$7), 0),
       MATCH(TRIM(W$13), INDIRECT($AF$8), 0))</f>
        <v>#REF!</v>
      </c>
      <c r="X48" s="14" t="e">
        <f ca="1">INDEX(INDIRECT($AF$6),
       MATCH(TRIM($S48), INDIRECT($AF$7), 0),
       MATCH(TRIM(X$13), INDIRECT($AF$8), 0))</f>
        <v>#REF!</v>
      </c>
      <c r="Y48" s="14" t="e">
        <f ca="1">INDEX(INDIRECT($AF$6),
       MATCH(TRIM($S48), INDIRECT($AF$7), 0),
       MATCH(TRIM(Y$13), INDIRECT($AF$8), 0))</f>
        <v>#REF!</v>
      </c>
      <c r="Z48" s="14" t="e">
        <f t="shared" ca="1" si="6"/>
        <v>#REF!</v>
      </c>
      <c r="AA48" s="14" t="e">
        <f t="shared" ca="1" si="6"/>
        <v>#REF!</v>
      </c>
      <c r="AB48" s="14" t="e">
        <f t="shared" ca="1" si="2"/>
        <v>#REF!</v>
      </c>
    </row>
    <row r="49" spans="18:28" x14ac:dyDescent="0.2">
      <c r="R49" s="83">
        <v>36</v>
      </c>
      <c r="S49" s="85" t="s">
        <v>58</v>
      </c>
      <c r="T49" s="14" t="e">
        <f ca="1">INDEX(INDIRECT($AF$6),
       MATCH(TRIM($S49), INDIRECT($AF$7), 0),
       MATCH(TRIM(T$13), INDIRECT($AF$8), 0))</f>
        <v>#REF!</v>
      </c>
      <c r="U49" s="14" t="e">
        <f ca="1">INDEX(INDIRECT($AF$6),
       MATCH(TRIM($S49), INDIRECT($AF$7), 0),
       MATCH(TRIM(U$13), INDIRECT($AF$8), 0))</f>
        <v>#REF!</v>
      </c>
      <c r="V49" s="14" t="e">
        <f ca="1">INDEX(INDIRECT($AF$6),
       MATCH(TRIM($S49), INDIRECT($AF$7), 0),
       MATCH(TRIM(V$13), INDIRECT($AF$8), 0))</f>
        <v>#REF!</v>
      </c>
      <c r="W49" s="14" t="e">
        <f ca="1">INDEX(INDIRECT($AF$6),
       MATCH(TRIM($S49), INDIRECT($AF$7), 0),
       MATCH(TRIM(W$13), INDIRECT($AF$8), 0))</f>
        <v>#REF!</v>
      </c>
      <c r="X49" s="14" t="e">
        <f ca="1">INDEX(INDIRECT($AF$6),
       MATCH(TRIM($S49), INDIRECT($AF$7), 0),
       MATCH(TRIM(X$13), INDIRECT($AF$8), 0))</f>
        <v>#REF!</v>
      </c>
      <c r="Y49" s="14" t="e">
        <f ca="1">INDEX(INDIRECT($AF$6),
       MATCH(TRIM($S49), INDIRECT($AF$7), 0),
       MATCH(TRIM(Y$13), INDIRECT($AF$8), 0))</f>
        <v>#REF!</v>
      </c>
      <c r="Z49" s="14" t="e">
        <f t="shared" ca="1" si="6"/>
        <v>#REF!</v>
      </c>
      <c r="AA49" s="14" t="e">
        <f t="shared" ca="1" si="6"/>
        <v>#REF!</v>
      </c>
      <c r="AB49" s="14" t="e">
        <f t="shared" ca="1" si="2"/>
        <v>#REF!</v>
      </c>
    </row>
    <row r="50" spans="18:28" x14ac:dyDescent="0.2">
      <c r="R50" s="83">
        <v>37</v>
      </c>
      <c r="S50" s="85" t="s">
        <v>82</v>
      </c>
      <c r="T50" s="14" t="e">
        <f ca="1">INDEX(INDIRECT($AF$6),
       MATCH(TRIM($S50), INDIRECT($AF$7), 0),
       MATCH(TRIM(T$13), INDIRECT($AF$8), 0))</f>
        <v>#REF!</v>
      </c>
      <c r="U50" s="14" t="e">
        <f ca="1">INDEX(INDIRECT($AF$6),
       MATCH(TRIM($S50), INDIRECT($AF$7), 0),
       MATCH(TRIM(U$13), INDIRECT($AF$8), 0))</f>
        <v>#REF!</v>
      </c>
      <c r="V50" s="14" t="e">
        <f ca="1">INDEX(INDIRECT($AF$6),
       MATCH(TRIM($S50), INDIRECT($AF$7), 0),
       MATCH(TRIM(V$13), INDIRECT($AF$8), 0))</f>
        <v>#REF!</v>
      </c>
      <c r="W50" s="14" t="e">
        <f ca="1">INDEX(INDIRECT($AF$6),
       MATCH(TRIM($S50), INDIRECT($AF$7), 0),
       MATCH(TRIM(W$13), INDIRECT($AF$8), 0))</f>
        <v>#REF!</v>
      </c>
      <c r="X50" s="14" t="e">
        <f ca="1">INDEX(INDIRECT($AF$6),
       MATCH(TRIM($S50), INDIRECT($AF$7), 0),
       MATCH(TRIM(X$13), INDIRECT($AF$8), 0))</f>
        <v>#REF!</v>
      </c>
      <c r="Y50" s="14" t="e">
        <f ca="1">INDEX(INDIRECT($AF$6),
       MATCH(TRIM($S50), INDIRECT($AF$7), 0),
       MATCH(TRIM(Y$13), INDIRECT($AF$8), 0))</f>
        <v>#REF!</v>
      </c>
      <c r="Z50" s="14" t="e">
        <f t="shared" ca="1" si="6"/>
        <v>#REF!</v>
      </c>
      <c r="AA50" s="14" t="e">
        <f t="shared" ca="1" si="6"/>
        <v>#REF!</v>
      </c>
      <c r="AB50" s="14" t="e">
        <f t="shared" ca="1" si="2"/>
        <v>#REF!</v>
      </c>
    </row>
    <row r="51" spans="18:28" x14ac:dyDescent="0.2">
      <c r="R51" s="83">
        <v>38</v>
      </c>
      <c r="S51" s="84" t="s">
        <v>83</v>
      </c>
      <c r="T51" s="14" t="e">
        <f ca="1">INDEX(INDIRECT($AF$6),
       MATCH(TRIM($S51), INDIRECT($AF$7), 0),
       MATCH(TRIM(T$13), INDIRECT($AF$8), 0))</f>
        <v>#REF!</v>
      </c>
      <c r="U51" s="14" t="e">
        <f ca="1">INDEX(INDIRECT($AF$6),
       MATCH(TRIM($S51), INDIRECT($AF$7), 0),
       MATCH(TRIM(U$13), INDIRECT($AF$8), 0))</f>
        <v>#REF!</v>
      </c>
      <c r="V51" s="14" t="e">
        <f ca="1">INDEX(INDIRECT($AF$6),
       MATCH(TRIM($S51), INDIRECT($AF$7), 0),
       MATCH(TRIM(V$13), INDIRECT($AF$8), 0))</f>
        <v>#REF!</v>
      </c>
      <c r="W51" s="14" t="e">
        <f ca="1">INDEX(INDIRECT($AF$6),
       MATCH(TRIM($S51), INDIRECT($AF$7), 0),
       MATCH(TRIM(W$13), INDIRECT($AF$8), 0))</f>
        <v>#REF!</v>
      </c>
      <c r="X51" s="14" t="e">
        <f ca="1">INDEX(INDIRECT($AF$6),
       MATCH(TRIM($S51), INDIRECT($AF$7), 0),
       MATCH(TRIM(X$13), INDIRECT($AF$8), 0))</f>
        <v>#REF!</v>
      </c>
      <c r="Y51" s="14" t="e">
        <f ca="1">INDEX(INDIRECT($AF$6),
       MATCH(TRIM($S51), INDIRECT($AF$7), 0),
       MATCH(TRIM(Y$13), INDIRECT($AF$8), 0))</f>
        <v>#REF!</v>
      </c>
      <c r="Z51" s="14" t="e">
        <f t="shared" ca="1" si="6"/>
        <v>#REF!</v>
      </c>
      <c r="AA51" s="14" t="e">
        <f t="shared" ca="1" si="6"/>
        <v>#REF!</v>
      </c>
      <c r="AB51" s="14" t="e">
        <f t="shared" ca="1" si="2"/>
        <v>#REF!</v>
      </c>
    </row>
    <row r="52" spans="18:28" x14ac:dyDescent="0.2">
      <c r="R52" s="83">
        <v>39</v>
      </c>
      <c r="S52" s="86" t="s">
        <v>74</v>
      </c>
      <c r="T52" s="14" t="e">
        <f ca="1">INDEX(INDIRECT($AF$6),
       MATCH(TRIM($S52), INDIRECT($AF$7), 0),
       MATCH(TRIM(T$13), INDIRECT($AF$8), 0))</f>
        <v>#REF!</v>
      </c>
      <c r="U52" s="14" t="e">
        <f ca="1">INDEX(INDIRECT($AF$6),
       MATCH(TRIM($S52), INDIRECT($AF$7), 0),
       MATCH(TRIM(U$13), INDIRECT($AF$8), 0))</f>
        <v>#REF!</v>
      </c>
      <c r="V52" s="14" t="e">
        <f ca="1">INDEX(INDIRECT($AF$6),
       MATCH(TRIM($S52), INDIRECT($AF$7), 0),
       MATCH(TRIM(V$13), INDIRECT($AF$8), 0))</f>
        <v>#REF!</v>
      </c>
      <c r="W52" s="14" t="e">
        <f ca="1">INDEX(INDIRECT($AF$6),
       MATCH(TRIM($S52), INDIRECT($AF$7), 0),
       MATCH(TRIM(W$13), INDIRECT($AF$8), 0))</f>
        <v>#REF!</v>
      </c>
      <c r="X52" s="14" t="e">
        <f ca="1">INDEX(INDIRECT($AF$6),
       MATCH(TRIM($S52), INDIRECT($AF$7), 0),
       MATCH(TRIM(X$13), INDIRECT($AF$8), 0))</f>
        <v>#REF!</v>
      </c>
      <c r="Y52" s="14" t="e">
        <f ca="1">INDEX(INDIRECT($AF$6),
       MATCH(TRIM($S52), INDIRECT($AF$7), 0),
       MATCH(TRIM(Y$13), INDIRECT($AF$8), 0))</f>
        <v>#REF!</v>
      </c>
      <c r="Z52" s="14" t="e">
        <f t="shared" ca="1" si="6"/>
        <v>#REF!</v>
      </c>
      <c r="AA52" s="14" t="e">
        <f t="shared" ca="1" si="6"/>
        <v>#REF!</v>
      </c>
      <c r="AB52" s="14" t="e">
        <f t="shared" ca="1" si="2"/>
        <v>#REF!</v>
      </c>
    </row>
    <row r="53" spans="18:28" x14ac:dyDescent="0.2">
      <c r="R53" s="83">
        <v>40</v>
      </c>
      <c r="S53" s="85" t="s">
        <v>48</v>
      </c>
      <c r="T53" s="14" t="e">
        <f ca="1">INDEX(INDIRECT($AF$6),
       MATCH(TRIM($S53), INDIRECT($AF$7), 0),
       MATCH(TRIM(T$13), INDIRECT($AF$8), 0))</f>
        <v>#REF!</v>
      </c>
      <c r="U53" s="14" t="e">
        <f ca="1">INDEX(INDIRECT($AF$6),
       MATCH(TRIM($S53), INDIRECT($AF$7), 0),
       MATCH(TRIM(U$13), INDIRECT($AF$8), 0))</f>
        <v>#REF!</v>
      </c>
      <c r="V53" s="14" t="e">
        <f ca="1">INDEX(INDIRECT($AF$6),
       MATCH(TRIM($S53), INDIRECT($AF$7), 0),
       MATCH(TRIM(V$13), INDIRECT($AF$8), 0))</f>
        <v>#REF!</v>
      </c>
      <c r="W53" s="14" t="e">
        <f ca="1">INDEX(INDIRECT($AF$6),
       MATCH(TRIM($S53), INDIRECT($AF$7), 0),
       MATCH(TRIM(W$13), INDIRECT($AF$8), 0))</f>
        <v>#REF!</v>
      </c>
      <c r="X53" s="14" t="e">
        <f ca="1">INDEX(INDIRECT($AF$6),
       MATCH(TRIM($S53), INDIRECT($AF$7), 0),
       MATCH(TRIM(X$13), INDIRECT($AF$8), 0))</f>
        <v>#REF!</v>
      </c>
      <c r="Y53" s="14" t="e">
        <f ca="1">INDEX(INDIRECT($AF$6),
       MATCH(TRIM($S53), INDIRECT($AF$7), 0),
       MATCH(TRIM(Y$13), INDIRECT($AF$8), 0))</f>
        <v>#REF!</v>
      </c>
      <c r="Z53" s="14" t="e">
        <f t="shared" ca="1" si="6"/>
        <v>#REF!</v>
      </c>
      <c r="AA53" s="14" t="e">
        <f t="shared" ca="1" si="6"/>
        <v>#REF!</v>
      </c>
      <c r="AB53" s="14" t="e">
        <f t="shared" ca="1" si="2"/>
        <v>#REF!</v>
      </c>
    </row>
    <row r="54" spans="18:28" x14ac:dyDescent="0.2">
      <c r="R54" s="83">
        <v>41</v>
      </c>
      <c r="S54" s="85" t="s">
        <v>86</v>
      </c>
      <c r="T54" s="14" t="e">
        <f ca="1">INDEX(INDIRECT($AF$6),
       MATCH(TRIM($S54), INDIRECT($AF$7), 0),
       MATCH(TRIM(T$13), INDIRECT($AF$8), 0))</f>
        <v>#REF!</v>
      </c>
      <c r="U54" s="14" t="e">
        <f ca="1">INDEX(INDIRECT($AF$6),
       MATCH(TRIM($S54), INDIRECT($AF$7), 0),
       MATCH(TRIM(U$13), INDIRECT($AF$8), 0))</f>
        <v>#REF!</v>
      </c>
      <c r="V54" s="14" t="e">
        <f ca="1">INDEX(INDIRECT($AF$6),
       MATCH(TRIM($S54), INDIRECT($AF$7), 0),
       MATCH(TRIM(V$13), INDIRECT($AF$8), 0))</f>
        <v>#REF!</v>
      </c>
      <c r="W54" s="14" t="e">
        <f ca="1">INDEX(INDIRECT($AF$6),
       MATCH(TRIM($S54), INDIRECT($AF$7), 0),
       MATCH(TRIM(W$13), INDIRECT($AF$8), 0))</f>
        <v>#REF!</v>
      </c>
      <c r="X54" s="14" t="e">
        <f ca="1">INDEX(INDIRECT($AF$6),
       MATCH(TRIM($S54), INDIRECT($AF$7), 0),
       MATCH(TRIM(X$13), INDIRECT($AF$8), 0))</f>
        <v>#REF!</v>
      </c>
      <c r="Y54" s="14" t="e">
        <f ca="1">INDEX(INDIRECT($AF$6),
       MATCH(TRIM($S54), INDIRECT($AF$7), 0),
       MATCH(TRIM(Y$13), INDIRECT($AF$8), 0))</f>
        <v>#REF!</v>
      </c>
      <c r="Z54" s="14" t="e">
        <f t="shared" ca="1" si="6"/>
        <v>#REF!</v>
      </c>
      <c r="AA54" s="14" t="e">
        <f t="shared" ca="1" si="6"/>
        <v>#REF!</v>
      </c>
      <c r="AB54" s="14" t="e">
        <f t="shared" ca="1" si="2"/>
        <v>#REF!</v>
      </c>
    </row>
    <row r="55" spans="18:28" x14ac:dyDescent="0.2">
      <c r="R55" s="83">
        <v>42</v>
      </c>
      <c r="S55" s="85" t="s">
        <v>64</v>
      </c>
      <c r="T55" s="14" t="e">
        <f ca="1">INDEX(INDIRECT($AF$6),
       MATCH(TRIM($S55), INDIRECT($AF$7), 0),
       MATCH(TRIM(T$13), INDIRECT($AF$8), 0))</f>
        <v>#REF!</v>
      </c>
      <c r="U55" s="14" t="e">
        <f ca="1">INDEX(INDIRECT($AF$6),
       MATCH(TRIM($S55), INDIRECT($AF$7), 0),
       MATCH(TRIM(U$13), INDIRECT($AF$8), 0))</f>
        <v>#REF!</v>
      </c>
      <c r="V55" s="14" t="e">
        <f ca="1">INDEX(INDIRECT($AF$6),
       MATCH(TRIM($S55), INDIRECT($AF$7), 0),
       MATCH(TRIM(V$13), INDIRECT($AF$8), 0))</f>
        <v>#REF!</v>
      </c>
      <c r="W55" s="14" t="e">
        <f ca="1">INDEX(INDIRECT($AF$6),
       MATCH(TRIM($S55), INDIRECT($AF$7), 0),
       MATCH(TRIM(W$13), INDIRECT($AF$8), 0))</f>
        <v>#REF!</v>
      </c>
      <c r="X55" s="14" t="e">
        <f ca="1">INDEX(INDIRECT($AF$6),
       MATCH(TRIM($S55), INDIRECT($AF$7), 0),
       MATCH(TRIM(X$13), INDIRECT($AF$8), 0))</f>
        <v>#REF!</v>
      </c>
      <c r="Y55" s="14" t="e">
        <f ca="1">INDEX(INDIRECT($AF$6),
       MATCH(TRIM($S55), INDIRECT($AF$7), 0),
       MATCH(TRIM(Y$13), INDIRECT($AF$8), 0))</f>
        <v>#REF!</v>
      </c>
      <c r="Z55" s="14" t="e">
        <f t="shared" ca="1" si="6"/>
        <v>#REF!</v>
      </c>
      <c r="AA55" s="14" t="e">
        <f t="shared" ca="1" si="6"/>
        <v>#REF!</v>
      </c>
      <c r="AB55" s="14" t="e">
        <f t="shared" ca="1" si="2"/>
        <v>#REF!</v>
      </c>
    </row>
    <row r="56" spans="18:28" x14ac:dyDescent="0.2">
      <c r="R56" s="83">
        <v>43</v>
      </c>
      <c r="S56" s="85" t="s">
        <v>77</v>
      </c>
      <c r="T56" s="14" t="e">
        <f ca="1">INDEX(INDIRECT($AF$6),
       MATCH(TRIM($S56), INDIRECT($AF$7), 0),
       MATCH(TRIM(T$13), INDIRECT($AF$8), 0))</f>
        <v>#REF!</v>
      </c>
      <c r="U56" s="14" t="e">
        <f ca="1">INDEX(INDIRECT($AF$6),
       MATCH(TRIM($S56), INDIRECT($AF$7), 0),
       MATCH(TRIM(U$13), INDIRECT($AF$8), 0))</f>
        <v>#REF!</v>
      </c>
      <c r="V56" s="14" t="e">
        <f ca="1">INDEX(INDIRECT($AF$6),
       MATCH(TRIM($S56), INDIRECT($AF$7), 0),
       MATCH(TRIM(V$13), INDIRECT($AF$8), 0))</f>
        <v>#REF!</v>
      </c>
      <c r="W56" s="14" t="e">
        <f ca="1">INDEX(INDIRECT($AF$6),
       MATCH(TRIM($S56), INDIRECT($AF$7), 0),
       MATCH(TRIM(W$13), INDIRECT($AF$8), 0))</f>
        <v>#REF!</v>
      </c>
      <c r="X56" s="14" t="e">
        <f ca="1">INDEX(INDIRECT($AF$6),
       MATCH(TRIM($S56), INDIRECT($AF$7), 0),
       MATCH(TRIM(X$13), INDIRECT($AF$8), 0))</f>
        <v>#REF!</v>
      </c>
      <c r="Y56" s="14" t="e">
        <f ca="1">INDEX(INDIRECT($AF$6),
       MATCH(TRIM($S56), INDIRECT($AF$7), 0),
       MATCH(TRIM(Y$13), INDIRECT($AF$8), 0))</f>
        <v>#REF!</v>
      </c>
      <c r="Z56" s="14" t="e">
        <f t="shared" ca="1" si="6"/>
        <v>#REF!</v>
      </c>
      <c r="AA56" s="14" t="e">
        <f t="shared" ca="1" si="6"/>
        <v>#REF!</v>
      </c>
      <c r="AB56" s="14" t="e">
        <f t="shared" ca="1" si="2"/>
        <v>#REF!</v>
      </c>
    </row>
    <row r="57" spans="18:28" x14ac:dyDescent="0.2">
      <c r="R57" s="83">
        <v>44</v>
      </c>
      <c r="S57" s="85" t="s">
        <v>121</v>
      </c>
      <c r="T57" s="14" t="e">
        <f ca="1">INDEX(INDIRECT($AF$6),
       MATCH(TRIM($S57), INDIRECT($AF$7), 0),
       MATCH(TRIM(T$13), INDIRECT($AF$8), 0))</f>
        <v>#REF!</v>
      </c>
      <c r="U57" s="14" t="e">
        <f ca="1">INDEX(INDIRECT($AF$6),
       MATCH(TRIM($S57), INDIRECT($AF$7), 0),
       MATCH(TRIM(U$13), INDIRECT($AF$8), 0))</f>
        <v>#REF!</v>
      </c>
      <c r="V57" s="14" t="e">
        <f ca="1">INDEX(INDIRECT($AF$6),
       MATCH(TRIM($S57), INDIRECT($AF$7), 0),
       MATCH(TRIM(V$13), INDIRECT($AF$8), 0))</f>
        <v>#REF!</v>
      </c>
      <c r="W57" s="14" t="e">
        <f ca="1">INDEX(INDIRECT($AF$6),
       MATCH(TRIM($S57), INDIRECT($AF$7), 0),
       MATCH(TRIM(W$13), INDIRECT($AF$8), 0))</f>
        <v>#REF!</v>
      </c>
      <c r="X57" s="14" t="e">
        <f ca="1">INDEX(INDIRECT($AF$6),
       MATCH(TRIM($S57), INDIRECT($AF$7), 0),
       MATCH(TRIM(X$13), INDIRECT($AF$8), 0))</f>
        <v>#REF!</v>
      </c>
      <c r="Y57" s="14" t="e">
        <f ca="1">INDEX(INDIRECT($AF$6),
       MATCH(TRIM($S57), INDIRECT($AF$7), 0),
       MATCH(TRIM(Y$13), INDIRECT($AF$8), 0))</f>
        <v>#REF!</v>
      </c>
      <c r="Z57" s="14" t="e">
        <f t="shared" ca="1" si="6"/>
        <v>#REF!</v>
      </c>
      <c r="AA57" s="14" t="e">
        <f t="shared" ca="1" si="6"/>
        <v>#REF!</v>
      </c>
      <c r="AB57" s="14" t="e">
        <f t="shared" ca="1" si="2"/>
        <v>#REF!</v>
      </c>
    </row>
    <row r="58" spans="18:28" x14ac:dyDescent="0.2">
      <c r="R58" s="83">
        <v>45</v>
      </c>
      <c r="S58" s="85" t="s">
        <v>133</v>
      </c>
      <c r="T58" s="14" t="e">
        <f ca="1">INDEX(INDIRECT($AF$6),
       MATCH(TRIM($S58), INDIRECT($AF$7), 0),
       MATCH(TRIM(T$13), INDIRECT($AF$8), 0))</f>
        <v>#REF!</v>
      </c>
      <c r="U58" s="14" t="e">
        <f ca="1">INDEX(INDIRECT($AF$6),
       MATCH(TRIM($S58), INDIRECT($AF$7), 0),
       MATCH(TRIM(U$13), INDIRECT($AF$8), 0))</f>
        <v>#REF!</v>
      </c>
      <c r="V58" s="14" t="e">
        <f ca="1">INDEX(INDIRECT($AF$6),
       MATCH(TRIM($S58), INDIRECT($AF$7), 0),
       MATCH(TRIM(V$13), INDIRECT($AF$8), 0))</f>
        <v>#REF!</v>
      </c>
      <c r="W58" s="14" t="e">
        <f ca="1">INDEX(INDIRECT($AF$6),
       MATCH(TRIM($S58), INDIRECT($AF$7), 0),
       MATCH(TRIM(W$13), INDIRECT($AF$8), 0))</f>
        <v>#REF!</v>
      </c>
      <c r="X58" s="14" t="e">
        <f ca="1">INDEX(INDIRECT($AF$6),
       MATCH(TRIM($S58), INDIRECT($AF$7), 0),
       MATCH(TRIM(X$13), INDIRECT($AF$8), 0))</f>
        <v>#REF!</v>
      </c>
      <c r="Y58" s="14" t="e">
        <f ca="1">INDEX(INDIRECT($AF$6),
       MATCH(TRIM($S58), INDIRECT($AF$7), 0),
       MATCH(TRIM(Y$13), INDIRECT($AF$8), 0))</f>
        <v>#REF!</v>
      </c>
      <c r="Z58" s="14" t="e">
        <f t="shared" ca="1" si="6"/>
        <v>#REF!</v>
      </c>
      <c r="AA58" s="14" t="e">
        <f t="shared" ca="1" si="6"/>
        <v>#REF!</v>
      </c>
      <c r="AB58" s="14" t="e">
        <f t="shared" ca="1" si="2"/>
        <v>#REF!</v>
      </c>
    </row>
    <row r="59" spans="18:28" x14ac:dyDescent="0.2">
      <c r="R59" s="83">
        <v>46</v>
      </c>
      <c r="S59" s="85" t="s">
        <v>80</v>
      </c>
      <c r="T59" s="14" t="e">
        <f ca="1">INDEX(INDIRECT($AF$6),
       MATCH(TRIM($S59), INDIRECT($AF$7), 0),
       MATCH(TRIM(T$13), INDIRECT($AF$8), 0))</f>
        <v>#REF!</v>
      </c>
      <c r="U59" s="14" t="e">
        <f ca="1">INDEX(INDIRECT($AF$6),
       MATCH(TRIM($S59), INDIRECT($AF$7), 0),
       MATCH(TRIM(U$13), INDIRECT($AF$8), 0))</f>
        <v>#REF!</v>
      </c>
      <c r="V59" s="14" t="e">
        <f ca="1">INDEX(INDIRECT($AF$6),
       MATCH(TRIM($S59), INDIRECT($AF$7), 0),
       MATCH(TRIM(V$13), INDIRECT($AF$8), 0))</f>
        <v>#REF!</v>
      </c>
      <c r="W59" s="14" t="e">
        <f ca="1">INDEX(INDIRECT($AF$6),
       MATCH(TRIM($S59), INDIRECT($AF$7), 0),
       MATCH(TRIM(W$13), INDIRECT($AF$8), 0))</f>
        <v>#REF!</v>
      </c>
      <c r="X59" s="14" t="e">
        <f ca="1">INDEX(INDIRECT($AF$6),
       MATCH(TRIM($S59), INDIRECT($AF$7), 0),
       MATCH(TRIM(X$13), INDIRECT($AF$8), 0))</f>
        <v>#REF!</v>
      </c>
      <c r="Y59" s="14" t="e">
        <f ca="1">INDEX(INDIRECT($AF$6),
       MATCH(TRIM($S59), INDIRECT($AF$7), 0),
       MATCH(TRIM(Y$13), INDIRECT($AF$8), 0))</f>
        <v>#REF!</v>
      </c>
      <c r="Z59" s="14" t="e">
        <f t="shared" ca="1" si="6"/>
        <v>#REF!</v>
      </c>
      <c r="AA59" s="14" t="e">
        <f t="shared" ca="1" si="6"/>
        <v>#REF!</v>
      </c>
      <c r="AB59" s="14" t="e">
        <f t="shared" ca="1" si="2"/>
        <v>#REF!</v>
      </c>
    </row>
    <row r="60" spans="18:28" x14ac:dyDescent="0.2">
      <c r="R60" s="83">
        <v>47</v>
      </c>
      <c r="S60" s="85" t="s">
        <v>117</v>
      </c>
      <c r="T60" s="14" t="e">
        <f ca="1">INDEX(INDIRECT($AF$6),
       MATCH(TRIM($S60), INDIRECT($AF$7), 0),
       MATCH(TRIM(T$13), INDIRECT($AF$8), 0))</f>
        <v>#REF!</v>
      </c>
      <c r="U60" s="14" t="e">
        <f ca="1">INDEX(INDIRECT($AF$6),
       MATCH(TRIM($S60), INDIRECT($AF$7), 0),
       MATCH(TRIM(U$13), INDIRECT($AF$8), 0))</f>
        <v>#REF!</v>
      </c>
      <c r="V60" s="14" t="e">
        <f ca="1">INDEX(INDIRECT($AF$6),
       MATCH(TRIM($S60), INDIRECT($AF$7), 0),
       MATCH(TRIM(V$13), INDIRECT($AF$8), 0))</f>
        <v>#REF!</v>
      </c>
      <c r="W60" s="14" t="e">
        <f ca="1">INDEX(INDIRECT($AF$6),
       MATCH(TRIM($S60), INDIRECT($AF$7), 0),
       MATCH(TRIM(W$13), INDIRECT($AF$8), 0))</f>
        <v>#REF!</v>
      </c>
      <c r="X60" s="14" t="e">
        <f ca="1">INDEX(INDIRECT($AF$6),
       MATCH(TRIM($S60), INDIRECT($AF$7), 0),
       MATCH(TRIM(X$13), INDIRECT($AF$8), 0))</f>
        <v>#REF!</v>
      </c>
      <c r="Y60" s="14" t="e">
        <f ca="1">INDEX(INDIRECT($AF$6),
       MATCH(TRIM($S60), INDIRECT($AF$7), 0),
       MATCH(TRIM(Y$13), INDIRECT($AF$8), 0))</f>
        <v>#REF!</v>
      </c>
      <c r="Z60" s="14" t="e">
        <f t="shared" ca="1" si="6"/>
        <v>#REF!</v>
      </c>
      <c r="AA60" s="14" t="e">
        <f t="shared" ca="1" si="6"/>
        <v>#REF!</v>
      </c>
      <c r="AB60" s="14" t="e">
        <f t="shared" ca="1" si="2"/>
        <v>#REF!</v>
      </c>
    </row>
    <row r="61" spans="18:28" x14ac:dyDescent="0.2">
      <c r="R61" s="83">
        <v>48</v>
      </c>
      <c r="S61" s="85" t="s">
        <v>134</v>
      </c>
      <c r="T61" s="14" t="e">
        <f ca="1">INDEX(INDIRECT($AF$6),
       MATCH(TRIM($S61), INDIRECT($AF$7), 0),
       MATCH(TRIM(T$13), INDIRECT($AF$8), 0))</f>
        <v>#REF!</v>
      </c>
      <c r="U61" s="14" t="e">
        <f ca="1">INDEX(INDIRECT($AF$6),
       MATCH(TRIM($S61), INDIRECT($AF$7), 0),
       MATCH(TRIM(U$13), INDIRECT($AF$8), 0))</f>
        <v>#REF!</v>
      </c>
      <c r="V61" s="14" t="e">
        <f ca="1">INDEX(INDIRECT($AF$6),
       MATCH(TRIM($S61), INDIRECT($AF$7), 0),
       MATCH(TRIM(V$13), INDIRECT($AF$8), 0))</f>
        <v>#REF!</v>
      </c>
      <c r="W61" s="14" t="e">
        <f ca="1">INDEX(INDIRECT($AF$6),
       MATCH(TRIM($S61), INDIRECT($AF$7), 0),
       MATCH(TRIM(W$13), INDIRECT($AF$8), 0))</f>
        <v>#REF!</v>
      </c>
      <c r="X61" s="14" t="e">
        <f ca="1">INDEX(INDIRECT($AF$6),
       MATCH(TRIM($S61), INDIRECT($AF$7), 0),
       MATCH(TRIM(X$13), INDIRECT($AF$8), 0))</f>
        <v>#REF!</v>
      </c>
      <c r="Y61" s="14" t="e">
        <f ca="1">INDEX(INDIRECT($AF$6),
       MATCH(TRIM($S61), INDIRECT($AF$7), 0),
       MATCH(TRIM(Y$13), INDIRECT($AF$8), 0))</f>
        <v>#REF!</v>
      </c>
      <c r="Z61" s="14" t="e">
        <f t="shared" ca="1" si="6"/>
        <v>#REF!</v>
      </c>
      <c r="AA61" s="14" t="e">
        <f t="shared" ca="1" si="6"/>
        <v>#REF!</v>
      </c>
      <c r="AB61" s="14" t="e">
        <f t="shared" ca="1" si="2"/>
        <v>#REF!</v>
      </c>
    </row>
    <row r="62" spans="18:28" x14ac:dyDescent="0.2">
      <c r="R62" s="83">
        <v>49</v>
      </c>
      <c r="S62" s="85" t="s">
        <v>135</v>
      </c>
      <c r="T62" s="14" t="e">
        <f ca="1">INDEX(INDIRECT($AF$6),
       MATCH(TRIM($S62), INDIRECT($AF$7), 0),
       MATCH(TRIM(T$13), INDIRECT($AF$8), 0))</f>
        <v>#REF!</v>
      </c>
      <c r="U62" s="14" t="e">
        <f ca="1">INDEX(INDIRECT($AF$6),
       MATCH(TRIM($S62), INDIRECT($AF$7), 0),
       MATCH(TRIM(U$13), INDIRECT($AF$8), 0))</f>
        <v>#REF!</v>
      </c>
      <c r="V62" s="14" t="e">
        <f ca="1">INDEX(INDIRECT($AF$6),
       MATCH(TRIM($S62), INDIRECT($AF$7), 0),
       MATCH(TRIM(V$13), INDIRECT($AF$8), 0))</f>
        <v>#REF!</v>
      </c>
      <c r="W62" s="14" t="e">
        <f ca="1">INDEX(INDIRECT($AF$6),
       MATCH(TRIM($S62), INDIRECT($AF$7), 0),
       MATCH(TRIM(W$13), INDIRECT($AF$8), 0))</f>
        <v>#REF!</v>
      </c>
      <c r="X62" s="14" t="e">
        <f ca="1">INDEX(INDIRECT($AF$6),
       MATCH(TRIM($S62), INDIRECT($AF$7), 0),
       MATCH(TRIM(X$13), INDIRECT($AF$8), 0))</f>
        <v>#REF!</v>
      </c>
      <c r="Y62" s="14" t="e">
        <f ca="1">INDEX(INDIRECT($AF$6),
       MATCH(TRIM($S62), INDIRECT($AF$7), 0),
       MATCH(TRIM(Y$13), INDIRECT($AF$8), 0))</f>
        <v>#REF!</v>
      </c>
      <c r="Z62" s="14" t="e">
        <f t="shared" ca="1" si="6"/>
        <v>#REF!</v>
      </c>
      <c r="AA62" s="14" t="e">
        <f t="shared" ca="1" si="6"/>
        <v>#REF!</v>
      </c>
      <c r="AB62" s="14" t="e">
        <f t="shared" ca="1" si="2"/>
        <v>#REF!</v>
      </c>
    </row>
    <row r="63" spans="18:28" x14ac:dyDescent="0.2">
      <c r="R63" s="83">
        <v>50</v>
      </c>
      <c r="S63" s="85" t="s">
        <v>62</v>
      </c>
      <c r="T63" s="14" t="e">
        <f ca="1">INDEX(INDIRECT($AF$6),
       MATCH(TRIM($S63), INDIRECT($AF$7), 0),
       MATCH(TRIM(T$13), INDIRECT($AF$8), 0))</f>
        <v>#REF!</v>
      </c>
      <c r="U63" s="14" t="e">
        <f ca="1">INDEX(INDIRECT($AF$6),
       MATCH(TRIM($S63), INDIRECT($AF$7), 0),
       MATCH(TRIM(U$13), INDIRECT($AF$8), 0))</f>
        <v>#REF!</v>
      </c>
      <c r="V63" s="14" t="e">
        <f ca="1">INDEX(INDIRECT($AF$6),
       MATCH(TRIM($S63), INDIRECT($AF$7), 0),
       MATCH(TRIM(V$13), INDIRECT($AF$8), 0))</f>
        <v>#REF!</v>
      </c>
      <c r="W63" s="14" t="e">
        <f ca="1">INDEX(INDIRECT($AF$6),
       MATCH(TRIM($S63), INDIRECT($AF$7), 0),
       MATCH(TRIM(W$13), INDIRECT($AF$8), 0))</f>
        <v>#REF!</v>
      </c>
      <c r="X63" s="14" t="e">
        <f ca="1">INDEX(INDIRECT($AF$6),
       MATCH(TRIM($S63), INDIRECT($AF$7), 0),
       MATCH(TRIM(X$13), INDIRECT($AF$8), 0))</f>
        <v>#REF!</v>
      </c>
      <c r="Y63" s="14" t="e">
        <f ca="1">INDEX(INDIRECT($AF$6),
       MATCH(TRIM($S63), INDIRECT($AF$7), 0),
       MATCH(TRIM(Y$13), INDIRECT($AF$8), 0))</f>
        <v>#REF!</v>
      </c>
      <c r="Z63" s="14" t="e">
        <f t="shared" ca="1" si="6"/>
        <v>#REF!</v>
      </c>
      <c r="AA63" s="14" t="e">
        <f t="shared" ca="1" si="6"/>
        <v>#REF!</v>
      </c>
      <c r="AB63" s="14" t="e">
        <f t="shared" ca="1" si="2"/>
        <v>#REF!</v>
      </c>
    </row>
    <row r="64" spans="18:28" x14ac:dyDescent="0.2">
      <c r="R64" s="83">
        <v>51</v>
      </c>
      <c r="S64" s="85" t="s">
        <v>59</v>
      </c>
      <c r="T64" s="14" t="e">
        <f ca="1">INDEX(INDIRECT($AF$6),
       MATCH(TRIM($S64), INDIRECT($AF$7), 0),
       MATCH(TRIM(T$13), INDIRECT($AF$8), 0))</f>
        <v>#REF!</v>
      </c>
      <c r="U64" s="14" t="e">
        <f ca="1">INDEX(INDIRECT($AF$6),
       MATCH(TRIM($S64), INDIRECT($AF$7), 0),
       MATCH(TRIM(U$13), INDIRECT($AF$8), 0))</f>
        <v>#REF!</v>
      </c>
      <c r="V64" s="14" t="e">
        <f ca="1">INDEX(INDIRECT($AF$6),
       MATCH(TRIM($S64), INDIRECT($AF$7), 0),
       MATCH(TRIM(V$13), INDIRECT($AF$8), 0))</f>
        <v>#REF!</v>
      </c>
      <c r="W64" s="14" t="e">
        <f ca="1">INDEX(INDIRECT($AF$6),
       MATCH(TRIM($S64), INDIRECT($AF$7), 0),
       MATCH(TRIM(W$13), INDIRECT($AF$8), 0))</f>
        <v>#REF!</v>
      </c>
      <c r="X64" s="14" t="e">
        <f ca="1">INDEX(INDIRECT($AF$6),
       MATCH(TRIM($S64), INDIRECT($AF$7), 0),
       MATCH(TRIM(X$13), INDIRECT($AF$8), 0))</f>
        <v>#REF!</v>
      </c>
      <c r="Y64" s="14" t="e">
        <f ca="1">INDEX(INDIRECT($AF$6),
       MATCH(TRIM($S64), INDIRECT($AF$7), 0),
       MATCH(TRIM(Y$13), INDIRECT($AF$8), 0))</f>
        <v>#REF!</v>
      </c>
      <c r="Z64" s="14" t="e">
        <f t="shared" ca="1" si="6"/>
        <v>#REF!</v>
      </c>
      <c r="AA64" s="14" t="e">
        <f t="shared" ca="1" si="6"/>
        <v>#REF!</v>
      </c>
      <c r="AB64" s="14" t="e">
        <f t="shared" ca="1" si="2"/>
        <v>#REF!</v>
      </c>
    </row>
    <row r="65" spans="18:29" x14ac:dyDescent="0.2">
      <c r="R65" s="83">
        <v>52</v>
      </c>
      <c r="S65" s="85" t="s">
        <v>136</v>
      </c>
      <c r="T65" s="14" t="e">
        <f ca="1">INDEX(INDIRECT($AF$6),
       MATCH(TRIM($S65), INDIRECT($AF$7), 0),
       MATCH(TRIM(T$13), INDIRECT($AF$8), 0))</f>
        <v>#REF!</v>
      </c>
      <c r="U65" s="14" t="e">
        <f ca="1">INDEX(INDIRECT($AF$6),
       MATCH(TRIM($S65), INDIRECT($AF$7), 0),
       MATCH(TRIM(U$13), INDIRECT($AF$8), 0))</f>
        <v>#REF!</v>
      </c>
      <c r="V65" s="14" t="e">
        <f ca="1">INDEX(INDIRECT($AF$6),
       MATCH(TRIM($S65), INDIRECT($AF$7), 0),
       MATCH(TRIM(V$13), INDIRECT($AF$8), 0))</f>
        <v>#REF!</v>
      </c>
      <c r="W65" s="14" t="e">
        <f ca="1">INDEX(INDIRECT($AF$6),
       MATCH(TRIM($S65), INDIRECT($AF$7), 0),
       MATCH(TRIM(W$13), INDIRECT($AF$8), 0))</f>
        <v>#REF!</v>
      </c>
      <c r="X65" s="14" t="e">
        <f ca="1">INDEX(INDIRECT($AF$6),
       MATCH(TRIM($S65), INDIRECT($AF$7), 0),
       MATCH(TRIM(X$13), INDIRECT($AF$8), 0))</f>
        <v>#REF!</v>
      </c>
      <c r="Y65" s="14" t="e">
        <f ca="1">INDEX(INDIRECT($AF$6),
       MATCH(TRIM($S65), INDIRECT($AF$7), 0),
       MATCH(TRIM(Y$13), INDIRECT($AF$8), 0))</f>
        <v>#REF!</v>
      </c>
      <c r="Z65" s="14" t="e">
        <f t="shared" ca="1" si="6"/>
        <v>#REF!</v>
      </c>
      <c r="AA65" s="14" t="e">
        <f t="shared" ca="1" si="6"/>
        <v>#REF!</v>
      </c>
      <c r="AB65" s="14" t="e">
        <f t="shared" ca="1" si="2"/>
        <v>#REF!</v>
      </c>
    </row>
    <row r="66" spans="18:29" x14ac:dyDescent="0.2">
      <c r="R66" s="83">
        <v>53</v>
      </c>
      <c r="S66" s="85" t="s">
        <v>118</v>
      </c>
      <c r="T66" s="14" t="e">
        <f ca="1">INDEX(INDIRECT($AF$6),
       MATCH(TRIM($S66), INDIRECT($AF$7), 0),
       MATCH(TRIM(T$13), INDIRECT($AF$8), 0))</f>
        <v>#REF!</v>
      </c>
      <c r="U66" s="14" t="e">
        <f ca="1">INDEX(INDIRECT($AF$6),
       MATCH(TRIM($S66), INDIRECT($AF$7), 0),
       MATCH(TRIM(U$13), INDIRECT($AF$8), 0))</f>
        <v>#REF!</v>
      </c>
      <c r="V66" s="14" t="e">
        <f ca="1">INDEX(INDIRECT($AF$6),
       MATCH(TRIM($S66), INDIRECT($AF$7), 0),
       MATCH(TRIM(V$13), INDIRECT($AF$8), 0))</f>
        <v>#REF!</v>
      </c>
      <c r="W66" s="14" t="e">
        <f ca="1">INDEX(INDIRECT($AF$6),
       MATCH(TRIM($S66), INDIRECT($AF$7), 0),
       MATCH(TRIM(W$13), INDIRECT($AF$8), 0))</f>
        <v>#REF!</v>
      </c>
      <c r="X66" s="14" t="e">
        <f ca="1">INDEX(INDIRECT($AF$6),
       MATCH(TRIM($S66), INDIRECT($AF$7), 0),
       MATCH(TRIM(X$13), INDIRECT($AF$8), 0))</f>
        <v>#REF!</v>
      </c>
      <c r="Y66" s="14" t="e">
        <f ca="1">INDEX(INDIRECT($AF$6),
       MATCH(TRIM($S66), INDIRECT($AF$7), 0),
       MATCH(TRIM(Y$13), INDIRECT($AF$8), 0))</f>
        <v>#REF!</v>
      </c>
      <c r="Z66" s="14" t="e">
        <f t="shared" ca="1" si="6"/>
        <v>#REF!</v>
      </c>
      <c r="AA66" s="14" t="e">
        <f t="shared" ca="1" si="6"/>
        <v>#REF!</v>
      </c>
      <c r="AB66" s="14" t="e">
        <f t="shared" ca="1" si="2"/>
        <v>#REF!</v>
      </c>
    </row>
    <row r="67" spans="18:29" x14ac:dyDescent="0.2">
      <c r="R67" s="83">
        <v>54</v>
      </c>
      <c r="S67" s="84" t="s">
        <v>87</v>
      </c>
      <c r="T67" s="14" t="e">
        <f ca="1">INDEX(INDIRECT($AF$6),
       MATCH(TRIM($S67), INDIRECT($AF$7), 0),
       MATCH(TRIM(T$13), INDIRECT($AF$8), 0))</f>
        <v>#REF!</v>
      </c>
      <c r="U67" s="14" t="e">
        <f ca="1">INDEX(INDIRECT($AF$6),
       MATCH(TRIM($S67), INDIRECT($AF$7), 0),
       MATCH(TRIM(U$13), INDIRECT($AF$8), 0))</f>
        <v>#REF!</v>
      </c>
      <c r="V67" s="14" t="e">
        <f ca="1">INDEX(INDIRECT($AF$6),
       MATCH(TRIM($S67), INDIRECT($AF$7), 0),
       MATCH(TRIM(V$13), INDIRECT($AF$8), 0))</f>
        <v>#REF!</v>
      </c>
      <c r="W67" s="14" t="e">
        <f ca="1">INDEX(INDIRECT($AF$6),
       MATCH(TRIM($S67), INDIRECT($AF$7), 0),
       MATCH(TRIM(W$13), INDIRECT($AF$8), 0))</f>
        <v>#REF!</v>
      </c>
      <c r="X67" s="14" t="e">
        <f ca="1">INDEX(INDIRECT($AF$6),
       MATCH(TRIM($S67), INDIRECT($AF$7), 0),
       MATCH(TRIM(X$13), INDIRECT($AF$8), 0))</f>
        <v>#REF!</v>
      </c>
      <c r="Y67" s="14" t="e">
        <f ca="1">INDEX(INDIRECT($AF$6),
       MATCH(TRIM($S67), INDIRECT($AF$7), 0),
       MATCH(TRIM(Y$13), INDIRECT($AF$8), 0))</f>
        <v>#REF!</v>
      </c>
      <c r="Z67" s="14" t="e">
        <f t="shared" ca="1" si="6"/>
        <v>#REF!</v>
      </c>
      <c r="AA67" s="14" t="e">
        <f t="shared" ca="1" si="6"/>
        <v>#REF!</v>
      </c>
      <c r="AB67" s="14" t="e">
        <f t="shared" ca="1" si="2"/>
        <v>#REF!</v>
      </c>
    </row>
    <row r="68" spans="18:29" x14ac:dyDescent="0.2">
      <c r="R68" s="83">
        <v>55</v>
      </c>
      <c r="S68" s="86" t="s">
        <v>119</v>
      </c>
      <c r="T68" s="14" t="e">
        <f ca="1">INDEX(INDIRECT($AF$6),
       MATCH(TRIM($S68), INDIRECT($AF$7), 0),
       MATCH(TRIM(T$13), INDIRECT($AF$8), 0))</f>
        <v>#REF!</v>
      </c>
      <c r="U68" s="14" t="e">
        <f ca="1">INDEX(INDIRECT($AF$6),
       MATCH(TRIM($S68), INDIRECT($AF$7), 0),
       MATCH(TRIM(U$13), INDIRECT($AF$8), 0))</f>
        <v>#REF!</v>
      </c>
      <c r="V68" s="14" t="e">
        <f ca="1">INDEX(INDIRECT($AF$6),
       MATCH(TRIM($S68), INDIRECT($AF$7), 0),
       MATCH(TRIM(V$13), INDIRECT($AF$8), 0))</f>
        <v>#REF!</v>
      </c>
      <c r="W68" s="14" t="e">
        <f ca="1">INDEX(INDIRECT($AF$6),
       MATCH(TRIM($S68), INDIRECT($AF$7), 0),
       MATCH(TRIM(W$13), INDIRECT($AF$8), 0))</f>
        <v>#REF!</v>
      </c>
      <c r="X68" s="14" t="e">
        <f ca="1">INDEX(INDIRECT($AF$6),
       MATCH(TRIM($S68), INDIRECT($AF$7), 0),
       MATCH(TRIM(X$13), INDIRECT($AF$8), 0))</f>
        <v>#REF!</v>
      </c>
      <c r="Y68" s="14" t="e">
        <f ca="1">INDEX(INDIRECT($AF$6),
       MATCH(TRIM($S68), INDIRECT($AF$7), 0),
       MATCH(TRIM(Y$13), INDIRECT($AF$8), 0))</f>
        <v>#REF!</v>
      </c>
      <c r="Z68" s="14" t="e">
        <f t="shared" ca="1" si="6"/>
        <v>#REF!</v>
      </c>
      <c r="AA68" s="14" t="e">
        <f t="shared" ca="1" si="6"/>
        <v>#REF!</v>
      </c>
      <c r="AB68" s="14" t="e">
        <f t="shared" ca="1" si="2"/>
        <v>#REF!</v>
      </c>
    </row>
    <row r="69" spans="18:29" x14ac:dyDescent="0.2">
      <c r="R69" s="83">
        <v>56</v>
      </c>
      <c r="S69" s="86" t="s">
        <v>85</v>
      </c>
      <c r="T69" s="14" t="e">
        <f ca="1">INDEX(INDIRECT($AF$6),
       MATCH(TRIM($S69), INDIRECT($AF$7), 0),
       MATCH(TRIM(T$13), INDIRECT($AF$8), 0))</f>
        <v>#REF!</v>
      </c>
      <c r="U69" s="14" t="e">
        <f ca="1">INDEX(INDIRECT($AF$6),
       MATCH(TRIM($S69), INDIRECT($AF$7), 0),
       MATCH(TRIM(U$13), INDIRECT($AF$8), 0))</f>
        <v>#REF!</v>
      </c>
      <c r="V69" s="14" t="e">
        <f ca="1">INDEX(INDIRECT($AF$6),
       MATCH(TRIM($S69), INDIRECT($AF$7), 0),
       MATCH(TRIM(V$13), INDIRECT($AF$8), 0))</f>
        <v>#REF!</v>
      </c>
      <c r="W69" s="14" t="e">
        <f ca="1">INDEX(INDIRECT($AF$6),
       MATCH(TRIM($S69), INDIRECT($AF$7), 0),
       MATCH(TRIM(W$13), INDIRECT($AF$8), 0))</f>
        <v>#REF!</v>
      </c>
      <c r="X69" s="14" t="e">
        <f ca="1">INDEX(INDIRECT($AF$6),
       MATCH(TRIM($S69), INDIRECT($AF$7), 0),
       MATCH(TRIM(X$13), INDIRECT($AF$8), 0))</f>
        <v>#REF!</v>
      </c>
      <c r="Y69" s="14" t="e">
        <f ca="1">INDEX(INDIRECT($AF$6),
       MATCH(TRIM($S69), INDIRECT($AF$7), 0),
       MATCH(TRIM(Y$13), INDIRECT($AF$8), 0))</f>
        <v>#REF!</v>
      </c>
      <c r="Z69" s="14" t="e">
        <f t="shared" ca="1" si="6"/>
        <v>#REF!</v>
      </c>
      <c r="AA69" s="14" t="e">
        <f t="shared" ca="1" si="6"/>
        <v>#REF!</v>
      </c>
      <c r="AB69" s="14" t="e">
        <f t="shared" ca="1" si="2"/>
        <v>#REF!</v>
      </c>
    </row>
    <row r="70" spans="18:29" x14ac:dyDescent="0.2">
      <c r="R70" s="83">
        <v>57</v>
      </c>
      <c r="S70" s="85" t="s">
        <v>72</v>
      </c>
      <c r="T70" s="14" t="e">
        <f ca="1">INDEX(INDIRECT($AF$6),
       MATCH(TRIM($S70), INDIRECT($AF$7), 0),
       MATCH(TRIM(T$13), INDIRECT($AF$8), 0))</f>
        <v>#REF!</v>
      </c>
      <c r="U70" s="14" t="e">
        <f t="shared" ref="U70:AB70" ca="1" si="7">INDEX(INDIRECT($AF$6),
       MATCH(TRIM($S70), INDIRECT($AF$7), 0),
       MATCH(TRIM(U$13), INDIRECT($AF$8), 0))</f>
        <v>#REF!</v>
      </c>
      <c r="V70" s="14" t="e">
        <f t="shared" ca="1" si="7"/>
        <v>#REF!</v>
      </c>
      <c r="W70" s="14" t="e">
        <f t="shared" ca="1" si="7"/>
        <v>#REF!</v>
      </c>
      <c r="X70" s="14" t="e">
        <f t="shared" ca="1" si="7"/>
        <v>#REF!</v>
      </c>
      <c r="Y70" s="14" t="e">
        <f t="shared" ca="1" si="7"/>
        <v>#REF!</v>
      </c>
      <c r="Z70" s="14" t="e">
        <f t="shared" ca="1" si="6"/>
        <v>#REF!</v>
      </c>
      <c r="AA70" s="14" t="e">
        <f t="shared" ca="1" si="6"/>
        <v>#REF!</v>
      </c>
      <c r="AB70" s="14" t="e">
        <f t="shared" ca="1" si="2"/>
        <v>#REF!</v>
      </c>
    </row>
    <row r="71" spans="18:29" x14ac:dyDescent="0.2">
      <c r="R71" s="83">
        <v>58</v>
      </c>
      <c r="S71" s="85" t="s">
        <v>120</v>
      </c>
      <c r="T71" s="14" t="e">
        <f t="shared" ref="T71:AB72" ca="1" si="8">INDEX(INDIRECT($AF$6),
       MATCH(TRIM($S71), INDIRECT($AF$7), 0),
       MATCH(TRIM(T$13), INDIRECT($AF$8), 0))</f>
        <v>#REF!</v>
      </c>
      <c r="U71" s="14" t="e">
        <f t="shared" ca="1" si="8"/>
        <v>#REF!</v>
      </c>
      <c r="V71" s="14" t="e">
        <f t="shared" ca="1" si="8"/>
        <v>#REF!</v>
      </c>
      <c r="W71" s="14" t="e">
        <f t="shared" ca="1" si="8"/>
        <v>#REF!</v>
      </c>
      <c r="X71" s="14" t="e">
        <f t="shared" ca="1" si="8"/>
        <v>#REF!</v>
      </c>
      <c r="Y71" s="14" t="e">
        <f t="shared" ca="1" si="8"/>
        <v>#REF!</v>
      </c>
      <c r="Z71" s="14" t="e">
        <f t="shared" ca="1" si="8"/>
        <v>#REF!</v>
      </c>
      <c r="AA71" s="14" t="e">
        <f t="shared" ca="1" si="8"/>
        <v>#REF!</v>
      </c>
      <c r="AB71" s="14" t="e">
        <f t="shared" ca="1" si="2"/>
        <v>#REF!</v>
      </c>
    </row>
    <row r="72" spans="18:29" x14ac:dyDescent="0.2">
      <c r="R72" s="83">
        <v>59</v>
      </c>
      <c r="S72" s="84" t="s">
        <v>75</v>
      </c>
      <c r="T72" s="14" t="e">
        <f t="shared" ca="1" si="8"/>
        <v>#REF!</v>
      </c>
      <c r="U72" s="14" t="e">
        <f t="shared" ca="1" si="8"/>
        <v>#REF!</v>
      </c>
      <c r="V72" s="14" t="e">
        <f t="shared" ca="1" si="8"/>
        <v>#REF!</v>
      </c>
      <c r="W72" s="14" t="e">
        <f t="shared" ca="1" si="8"/>
        <v>#REF!</v>
      </c>
      <c r="X72" s="14" t="e">
        <f t="shared" ca="1" si="8"/>
        <v>#REF!</v>
      </c>
      <c r="Y72" s="14" t="e">
        <f t="shared" ca="1" si="8"/>
        <v>#REF!</v>
      </c>
      <c r="Z72" s="14" t="e">
        <f t="shared" ca="1" si="8"/>
        <v>#REF!</v>
      </c>
      <c r="AA72" s="14" t="e">
        <f t="shared" ca="1" si="8"/>
        <v>#REF!</v>
      </c>
      <c r="AB72" s="14" t="e">
        <f t="shared" ca="1" si="2"/>
        <v>#REF!</v>
      </c>
    </row>
    <row r="73" spans="18:29" x14ac:dyDescent="0.2">
      <c r="R73" s="87" t="s">
        <v>26</v>
      </c>
      <c r="S73" s="88"/>
      <c r="T73" s="89" t="e">
        <f ca="1">SUM(T14:T72)</f>
        <v>#REF!</v>
      </c>
      <c r="U73" s="89" t="e">
        <f t="shared" ref="U73:AC73" ca="1" si="9">SUM(U14:U72)</f>
        <v>#REF!</v>
      </c>
      <c r="V73" s="90" t="e">
        <f ca="1">SUM(V14:V72)</f>
        <v>#REF!</v>
      </c>
      <c r="W73" s="89" t="e">
        <f t="shared" ca="1" si="9"/>
        <v>#REF!</v>
      </c>
      <c r="X73" s="89" t="e">
        <f t="shared" ca="1" si="9"/>
        <v>#REF!</v>
      </c>
      <c r="Y73" s="90" t="e">
        <f t="shared" ca="1" si="9"/>
        <v>#REF!</v>
      </c>
      <c r="Z73" s="89" t="e">
        <f t="shared" ca="1" si="9"/>
        <v>#REF!</v>
      </c>
      <c r="AA73" s="90" t="e">
        <f t="shared" ca="1" si="9"/>
        <v>#REF!</v>
      </c>
      <c r="AB73" s="90" t="e">
        <f ca="1">SUM(AB14:AB72)</f>
        <v>#REF!</v>
      </c>
      <c r="AC73" s="91">
        <f t="shared" si="9"/>
        <v>0</v>
      </c>
    </row>
  </sheetData>
  <mergeCells count="14">
    <mergeCell ref="R73:S73"/>
    <mergeCell ref="AB12:AB13"/>
    <mergeCell ref="A13:A14"/>
    <mergeCell ref="B13:B14"/>
    <mergeCell ref="C13:E13"/>
    <mergeCell ref="F13:H13"/>
    <mergeCell ref="I13:J13"/>
    <mergeCell ref="A3:I3"/>
    <mergeCell ref="R3:Z3"/>
    <mergeCell ref="A4:I4"/>
    <mergeCell ref="R4:Z4"/>
    <mergeCell ref="T12:V12"/>
    <mergeCell ref="W12:Y12"/>
    <mergeCell ref="Z12:AA12"/>
  </mergeCells>
  <conditionalFormatting sqref="S14:S72">
    <cfRule type="duplicateValues" dxfId="31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09CDB-9835-D34E-9474-AF2B29E85A31}">
  <dimension ref="A1:AF75"/>
  <sheetViews>
    <sheetView topLeftCell="B17" zoomScale="106" workbookViewId="0">
      <selection activeCell="AE73" sqref="AE73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139</v>
      </c>
      <c r="N6" t="s">
        <v>140</v>
      </c>
      <c r="O6" t="s">
        <v>141</v>
      </c>
      <c r="P6" t="str">
        <f>_xlfn.CONCAT("'",M6,N6,"'","!",O6)</f>
        <v>'[FDI.2018.xls]Thang 12 2018'!$C$7:$L$24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[FDI.2018.xls]</v>
      </c>
      <c r="AD6" t="str">
        <f>N6</f>
        <v>Thang 12 2018</v>
      </c>
      <c r="AE6" t="s">
        <v>142</v>
      </c>
      <c r="AF6" t="str">
        <f>_xlfn.CONCAT("'",AC6,AD6,"'","!",AE6)</f>
        <v>'[FDI.2018.xls]Thang 12 2018'!$C$152:$L$210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[FDI.2018.xls]</v>
      </c>
      <c r="N7" t="str">
        <f>N6</f>
        <v>Thang 12 2018</v>
      </c>
      <c r="O7" t="s">
        <v>99</v>
      </c>
      <c r="P7" t="str">
        <f>_xlfn.CONCAT("'",M7,N7,"'","!",O7)</f>
        <v>'[FDI.2018.xls]Thang 12 2018'!$B$7:$B$25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[FDI.2018.xls]</v>
      </c>
      <c r="AD7" t="str">
        <f>AD6</f>
        <v>Thang 12 2018</v>
      </c>
      <c r="AE7" t="s">
        <v>143</v>
      </c>
      <c r="AF7" t="str">
        <f>_xlfn.CONCAT("'",AC7,AD7,"'","!",AE7)</f>
        <v>'[FDI.2018.xls]Thang 12 2018'!$B$152:$B$210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[FDI.2018.xls]</v>
      </c>
      <c r="N8" t="str">
        <f>N6</f>
        <v>Thang 12 2018</v>
      </c>
      <c r="O8" t="s">
        <v>131</v>
      </c>
      <c r="P8" t="str">
        <f>_xlfn.CONCAT("'",M8,N8,"'","!",O8)</f>
        <v>'[FDI.2018.xls]Thang 12 2018'!$C$6:$L$6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[FDI.2018.xls]</v>
      </c>
      <c r="AD8" t="str">
        <f>AD6</f>
        <v>Thang 12 2018</v>
      </c>
      <c r="AE8" t="s">
        <v>144</v>
      </c>
      <c r="AF8" t="str">
        <f>_xlfn.CONCAT("'",AC8,AD8,"'","!",AE8)</f>
        <v>'[FDI.2018.xls]Thang 12 2018'!$C$151:$L$151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80" t="s">
        <v>107</v>
      </c>
      <c r="D13" s="81"/>
      <c r="E13" s="82"/>
      <c r="F13" s="77" t="s">
        <v>108</v>
      </c>
      <c r="G13" s="78"/>
      <c r="H13" s="79"/>
      <c r="I13" s="75" t="s">
        <v>109</v>
      </c>
      <c r="J13" s="76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59" t="s">
        <v>4</v>
      </c>
      <c r="X13" s="57" t="s">
        <v>30</v>
      </c>
      <c r="Y13" s="60" t="s">
        <v>5</v>
      </c>
      <c r="Z13" s="61" t="s">
        <v>126</v>
      </c>
      <c r="AA13" s="73" t="s">
        <v>127</v>
      </c>
      <c r="AB13" s="62"/>
    </row>
    <row r="14" spans="1:32" ht="84" x14ac:dyDescent="0.2">
      <c r="A14" s="56"/>
      <c r="B14" s="56"/>
      <c r="C14" s="57" t="s">
        <v>27</v>
      </c>
      <c r="D14" s="57" t="s">
        <v>28</v>
      </c>
      <c r="E14" s="58" t="s">
        <v>29</v>
      </c>
      <c r="F14" s="59" t="s">
        <v>4</v>
      </c>
      <c r="G14" s="57" t="s">
        <v>30</v>
      </c>
      <c r="H14" s="60" t="s">
        <v>5</v>
      </c>
      <c r="I14" s="61" t="s">
        <v>126</v>
      </c>
      <c r="J14" s="73" t="s">
        <v>127</v>
      </c>
      <c r="K14" s="66" t="s">
        <v>110</v>
      </c>
      <c r="L14" s="49"/>
      <c r="M14" s="49"/>
      <c r="R14">
        <v>1</v>
      </c>
      <c r="S14" t="s">
        <v>42</v>
      </c>
      <c r="T14" s="14" t="e">
        <f ca="1">INDEX(INDIRECT($AF$6),
       MATCH(TRIM($S14), INDIRECT($AF$7), 0),
       MATCH(TRIM(T$13), INDIRECT($AF$8), 0))</f>
        <v>#REF!</v>
      </c>
      <c r="U14" s="14" t="e">
        <f ca="1">INDEX(INDIRECT($AF$6),
       MATCH(TRIM($S14), INDIRECT($AF$7), 0),
       MATCH(TRIM(U$13), INDIRECT($AF$8), 0))</f>
        <v>#REF!</v>
      </c>
      <c r="V14" s="14" t="e">
        <f ca="1">INDEX(INDIRECT($AF$6),
       MATCH(TRIM($S14), INDIRECT($AF$7), 0),
       MATCH(TRIM(V$13), INDIRECT($AF$8), 0))</f>
        <v>#REF!</v>
      </c>
      <c r="W14" s="14" t="e">
        <f ca="1">INDEX(INDIRECT($AF$6),
       MATCH(TRIM($S14), INDIRECT($AF$7), 0),
       MATCH(TRIM(W$13), INDIRECT($AF$8), 0))</f>
        <v>#REF!</v>
      </c>
      <c r="X14" s="14" t="e">
        <f ca="1">INDEX(INDIRECT($AF$6),
       MATCH(TRIM($S14), INDIRECT($AF$7), 0),
       MATCH(TRIM(X$13), INDIRECT($AF$8), 0))</f>
        <v>#REF!</v>
      </c>
      <c r="Y14" s="14" t="e">
        <f ca="1">INDEX(INDIRECT($AF$6),
       MATCH(TRIM($S14), INDIRECT($AF$7), 0),
       MATCH(TRIM(Y$13), INDIRECT($AF$8), 0))</f>
        <v>#REF!</v>
      </c>
      <c r="Z14" s="14" t="e">
        <f ca="1">INDEX(INDIRECT($AF$6),
       MATCH(TRIM($S14), INDIRECT($AF$7), 0),
       MATCH(TRIM(Z$13), INDIRECT($AF$8), 0))</f>
        <v>#REF!</v>
      </c>
      <c r="AA14" s="14" t="e">
        <f ca="1">INDEX(INDIRECT($AF$6),
       MATCH(TRIM($S14), INDIRECT($AF$7), 0),
       MATCH(TRIM(AA$13), INDIRECT($AF$8), 0))</f>
        <v>#REF!</v>
      </c>
      <c r="AB14" s="14" t="e">
        <f ca="1">V14+Y14+AA14</f>
        <v>#REF!</v>
      </c>
    </row>
    <row r="15" spans="1:32" ht="57" x14ac:dyDescent="0.2">
      <c r="A15" s="26">
        <v>1</v>
      </c>
      <c r="B15" s="27" t="s">
        <v>7</v>
      </c>
      <c r="C15" s="28" t="e">
        <f ca="1">INDEX(INDIRECT($P$6),
       MATCH(TRIM($B15), INDIRECT($P$7), 0),
       MATCH(TRIM(C$14), INDIRECT($P$8), 0))</f>
        <v>#REF!</v>
      </c>
      <c r="D15" s="28" t="e">
        <f ca="1">INDEX(INDIRECT($P$6),
       MATCH(TRIM($B15), INDIRECT($P$7), 0),
       MATCH(TRIM(D$14), INDIRECT($P$8), 0))</f>
        <v>#REF!</v>
      </c>
      <c r="E15" s="28" t="e">
        <f ca="1">INDEX(INDIRECT($P$6),
       MATCH(TRIM($B15), INDIRECT($P$7), 0),
       MATCH(TRIM(E$14), INDIRECT($P$8), 0))</f>
        <v>#REF!</v>
      </c>
      <c r="F15" s="28" t="e">
        <f ca="1">INDEX(INDIRECT($P$6),
       MATCH(TRIM($B15), INDIRECT($P$7), 0),
       MATCH(TRIM(F$14), INDIRECT($P$8), 0))</f>
        <v>#REF!</v>
      </c>
      <c r="G15" s="28" t="e">
        <f ca="1">INDEX(INDIRECT($P$6),
       MATCH(TRIM($B15), INDIRECT($P$7), 0),
       MATCH(TRIM(G$14), INDIRECT($P$8), 0))</f>
        <v>#REF!</v>
      </c>
      <c r="H15" s="28" t="e">
        <f ca="1">INDEX(INDIRECT($P$6),
       MATCH(TRIM($B15), INDIRECT($P$7), 0),
       MATCH(TRIM(H$14), INDIRECT($P$8), 0))</f>
        <v>#REF!</v>
      </c>
      <c r="I15" s="28" t="e">
        <f ca="1">INDEX(INDIRECT($P$6),
       MATCH(TRIM($B15), INDIRECT($P$7), 0),
       MATCH(TRIM(I$14), INDIRECT($P$8), 0))</f>
        <v>#REF!</v>
      </c>
      <c r="J15" s="28" t="e">
        <f ca="1">INDEX(INDIRECT($P$6),
       MATCH(TRIM($B15), INDIRECT($P$7), 0),
       MATCH(TRIM(J$14), INDIRECT($P$8), 0))</f>
        <v>#REF!</v>
      </c>
      <c r="K15" s="28" t="e">
        <f ca="1">E15+H15+J15</f>
        <v>#REF!</v>
      </c>
      <c r="L15" s="46"/>
      <c r="M15" s="46"/>
      <c r="R15">
        <v>2</v>
      </c>
      <c r="S15" t="s">
        <v>37</v>
      </c>
      <c r="T15" s="14" t="e">
        <f ca="1">INDEX(INDIRECT($AF$6),
       MATCH(TRIM($S15), INDIRECT($AF$7), 0),
       MATCH(TRIM(T$13), INDIRECT($AF$8), 0))</f>
        <v>#REF!</v>
      </c>
      <c r="U15" s="14" t="e">
        <f ca="1">INDEX(INDIRECT($AF$6),
       MATCH(TRIM($S15), INDIRECT($AF$7), 0),
       MATCH(TRIM(U$13), INDIRECT($AF$8), 0))</f>
        <v>#REF!</v>
      </c>
      <c r="V15" s="14" t="e">
        <f ca="1">INDEX(INDIRECT($AF$6),
       MATCH(TRIM($S15), INDIRECT($AF$7), 0),
       MATCH(TRIM(V$13), INDIRECT($AF$8), 0))</f>
        <v>#REF!</v>
      </c>
      <c r="W15" s="14" t="e">
        <f ca="1">INDEX(INDIRECT($AF$6),
       MATCH(TRIM($S15), INDIRECT($AF$7), 0),
       MATCH(TRIM(W$13), INDIRECT($AF$8), 0))</f>
        <v>#REF!</v>
      </c>
      <c r="X15" s="14" t="e">
        <f ca="1">INDEX(INDIRECT($AF$6),
       MATCH(TRIM($S15), INDIRECT($AF$7), 0),
       MATCH(TRIM(X$13), INDIRECT($AF$8), 0))</f>
        <v>#REF!</v>
      </c>
      <c r="Y15" s="14" t="e">
        <f ca="1">INDEX(INDIRECT($AF$6),
       MATCH(TRIM($S15), INDIRECT($AF$7), 0),
       MATCH(TRIM(Y$13), INDIRECT($AF$8), 0))</f>
        <v>#REF!</v>
      </c>
      <c r="Z15" s="14" t="e">
        <f ca="1">INDEX(INDIRECT($AF$6),
       MATCH(TRIM($S15), INDIRECT($AF$7), 0),
       MATCH(TRIM(Z$13), INDIRECT($AF$8), 0))</f>
        <v>#REF!</v>
      </c>
      <c r="AA15" s="14" t="e">
        <f ca="1">INDEX(INDIRECT($AF$6),
       MATCH(TRIM($S15), INDIRECT($AF$7), 0),
       MATCH(TRIM(AA$13), INDIRECT($AF$8), 0))</f>
        <v>#REF!</v>
      </c>
      <c r="AB15" s="14" t="e">
        <f t="shared" ref="AB15:AB74" ca="1" si="0">V15+Y15+AA15</f>
        <v>#REF!</v>
      </c>
    </row>
    <row r="16" spans="1:32" ht="71" x14ac:dyDescent="0.2">
      <c r="A16" s="26">
        <v>2</v>
      </c>
      <c r="B16" s="27" t="s">
        <v>8</v>
      </c>
      <c r="C16" s="28" t="e">
        <f ca="1">INDEX(INDIRECT($P$6),
       MATCH(TRIM($B16), INDIRECT($P$7), 0),
       MATCH(TRIM(C$14), INDIRECT($P$8), 0))</f>
        <v>#REF!</v>
      </c>
      <c r="D16" s="28" t="e">
        <f ca="1">INDEX(INDIRECT($P$6),
       MATCH(TRIM($B16), INDIRECT($P$7), 0),
       MATCH(TRIM(D$14), INDIRECT($P$8), 0))</f>
        <v>#REF!</v>
      </c>
      <c r="E16" s="28" t="e">
        <f ca="1">INDEX(INDIRECT($P$6),
       MATCH(TRIM($B16), INDIRECT($P$7), 0),
       MATCH(TRIM(E$14), INDIRECT($P$8), 0))</f>
        <v>#REF!</v>
      </c>
      <c r="F16" s="28" t="e">
        <f ca="1">INDEX(INDIRECT($P$6),
       MATCH(TRIM($B16), INDIRECT($P$7), 0),
       MATCH(TRIM(F$14), INDIRECT($P$8), 0))</f>
        <v>#REF!</v>
      </c>
      <c r="G16" s="28" t="e">
        <f ca="1">INDEX(INDIRECT($P$6),
       MATCH(TRIM($B16), INDIRECT($P$7), 0),
       MATCH(TRIM(G$14), INDIRECT($P$8), 0))</f>
        <v>#REF!</v>
      </c>
      <c r="H16" s="28" t="e">
        <f ca="1">INDEX(INDIRECT($P$6),
       MATCH(TRIM($B16), INDIRECT($P$7), 0),
       MATCH(TRIM(H$14), INDIRECT($P$8), 0))</f>
        <v>#REF!</v>
      </c>
      <c r="I16" s="28" t="e">
        <f ca="1">INDEX(INDIRECT($P$6),
       MATCH(TRIM($B16), INDIRECT($P$7), 0),
       MATCH(TRIM(I$14), INDIRECT($P$8), 0))</f>
        <v>#REF!</v>
      </c>
      <c r="J16" s="28" t="e">
        <f ca="1">INDEX(INDIRECT($P$6),
       MATCH(TRIM($B16), INDIRECT($P$7), 0),
       MATCH(TRIM(J$14), INDIRECT($P$8), 0))</f>
        <v>#REF!</v>
      </c>
      <c r="K16" s="28" t="e">
        <f t="shared" ref="K16:K33" ca="1" si="1">E16+H16+J16</f>
        <v>#REF!</v>
      </c>
      <c r="L16" s="46"/>
      <c r="M16" s="46"/>
      <c r="R16">
        <v>3</v>
      </c>
      <c r="S16" t="s">
        <v>43</v>
      </c>
      <c r="T16" s="14" t="e">
        <f ca="1">INDEX(INDIRECT($AF$6),
       MATCH(TRIM($S16), INDIRECT($AF$7), 0),
       MATCH(TRIM(T$13), INDIRECT($AF$8), 0))</f>
        <v>#REF!</v>
      </c>
      <c r="U16" s="14" t="e">
        <f ca="1">INDEX(INDIRECT($AF$6),
       MATCH(TRIM($S16), INDIRECT($AF$7), 0),
       MATCH(TRIM(U$13), INDIRECT($AF$8), 0))</f>
        <v>#REF!</v>
      </c>
      <c r="V16" s="14" t="e">
        <f ca="1">INDEX(INDIRECT($AF$6),
       MATCH(TRIM($S16), INDIRECT($AF$7), 0),
       MATCH(TRIM(V$13), INDIRECT($AF$8), 0))</f>
        <v>#REF!</v>
      </c>
      <c r="W16" s="14" t="e">
        <f ca="1">INDEX(INDIRECT($AF$6),
       MATCH(TRIM($S16), INDIRECT($AF$7), 0),
       MATCH(TRIM(W$13), INDIRECT($AF$8), 0))</f>
        <v>#REF!</v>
      </c>
      <c r="X16" s="14" t="e">
        <f ca="1">INDEX(INDIRECT($AF$6),
       MATCH(TRIM($S16), INDIRECT($AF$7), 0),
       MATCH(TRIM(X$13), INDIRECT($AF$8), 0))</f>
        <v>#REF!</v>
      </c>
      <c r="Y16" s="14" t="e">
        <f ca="1">INDEX(INDIRECT($AF$6),
       MATCH(TRIM($S16), INDIRECT($AF$7), 0),
       MATCH(TRIM(Y$13), INDIRECT($AF$8), 0))</f>
        <v>#REF!</v>
      </c>
      <c r="Z16" s="14" t="e">
        <f ca="1">INDEX(INDIRECT($AF$6),
       MATCH(TRIM($S16), INDIRECT($AF$7), 0),
       MATCH(TRIM(Z$13), INDIRECT($AF$8), 0))</f>
        <v>#REF!</v>
      </c>
      <c r="AA16" s="14" t="e">
        <f ca="1">INDEX(INDIRECT($AF$6),
       MATCH(TRIM($S16), INDIRECT($AF$7), 0),
       MATCH(TRIM(AA$13), INDIRECT($AF$8), 0))</f>
        <v>#REF!</v>
      </c>
      <c r="AB16" s="14" t="e">
        <f t="shared" ca="1" si="0"/>
        <v>#REF!</v>
      </c>
    </row>
    <row r="17" spans="1:28" ht="57" x14ac:dyDescent="0.2">
      <c r="A17" s="26">
        <v>3</v>
      </c>
      <c r="B17" s="27" t="s">
        <v>9</v>
      </c>
      <c r="C17" s="28" t="e">
        <f ca="1">INDEX(INDIRECT($P$6),
       MATCH(TRIM($B17), INDIRECT($P$7), 0),
       MATCH(TRIM(C$14), INDIRECT($P$8), 0))</f>
        <v>#REF!</v>
      </c>
      <c r="D17" s="28" t="e">
        <f ca="1">INDEX(INDIRECT($P$6),
       MATCH(TRIM($B17), INDIRECT($P$7), 0),
       MATCH(TRIM(D$14), INDIRECT($P$8), 0))</f>
        <v>#REF!</v>
      </c>
      <c r="E17" s="28" t="e">
        <f ca="1">INDEX(INDIRECT($P$6),
       MATCH(TRIM($B17), INDIRECT($P$7), 0),
       MATCH(TRIM(E$14), INDIRECT($P$8), 0))</f>
        <v>#REF!</v>
      </c>
      <c r="F17" s="28" t="e">
        <f ca="1">INDEX(INDIRECT($P$6),
       MATCH(TRIM($B17), INDIRECT($P$7), 0),
       MATCH(TRIM(F$14), INDIRECT($P$8), 0))</f>
        <v>#REF!</v>
      </c>
      <c r="G17" s="28" t="e">
        <f ca="1">INDEX(INDIRECT($P$6),
       MATCH(TRIM($B17), INDIRECT($P$7), 0),
       MATCH(TRIM(G$14), INDIRECT($P$8), 0))</f>
        <v>#REF!</v>
      </c>
      <c r="H17" s="28" t="e">
        <f ca="1">INDEX(INDIRECT($P$6),
       MATCH(TRIM($B17), INDIRECT($P$7), 0),
       MATCH(TRIM(H$14), INDIRECT($P$8), 0))</f>
        <v>#REF!</v>
      </c>
      <c r="I17" s="28" t="e">
        <f ca="1">INDEX(INDIRECT($P$6),
       MATCH(TRIM($B17), INDIRECT($P$7), 0),
       MATCH(TRIM(I$14), INDIRECT($P$8), 0))</f>
        <v>#REF!</v>
      </c>
      <c r="J17" s="28" t="e">
        <f ca="1">INDEX(INDIRECT($P$6),
       MATCH(TRIM($B17), INDIRECT($P$7), 0),
       MATCH(TRIM(J$14), INDIRECT($P$8), 0))</f>
        <v>#REF!</v>
      </c>
      <c r="K17" s="28" t="e">
        <f t="shared" ca="1" si="1"/>
        <v>#REF!</v>
      </c>
      <c r="L17" s="46"/>
      <c r="M17" s="46"/>
      <c r="R17">
        <v>4</v>
      </c>
      <c r="S17" t="s">
        <v>39</v>
      </c>
      <c r="T17" s="14" t="e">
        <f ca="1">INDEX(INDIRECT($AF$6),
       MATCH(TRIM($S17), INDIRECT($AF$7), 0),
       MATCH(TRIM(T$13), INDIRECT($AF$8), 0))</f>
        <v>#REF!</v>
      </c>
      <c r="U17" s="14" t="e">
        <f ca="1">INDEX(INDIRECT($AF$6),
       MATCH(TRIM($S17), INDIRECT($AF$7), 0),
       MATCH(TRIM(U$13), INDIRECT($AF$8), 0))</f>
        <v>#REF!</v>
      </c>
      <c r="V17" s="14" t="e">
        <f ca="1">INDEX(INDIRECT($AF$6),
       MATCH(TRIM($S17), INDIRECT($AF$7), 0),
       MATCH(TRIM(V$13), INDIRECT($AF$8), 0))</f>
        <v>#REF!</v>
      </c>
      <c r="W17" s="14" t="e">
        <f ca="1">INDEX(INDIRECT($AF$6),
       MATCH(TRIM($S17), INDIRECT($AF$7), 0),
       MATCH(TRIM(W$13), INDIRECT($AF$8), 0))</f>
        <v>#REF!</v>
      </c>
      <c r="X17" s="14" t="e">
        <f ca="1">INDEX(INDIRECT($AF$6),
       MATCH(TRIM($S17), INDIRECT($AF$7), 0),
       MATCH(TRIM(X$13), INDIRECT($AF$8), 0))</f>
        <v>#REF!</v>
      </c>
      <c r="Y17" s="14" t="e">
        <f ca="1">INDEX(INDIRECT($AF$6),
       MATCH(TRIM($S17), INDIRECT($AF$7), 0),
       MATCH(TRIM(Y$13), INDIRECT($AF$8), 0))</f>
        <v>#REF!</v>
      </c>
      <c r="Z17" s="14" t="e">
        <f ca="1">INDEX(INDIRECT($AF$6),
       MATCH(TRIM($S17), INDIRECT($AF$7), 0),
       MATCH(TRIM(Z$13), INDIRECT($AF$8), 0))</f>
        <v>#REF!</v>
      </c>
      <c r="AA17" s="14" t="e">
        <f ca="1">INDEX(INDIRECT($AF$6),
       MATCH(TRIM($S17), INDIRECT($AF$7), 0),
       MATCH(TRIM(AA$13), INDIRECT($AF$8), 0))</f>
        <v>#REF!</v>
      </c>
      <c r="AB17" s="14" t="e">
        <f t="shared" ca="1" si="0"/>
        <v>#REF!</v>
      </c>
    </row>
    <row r="18" spans="1:28" x14ac:dyDescent="0.2">
      <c r="A18" s="26">
        <v>4</v>
      </c>
      <c r="B18" s="27" t="s">
        <v>10</v>
      </c>
      <c r="C18" s="28" t="e">
        <f ca="1">INDEX(INDIRECT($P$6),
       MATCH(TRIM($B18), INDIRECT($P$7), 0),
       MATCH(TRIM(C$14), INDIRECT($P$8), 0))</f>
        <v>#REF!</v>
      </c>
      <c r="D18" s="28" t="e">
        <f ca="1">INDEX(INDIRECT($P$6),
       MATCH(TRIM($B18), INDIRECT($P$7), 0),
       MATCH(TRIM(D$14), INDIRECT($P$8), 0))</f>
        <v>#REF!</v>
      </c>
      <c r="E18" s="28" t="e">
        <f ca="1">INDEX(INDIRECT($P$6),
       MATCH(TRIM($B18), INDIRECT($P$7), 0),
       MATCH(TRIM(E$14), INDIRECT($P$8), 0))</f>
        <v>#REF!</v>
      </c>
      <c r="F18" s="28" t="e">
        <f ca="1">INDEX(INDIRECT($P$6),
       MATCH(TRIM($B18), INDIRECT($P$7), 0),
       MATCH(TRIM(F$14), INDIRECT($P$8), 0))</f>
        <v>#REF!</v>
      </c>
      <c r="G18" s="28" t="e">
        <f ca="1">INDEX(INDIRECT($P$6),
       MATCH(TRIM($B18), INDIRECT($P$7), 0),
       MATCH(TRIM(G$14), INDIRECT($P$8), 0))</f>
        <v>#REF!</v>
      </c>
      <c r="H18" s="28" t="e">
        <f ca="1">INDEX(INDIRECT($P$6),
       MATCH(TRIM($B18), INDIRECT($P$7), 0),
       MATCH(TRIM(H$14), INDIRECT($P$8), 0))</f>
        <v>#REF!</v>
      </c>
      <c r="I18" s="28" t="e">
        <f ca="1">INDEX(INDIRECT($P$6),
       MATCH(TRIM($B18), INDIRECT($P$7), 0),
       MATCH(TRIM(I$14), INDIRECT($P$8), 0))</f>
        <v>#REF!</v>
      </c>
      <c r="J18" s="28" t="e">
        <f ca="1">INDEX(INDIRECT($P$6),
       MATCH(TRIM($B18), INDIRECT($P$7), 0),
       MATCH(TRIM(J$14), INDIRECT($P$8), 0))</f>
        <v>#REF!</v>
      </c>
      <c r="K18" s="28" t="e">
        <f t="shared" ca="1" si="1"/>
        <v>#REF!</v>
      </c>
      <c r="L18" s="46"/>
      <c r="M18" s="46"/>
      <c r="R18">
        <v>5</v>
      </c>
      <c r="S18" t="s">
        <v>44</v>
      </c>
      <c r="T18" s="14" t="e">
        <f ca="1">INDEX(INDIRECT($AF$6),
       MATCH(TRIM($S18), INDIRECT($AF$7), 0),
       MATCH(TRIM(T$13), INDIRECT($AF$8), 0))</f>
        <v>#REF!</v>
      </c>
      <c r="U18" s="14" t="e">
        <f ca="1">INDEX(INDIRECT($AF$6),
       MATCH(TRIM($S18), INDIRECT($AF$7), 0),
       MATCH(TRIM(U$13), INDIRECT($AF$8), 0))</f>
        <v>#REF!</v>
      </c>
      <c r="V18" s="14" t="e">
        <f ca="1">INDEX(INDIRECT($AF$6),
       MATCH(TRIM($S18), INDIRECT($AF$7), 0),
       MATCH(TRIM(V$13), INDIRECT($AF$8), 0))</f>
        <v>#REF!</v>
      </c>
      <c r="W18" s="14" t="e">
        <f ca="1">INDEX(INDIRECT($AF$6),
       MATCH(TRIM($S18), INDIRECT($AF$7), 0),
       MATCH(TRIM(W$13), INDIRECT($AF$8), 0))</f>
        <v>#REF!</v>
      </c>
      <c r="X18" s="14" t="e">
        <f ca="1">INDEX(INDIRECT($AF$6),
       MATCH(TRIM($S18), INDIRECT($AF$7), 0),
       MATCH(TRIM(X$13), INDIRECT($AF$8), 0))</f>
        <v>#REF!</v>
      </c>
      <c r="Y18" s="14" t="e">
        <f ca="1">INDEX(INDIRECT($AF$6),
       MATCH(TRIM($S18), INDIRECT($AF$7), 0),
       MATCH(TRIM(Y$13), INDIRECT($AF$8), 0))</f>
        <v>#REF!</v>
      </c>
      <c r="Z18" s="14" t="e">
        <f ca="1">INDEX(INDIRECT($AF$6),
       MATCH(TRIM($S18), INDIRECT($AF$7), 0),
       MATCH(TRIM(Z$13), INDIRECT($AF$8), 0))</f>
        <v>#REF!</v>
      </c>
      <c r="AA18" s="14" t="e">
        <f ca="1">INDEX(INDIRECT($AF$6),
       MATCH(TRIM($S18), INDIRECT($AF$7), 0),
       MATCH(TRIM(AA$13), INDIRECT($AF$8), 0))</f>
        <v>#REF!</v>
      </c>
      <c r="AB18" s="14" t="e">
        <f t="shared" ca="1" si="0"/>
        <v>#REF!</v>
      </c>
    </row>
    <row r="19" spans="1:28" ht="71" x14ac:dyDescent="0.2">
      <c r="A19" s="26">
        <v>5</v>
      </c>
      <c r="B19" s="27" t="s">
        <v>11</v>
      </c>
      <c r="C19" s="28" t="e">
        <f ca="1">INDEX(INDIRECT($P$6),
       MATCH(TRIM($B19), INDIRECT($P$7), 0),
       MATCH(TRIM(C$14), INDIRECT($P$8), 0))</f>
        <v>#REF!</v>
      </c>
      <c r="D19" s="28" t="e">
        <f ca="1">INDEX(INDIRECT($P$6),
       MATCH(TRIM($B19), INDIRECT($P$7), 0),
       MATCH(TRIM(D$14), INDIRECT($P$8), 0))</f>
        <v>#REF!</v>
      </c>
      <c r="E19" s="28" t="e">
        <f ca="1">INDEX(INDIRECT($P$6),
       MATCH(TRIM($B19), INDIRECT($P$7), 0),
       MATCH(TRIM(E$14), INDIRECT($P$8), 0))</f>
        <v>#REF!</v>
      </c>
      <c r="F19" s="28" t="e">
        <f ca="1">INDEX(INDIRECT($P$6),
       MATCH(TRIM($B19), INDIRECT($P$7), 0),
       MATCH(TRIM(F$14), INDIRECT($P$8), 0))</f>
        <v>#REF!</v>
      </c>
      <c r="G19" s="28" t="e">
        <f ca="1">INDEX(INDIRECT($P$6),
       MATCH(TRIM($B19), INDIRECT($P$7), 0),
       MATCH(TRIM(G$14), INDIRECT($P$8), 0))</f>
        <v>#REF!</v>
      </c>
      <c r="H19" s="28" t="e">
        <f ca="1">INDEX(INDIRECT($P$6),
       MATCH(TRIM($B19), INDIRECT($P$7), 0),
       MATCH(TRIM(H$14), INDIRECT($P$8), 0))</f>
        <v>#REF!</v>
      </c>
      <c r="I19" s="28" t="e">
        <f ca="1">INDEX(INDIRECT($P$6),
       MATCH(TRIM($B19), INDIRECT($P$7), 0),
       MATCH(TRIM(I$14), INDIRECT($P$8), 0))</f>
        <v>#REF!</v>
      </c>
      <c r="J19" s="28" t="e">
        <f ca="1">INDEX(INDIRECT($P$6),
       MATCH(TRIM($B19), INDIRECT($P$7), 0),
       MATCH(TRIM(J$14), INDIRECT($P$8), 0))</f>
        <v>#REF!</v>
      </c>
      <c r="K19" s="28" t="e">
        <f t="shared" ca="1" si="1"/>
        <v>#REF!</v>
      </c>
      <c r="L19" s="46"/>
      <c r="M19" s="46"/>
      <c r="R19">
        <v>6</v>
      </c>
      <c r="S19" t="s">
        <v>41</v>
      </c>
      <c r="T19" s="14" t="e">
        <f ca="1">INDEX(INDIRECT($AF$6),
       MATCH(TRIM($S19), INDIRECT($AF$7), 0),
       MATCH(TRIM(T$13), INDIRECT($AF$8), 0))</f>
        <v>#REF!</v>
      </c>
      <c r="U19" s="14" t="e">
        <f ca="1">INDEX(INDIRECT($AF$6),
       MATCH(TRIM($S19), INDIRECT($AF$7), 0),
       MATCH(TRIM(U$13), INDIRECT($AF$8), 0))</f>
        <v>#REF!</v>
      </c>
      <c r="V19" s="14" t="e">
        <f ca="1">INDEX(INDIRECT($AF$6),
       MATCH(TRIM($S19), INDIRECT($AF$7), 0),
       MATCH(TRIM(V$13), INDIRECT($AF$8), 0))</f>
        <v>#REF!</v>
      </c>
      <c r="W19" s="14" t="e">
        <f ca="1">INDEX(INDIRECT($AF$6),
       MATCH(TRIM($S19), INDIRECT($AF$7), 0),
       MATCH(TRIM(W$13), INDIRECT($AF$8), 0))</f>
        <v>#REF!</v>
      </c>
      <c r="X19" s="14" t="e">
        <f ca="1">INDEX(INDIRECT($AF$6),
       MATCH(TRIM($S19), INDIRECT($AF$7), 0),
       MATCH(TRIM(X$13), INDIRECT($AF$8), 0))</f>
        <v>#REF!</v>
      </c>
      <c r="Y19" s="14" t="e">
        <f ca="1">INDEX(INDIRECT($AF$6),
       MATCH(TRIM($S19), INDIRECT($AF$7), 0),
       MATCH(TRIM(Y$13), INDIRECT($AF$8), 0))</f>
        <v>#REF!</v>
      </c>
      <c r="Z19" s="14" t="e">
        <f ca="1">INDEX(INDIRECT($AF$6),
       MATCH(TRIM($S19), INDIRECT($AF$7), 0),
       MATCH(TRIM(Z$13), INDIRECT($AF$8), 0))</f>
        <v>#REF!</v>
      </c>
      <c r="AA19" s="14" t="e">
        <f ca="1">INDEX(INDIRECT($AF$6),
       MATCH(TRIM($S19), INDIRECT($AF$7), 0),
       MATCH(TRIM(AA$13), INDIRECT($AF$8), 0))</f>
        <v>#REF!</v>
      </c>
      <c r="AB19" s="14" t="e">
        <f t="shared" ca="1" si="0"/>
        <v>#REF!</v>
      </c>
    </row>
    <row r="20" spans="1:28" ht="57" x14ac:dyDescent="0.2">
      <c r="A20" s="26">
        <v>6</v>
      </c>
      <c r="B20" s="27" t="s">
        <v>12</v>
      </c>
      <c r="C20" s="28" t="e">
        <f ca="1">INDEX(INDIRECT($P$6),
       MATCH(TRIM($B20), INDIRECT($P$7), 0),
       MATCH(TRIM(C$14), INDIRECT($P$8), 0))</f>
        <v>#REF!</v>
      </c>
      <c r="D20" s="28" t="e">
        <f ca="1">INDEX(INDIRECT($P$6),
       MATCH(TRIM($B20), INDIRECT($P$7), 0),
       MATCH(TRIM(D$14), INDIRECT($P$8), 0))</f>
        <v>#REF!</v>
      </c>
      <c r="E20" s="28" t="e">
        <f ca="1">INDEX(INDIRECT($P$6),
       MATCH(TRIM($B20), INDIRECT($P$7), 0),
       MATCH(TRIM(E$14), INDIRECT($P$8), 0))</f>
        <v>#REF!</v>
      </c>
      <c r="F20" s="28" t="e">
        <f ca="1">INDEX(INDIRECT($P$6),
       MATCH(TRIM($B20), INDIRECT($P$7), 0),
       MATCH(TRIM(F$14), INDIRECT($P$8), 0))</f>
        <v>#REF!</v>
      </c>
      <c r="G20" s="28" t="e">
        <f ca="1">INDEX(INDIRECT($P$6),
       MATCH(TRIM($B20), INDIRECT($P$7), 0),
       MATCH(TRIM(G$14), INDIRECT($P$8), 0))</f>
        <v>#REF!</v>
      </c>
      <c r="H20" s="28" t="e">
        <f ca="1">INDEX(INDIRECT($P$6),
       MATCH(TRIM($B20), INDIRECT($P$7), 0),
       MATCH(TRIM(H$14), INDIRECT($P$8), 0))</f>
        <v>#REF!</v>
      </c>
      <c r="I20" s="28" t="e">
        <f ca="1">INDEX(INDIRECT($P$6),
       MATCH(TRIM($B20), INDIRECT($P$7), 0),
       MATCH(TRIM(I$14), INDIRECT($P$8), 0))</f>
        <v>#REF!</v>
      </c>
      <c r="J20" s="28" t="e">
        <f ca="1">INDEX(INDIRECT($P$6),
       MATCH(TRIM($B20), INDIRECT($P$7), 0),
       MATCH(TRIM(J$14), INDIRECT($P$8), 0))</f>
        <v>#REF!</v>
      </c>
      <c r="K20" s="28" t="e">
        <f t="shared" ca="1" si="1"/>
        <v>#REF!</v>
      </c>
      <c r="L20" s="46"/>
      <c r="M20" s="46"/>
      <c r="R20">
        <v>7</v>
      </c>
      <c r="S20" t="s">
        <v>59</v>
      </c>
      <c r="T20" s="14" t="e">
        <f ca="1">INDEX(INDIRECT($AF$6),
       MATCH(TRIM($S20), INDIRECT($AF$7), 0),
       MATCH(TRIM(T$13), INDIRECT($AF$8), 0))</f>
        <v>#REF!</v>
      </c>
      <c r="U20" s="14" t="e">
        <f ca="1">INDEX(INDIRECT($AF$6),
       MATCH(TRIM($S20), INDIRECT($AF$7), 0),
       MATCH(TRIM(U$13), INDIRECT($AF$8), 0))</f>
        <v>#REF!</v>
      </c>
      <c r="V20" s="14" t="e">
        <f ca="1">INDEX(INDIRECT($AF$6),
       MATCH(TRIM($S20), INDIRECT($AF$7), 0),
       MATCH(TRIM(V$13), INDIRECT($AF$8), 0))</f>
        <v>#REF!</v>
      </c>
      <c r="W20" s="14" t="e">
        <f ca="1">INDEX(INDIRECT($AF$6),
       MATCH(TRIM($S20), INDIRECT($AF$7), 0),
       MATCH(TRIM(W$13), INDIRECT($AF$8), 0))</f>
        <v>#REF!</v>
      </c>
      <c r="X20" s="14" t="e">
        <f ca="1">INDEX(INDIRECT($AF$6),
       MATCH(TRIM($S20), INDIRECT($AF$7), 0),
       MATCH(TRIM(X$13), INDIRECT($AF$8), 0))</f>
        <v>#REF!</v>
      </c>
      <c r="Y20" s="14" t="e">
        <f ca="1">INDEX(INDIRECT($AF$6),
       MATCH(TRIM($S20), INDIRECT($AF$7), 0),
       MATCH(TRIM(Y$13), INDIRECT($AF$8), 0))</f>
        <v>#REF!</v>
      </c>
      <c r="Z20" s="14" t="e">
        <f ca="1">INDEX(INDIRECT($AF$6),
       MATCH(TRIM($S20), INDIRECT($AF$7), 0),
       MATCH(TRIM(Z$13), INDIRECT($AF$8), 0))</f>
        <v>#REF!</v>
      </c>
      <c r="AA20" s="14" t="e">
        <f ca="1">INDEX(INDIRECT($AF$6),
       MATCH(TRIM($S20), INDIRECT($AF$7), 0),
       MATCH(TRIM(AA$13), INDIRECT($AF$8), 0))</f>
        <v>#REF!</v>
      </c>
      <c r="AB20" s="14" t="e">
        <f t="shared" ca="1" si="0"/>
        <v>#REF!</v>
      </c>
    </row>
    <row r="21" spans="1:28" ht="71" x14ac:dyDescent="0.2">
      <c r="A21" s="26">
        <v>7</v>
      </c>
      <c r="B21" s="27" t="s">
        <v>13</v>
      </c>
      <c r="C21" s="28" t="e">
        <f ca="1">INDEX(INDIRECT($P$6),
       MATCH(TRIM($B21), INDIRECT($P$7), 0),
       MATCH(TRIM(C$14), INDIRECT($P$8), 0))</f>
        <v>#REF!</v>
      </c>
      <c r="D21" s="28" t="e">
        <f ca="1">INDEX(INDIRECT($P$6),
       MATCH(TRIM($B21), INDIRECT($P$7), 0),
       MATCH(TRIM(D$14), INDIRECT($P$8), 0))</f>
        <v>#REF!</v>
      </c>
      <c r="E21" s="28" t="e">
        <f ca="1">INDEX(INDIRECT($P$6),
       MATCH(TRIM($B21), INDIRECT($P$7), 0),
       MATCH(TRIM(E$14), INDIRECT($P$8), 0))</f>
        <v>#REF!</v>
      </c>
      <c r="F21" s="28" t="e">
        <f ca="1">INDEX(INDIRECT($P$6),
       MATCH(TRIM($B21), INDIRECT($P$7), 0),
       MATCH(TRIM(F$14), INDIRECT($P$8), 0))</f>
        <v>#REF!</v>
      </c>
      <c r="G21" s="28" t="e">
        <f ca="1">INDEX(INDIRECT($P$6),
       MATCH(TRIM($B21), INDIRECT($P$7), 0),
       MATCH(TRIM(G$14), INDIRECT($P$8), 0))</f>
        <v>#REF!</v>
      </c>
      <c r="H21" s="28" t="e">
        <f ca="1">INDEX(INDIRECT($P$6),
       MATCH(TRIM($B21), INDIRECT($P$7), 0),
       MATCH(TRIM(H$14), INDIRECT($P$8), 0))</f>
        <v>#REF!</v>
      </c>
      <c r="I21" s="28" t="e">
        <f ca="1">INDEX(INDIRECT($P$6),
       MATCH(TRIM($B21), INDIRECT($P$7), 0),
       MATCH(TRIM(I$14), INDIRECT($P$8), 0))</f>
        <v>#REF!</v>
      </c>
      <c r="J21" s="28" t="e">
        <f ca="1">INDEX(INDIRECT($P$6),
       MATCH(TRIM($B21), INDIRECT($P$7), 0),
       MATCH(TRIM(J$14), INDIRECT($P$8), 0))</f>
        <v>#REF!</v>
      </c>
      <c r="K21" s="28" t="e">
        <f t="shared" ca="1" si="1"/>
        <v>#REF!</v>
      </c>
      <c r="L21" s="46"/>
      <c r="M21" s="46"/>
      <c r="R21">
        <v>8</v>
      </c>
      <c r="S21" t="s">
        <v>38</v>
      </c>
      <c r="T21" s="14" t="e">
        <f ca="1">INDEX(INDIRECT($AF$6),
       MATCH(TRIM($S21), INDIRECT($AF$7), 0),
       MATCH(TRIM(T$13), INDIRECT($AF$8), 0))</f>
        <v>#REF!</v>
      </c>
      <c r="U21" s="14" t="e">
        <f ca="1">INDEX(INDIRECT($AF$6),
       MATCH(TRIM($S21), INDIRECT($AF$7), 0),
       MATCH(TRIM(U$13), INDIRECT($AF$8), 0))</f>
        <v>#REF!</v>
      </c>
      <c r="V21" s="14" t="e">
        <f ca="1">INDEX(INDIRECT($AF$6),
       MATCH(TRIM($S21), INDIRECT($AF$7), 0),
       MATCH(TRIM(V$13), INDIRECT($AF$8), 0))</f>
        <v>#REF!</v>
      </c>
      <c r="W21" s="14" t="e">
        <f ca="1">INDEX(INDIRECT($AF$6),
       MATCH(TRIM($S21), INDIRECT($AF$7), 0),
       MATCH(TRIM(W$13), INDIRECT($AF$8), 0))</f>
        <v>#REF!</v>
      </c>
      <c r="X21" s="14" t="e">
        <f ca="1">INDEX(INDIRECT($AF$6),
       MATCH(TRIM($S21), INDIRECT($AF$7), 0),
       MATCH(TRIM(X$13), INDIRECT($AF$8), 0))</f>
        <v>#REF!</v>
      </c>
      <c r="Y21" s="14" t="e">
        <f ca="1">INDEX(INDIRECT($AF$6),
       MATCH(TRIM($S21), INDIRECT($AF$7), 0),
       MATCH(TRIM(Y$13), INDIRECT($AF$8), 0))</f>
        <v>#REF!</v>
      </c>
      <c r="Z21" s="14" t="e">
        <f ca="1">INDEX(INDIRECT($AF$6),
       MATCH(TRIM($S21), INDIRECT($AF$7), 0),
       MATCH(TRIM(Z$13), INDIRECT($AF$8), 0))</f>
        <v>#REF!</v>
      </c>
      <c r="AA21" s="14" t="e">
        <f ca="1">INDEX(INDIRECT($AF$6),
       MATCH(TRIM($S21), INDIRECT($AF$7), 0),
       MATCH(TRIM(AA$13), INDIRECT($AF$8), 0))</f>
        <v>#REF!</v>
      </c>
      <c r="AB21" s="14" t="e">
        <f t="shared" ca="1" si="0"/>
        <v>#REF!</v>
      </c>
    </row>
    <row r="22" spans="1:28" ht="29" x14ac:dyDescent="0.2">
      <c r="A22" s="26">
        <v>8</v>
      </c>
      <c r="B22" s="27" t="s">
        <v>14</v>
      </c>
      <c r="C22" s="28" t="e">
        <f ca="1">INDEX(INDIRECT($P$6),
       MATCH(TRIM($B22), INDIRECT($P$7), 0),
       MATCH(TRIM(C$14), INDIRECT($P$8), 0))</f>
        <v>#REF!</v>
      </c>
      <c r="D22" s="28" t="e">
        <f ca="1">INDEX(INDIRECT($P$6),
       MATCH(TRIM($B22), INDIRECT($P$7), 0),
       MATCH(TRIM(D$14), INDIRECT($P$8), 0))</f>
        <v>#REF!</v>
      </c>
      <c r="E22" s="28" t="e">
        <f ca="1">INDEX(INDIRECT($P$6),
       MATCH(TRIM($B22), INDIRECT($P$7), 0),
       MATCH(TRIM(E$14), INDIRECT($P$8), 0))</f>
        <v>#REF!</v>
      </c>
      <c r="F22" s="28" t="e">
        <f ca="1">INDEX(INDIRECT($P$6),
       MATCH(TRIM($B22), INDIRECT($P$7), 0),
       MATCH(TRIM(F$14), INDIRECT($P$8), 0))</f>
        <v>#REF!</v>
      </c>
      <c r="G22" s="28" t="e">
        <f ca="1">INDEX(INDIRECT($P$6),
       MATCH(TRIM($B22), INDIRECT($P$7), 0),
       MATCH(TRIM(G$14), INDIRECT($P$8), 0))</f>
        <v>#REF!</v>
      </c>
      <c r="H22" s="28" t="e">
        <f ca="1">INDEX(INDIRECT($P$6),
       MATCH(TRIM($B22), INDIRECT($P$7), 0),
       MATCH(TRIM(H$14), INDIRECT($P$8), 0))</f>
        <v>#REF!</v>
      </c>
      <c r="I22" s="28" t="e">
        <f ca="1">INDEX(INDIRECT($P$6),
       MATCH(TRIM($B22), INDIRECT($P$7), 0),
       MATCH(TRIM(I$14), INDIRECT($P$8), 0))</f>
        <v>#REF!</v>
      </c>
      <c r="J22" s="28" t="e">
        <f ca="1">INDEX(INDIRECT($P$6),
       MATCH(TRIM($B22), INDIRECT($P$7), 0),
       MATCH(TRIM(J$14), INDIRECT($P$8), 0))</f>
        <v>#REF!</v>
      </c>
      <c r="K22" s="28" t="e">
        <f t="shared" ca="1" si="1"/>
        <v>#REF!</v>
      </c>
      <c r="L22" s="46"/>
      <c r="M22" s="46"/>
      <c r="R22">
        <v>9</v>
      </c>
      <c r="S22" t="s">
        <v>46</v>
      </c>
      <c r="T22" s="14" t="e">
        <f ca="1">INDEX(INDIRECT($AF$6),
       MATCH(TRIM($S22), INDIRECT($AF$7), 0),
       MATCH(TRIM(T$13), INDIRECT($AF$8), 0))</f>
        <v>#REF!</v>
      </c>
      <c r="U22" s="14" t="e">
        <f ca="1">INDEX(INDIRECT($AF$6),
       MATCH(TRIM($S22), INDIRECT($AF$7), 0),
       MATCH(TRIM(U$13), INDIRECT($AF$8), 0))</f>
        <v>#REF!</v>
      </c>
      <c r="V22" s="14" t="e">
        <f ca="1">INDEX(INDIRECT($AF$6),
       MATCH(TRIM($S22), INDIRECT($AF$7), 0),
       MATCH(TRIM(V$13), INDIRECT($AF$8), 0))</f>
        <v>#REF!</v>
      </c>
      <c r="W22" s="14" t="e">
        <f ca="1">INDEX(INDIRECT($AF$6),
       MATCH(TRIM($S22), INDIRECT($AF$7), 0),
       MATCH(TRIM(W$13), INDIRECT($AF$8), 0))</f>
        <v>#REF!</v>
      </c>
      <c r="X22" s="14" t="e">
        <f ca="1">INDEX(INDIRECT($AF$6),
       MATCH(TRIM($S22), INDIRECT($AF$7), 0),
       MATCH(TRIM(X$13), INDIRECT($AF$8), 0))</f>
        <v>#REF!</v>
      </c>
      <c r="Y22" s="14" t="e">
        <f ca="1">INDEX(INDIRECT($AF$6),
       MATCH(TRIM($S22), INDIRECT($AF$7), 0),
       MATCH(TRIM(Y$13), INDIRECT($AF$8), 0))</f>
        <v>#REF!</v>
      </c>
      <c r="Z22" s="14" t="e">
        <f ca="1">INDEX(INDIRECT($AF$6),
       MATCH(TRIM($S22), INDIRECT($AF$7), 0),
       MATCH(TRIM(Z$13), INDIRECT($AF$8), 0))</f>
        <v>#REF!</v>
      </c>
      <c r="AA22" s="14" t="e">
        <f ca="1">INDEX(INDIRECT($AF$6),
       MATCH(TRIM($S22), INDIRECT($AF$7), 0),
       MATCH(TRIM(AA$13), INDIRECT($AF$8), 0))</f>
        <v>#REF!</v>
      </c>
      <c r="AB22" s="14" t="e">
        <f t="shared" ca="1" si="0"/>
        <v>#REF!</v>
      </c>
    </row>
    <row r="23" spans="1:28" ht="43" x14ac:dyDescent="0.2">
      <c r="A23" s="26">
        <v>9</v>
      </c>
      <c r="B23" s="27" t="s">
        <v>15</v>
      </c>
      <c r="C23" s="28" t="e">
        <f ca="1">INDEX(INDIRECT($P$6),
       MATCH(TRIM($B23), INDIRECT($P$7), 0),
       MATCH(TRIM(C$14), INDIRECT($P$8), 0))</f>
        <v>#REF!</v>
      </c>
      <c r="D23" s="28" t="e">
        <f ca="1">INDEX(INDIRECT($P$6),
       MATCH(TRIM($B23), INDIRECT($P$7), 0),
       MATCH(TRIM(D$14), INDIRECT($P$8), 0))</f>
        <v>#REF!</v>
      </c>
      <c r="E23" s="28" t="e">
        <f ca="1">INDEX(INDIRECT($P$6),
       MATCH(TRIM($B23), INDIRECT($P$7), 0),
       MATCH(TRIM(E$14), INDIRECT($P$8), 0))</f>
        <v>#REF!</v>
      </c>
      <c r="F23" s="28" t="e">
        <f ca="1">INDEX(INDIRECT($P$6),
       MATCH(TRIM($B23), INDIRECT($P$7), 0),
       MATCH(TRIM(F$14), INDIRECT($P$8), 0))</f>
        <v>#REF!</v>
      </c>
      <c r="G23" s="28" t="e">
        <f ca="1">INDEX(INDIRECT($P$6),
       MATCH(TRIM($B23), INDIRECT($P$7), 0),
       MATCH(TRIM(G$14), INDIRECT($P$8), 0))</f>
        <v>#REF!</v>
      </c>
      <c r="H23" s="28" t="e">
        <f ca="1">INDEX(INDIRECT($P$6),
       MATCH(TRIM($B23), INDIRECT($P$7), 0),
       MATCH(TRIM(H$14), INDIRECT($P$8), 0))</f>
        <v>#REF!</v>
      </c>
      <c r="I23" s="28" t="e">
        <f ca="1">INDEX(INDIRECT($P$6),
       MATCH(TRIM($B23), INDIRECT($P$7), 0),
       MATCH(TRIM(I$14), INDIRECT($P$8), 0))</f>
        <v>#REF!</v>
      </c>
      <c r="J23" s="28" t="e">
        <f ca="1">INDEX(INDIRECT($P$6),
       MATCH(TRIM($B23), INDIRECT($P$7), 0),
       MATCH(TRIM(J$14), INDIRECT($P$8), 0))</f>
        <v>#REF!</v>
      </c>
      <c r="K23" s="28" t="e">
        <f t="shared" ca="1" si="1"/>
        <v>#REF!</v>
      </c>
      <c r="L23" s="46"/>
      <c r="M23" s="46"/>
      <c r="R23">
        <v>10</v>
      </c>
      <c r="S23" t="s">
        <v>45</v>
      </c>
      <c r="T23" s="14" t="e">
        <f ca="1">INDEX(INDIRECT($AF$6),
       MATCH(TRIM($S23), INDIRECT($AF$7), 0),
       MATCH(TRIM(T$13), INDIRECT($AF$8), 0))</f>
        <v>#REF!</v>
      </c>
      <c r="U23" s="14" t="e">
        <f ca="1">INDEX(INDIRECT($AF$6),
       MATCH(TRIM($S23), INDIRECT($AF$7), 0),
       MATCH(TRIM(U$13), INDIRECT($AF$8), 0))</f>
        <v>#REF!</v>
      </c>
      <c r="V23" s="14" t="e">
        <f ca="1">INDEX(INDIRECT($AF$6),
       MATCH(TRIM($S23), INDIRECT($AF$7), 0),
       MATCH(TRIM(V$13), INDIRECT($AF$8), 0))</f>
        <v>#REF!</v>
      </c>
      <c r="W23" s="14" t="e">
        <f ca="1">INDEX(INDIRECT($AF$6),
       MATCH(TRIM($S23), INDIRECT($AF$7), 0),
       MATCH(TRIM(W$13), INDIRECT($AF$8), 0))</f>
        <v>#REF!</v>
      </c>
      <c r="X23" s="14" t="e">
        <f ca="1">INDEX(INDIRECT($AF$6),
       MATCH(TRIM($S23), INDIRECT($AF$7), 0),
       MATCH(TRIM(X$13), INDIRECT($AF$8), 0))</f>
        <v>#REF!</v>
      </c>
      <c r="Y23" s="14" t="e">
        <f ca="1">INDEX(INDIRECT($AF$6),
       MATCH(TRIM($S23), INDIRECT($AF$7), 0),
       MATCH(TRIM(Y$13), INDIRECT($AF$8), 0))</f>
        <v>#REF!</v>
      </c>
      <c r="Z23" s="14" t="e">
        <f ca="1">INDEX(INDIRECT($AF$6),
       MATCH(TRIM($S23), INDIRECT($AF$7), 0),
       MATCH(TRIM(Z$13), INDIRECT($AF$8), 0))</f>
        <v>#REF!</v>
      </c>
      <c r="AA23" s="14" t="e">
        <f ca="1">INDEX(INDIRECT($AF$6),
       MATCH(TRIM($S23), INDIRECT($AF$7), 0),
       MATCH(TRIM(AA$13), INDIRECT($AF$8), 0))</f>
        <v>#REF!</v>
      </c>
      <c r="AB23" s="14" t="e">
        <f t="shared" ca="1" si="0"/>
        <v>#REF!</v>
      </c>
    </row>
    <row r="24" spans="1:28" ht="43" x14ac:dyDescent="0.2">
      <c r="A24" s="26">
        <v>10</v>
      </c>
      <c r="B24" s="27" t="s">
        <v>16</v>
      </c>
      <c r="C24" s="28" t="e">
        <f ca="1">INDEX(INDIRECT($P$6),
       MATCH(TRIM($B24), INDIRECT($P$7), 0),
       MATCH(TRIM(C$14), INDIRECT($P$8), 0))</f>
        <v>#REF!</v>
      </c>
      <c r="D24" s="28" t="e">
        <f ca="1">INDEX(INDIRECT($P$6),
       MATCH(TRIM($B24), INDIRECT($P$7), 0),
       MATCH(TRIM(D$14), INDIRECT($P$8), 0))</f>
        <v>#REF!</v>
      </c>
      <c r="E24" s="28" t="e">
        <f ca="1">INDEX(INDIRECT($P$6),
       MATCH(TRIM($B24), INDIRECT($P$7), 0),
       MATCH(TRIM(E$14), INDIRECT($P$8), 0))</f>
        <v>#REF!</v>
      </c>
      <c r="F24" s="28" t="e">
        <f ca="1">INDEX(INDIRECT($P$6),
       MATCH(TRIM($B24), INDIRECT($P$7), 0),
       MATCH(TRIM(F$14), INDIRECT($P$8), 0))</f>
        <v>#REF!</v>
      </c>
      <c r="G24" s="28" t="e">
        <f ca="1">INDEX(INDIRECT($P$6),
       MATCH(TRIM($B24), INDIRECT($P$7), 0),
       MATCH(TRIM(G$14), INDIRECT($P$8), 0))</f>
        <v>#REF!</v>
      </c>
      <c r="H24" s="28" t="e">
        <f ca="1">INDEX(INDIRECT($P$6),
       MATCH(TRIM($B24), INDIRECT($P$7), 0),
       MATCH(TRIM(H$14), INDIRECT($P$8), 0))</f>
        <v>#REF!</v>
      </c>
      <c r="I24" s="28" t="e">
        <f ca="1">INDEX(INDIRECT($P$6),
       MATCH(TRIM($B24), INDIRECT($P$7), 0),
       MATCH(TRIM(I$14), INDIRECT($P$8), 0))</f>
        <v>#REF!</v>
      </c>
      <c r="J24" s="28" t="e">
        <f ca="1">INDEX(INDIRECT($P$6),
       MATCH(TRIM($B24), INDIRECT($P$7), 0),
       MATCH(TRIM(J$14), INDIRECT($P$8), 0))</f>
        <v>#REF!</v>
      </c>
      <c r="K24" s="28" t="e">
        <f t="shared" ca="1" si="1"/>
        <v>#REF!</v>
      </c>
      <c r="L24" s="46"/>
      <c r="M24" s="46"/>
      <c r="R24">
        <v>11</v>
      </c>
      <c r="S24" t="s">
        <v>49</v>
      </c>
      <c r="T24" s="14" t="e">
        <f ca="1">INDEX(INDIRECT($AF$6),
       MATCH(TRIM($S24), INDIRECT($AF$7), 0),
       MATCH(TRIM(T$13), INDIRECT($AF$8), 0))</f>
        <v>#REF!</v>
      </c>
      <c r="U24" s="14" t="e">
        <f ca="1">INDEX(INDIRECT($AF$6),
       MATCH(TRIM($S24), INDIRECT($AF$7), 0),
       MATCH(TRIM(U$13), INDIRECT($AF$8), 0))</f>
        <v>#REF!</v>
      </c>
      <c r="V24" s="14" t="e">
        <f ca="1">INDEX(INDIRECT($AF$6),
       MATCH(TRIM($S24), INDIRECT($AF$7), 0),
       MATCH(TRIM(V$13), INDIRECT($AF$8), 0))</f>
        <v>#REF!</v>
      </c>
      <c r="W24" s="14" t="e">
        <f ca="1">INDEX(INDIRECT($AF$6),
       MATCH(TRIM($S24), INDIRECT($AF$7), 0),
       MATCH(TRIM(W$13), INDIRECT($AF$8), 0))</f>
        <v>#REF!</v>
      </c>
      <c r="X24" s="14" t="e">
        <f ca="1">INDEX(INDIRECT($AF$6),
       MATCH(TRIM($S24), INDIRECT($AF$7), 0),
       MATCH(TRIM(X$13), INDIRECT($AF$8), 0))</f>
        <v>#REF!</v>
      </c>
      <c r="Y24" s="14" t="e">
        <f ca="1">INDEX(INDIRECT($AF$6),
       MATCH(TRIM($S24), INDIRECT($AF$7), 0),
       MATCH(TRIM(Y$13), INDIRECT($AF$8), 0))</f>
        <v>#REF!</v>
      </c>
      <c r="Z24" s="14" t="e">
        <f ca="1">INDEX(INDIRECT($AF$6),
       MATCH(TRIM($S24), INDIRECT($AF$7), 0),
       MATCH(TRIM(Z$13), INDIRECT($AF$8), 0))</f>
        <v>#REF!</v>
      </c>
      <c r="AA24" s="14" t="e">
        <f ca="1">INDEX(INDIRECT($AF$6),
       MATCH(TRIM($S24), INDIRECT($AF$7), 0),
       MATCH(TRIM(AA$13), INDIRECT($AF$8), 0))</f>
        <v>#REF!</v>
      </c>
      <c r="AB24" s="14" t="e">
        <f t="shared" ca="1" si="0"/>
        <v>#REF!</v>
      </c>
    </row>
    <row r="25" spans="1:28" ht="57" x14ac:dyDescent="0.2">
      <c r="A25" s="26">
        <v>11</v>
      </c>
      <c r="B25" s="27" t="s">
        <v>17</v>
      </c>
      <c r="C25" s="28" t="e">
        <f ca="1">INDEX(INDIRECT($P$6),
       MATCH(TRIM($B25), INDIRECT($P$7), 0),
       MATCH(TRIM(C$14), INDIRECT($P$8), 0))</f>
        <v>#REF!</v>
      </c>
      <c r="D25" s="28" t="e">
        <f ca="1">INDEX(INDIRECT($P$6),
       MATCH(TRIM($B25), INDIRECT($P$7), 0),
       MATCH(TRIM(D$14), INDIRECT($P$8), 0))</f>
        <v>#REF!</v>
      </c>
      <c r="E25" s="28" t="e">
        <f ca="1">INDEX(INDIRECT($P$6),
       MATCH(TRIM($B25), INDIRECT($P$7), 0),
       MATCH(TRIM(E$14), INDIRECT($P$8), 0))</f>
        <v>#REF!</v>
      </c>
      <c r="F25" s="28" t="e">
        <f ca="1">INDEX(INDIRECT($P$6),
       MATCH(TRIM($B25), INDIRECT($P$7), 0),
       MATCH(TRIM(F$14), INDIRECT($P$8), 0))</f>
        <v>#REF!</v>
      </c>
      <c r="G25" s="28" t="e">
        <f ca="1">INDEX(INDIRECT($P$6),
       MATCH(TRIM($B25), INDIRECT($P$7), 0),
       MATCH(TRIM(G$14), INDIRECT($P$8), 0))</f>
        <v>#REF!</v>
      </c>
      <c r="H25" s="28" t="e">
        <f ca="1">INDEX(INDIRECT($P$6),
       MATCH(TRIM($B25), INDIRECT($P$7), 0),
       MATCH(TRIM(H$14), INDIRECT($P$8), 0))</f>
        <v>#REF!</v>
      </c>
      <c r="I25" s="28" t="e">
        <f ca="1">INDEX(INDIRECT($P$6),
       MATCH(TRIM($B25), INDIRECT($P$7), 0),
       MATCH(TRIM(I$14), INDIRECT($P$8), 0))</f>
        <v>#REF!</v>
      </c>
      <c r="J25" s="28" t="e">
        <f ca="1">INDEX(INDIRECT($P$6),
       MATCH(TRIM($B25), INDIRECT($P$7), 0),
       MATCH(TRIM(J$14), INDIRECT($P$8), 0))</f>
        <v>#REF!</v>
      </c>
      <c r="K25" s="28" t="e">
        <f t="shared" ca="1" si="1"/>
        <v>#REF!</v>
      </c>
      <c r="L25" s="46"/>
      <c r="M25" s="46"/>
      <c r="R25">
        <v>12</v>
      </c>
      <c r="S25" t="s">
        <v>47</v>
      </c>
      <c r="T25" s="14" t="e">
        <f ca="1">INDEX(INDIRECT($AF$6),
       MATCH(TRIM($S25), INDIRECT($AF$7), 0),
       MATCH(TRIM(T$13), INDIRECT($AF$8), 0))</f>
        <v>#REF!</v>
      </c>
      <c r="U25" s="14" t="e">
        <f ca="1">INDEX(INDIRECT($AF$6),
       MATCH(TRIM($S25), INDIRECT($AF$7), 0),
       MATCH(TRIM(U$13), INDIRECT($AF$8), 0))</f>
        <v>#REF!</v>
      </c>
      <c r="V25" s="14" t="e">
        <f ca="1">INDEX(INDIRECT($AF$6),
       MATCH(TRIM($S25), INDIRECT($AF$7), 0),
       MATCH(TRIM(V$13), INDIRECT($AF$8), 0))</f>
        <v>#REF!</v>
      </c>
      <c r="W25" s="14" t="e">
        <f ca="1">INDEX(INDIRECT($AF$6),
       MATCH(TRIM($S25), INDIRECT($AF$7), 0),
       MATCH(TRIM(W$13), INDIRECT($AF$8), 0))</f>
        <v>#REF!</v>
      </c>
      <c r="X25" s="14" t="e">
        <f ca="1">INDEX(INDIRECT($AF$6),
       MATCH(TRIM($S25), INDIRECT($AF$7), 0),
       MATCH(TRIM(X$13), INDIRECT($AF$8), 0))</f>
        <v>#REF!</v>
      </c>
      <c r="Y25" s="14" t="e">
        <f ca="1">INDEX(INDIRECT($AF$6),
       MATCH(TRIM($S25), INDIRECT($AF$7), 0),
       MATCH(TRIM(Y$13), INDIRECT($AF$8), 0))</f>
        <v>#REF!</v>
      </c>
      <c r="Z25" s="14" t="e">
        <f ca="1">INDEX(INDIRECT($AF$6),
       MATCH(TRIM($S25), INDIRECT($AF$7), 0),
       MATCH(TRIM(Z$13), INDIRECT($AF$8), 0))</f>
        <v>#REF!</v>
      </c>
      <c r="AA25" s="14" t="e">
        <f ca="1">INDEX(INDIRECT($AF$6),
       MATCH(TRIM($S25), INDIRECT($AF$7), 0),
       MATCH(TRIM(AA$13), INDIRECT($AF$8), 0))</f>
        <v>#REF!</v>
      </c>
      <c r="AB25" s="14" t="e">
        <f t="shared" ca="1" si="0"/>
        <v>#REF!</v>
      </c>
    </row>
    <row r="26" spans="1:28" ht="29" x14ac:dyDescent="0.2">
      <c r="A26" s="26">
        <v>12</v>
      </c>
      <c r="B26" s="27" t="s">
        <v>18</v>
      </c>
      <c r="C26" s="28" t="e">
        <f ca="1">INDEX(INDIRECT($P$6),
       MATCH(TRIM($B26), INDIRECT($P$7), 0),
       MATCH(TRIM(C$14), INDIRECT($P$8), 0))</f>
        <v>#REF!</v>
      </c>
      <c r="D26" s="28" t="e">
        <f ca="1">INDEX(INDIRECT($P$6),
       MATCH(TRIM($B26), INDIRECT($P$7), 0),
       MATCH(TRIM(D$14), INDIRECT($P$8), 0))</f>
        <v>#REF!</v>
      </c>
      <c r="E26" s="28" t="e">
        <f ca="1">INDEX(INDIRECT($P$6),
       MATCH(TRIM($B26), INDIRECT($P$7), 0),
       MATCH(TRIM(E$14), INDIRECT($P$8), 0))</f>
        <v>#REF!</v>
      </c>
      <c r="F26" s="28" t="e">
        <f ca="1">INDEX(INDIRECT($P$6),
       MATCH(TRIM($B26), INDIRECT($P$7), 0),
       MATCH(TRIM(F$14), INDIRECT($P$8), 0))</f>
        <v>#REF!</v>
      </c>
      <c r="G26" s="28" t="e">
        <f ca="1">INDEX(INDIRECT($P$6),
       MATCH(TRIM($B26), INDIRECT($P$7), 0),
       MATCH(TRIM(G$14), INDIRECT($P$8), 0))</f>
        <v>#REF!</v>
      </c>
      <c r="H26" s="28" t="e">
        <f ca="1">INDEX(INDIRECT($P$6),
       MATCH(TRIM($B26), INDIRECT($P$7), 0),
       MATCH(TRIM(H$14), INDIRECT($P$8), 0))</f>
        <v>#REF!</v>
      </c>
      <c r="I26" s="28" t="e">
        <f ca="1">INDEX(INDIRECT($P$6),
       MATCH(TRIM($B26), INDIRECT($P$7), 0),
       MATCH(TRIM(I$14), INDIRECT($P$8), 0))</f>
        <v>#REF!</v>
      </c>
      <c r="J26" s="28" t="e">
        <f ca="1">INDEX(INDIRECT($P$6),
       MATCH(TRIM($B26), INDIRECT($P$7), 0),
       MATCH(TRIM(J$14), INDIRECT($P$8), 0))</f>
        <v>#REF!</v>
      </c>
      <c r="K26" s="28" t="e">
        <f t="shared" ca="1" si="1"/>
        <v>#REF!</v>
      </c>
      <c r="L26" s="46"/>
      <c r="M26" s="46"/>
      <c r="R26">
        <v>13</v>
      </c>
      <c r="S26" t="s">
        <v>53</v>
      </c>
      <c r="T26" s="14" t="e">
        <f ca="1">INDEX(INDIRECT($AF$6),
       MATCH(TRIM($S26), INDIRECT($AF$7), 0),
       MATCH(TRIM(T$13), INDIRECT($AF$8), 0))</f>
        <v>#REF!</v>
      </c>
      <c r="U26" s="14" t="e">
        <f ca="1">INDEX(INDIRECT($AF$6),
       MATCH(TRIM($S26), INDIRECT($AF$7), 0),
       MATCH(TRIM(U$13), INDIRECT($AF$8), 0))</f>
        <v>#REF!</v>
      </c>
      <c r="V26" s="14" t="e">
        <f ca="1">INDEX(INDIRECT($AF$6),
       MATCH(TRIM($S26), INDIRECT($AF$7), 0),
       MATCH(TRIM(V$13), INDIRECT($AF$8), 0))</f>
        <v>#REF!</v>
      </c>
      <c r="W26" s="14" t="e">
        <f ca="1">INDEX(INDIRECT($AF$6),
       MATCH(TRIM($S26), INDIRECT($AF$7), 0),
       MATCH(TRIM(W$13), INDIRECT($AF$8), 0))</f>
        <v>#REF!</v>
      </c>
      <c r="X26" s="14" t="e">
        <f ca="1">INDEX(INDIRECT($AF$6),
       MATCH(TRIM($S26), INDIRECT($AF$7), 0),
       MATCH(TRIM(X$13), INDIRECT($AF$8), 0))</f>
        <v>#REF!</v>
      </c>
      <c r="Y26" s="14" t="e">
        <f ca="1">INDEX(INDIRECT($AF$6),
       MATCH(TRIM($S26), INDIRECT($AF$7), 0),
       MATCH(TRIM(Y$13), INDIRECT($AF$8), 0))</f>
        <v>#REF!</v>
      </c>
      <c r="Z26" s="14" t="e">
        <f ca="1">INDEX(INDIRECT($AF$6),
       MATCH(TRIM($S26), INDIRECT($AF$7), 0),
       MATCH(TRIM(Z$13), INDIRECT($AF$8), 0))</f>
        <v>#REF!</v>
      </c>
      <c r="AA26" s="14" t="e">
        <f ca="1">INDEX(INDIRECT($AF$6),
       MATCH(TRIM($S26), INDIRECT($AF$7), 0),
       MATCH(TRIM(AA$13), INDIRECT($AF$8), 0))</f>
        <v>#REF!</v>
      </c>
      <c r="AB26" s="14" t="e">
        <f t="shared" ca="1" si="0"/>
        <v>#REF!</v>
      </c>
    </row>
    <row r="27" spans="1:28" ht="29" x14ac:dyDescent="0.2">
      <c r="A27" s="26">
        <v>13</v>
      </c>
      <c r="B27" s="27" t="s">
        <v>19</v>
      </c>
      <c r="C27" s="28" t="e">
        <f ca="1">INDEX(INDIRECT($P$6),
       MATCH(TRIM($B27), INDIRECT($P$7), 0),
       MATCH(TRIM(C$14), INDIRECT($P$8), 0))</f>
        <v>#REF!</v>
      </c>
      <c r="D27" s="28" t="e">
        <f ca="1">INDEX(INDIRECT($P$6),
       MATCH(TRIM($B27), INDIRECT($P$7), 0),
       MATCH(TRIM(D$14), INDIRECT($P$8), 0))</f>
        <v>#REF!</v>
      </c>
      <c r="E27" s="28" t="e">
        <f ca="1">INDEX(INDIRECT($P$6),
       MATCH(TRIM($B27), INDIRECT($P$7), 0),
       MATCH(TRIM(E$14), INDIRECT($P$8), 0))</f>
        <v>#REF!</v>
      </c>
      <c r="F27" s="28" t="e">
        <f ca="1">INDEX(INDIRECT($P$6),
       MATCH(TRIM($B27), INDIRECT($P$7), 0),
       MATCH(TRIM(F$14), INDIRECT($P$8), 0))</f>
        <v>#REF!</v>
      </c>
      <c r="G27" s="28" t="e">
        <f ca="1">INDEX(INDIRECT($P$6),
       MATCH(TRIM($B27), INDIRECT($P$7), 0),
       MATCH(TRIM(G$14), INDIRECT($P$8), 0))</f>
        <v>#REF!</v>
      </c>
      <c r="H27" s="28" t="e">
        <f ca="1">INDEX(INDIRECT($P$6),
       MATCH(TRIM($B27), INDIRECT($P$7), 0),
       MATCH(TRIM(H$14), INDIRECT($P$8), 0))</f>
        <v>#REF!</v>
      </c>
      <c r="I27" s="28" t="e">
        <f ca="1">INDEX(INDIRECT($P$6),
       MATCH(TRIM($B27), INDIRECT($P$7), 0),
       MATCH(TRIM(I$14), INDIRECT($P$8), 0))</f>
        <v>#REF!</v>
      </c>
      <c r="J27" s="28" t="e">
        <f ca="1">INDEX(INDIRECT($P$6),
       MATCH(TRIM($B27), INDIRECT($P$7), 0),
       MATCH(TRIM(J$14), INDIRECT($P$8), 0))</f>
        <v>#REF!</v>
      </c>
      <c r="K27" s="28" t="e">
        <f t="shared" ca="1" si="1"/>
        <v>#REF!</v>
      </c>
      <c r="L27" s="46"/>
      <c r="M27" s="46"/>
      <c r="R27">
        <v>14</v>
      </c>
      <c r="S27" t="s">
        <v>52</v>
      </c>
      <c r="T27" s="14" t="e">
        <f ca="1">INDEX(INDIRECT($AF$6),
       MATCH(TRIM($S27), INDIRECT($AF$7), 0),
       MATCH(TRIM(T$13), INDIRECT($AF$8), 0))</f>
        <v>#REF!</v>
      </c>
      <c r="U27" s="14" t="e">
        <f ca="1">INDEX(INDIRECT($AF$6),
       MATCH(TRIM($S27), INDIRECT($AF$7), 0),
       MATCH(TRIM(U$13), INDIRECT($AF$8), 0))</f>
        <v>#REF!</v>
      </c>
      <c r="V27" s="14" t="e">
        <f ca="1">INDEX(INDIRECT($AF$6),
       MATCH(TRIM($S27), INDIRECT($AF$7), 0),
       MATCH(TRIM(V$13), INDIRECT($AF$8), 0))</f>
        <v>#REF!</v>
      </c>
      <c r="W27" s="14" t="e">
        <f ca="1">INDEX(INDIRECT($AF$6),
       MATCH(TRIM($S27), INDIRECT($AF$7), 0),
       MATCH(TRIM(W$13), INDIRECT($AF$8), 0))</f>
        <v>#REF!</v>
      </c>
      <c r="X27" s="14" t="e">
        <f ca="1">INDEX(INDIRECT($AF$6),
       MATCH(TRIM($S27), INDIRECT($AF$7), 0),
       MATCH(TRIM(X$13), INDIRECT($AF$8), 0))</f>
        <v>#REF!</v>
      </c>
      <c r="Y27" s="14" t="e">
        <f ca="1">INDEX(INDIRECT($AF$6),
       MATCH(TRIM($S27), INDIRECT($AF$7), 0),
       MATCH(TRIM(Y$13), INDIRECT($AF$8), 0))</f>
        <v>#REF!</v>
      </c>
      <c r="Z27" s="14" t="e">
        <f ca="1">INDEX(INDIRECT($AF$6),
       MATCH(TRIM($S27), INDIRECT($AF$7), 0),
       MATCH(TRIM(Z$13), INDIRECT($AF$8), 0))</f>
        <v>#REF!</v>
      </c>
      <c r="AA27" s="14" t="e">
        <f ca="1">INDEX(INDIRECT($AF$6),
       MATCH(TRIM($S27), INDIRECT($AF$7), 0),
       MATCH(TRIM(AA$13), INDIRECT($AF$8), 0))</f>
        <v>#REF!</v>
      </c>
      <c r="AB27" s="14" t="e">
        <f t="shared" ca="1" si="0"/>
        <v>#REF!</v>
      </c>
    </row>
    <row r="28" spans="1:28" ht="43" x14ac:dyDescent="0.2">
      <c r="A28" s="26">
        <v>14</v>
      </c>
      <c r="B28" s="27" t="s">
        <v>20</v>
      </c>
      <c r="C28" s="28" t="e">
        <f ca="1">INDEX(INDIRECT($P$6),
       MATCH(TRIM($B28), INDIRECT($P$7), 0),
       MATCH(TRIM(C$14), INDIRECT($P$8), 0))</f>
        <v>#REF!</v>
      </c>
      <c r="D28" s="28" t="e">
        <f ca="1">INDEX(INDIRECT($P$6),
       MATCH(TRIM($B28), INDIRECT($P$7), 0),
       MATCH(TRIM(D$14), INDIRECT($P$8), 0))</f>
        <v>#REF!</v>
      </c>
      <c r="E28" s="28" t="e">
        <f ca="1">INDEX(INDIRECT($P$6),
       MATCH(TRIM($B28), INDIRECT($P$7), 0),
       MATCH(TRIM(E$14), INDIRECT($P$8), 0))</f>
        <v>#REF!</v>
      </c>
      <c r="F28" s="28" t="e">
        <f ca="1">INDEX(INDIRECT($P$6),
       MATCH(TRIM($B28), INDIRECT($P$7), 0),
       MATCH(TRIM(F$14), INDIRECT($P$8), 0))</f>
        <v>#REF!</v>
      </c>
      <c r="G28" s="28" t="e">
        <f ca="1">INDEX(INDIRECT($P$6),
       MATCH(TRIM($B28), INDIRECT($P$7), 0),
       MATCH(TRIM(G$14), INDIRECT($P$8), 0))</f>
        <v>#REF!</v>
      </c>
      <c r="H28" s="28" t="e">
        <f ca="1">INDEX(INDIRECT($P$6),
       MATCH(TRIM($B28), INDIRECT($P$7), 0),
       MATCH(TRIM(H$14), INDIRECT($P$8), 0))</f>
        <v>#REF!</v>
      </c>
      <c r="I28" s="28" t="e">
        <f ca="1">INDEX(INDIRECT($P$6),
       MATCH(TRIM($B28), INDIRECT($P$7), 0),
       MATCH(TRIM(I$14), INDIRECT($P$8), 0))</f>
        <v>#REF!</v>
      </c>
      <c r="J28" s="28" t="e">
        <f ca="1">INDEX(INDIRECT($P$6),
       MATCH(TRIM($B28), INDIRECT($P$7), 0),
       MATCH(TRIM(J$14), INDIRECT($P$8), 0))</f>
        <v>#REF!</v>
      </c>
      <c r="K28" s="28" t="e">
        <f t="shared" ca="1" si="1"/>
        <v>#REF!</v>
      </c>
      <c r="L28" s="46"/>
      <c r="M28" s="46"/>
      <c r="R28">
        <v>15</v>
      </c>
      <c r="S28" t="s">
        <v>54</v>
      </c>
      <c r="T28" s="14" t="e">
        <f ca="1">INDEX(INDIRECT($AF$6),
       MATCH(TRIM($S28), INDIRECT($AF$7), 0),
       MATCH(TRIM(T$13), INDIRECT($AF$8), 0))</f>
        <v>#REF!</v>
      </c>
      <c r="U28" s="14" t="e">
        <f ca="1">INDEX(INDIRECT($AF$6),
       MATCH(TRIM($S28), INDIRECT($AF$7), 0),
       MATCH(TRIM(U$13), INDIRECT($AF$8), 0))</f>
        <v>#REF!</v>
      </c>
      <c r="V28" s="14" t="e">
        <f ca="1">INDEX(INDIRECT($AF$6),
       MATCH(TRIM($S28), INDIRECT($AF$7), 0),
       MATCH(TRIM(V$13), INDIRECT($AF$8), 0))</f>
        <v>#REF!</v>
      </c>
      <c r="W28" s="14" t="e">
        <f ca="1">INDEX(INDIRECT($AF$6),
       MATCH(TRIM($S28), INDIRECT($AF$7), 0),
       MATCH(TRIM(W$13), INDIRECT($AF$8), 0))</f>
        <v>#REF!</v>
      </c>
      <c r="X28" s="14" t="e">
        <f ca="1">INDEX(INDIRECT($AF$6),
       MATCH(TRIM($S28), INDIRECT($AF$7), 0),
       MATCH(TRIM(X$13), INDIRECT($AF$8), 0))</f>
        <v>#REF!</v>
      </c>
      <c r="Y28" s="14" t="e">
        <f ca="1">INDEX(INDIRECT($AF$6),
       MATCH(TRIM($S28), INDIRECT($AF$7), 0),
       MATCH(TRIM(Y$13), INDIRECT($AF$8), 0))</f>
        <v>#REF!</v>
      </c>
      <c r="Z28" s="14" t="e">
        <f ca="1">INDEX(INDIRECT($AF$6),
       MATCH(TRIM($S28), INDIRECT($AF$7), 0),
       MATCH(TRIM(Z$13), INDIRECT($AF$8), 0))</f>
        <v>#REF!</v>
      </c>
      <c r="AA28" s="14" t="e">
        <f ca="1">INDEX(INDIRECT($AF$6),
       MATCH(TRIM($S28), INDIRECT($AF$7), 0),
       MATCH(TRIM(AA$13), INDIRECT($AF$8), 0))</f>
        <v>#REF!</v>
      </c>
      <c r="AB28" s="14" t="e">
        <f t="shared" ca="1" si="0"/>
        <v>#REF!</v>
      </c>
    </row>
    <row r="29" spans="1:28" ht="43" x14ac:dyDescent="0.2">
      <c r="A29" s="26">
        <v>15</v>
      </c>
      <c r="B29" s="27" t="s">
        <v>21</v>
      </c>
      <c r="C29" s="28" t="e">
        <f ca="1">INDEX(INDIRECT($P$6),
       MATCH(TRIM($B29), INDIRECT($P$7), 0),
       MATCH(TRIM(C$14), INDIRECT($P$8), 0))</f>
        <v>#REF!</v>
      </c>
      <c r="D29" s="28" t="e">
        <f ca="1">INDEX(INDIRECT($P$6),
       MATCH(TRIM($B29), INDIRECT($P$7), 0),
       MATCH(TRIM(D$14), INDIRECT($P$8), 0))</f>
        <v>#REF!</v>
      </c>
      <c r="E29" s="28" t="e">
        <f ca="1">INDEX(INDIRECT($P$6),
       MATCH(TRIM($B29), INDIRECT($P$7), 0),
       MATCH(TRIM(E$14), INDIRECT($P$8), 0))</f>
        <v>#REF!</v>
      </c>
      <c r="F29" s="28" t="e">
        <f ca="1">INDEX(INDIRECT($P$6),
       MATCH(TRIM($B29), INDIRECT($P$7), 0),
       MATCH(TRIM(F$14), INDIRECT($P$8), 0))</f>
        <v>#REF!</v>
      </c>
      <c r="G29" s="28" t="e">
        <f ca="1">INDEX(INDIRECT($P$6),
       MATCH(TRIM($B29), INDIRECT($P$7), 0),
       MATCH(TRIM(G$14), INDIRECT($P$8), 0))</f>
        <v>#REF!</v>
      </c>
      <c r="H29" s="28" t="e">
        <f ca="1">INDEX(INDIRECT($P$6),
       MATCH(TRIM($B29), INDIRECT($P$7), 0),
       MATCH(TRIM(H$14), INDIRECT($P$8), 0))</f>
        <v>#REF!</v>
      </c>
      <c r="I29" s="28" t="e">
        <f ca="1">INDEX(INDIRECT($P$6),
       MATCH(TRIM($B29), INDIRECT($P$7), 0),
       MATCH(TRIM(I$14), INDIRECT($P$8), 0))</f>
        <v>#REF!</v>
      </c>
      <c r="J29" s="28" t="e">
        <f ca="1">INDEX(INDIRECT($P$6),
       MATCH(TRIM($B29), INDIRECT($P$7), 0),
       MATCH(TRIM(J$14), INDIRECT($P$8), 0))</f>
        <v>#REF!</v>
      </c>
      <c r="K29" s="28" t="e">
        <f t="shared" ca="1" si="1"/>
        <v>#REF!</v>
      </c>
      <c r="L29" s="46"/>
      <c r="M29" s="46"/>
      <c r="R29">
        <v>16</v>
      </c>
      <c r="S29" t="s">
        <v>55</v>
      </c>
      <c r="T29" s="14" t="e">
        <f ca="1">INDEX(INDIRECT($AF$6),
       MATCH(TRIM($S29), INDIRECT($AF$7), 0),
       MATCH(TRIM(T$13), INDIRECT($AF$8), 0))</f>
        <v>#REF!</v>
      </c>
      <c r="U29" s="14" t="e">
        <f ca="1">INDEX(INDIRECT($AF$6),
       MATCH(TRIM($S29), INDIRECT($AF$7), 0),
       MATCH(TRIM(U$13), INDIRECT($AF$8), 0))</f>
        <v>#REF!</v>
      </c>
      <c r="V29" s="14" t="e">
        <f ca="1">INDEX(INDIRECT($AF$6),
       MATCH(TRIM($S29), INDIRECT($AF$7), 0),
       MATCH(TRIM(V$13), INDIRECT($AF$8), 0))</f>
        <v>#REF!</v>
      </c>
      <c r="W29" s="14" t="e">
        <f ca="1">INDEX(INDIRECT($AF$6),
       MATCH(TRIM($S29), INDIRECT($AF$7), 0),
       MATCH(TRIM(W$13), INDIRECT($AF$8), 0))</f>
        <v>#REF!</v>
      </c>
      <c r="X29" s="14" t="e">
        <f ca="1">INDEX(INDIRECT($AF$6),
       MATCH(TRIM($S29), INDIRECT($AF$7), 0),
       MATCH(TRIM(X$13), INDIRECT($AF$8), 0))</f>
        <v>#REF!</v>
      </c>
      <c r="Y29" s="14" t="e">
        <f ca="1">INDEX(INDIRECT($AF$6),
       MATCH(TRIM($S29), INDIRECT($AF$7), 0),
       MATCH(TRIM(Y$13), INDIRECT($AF$8), 0))</f>
        <v>#REF!</v>
      </c>
      <c r="Z29" s="14" t="e">
        <f ca="1">INDEX(INDIRECT($AF$6),
       MATCH(TRIM($S29), INDIRECT($AF$7), 0),
       MATCH(TRIM(Z$13), INDIRECT($AF$8), 0))</f>
        <v>#REF!</v>
      </c>
      <c r="AA29" s="14" t="e">
        <f ca="1">INDEX(INDIRECT($AF$6),
       MATCH(TRIM($S29), INDIRECT($AF$7), 0),
       MATCH(TRIM(AA$13), INDIRECT($AF$8), 0))</f>
        <v>#REF!</v>
      </c>
      <c r="AB29" s="14" t="e">
        <f t="shared" ca="1" si="0"/>
        <v>#REF!</v>
      </c>
    </row>
    <row r="30" spans="1:28" ht="29" x14ac:dyDescent="0.2">
      <c r="A30" s="26">
        <v>16</v>
      </c>
      <c r="B30" s="27" t="s">
        <v>22</v>
      </c>
      <c r="C30" s="28" t="e">
        <f ca="1">INDEX(INDIRECT($P$6),
       MATCH(TRIM($B30), INDIRECT($P$7), 0),
       MATCH(TRIM(C$14), INDIRECT($P$8), 0))</f>
        <v>#REF!</v>
      </c>
      <c r="D30" s="28" t="e">
        <f ca="1">INDEX(INDIRECT($P$6),
       MATCH(TRIM($B30), INDIRECT($P$7), 0),
       MATCH(TRIM(D$14), INDIRECT($P$8), 0))</f>
        <v>#REF!</v>
      </c>
      <c r="E30" s="28" t="e">
        <f ca="1">INDEX(INDIRECT($P$6),
       MATCH(TRIM($B30), INDIRECT($P$7), 0),
       MATCH(TRIM(E$14), INDIRECT($P$8), 0))</f>
        <v>#REF!</v>
      </c>
      <c r="F30" s="28" t="e">
        <f ca="1">INDEX(INDIRECT($P$6),
       MATCH(TRIM($B30), INDIRECT($P$7), 0),
       MATCH(TRIM(F$14), INDIRECT($P$8), 0))</f>
        <v>#REF!</v>
      </c>
      <c r="G30" s="28" t="e">
        <f ca="1">INDEX(INDIRECT($P$6),
       MATCH(TRIM($B30), INDIRECT($P$7), 0),
       MATCH(TRIM(G$14), INDIRECT($P$8), 0))</f>
        <v>#REF!</v>
      </c>
      <c r="H30" s="28" t="e">
        <f ca="1">INDEX(INDIRECT($P$6),
       MATCH(TRIM($B30), INDIRECT($P$7), 0),
       MATCH(TRIM(H$14), INDIRECT($P$8), 0))</f>
        <v>#REF!</v>
      </c>
      <c r="I30" s="28" t="e">
        <f ca="1">INDEX(INDIRECT($P$6),
       MATCH(TRIM($B30), INDIRECT($P$7), 0),
       MATCH(TRIM(I$14), INDIRECT($P$8), 0))</f>
        <v>#REF!</v>
      </c>
      <c r="J30" s="28" t="e">
        <f ca="1">INDEX(INDIRECT($P$6),
       MATCH(TRIM($B30), INDIRECT($P$7), 0),
       MATCH(TRIM(J$14), INDIRECT($P$8), 0))</f>
        <v>#REF!</v>
      </c>
      <c r="K30" s="28" t="e">
        <f t="shared" ca="1" si="1"/>
        <v>#REF!</v>
      </c>
      <c r="L30" s="46"/>
      <c r="M30" s="46"/>
      <c r="R30">
        <v>17</v>
      </c>
      <c r="S30" t="s">
        <v>51</v>
      </c>
      <c r="T30" s="14" t="e">
        <f ca="1">INDEX(INDIRECT($AF$6),
       MATCH(TRIM($S30), INDIRECT($AF$7), 0),
       MATCH(TRIM(T$13), INDIRECT($AF$8), 0))</f>
        <v>#REF!</v>
      </c>
      <c r="U30" s="14" t="e">
        <f ca="1">INDEX(INDIRECT($AF$6),
       MATCH(TRIM($S30), INDIRECT($AF$7), 0),
       MATCH(TRIM(U$13), INDIRECT($AF$8), 0))</f>
        <v>#REF!</v>
      </c>
      <c r="V30" s="14" t="e">
        <f ca="1">INDEX(INDIRECT($AF$6),
       MATCH(TRIM($S30), INDIRECT($AF$7), 0),
       MATCH(TRIM(V$13), INDIRECT($AF$8), 0))</f>
        <v>#REF!</v>
      </c>
      <c r="W30" s="14" t="e">
        <f ca="1">INDEX(INDIRECT($AF$6),
       MATCH(TRIM($S30), INDIRECT($AF$7), 0),
       MATCH(TRIM(W$13), INDIRECT($AF$8), 0))</f>
        <v>#REF!</v>
      </c>
      <c r="X30" s="14" t="e">
        <f ca="1">INDEX(INDIRECT($AF$6),
       MATCH(TRIM($S30), INDIRECT($AF$7), 0),
       MATCH(TRIM(X$13), INDIRECT($AF$8), 0))</f>
        <v>#REF!</v>
      </c>
      <c r="Y30" s="14" t="e">
        <f ca="1">INDEX(INDIRECT($AF$6),
       MATCH(TRIM($S30), INDIRECT($AF$7), 0),
       MATCH(TRIM(Y$13), INDIRECT($AF$8), 0))</f>
        <v>#REF!</v>
      </c>
      <c r="Z30" s="14" t="e">
        <f ca="1">INDEX(INDIRECT($AF$6),
       MATCH(TRIM($S30), INDIRECT($AF$7), 0),
       MATCH(TRIM(Z$13), INDIRECT($AF$8), 0))</f>
        <v>#REF!</v>
      </c>
      <c r="AA30" s="14" t="e">
        <f ca="1">INDEX(INDIRECT($AF$6),
       MATCH(TRIM($S30), INDIRECT($AF$7), 0),
       MATCH(TRIM(AA$13), INDIRECT($AF$8), 0))</f>
        <v>#REF!</v>
      </c>
      <c r="AB30" s="14" t="e">
        <f t="shared" ca="1" si="0"/>
        <v>#REF!</v>
      </c>
    </row>
    <row r="31" spans="1:28" ht="43" x14ac:dyDescent="0.2">
      <c r="A31" s="26">
        <v>17</v>
      </c>
      <c r="B31" s="27" t="s">
        <v>23</v>
      </c>
      <c r="C31" s="28" t="e">
        <f ca="1">INDEX(INDIRECT($P$6),
       MATCH(TRIM($B31), INDIRECT($P$7), 0),
       MATCH(TRIM(C$14), INDIRECT($P$8), 0))</f>
        <v>#REF!</v>
      </c>
      <c r="D31" s="28" t="e">
        <f ca="1">INDEX(INDIRECT($P$6),
       MATCH(TRIM($B31), INDIRECT($P$7), 0),
       MATCH(TRIM(D$14), INDIRECT($P$8), 0))</f>
        <v>#REF!</v>
      </c>
      <c r="E31" s="28" t="e">
        <f ca="1">INDEX(INDIRECT($P$6),
       MATCH(TRIM($B31), INDIRECT($P$7), 0),
       MATCH(TRIM(E$14), INDIRECT($P$8), 0))</f>
        <v>#REF!</v>
      </c>
      <c r="F31" s="28" t="e">
        <f ca="1">INDEX(INDIRECT($P$6),
       MATCH(TRIM($B31), INDIRECT($P$7), 0),
       MATCH(TRIM(F$14), INDIRECT($P$8), 0))</f>
        <v>#REF!</v>
      </c>
      <c r="G31" s="28" t="e">
        <f ca="1">INDEX(INDIRECT($P$6),
       MATCH(TRIM($B31), INDIRECT($P$7), 0),
       MATCH(TRIM(G$14), INDIRECT($P$8), 0))</f>
        <v>#REF!</v>
      </c>
      <c r="H31" s="28" t="e">
        <f ca="1">INDEX(INDIRECT($P$6),
       MATCH(TRIM($B31), INDIRECT($P$7), 0),
       MATCH(TRIM(H$14), INDIRECT($P$8), 0))</f>
        <v>#REF!</v>
      </c>
      <c r="I31" s="28" t="e">
        <f ca="1">INDEX(INDIRECT($P$6),
       MATCH(TRIM($B31), INDIRECT($P$7), 0),
       MATCH(TRIM(I$14), INDIRECT($P$8), 0))</f>
        <v>#REF!</v>
      </c>
      <c r="J31" s="28" t="e">
        <f ca="1">INDEX(INDIRECT($P$6),
       MATCH(TRIM($B31), INDIRECT($P$7), 0),
       MATCH(TRIM(J$14), INDIRECT($P$8), 0))</f>
        <v>#REF!</v>
      </c>
      <c r="K31" s="28" t="e">
        <f t="shared" ca="1" si="1"/>
        <v>#REF!</v>
      </c>
      <c r="L31" s="46"/>
      <c r="M31" s="46"/>
      <c r="R31">
        <v>18</v>
      </c>
      <c r="S31" t="s">
        <v>88</v>
      </c>
      <c r="T31" s="14" t="e">
        <f ca="1">INDEX(INDIRECT($AF$6),
       MATCH(TRIM($S31), INDIRECT($AF$7), 0),
       MATCH(TRIM(T$13), INDIRECT($AF$8), 0))</f>
        <v>#REF!</v>
      </c>
      <c r="U31" s="14" t="e">
        <f ca="1">INDEX(INDIRECT($AF$6),
       MATCH(TRIM($S31), INDIRECT($AF$7), 0),
       MATCH(TRIM(U$13), INDIRECT($AF$8), 0))</f>
        <v>#REF!</v>
      </c>
      <c r="V31" s="14" t="e">
        <f ca="1">INDEX(INDIRECT($AF$6),
       MATCH(TRIM($S31), INDIRECT($AF$7), 0),
       MATCH(TRIM(V$13), INDIRECT($AF$8), 0))</f>
        <v>#REF!</v>
      </c>
      <c r="W31" s="14" t="e">
        <f ca="1">INDEX(INDIRECT($AF$6),
       MATCH(TRIM($S31), INDIRECT($AF$7), 0),
       MATCH(TRIM(W$13), INDIRECT($AF$8), 0))</f>
        <v>#REF!</v>
      </c>
      <c r="X31" s="14" t="e">
        <f ca="1">INDEX(INDIRECT($AF$6),
       MATCH(TRIM($S31), INDIRECT($AF$7), 0),
       MATCH(TRIM(X$13), INDIRECT($AF$8), 0))</f>
        <v>#REF!</v>
      </c>
      <c r="Y31" s="14" t="e">
        <f ca="1">INDEX(INDIRECT($AF$6),
       MATCH(TRIM($S31), INDIRECT($AF$7), 0),
       MATCH(TRIM(Y$13), INDIRECT($AF$8), 0))</f>
        <v>#REF!</v>
      </c>
      <c r="Z31" s="14" t="e">
        <f ca="1">INDEX(INDIRECT($AF$6),
       MATCH(TRIM($S31), INDIRECT($AF$7), 0),
       MATCH(TRIM(Z$13), INDIRECT($AF$8), 0))</f>
        <v>#REF!</v>
      </c>
      <c r="AA31" s="14" t="e">
        <f ca="1">INDEX(INDIRECT($AF$6),
       MATCH(TRIM($S31), INDIRECT($AF$7), 0),
       MATCH(TRIM(AA$13), INDIRECT($AF$8), 0))</f>
        <v>#REF!</v>
      </c>
      <c r="AB31" s="14" t="e">
        <f t="shared" ca="1" si="0"/>
        <v>#REF!</v>
      </c>
    </row>
    <row r="32" spans="1:28" ht="57" x14ac:dyDescent="0.2">
      <c r="A32" s="26">
        <v>18</v>
      </c>
      <c r="B32" s="27" t="s">
        <v>24</v>
      </c>
      <c r="C32" s="28" t="e">
        <f ca="1">INDEX(INDIRECT($P$6),
       MATCH(TRIM($B32), INDIRECT($P$7), 0),
       MATCH(TRIM(C$14), INDIRECT($P$8), 0))</f>
        <v>#REF!</v>
      </c>
      <c r="D32" s="28" t="e">
        <f ca="1">INDEX(INDIRECT($P$6),
       MATCH(TRIM($B32), INDIRECT($P$7), 0),
       MATCH(TRIM(D$14), INDIRECT($P$8), 0))</f>
        <v>#REF!</v>
      </c>
      <c r="E32" s="28" t="e">
        <f ca="1">INDEX(INDIRECT($P$6),
       MATCH(TRIM($B32), INDIRECT($P$7), 0),
       MATCH(TRIM(E$14), INDIRECT($P$8), 0))</f>
        <v>#REF!</v>
      </c>
      <c r="F32" s="28" t="e">
        <f ca="1">INDEX(INDIRECT($P$6),
       MATCH(TRIM($B32), INDIRECT($P$7), 0),
       MATCH(TRIM(F$14), INDIRECT($P$8), 0))</f>
        <v>#REF!</v>
      </c>
      <c r="G32" s="28" t="e">
        <f ca="1">INDEX(INDIRECT($P$6),
       MATCH(TRIM($B32), INDIRECT($P$7), 0),
       MATCH(TRIM(G$14), INDIRECT($P$8), 0))</f>
        <v>#REF!</v>
      </c>
      <c r="H32" s="28" t="e">
        <f ca="1">INDEX(INDIRECT($P$6),
       MATCH(TRIM($B32), INDIRECT($P$7), 0),
       MATCH(TRIM(H$14), INDIRECT($P$8), 0))</f>
        <v>#REF!</v>
      </c>
      <c r="I32" s="28" t="e">
        <f ca="1">INDEX(INDIRECT($P$6),
       MATCH(TRIM($B32), INDIRECT($P$7), 0),
       MATCH(TRIM(I$14), INDIRECT($P$8), 0))</f>
        <v>#REF!</v>
      </c>
      <c r="J32" s="28" t="e">
        <f ca="1">INDEX(INDIRECT($P$6),
       MATCH(TRIM($B32), INDIRECT($P$7), 0),
       MATCH(TRIM(J$14), INDIRECT($P$8), 0))</f>
        <v>#REF!</v>
      </c>
      <c r="K32" s="28" t="e">
        <f t="shared" ca="1" si="1"/>
        <v>#REF!</v>
      </c>
      <c r="L32" s="46"/>
      <c r="M32" s="46"/>
      <c r="R32">
        <v>19</v>
      </c>
      <c r="S32" t="s">
        <v>48</v>
      </c>
      <c r="T32" s="14" t="e">
        <f ca="1">INDEX(INDIRECT($AF$6),
       MATCH(TRIM($S32), INDIRECT($AF$7), 0),
       MATCH(TRIM(T$13), INDIRECT($AF$8), 0))</f>
        <v>#REF!</v>
      </c>
      <c r="U32" s="14" t="e">
        <f ca="1">INDEX(INDIRECT($AF$6),
       MATCH(TRIM($S32), INDIRECT($AF$7), 0),
       MATCH(TRIM(U$13), INDIRECT($AF$8), 0))</f>
        <v>#REF!</v>
      </c>
      <c r="V32" s="14" t="e">
        <f ca="1">INDEX(INDIRECT($AF$6),
       MATCH(TRIM($S32), INDIRECT($AF$7), 0),
       MATCH(TRIM(V$13), INDIRECT($AF$8), 0))</f>
        <v>#REF!</v>
      </c>
      <c r="W32" s="14" t="e">
        <f ca="1">INDEX(INDIRECT($AF$6),
       MATCH(TRIM($S32), INDIRECT($AF$7), 0),
       MATCH(TRIM(W$13), INDIRECT($AF$8), 0))</f>
        <v>#REF!</v>
      </c>
      <c r="X32" s="14" t="e">
        <f ca="1">INDEX(INDIRECT($AF$6),
       MATCH(TRIM($S32), INDIRECT($AF$7), 0),
       MATCH(TRIM(X$13), INDIRECT($AF$8), 0))</f>
        <v>#REF!</v>
      </c>
      <c r="Y32" s="14" t="e">
        <f ca="1">INDEX(INDIRECT($AF$6),
       MATCH(TRIM($S32), INDIRECT($AF$7), 0),
       MATCH(TRIM(Y$13), INDIRECT($AF$8), 0))</f>
        <v>#REF!</v>
      </c>
      <c r="Z32" s="14" t="e">
        <f ca="1">INDEX(INDIRECT($AF$6),
       MATCH(TRIM($S32), INDIRECT($AF$7), 0),
       MATCH(TRIM(Z$13), INDIRECT($AF$8), 0))</f>
        <v>#REF!</v>
      </c>
      <c r="AA32" s="14" t="e">
        <f ca="1">INDEX(INDIRECT($AF$6),
       MATCH(TRIM($S32), INDIRECT($AF$7), 0),
       MATCH(TRIM(AA$13), INDIRECT($AF$8), 0))</f>
        <v>#REF!</v>
      </c>
      <c r="AB32" s="14" t="e">
        <f t="shared" ca="1" si="0"/>
        <v>#REF!</v>
      </c>
    </row>
    <row r="33" spans="1:28" ht="85" x14ac:dyDescent="0.2">
      <c r="A33" s="26">
        <v>19</v>
      </c>
      <c r="B33" s="27" t="s">
        <v>25</v>
      </c>
      <c r="C33" s="28" t="e">
        <f ca="1">INDEX(INDIRECT($P$6),
       MATCH(TRIM($B33), INDIRECT($P$7), 0),
       MATCH(TRIM(C$14), INDIRECT($P$8), 0))</f>
        <v>#REF!</v>
      </c>
      <c r="D33" s="28" t="e">
        <f ca="1">INDEX(INDIRECT($P$6),
       MATCH(TRIM($B33), INDIRECT($P$7), 0),
       MATCH(TRIM(D$14), INDIRECT($P$8), 0))</f>
        <v>#REF!</v>
      </c>
      <c r="E33" s="28" t="e">
        <f ca="1">INDEX(INDIRECT($P$6),
       MATCH(TRIM($B33), INDIRECT($P$7), 0),
       MATCH(TRIM(E$14), INDIRECT($P$8), 0))</f>
        <v>#REF!</v>
      </c>
      <c r="F33" s="28" t="e">
        <f ca="1">INDEX(INDIRECT($P$6),
       MATCH(TRIM($B33), INDIRECT($P$7), 0),
       MATCH(TRIM(F$14), INDIRECT($P$8), 0))</f>
        <v>#REF!</v>
      </c>
      <c r="G33" s="28" t="e">
        <f ca="1">INDEX(INDIRECT($P$6),
       MATCH(TRIM($B33), INDIRECT($P$7), 0),
       MATCH(TRIM(G$14), INDIRECT($P$8), 0))</f>
        <v>#REF!</v>
      </c>
      <c r="H33" s="28" t="e">
        <f ca="1">INDEX(INDIRECT($P$6),
       MATCH(TRIM($B33), INDIRECT($P$7), 0),
       MATCH(TRIM(H$14), INDIRECT($P$8), 0))</f>
        <v>#REF!</v>
      </c>
      <c r="I33" s="28" t="e">
        <f ca="1">INDEX(INDIRECT($P$6),
       MATCH(TRIM($B33), INDIRECT($P$7), 0),
       MATCH(TRIM(I$14), INDIRECT($P$8), 0))</f>
        <v>#REF!</v>
      </c>
      <c r="J33" s="28" t="e">
        <f ca="1">INDEX(INDIRECT($P$6),
       MATCH(TRIM($B33), INDIRECT($P$7), 0),
       MATCH(TRIM(J$14), INDIRECT($P$8), 0))</f>
        <v>#REF!</v>
      </c>
      <c r="K33" s="28" t="e">
        <f t="shared" ca="1" si="1"/>
        <v>#REF!</v>
      </c>
      <c r="L33" s="47"/>
      <c r="M33" s="47"/>
      <c r="R33">
        <v>20</v>
      </c>
      <c r="S33" t="s">
        <v>57</v>
      </c>
      <c r="T33" s="14" t="e">
        <f ca="1">INDEX(INDIRECT($AF$6),
       MATCH(TRIM($S33), INDIRECT($AF$7), 0),
       MATCH(TRIM(T$13), INDIRECT($AF$8), 0))</f>
        <v>#REF!</v>
      </c>
      <c r="U33" s="14" t="e">
        <f ca="1">INDEX(INDIRECT($AF$6),
       MATCH(TRIM($S33), INDIRECT($AF$7), 0),
       MATCH(TRIM(U$13), INDIRECT($AF$8), 0))</f>
        <v>#REF!</v>
      </c>
      <c r="V33" s="14" t="e">
        <f ca="1">INDEX(INDIRECT($AF$6),
       MATCH(TRIM($S33), INDIRECT($AF$7), 0),
       MATCH(TRIM(V$13), INDIRECT($AF$8), 0))</f>
        <v>#REF!</v>
      </c>
      <c r="W33" s="14" t="e">
        <f ca="1">INDEX(INDIRECT($AF$6),
       MATCH(TRIM($S33), INDIRECT($AF$7), 0),
       MATCH(TRIM(W$13), INDIRECT($AF$8), 0))</f>
        <v>#REF!</v>
      </c>
      <c r="X33" s="14" t="e">
        <f ca="1">INDEX(INDIRECT($AF$6),
       MATCH(TRIM($S33), INDIRECT($AF$7), 0),
       MATCH(TRIM(X$13), INDIRECT($AF$8), 0))</f>
        <v>#REF!</v>
      </c>
      <c r="Y33" s="14" t="e">
        <f ca="1">INDEX(INDIRECT($AF$6),
       MATCH(TRIM($S33), INDIRECT($AF$7), 0),
       MATCH(TRIM(Y$13), INDIRECT($AF$8), 0))</f>
        <v>#REF!</v>
      </c>
      <c r="Z33" s="14" t="e">
        <f ca="1">INDEX(INDIRECT($AF$6),
       MATCH(TRIM($S33), INDIRECT($AF$7), 0),
       MATCH(TRIM(Z$13), INDIRECT($AF$8), 0))</f>
        <v>#REF!</v>
      </c>
      <c r="AA33" s="14" t="e">
        <f ca="1">INDEX(INDIRECT($AF$6),
       MATCH(TRIM($S33), INDIRECT($AF$7), 0),
       MATCH(TRIM(AA$13), INDIRECT($AF$8), 0))</f>
        <v>#REF!</v>
      </c>
      <c r="AB33" s="14" t="e">
        <f t="shared" ca="1" si="0"/>
        <v>#REF!</v>
      </c>
    </row>
    <row r="34" spans="1:28" ht="17" thickBot="1" x14ac:dyDescent="0.25">
      <c r="A34" s="34" t="s">
        <v>26</v>
      </c>
      <c r="B34" s="35"/>
      <c r="C34" s="31" cm="1">
        <f t="array" aca="1" ref="C34" ca="1">SUM(IFERROR(C15:C33,0))</f>
        <v>0</v>
      </c>
      <c r="D34" s="31" cm="1">
        <f t="array" aca="1" ref="D34" ca="1">SUM(IFERROR(D15:D33,0))</f>
        <v>0</v>
      </c>
      <c r="E34" s="31" cm="1">
        <f t="array" aca="1" ref="E34" ca="1">SUM(IFERROR(E15:E33,0))</f>
        <v>0</v>
      </c>
      <c r="F34" s="31" cm="1">
        <f t="array" aca="1" ref="F34" ca="1">SUM(IFERROR(F15:F33,0))</f>
        <v>0</v>
      </c>
      <c r="G34" s="31" cm="1">
        <f t="array" aca="1" ref="G34" ca="1">SUM(IFERROR(G15:G33,0))</f>
        <v>0</v>
      </c>
      <c r="H34" s="31" cm="1">
        <f t="array" aca="1" ref="H34" ca="1">SUM(IFERROR(H15:H33,0))</f>
        <v>0</v>
      </c>
      <c r="I34" s="31" cm="1">
        <f t="array" aca="1" ref="I34" ca="1">SUM(IFERROR(I15:I33,0))</f>
        <v>0</v>
      </c>
      <c r="J34" s="31" cm="1">
        <f t="array" aca="1" ref="J34" ca="1">SUM(IFERROR(J15:J33,0))</f>
        <v>0</v>
      </c>
      <c r="K34" s="31" cm="1">
        <f t="array" aca="1" ref="K34" ca="1">SUM(IFERROR(K15:K33,0))</f>
        <v>0</v>
      </c>
      <c r="R34">
        <v>21</v>
      </c>
      <c r="S34" t="s">
        <v>50</v>
      </c>
      <c r="T34" s="14" t="e">
        <f ca="1">INDEX(INDIRECT($AF$6),
       MATCH(TRIM($S34), INDIRECT($AF$7), 0),
       MATCH(TRIM(T$13), INDIRECT($AF$8), 0))</f>
        <v>#REF!</v>
      </c>
      <c r="U34" s="14" t="e">
        <f ca="1">INDEX(INDIRECT($AF$6),
       MATCH(TRIM($S34), INDIRECT($AF$7), 0),
       MATCH(TRIM(U$13), INDIRECT($AF$8), 0))</f>
        <v>#REF!</v>
      </c>
      <c r="V34" s="14" t="e">
        <f ca="1">INDEX(INDIRECT($AF$6),
       MATCH(TRIM($S34), INDIRECT($AF$7), 0),
       MATCH(TRIM(V$13), INDIRECT($AF$8), 0))</f>
        <v>#REF!</v>
      </c>
      <c r="W34" s="14" t="e">
        <f ca="1">INDEX(INDIRECT($AF$6),
       MATCH(TRIM($S34), INDIRECT($AF$7), 0),
       MATCH(TRIM(W$13), INDIRECT($AF$8), 0))</f>
        <v>#REF!</v>
      </c>
      <c r="X34" s="14" t="e">
        <f ca="1">INDEX(INDIRECT($AF$6),
       MATCH(TRIM($S34), INDIRECT($AF$7), 0),
       MATCH(TRIM(X$13), INDIRECT($AF$8), 0))</f>
        <v>#REF!</v>
      </c>
      <c r="Y34" s="14" t="e">
        <f ca="1">INDEX(INDIRECT($AF$6),
       MATCH(TRIM($S34), INDIRECT($AF$7), 0),
       MATCH(TRIM(Y$13), INDIRECT($AF$8), 0))</f>
        <v>#REF!</v>
      </c>
      <c r="Z34" s="14" t="e">
        <f ca="1">INDEX(INDIRECT($AF$6),
       MATCH(TRIM($S34), INDIRECT($AF$7), 0),
       MATCH(TRIM(Z$13), INDIRECT($AF$8), 0))</f>
        <v>#REF!</v>
      </c>
      <c r="AA34" s="14" t="e">
        <f ca="1">INDEX(INDIRECT($AF$6),
       MATCH(TRIM($S34), INDIRECT($AF$7), 0),
       MATCH(TRIM(AA$13), INDIRECT($AF$8), 0))</f>
        <v>#REF!</v>
      </c>
      <c r="AB34" s="14" t="e">
        <f t="shared" ca="1" si="0"/>
        <v>#REF!</v>
      </c>
    </row>
    <row r="35" spans="1:28" ht="17" thickTop="1" x14ac:dyDescent="0.2">
      <c r="R35">
        <v>22</v>
      </c>
      <c r="S35" t="s">
        <v>84</v>
      </c>
      <c r="T35" s="14" t="e">
        <f ca="1">INDEX(INDIRECT($AF$6),
       MATCH(TRIM($S35), INDIRECT($AF$7), 0),
       MATCH(TRIM(T$13), INDIRECT($AF$8), 0))</f>
        <v>#REF!</v>
      </c>
      <c r="U35" s="14" t="e">
        <f ca="1">INDEX(INDIRECT($AF$6),
       MATCH(TRIM($S35), INDIRECT($AF$7), 0),
       MATCH(TRIM(U$13), INDIRECT($AF$8), 0))</f>
        <v>#REF!</v>
      </c>
      <c r="V35" s="14" t="e">
        <f ca="1">INDEX(INDIRECT($AF$6),
       MATCH(TRIM($S35), INDIRECT($AF$7), 0),
       MATCH(TRIM(V$13), INDIRECT($AF$8), 0))</f>
        <v>#REF!</v>
      </c>
      <c r="W35" s="14" t="e">
        <f ca="1">INDEX(INDIRECT($AF$6),
       MATCH(TRIM($S35), INDIRECT($AF$7), 0),
       MATCH(TRIM(W$13), INDIRECT($AF$8), 0))</f>
        <v>#REF!</v>
      </c>
      <c r="X35" s="14" t="e">
        <f ca="1">INDEX(INDIRECT($AF$6),
       MATCH(TRIM($S35), INDIRECT($AF$7), 0),
       MATCH(TRIM(X$13), INDIRECT($AF$8), 0))</f>
        <v>#REF!</v>
      </c>
      <c r="Y35" s="14" t="e">
        <f ca="1">INDEX(INDIRECT($AF$6),
       MATCH(TRIM($S35), INDIRECT($AF$7), 0),
       MATCH(TRIM(Y$13), INDIRECT($AF$8), 0))</f>
        <v>#REF!</v>
      </c>
      <c r="Z35" s="14" t="e">
        <f ca="1">INDEX(INDIRECT($AF$6),
       MATCH(TRIM($S35), INDIRECT($AF$7), 0),
       MATCH(TRIM(Z$13), INDIRECT($AF$8), 0))</f>
        <v>#REF!</v>
      </c>
      <c r="AA35" s="14" t="e">
        <f ca="1">INDEX(INDIRECT($AF$6),
       MATCH(TRIM($S35), INDIRECT($AF$7), 0),
       MATCH(TRIM(AA$13), INDIRECT($AF$8), 0))</f>
        <v>#REF!</v>
      </c>
      <c r="AB35" s="14" t="e">
        <f t="shared" ca="1" si="0"/>
        <v>#REF!</v>
      </c>
    </row>
    <row r="36" spans="1:28" x14ac:dyDescent="0.2">
      <c r="R36">
        <v>23</v>
      </c>
      <c r="S36" t="s">
        <v>76</v>
      </c>
      <c r="T36" s="14" t="e">
        <f ca="1">INDEX(INDIRECT($AF$6),
       MATCH(TRIM($S36), INDIRECT($AF$7), 0),
       MATCH(TRIM(T$13), INDIRECT($AF$8), 0))</f>
        <v>#REF!</v>
      </c>
      <c r="U36" s="14" t="e">
        <f ca="1">INDEX(INDIRECT($AF$6),
       MATCH(TRIM($S36), INDIRECT($AF$7), 0),
       MATCH(TRIM(U$13), INDIRECT($AF$8), 0))</f>
        <v>#REF!</v>
      </c>
      <c r="V36" s="14" t="e">
        <f ca="1">INDEX(INDIRECT($AF$6),
       MATCH(TRIM($S36), INDIRECT($AF$7), 0),
       MATCH(TRIM(V$13), INDIRECT($AF$8), 0))</f>
        <v>#REF!</v>
      </c>
      <c r="W36" s="14" t="e">
        <f ca="1">INDEX(INDIRECT($AF$6),
       MATCH(TRIM($S36), INDIRECT($AF$7), 0),
       MATCH(TRIM(W$13), INDIRECT($AF$8), 0))</f>
        <v>#REF!</v>
      </c>
      <c r="X36" s="14" t="e">
        <f ca="1">INDEX(INDIRECT($AF$6),
       MATCH(TRIM($S36), INDIRECT($AF$7), 0),
       MATCH(TRIM(X$13), INDIRECT($AF$8), 0))</f>
        <v>#REF!</v>
      </c>
      <c r="Y36" s="14" t="e">
        <f ca="1">INDEX(INDIRECT($AF$6),
       MATCH(TRIM($S36), INDIRECT($AF$7), 0),
       MATCH(TRIM(Y$13), INDIRECT($AF$8), 0))</f>
        <v>#REF!</v>
      </c>
      <c r="Z36" s="14" t="e">
        <f ca="1">INDEX(INDIRECT($AF$6),
       MATCH(TRIM($S36), INDIRECT($AF$7), 0),
       MATCH(TRIM(Z$13), INDIRECT($AF$8), 0))</f>
        <v>#REF!</v>
      </c>
      <c r="AA36" s="14" t="e">
        <f ca="1">INDEX(INDIRECT($AF$6),
       MATCH(TRIM($S36), INDIRECT($AF$7), 0),
       MATCH(TRIM(AA$13), INDIRECT($AF$8), 0))</f>
        <v>#REF!</v>
      </c>
      <c r="AB36" s="14" t="e">
        <f t="shared" ca="1" si="0"/>
        <v>#REF!</v>
      </c>
    </row>
    <row r="37" spans="1:28" x14ac:dyDescent="0.2">
      <c r="R37">
        <v>24</v>
      </c>
      <c r="S37" t="s">
        <v>70</v>
      </c>
      <c r="T37" s="14" t="e">
        <f ca="1">INDEX(INDIRECT($AF$6),
       MATCH(TRIM($S37), INDIRECT($AF$7), 0),
       MATCH(TRIM(T$13), INDIRECT($AF$8), 0))</f>
        <v>#REF!</v>
      </c>
      <c r="U37" s="14" t="e">
        <f ca="1">INDEX(INDIRECT($AF$6),
       MATCH(TRIM($S37), INDIRECT($AF$7), 0),
       MATCH(TRIM(U$13), INDIRECT($AF$8), 0))</f>
        <v>#REF!</v>
      </c>
      <c r="V37" s="14" t="e">
        <f ca="1">INDEX(INDIRECT($AF$6),
       MATCH(TRIM($S37), INDIRECT($AF$7), 0),
       MATCH(TRIM(V$13), INDIRECT($AF$8), 0))</f>
        <v>#REF!</v>
      </c>
      <c r="W37" s="14" t="e">
        <f ca="1">INDEX(INDIRECT($AF$6),
       MATCH(TRIM($S37), INDIRECT($AF$7), 0),
       MATCH(TRIM(W$13), INDIRECT($AF$8), 0))</f>
        <v>#REF!</v>
      </c>
      <c r="X37" s="14" t="e">
        <f ca="1">INDEX(INDIRECT($AF$6),
       MATCH(TRIM($S37), INDIRECT($AF$7), 0),
       MATCH(TRIM(X$13), INDIRECT($AF$8), 0))</f>
        <v>#REF!</v>
      </c>
      <c r="Y37" s="14" t="e">
        <f ca="1">INDEX(INDIRECT($AF$6),
       MATCH(TRIM($S37), INDIRECT($AF$7), 0),
       MATCH(TRIM(Y$13), INDIRECT($AF$8), 0))</f>
        <v>#REF!</v>
      </c>
      <c r="Z37" s="14" t="e">
        <f ca="1">INDEX(INDIRECT($AF$6),
       MATCH(TRIM($S37), INDIRECT($AF$7), 0),
       MATCH(TRIM(Z$13), INDIRECT($AF$8), 0))</f>
        <v>#REF!</v>
      </c>
      <c r="AA37" s="14" t="e">
        <f ca="1">INDEX(INDIRECT($AF$6),
       MATCH(TRIM($S37), INDIRECT($AF$7), 0),
       MATCH(TRIM(AA$13), INDIRECT($AF$8), 0))</f>
        <v>#REF!</v>
      </c>
      <c r="AB37" s="14" t="e">
        <f t="shared" ca="1" si="0"/>
        <v>#REF!</v>
      </c>
    </row>
    <row r="38" spans="1:28" x14ac:dyDescent="0.2">
      <c r="R38">
        <v>25</v>
      </c>
      <c r="S38" t="s">
        <v>73</v>
      </c>
      <c r="T38" s="14" t="e">
        <f ca="1">INDEX(INDIRECT($AF$6),
       MATCH(TRIM($S38), INDIRECT($AF$7), 0),
       MATCH(TRIM(T$13), INDIRECT($AF$8), 0))</f>
        <v>#REF!</v>
      </c>
      <c r="U38" s="14" t="e">
        <f ca="1">INDEX(INDIRECT($AF$6),
       MATCH(TRIM($S38), INDIRECT($AF$7), 0),
       MATCH(TRIM(U$13), INDIRECT($AF$8), 0))</f>
        <v>#REF!</v>
      </c>
      <c r="V38" s="14" t="e">
        <f ca="1">INDEX(INDIRECT($AF$6),
       MATCH(TRIM($S38), INDIRECT($AF$7), 0),
       MATCH(TRIM(V$13), INDIRECT($AF$8), 0))</f>
        <v>#REF!</v>
      </c>
      <c r="W38" s="14" t="e">
        <f ca="1">INDEX(INDIRECT($AF$6),
       MATCH(TRIM($S38), INDIRECT($AF$7), 0),
       MATCH(TRIM(W$13), INDIRECT($AF$8), 0))</f>
        <v>#REF!</v>
      </c>
      <c r="X38" s="14" t="e">
        <f ca="1">INDEX(INDIRECT($AF$6),
       MATCH(TRIM($S38), INDIRECT($AF$7), 0),
       MATCH(TRIM(X$13), INDIRECT($AF$8), 0))</f>
        <v>#REF!</v>
      </c>
      <c r="Y38" s="14" t="e">
        <f ca="1">INDEX(INDIRECT($AF$6),
       MATCH(TRIM($S38), INDIRECT($AF$7), 0),
       MATCH(TRIM(Y$13), INDIRECT($AF$8), 0))</f>
        <v>#REF!</v>
      </c>
      <c r="Z38" s="14" t="e">
        <f ca="1">INDEX(INDIRECT($AF$6),
       MATCH(TRIM($S38), INDIRECT($AF$7), 0),
       MATCH(TRIM(Z$13), INDIRECT($AF$8), 0))</f>
        <v>#REF!</v>
      </c>
      <c r="AA38" s="14" t="e">
        <f ca="1">INDEX(INDIRECT($AF$6),
       MATCH(TRIM($S38), INDIRECT($AF$7), 0),
       MATCH(TRIM(AA$13), INDIRECT($AF$8), 0))</f>
        <v>#REF!</v>
      </c>
      <c r="AB38" s="14" t="e">
        <f t="shared" ca="1" si="0"/>
        <v>#REF!</v>
      </c>
    </row>
    <row r="39" spans="1:28" x14ac:dyDescent="0.2">
      <c r="R39">
        <v>26</v>
      </c>
      <c r="S39" t="s">
        <v>69</v>
      </c>
      <c r="T39" s="14" t="e">
        <f ca="1">INDEX(INDIRECT($AF$6),
       MATCH(TRIM($S39), INDIRECT($AF$7), 0),
       MATCH(TRIM(T$13), INDIRECT($AF$8), 0))</f>
        <v>#REF!</v>
      </c>
      <c r="U39" s="14" t="e">
        <f ca="1">INDEX(INDIRECT($AF$6),
       MATCH(TRIM($S39), INDIRECT($AF$7), 0),
       MATCH(TRIM(U$13), INDIRECT($AF$8), 0))</f>
        <v>#REF!</v>
      </c>
      <c r="V39" s="14" t="e">
        <f ca="1">INDEX(INDIRECT($AF$6),
       MATCH(TRIM($S39), INDIRECT($AF$7), 0),
       MATCH(TRIM(V$13), INDIRECT($AF$8), 0))</f>
        <v>#REF!</v>
      </c>
      <c r="W39" s="14" t="e">
        <f ca="1">INDEX(INDIRECT($AF$6),
       MATCH(TRIM($S39), INDIRECT($AF$7), 0),
       MATCH(TRIM(W$13), INDIRECT($AF$8), 0))</f>
        <v>#REF!</v>
      </c>
      <c r="X39" s="14" t="e">
        <f ca="1">INDEX(INDIRECT($AF$6),
       MATCH(TRIM($S39), INDIRECT($AF$7), 0),
       MATCH(TRIM(X$13), INDIRECT($AF$8), 0))</f>
        <v>#REF!</v>
      </c>
      <c r="Y39" s="14" t="e">
        <f ca="1">INDEX(INDIRECT($AF$6),
       MATCH(TRIM($S39), INDIRECT($AF$7), 0),
       MATCH(TRIM(Y$13), INDIRECT($AF$8), 0))</f>
        <v>#REF!</v>
      </c>
      <c r="Z39" s="14" t="e">
        <f ca="1">INDEX(INDIRECT($AF$6),
       MATCH(TRIM($S39), INDIRECT($AF$7), 0),
       MATCH(TRIM(Z$13), INDIRECT($AF$8), 0))</f>
        <v>#REF!</v>
      </c>
      <c r="AA39" s="14" t="e">
        <f ca="1">INDEX(INDIRECT($AF$6),
       MATCH(TRIM($S39), INDIRECT($AF$7), 0),
       MATCH(TRIM(AA$13), INDIRECT($AF$8), 0))</f>
        <v>#REF!</v>
      </c>
      <c r="AB39" s="14" t="e">
        <f t="shared" ca="1" si="0"/>
        <v>#REF!</v>
      </c>
    </row>
    <row r="40" spans="1:28" x14ac:dyDescent="0.2">
      <c r="R40">
        <v>27</v>
      </c>
      <c r="S40" t="s">
        <v>60</v>
      </c>
      <c r="T40" s="14" t="e">
        <f ca="1">INDEX(INDIRECT($AF$6),
       MATCH(TRIM($S40), INDIRECT($AF$7), 0),
       MATCH(TRIM(T$13), INDIRECT($AF$8), 0))</f>
        <v>#REF!</v>
      </c>
      <c r="U40" s="14" t="e">
        <f ca="1">INDEX(INDIRECT($AF$6),
       MATCH(TRIM($S40), INDIRECT($AF$7), 0),
       MATCH(TRIM(U$13), INDIRECT($AF$8), 0))</f>
        <v>#REF!</v>
      </c>
      <c r="V40" s="14" t="e">
        <f ca="1">INDEX(INDIRECT($AF$6),
       MATCH(TRIM($S40), INDIRECT($AF$7), 0),
       MATCH(TRIM(V$13), INDIRECT($AF$8), 0))</f>
        <v>#REF!</v>
      </c>
      <c r="W40" s="14" t="e">
        <f ca="1">INDEX(INDIRECT($AF$6),
       MATCH(TRIM($S40), INDIRECT($AF$7), 0),
       MATCH(TRIM(W$13), INDIRECT($AF$8), 0))</f>
        <v>#REF!</v>
      </c>
      <c r="X40" s="14" t="e">
        <f ca="1">INDEX(INDIRECT($AF$6),
       MATCH(TRIM($S40), INDIRECT($AF$7), 0),
       MATCH(TRIM(X$13), INDIRECT($AF$8), 0))</f>
        <v>#REF!</v>
      </c>
      <c r="Y40" s="14" t="e">
        <f ca="1">INDEX(INDIRECT($AF$6),
       MATCH(TRIM($S40), INDIRECT($AF$7), 0),
       MATCH(TRIM(Y$13), INDIRECT($AF$8), 0))</f>
        <v>#REF!</v>
      </c>
      <c r="Z40" s="14" t="e">
        <f ca="1">INDEX(INDIRECT($AF$6),
       MATCH(TRIM($S40), INDIRECT($AF$7), 0),
       MATCH(TRIM(Z$13), INDIRECT($AF$8), 0))</f>
        <v>#REF!</v>
      </c>
      <c r="AA40" s="14" t="e">
        <f ca="1">INDEX(INDIRECT($AF$6),
       MATCH(TRIM($S40), INDIRECT($AF$7), 0),
       MATCH(TRIM(AA$13), INDIRECT($AF$8), 0))</f>
        <v>#REF!</v>
      </c>
      <c r="AB40" s="14" t="e">
        <f t="shared" ca="1" si="0"/>
        <v>#REF!</v>
      </c>
    </row>
    <row r="41" spans="1:28" x14ac:dyDescent="0.2">
      <c r="R41">
        <v>28</v>
      </c>
      <c r="S41" t="s">
        <v>63</v>
      </c>
      <c r="T41" s="14" t="e">
        <f ca="1">INDEX(INDIRECT($AF$6),
       MATCH(TRIM($S41), INDIRECT($AF$7), 0),
       MATCH(TRIM(T$13), INDIRECT($AF$8), 0))</f>
        <v>#REF!</v>
      </c>
      <c r="U41" s="14" t="e">
        <f ca="1">INDEX(INDIRECT($AF$6),
       MATCH(TRIM($S41), INDIRECT($AF$7), 0),
       MATCH(TRIM(U$13), INDIRECT($AF$8), 0))</f>
        <v>#REF!</v>
      </c>
      <c r="V41" s="14" t="e">
        <f ca="1">INDEX(INDIRECT($AF$6),
       MATCH(TRIM($S41), INDIRECT($AF$7), 0),
       MATCH(TRIM(V$13), INDIRECT($AF$8), 0))</f>
        <v>#REF!</v>
      </c>
      <c r="W41" s="14" t="e">
        <f ca="1">INDEX(INDIRECT($AF$6),
       MATCH(TRIM($S41), INDIRECT($AF$7), 0),
       MATCH(TRIM(W$13), INDIRECT($AF$8), 0))</f>
        <v>#REF!</v>
      </c>
      <c r="X41" s="14" t="e">
        <f ca="1">INDEX(INDIRECT($AF$6),
       MATCH(TRIM($S41), INDIRECT($AF$7), 0),
       MATCH(TRIM(X$13), INDIRECT($AF$8), 0))</f>
        <v>#REF!</v>
      </c>
      <c r="Y41" s="14" t="e">
        <f ca="1">INDEX(INDIRECT($AF$6),
       MATCH(TRIM($S41), INDIRECT($AF$7), 0),
       MATCH(TRIM(Y$13), INDIRECT($AF$8), 0))</f>
        <v>#REF!</v>
      </c>
      <c r="Z41" s="14" t="e">
        <f ca="1">INDEX(INDIRECT($AF$6),
       MATCH(TRIM($S41), INDIRECT($AF$7), 0),
       MATCH(TRIM(Z$13), INDIRECT($AF$8), 0))</f>
        <v>#REF!</v>
      </c>
      <c r="AA41" s="14" t="e">
        <f ca="1">INDEX(INDIRECT($AF$6),
       MATCH(TRIM($S41), INDIRECT($AF$7), 0),
       MATCH(TRIM(AA$13), INDIRECT($AF$8), 0))</f>
        <v>#REF!</v>
      </c>
      <c r="AB41" s="14" t="e">
        <f t="shared" ca="1" si="0"/>
        <v>#REF!</v>
      </c>
    </row>
    <row r="42" spans="1:28" x14ac:dyDescent="0.2">
      <c r="R42">
        <v>29</v>
      </c>
      <c r="S42" t="s">
        <v>86</v>
      </c>
      <c r="T42" s="14" t="e">
        <f ca="1">INDEX(INDIRECT($AF$6),
       MATCH(TRIM($S42), INDIRECT($AF$7), 0),
       MATCH(TRIM(T$13), INDIRECT($AF$8), 0))</f>
        <v>#REF!</v>
      </c>
      <c r="U42" s="14" t="e">
        <f ca="1">INDEX(INDIRECT($AF$6),
       MATCH(TRIM($S42), INDIRECT($AF$7), 0),
       MATCH(TRIM(U$13), INDIRECT($AF$8), 0))</f>
        <v>#REF!</v>
      </c>
      <c r="V42" s="14" t="e">
        <f ca="1">INDEX(INDIRECT($AF$6),
       MATCH(TRIM($S42), INDIRECT($AF$7), 0),
       MATCH(TRIM(V$13), INDIRECT($AF$8), 0))</f>
        <v>#REF!</v>
      </c>
      <c r="W42" s="14" t="e">
        <f ca="1">INDEX(INDIRECT($AF$6),
       MATCH(TRIM($S42), INDIRECT($AF$7), 0),
       MATCH(TRIM(W$13), INDIRECT($AF$8), 0))</f>
        <v>#REF!</v>
      </c>
      <c r="X42" s="14" t="e">
        <f ca="1">INDEX(INDIRECT($AF$6),
       MATCH(TRIM($S42), INDIRECT($AF$7), 0),
       MATCH(TRIM(X$13), INDIRECT($AF$8), 0))</f>
        <v>#REF!</v>
      </c>
      <c r="Y42" s="14" t="e">
        <f ca="1">INDEX(INDIRECT($AF$6),
       MATCH(TRIM($S42), INDIRECT($AF$7), 0),
       MATCH(TRIM(Y$13), INDIRECT($AF$8), 0))</f>
        <v>#REF!</v>
      </c>
      <c r="Z42" s="14" t="e">
        <f ca="1">INDEX(INDIRECT($AF$6),
       MATCH(TRIM($S42), INDIRECT($AF$7), 0),
       MATCH(TRIM(Z$13), INDIRECT($AF$8), 0))</f>
        <v>#REF!</v>
      </c>
      <c r="AA42" s="14" t="e">
        <f ca="1">INDEX(INDIRECT($AF$6),
       MATCH(TRIM($S42), INDIRECT($AF$7), 0),
       MATCH(TRIM(AA$13), INDIRECT($AF$8), 0))</f>
        <v>#REF!</v>
      </c>
      <c r="AB42" s="14" t="e">
        <f t="shared" ca="1" si="0"/>
        <v>#REF!</v>
      </c>
    </row>
    <row r="43" spans="1:28" x14ac:dyDescent="0.2">
      <c r="R43">
        <v>30</v>
      </c>
      <c r="S43" t="s">
        <v>71</v>
      </c>
      <c r="T43" s="14" t="e">
        <f ca="1">INDEX(INDIRECT($AF$6),
       MATCH(TRIM($S43), INDIRECT($AF$7), 0),
       MATCH(TRIM(T$13), INDIRECT($AF$8), 0))</f>
        <v>#REF!</v>
      </c>
      <c r="U43" s="14" t="e">
        <f ca="1">INDEX(INDIRECT($AF$6),
       MATCH(TRIM($S43), INDIRECT($AF$7), 0),
       MATCH(TRIM(U$13), INDIRECT($AF$8), 0))</f>
        <v>#REF!</v>
      </c>
      <c r="V43" s="14" t="e">
        <f ca="1">INDEX(INDIRECT($AF$6),
       MATCH(TRIM($S43), INDIRECT($AF$7), 0),
       MATCH(TRIM(V$13), INDIRECT($AF$8), 0))</f>
        <v>#REF!</v>
      </c>
      <c r="W43" s="14" t="e">
        <f ca="1">INDEX(INDIRECT($AF$6),
       MATCH(TRIM($S43), INDIRECT($AF$7), 0),
       MATCH(TRIM(W$13), INDIRECT($AF$8), 0))</f>
        <v>#REF!</v>
      </c>
      <c r="X43" s="14" t="e">
        <f ca="1">INDEX(INDIRECT($AF$6),
       MATCH(TRIM($S43), INDIRECT($AF$7), 0),
       MATCH(TRIM(X$13), INDIRECT($AF$8), 0))</f>
        <v>#REF!</v>
      </c>
      <c r="Y43" s="14" t="e">
        <f ca="1">INDEX(INDIRECT($AF$6),
       MATCH(TRIM($S43), INDIRECT($AF$7), 0),
       MATCH(TRIM(Y$13), INDIRECT($AF$8), 0))</f>
        <v>#REF!</v>
      </c>
      <c r="Z43" s="14" t="e">
        <f ca="1">INDEX(INDIRECT($AF$6),
       MATCH(TRIM($S43), INDIRECT($AF$7), 0),
       MATCH(TRIM(Z$13), INDIRECT($AF$8), 0))</f>
        <v>#REF!</v>
      </c>
      <c r="AA43" s="14" t="e">
        <f ca="1">INDEX(INDIRECT($AF$6),
       MATCH(TRIM($S43), INDIRECT($AF$7), 0),
       MATCH(TRIM(AA$13), INDIRECT($AF$8), 0))</f>
        <v>#REF!</v>
      </c>
      <c r="AB43" s="14" t="e">
        <f t="shared" ca="1" si="0"/>
        <v>#REF!</v>
      </c>
    </row>
    <row r="44" spans="1:28" x14ac:dyDescent="0.2">
      <c r="R44">
        <v>31</v>
      </c>
      <c r="S44" t="s">
        <v>81</v>
      </c>
      <c r="T44" s="14" t="e">
        <f ca="1">INDEX(INDIRECT($AF$6),
       MATCH(TRIM($S44), INDIRECT($AF$7), 0),
       MATCH(TRIM(T$13), INDIRECT($AF$8), 0))</f>
        <v>#REF!</v>
      </c>
      <c r="U44" s="14" t="e">
        <f ca="1">INDEX(INDIRECT($AF$6),
       MATCH(TRIM($S44), INDIRECT($AF$7), 0),
       MATCH(TRIM(U$13), INDIRECT($AF$8), 0))</f>
        <v>#REF!</v>
      </c>
      <c r="V44" s="14" t="e">
        <f ca="1">INDEX(INDIRECT($AF$6),
       MATCH(TRIM($S44), INDIRECT($AF$7), 0),
       MATCH(TRIM(V$13), INDIRECT($AF$8), 0))</f>
        <v>#REF!</v>
      </c>
      <c r="W44" s="14" t="e">
        <f ca="1">INDEX(INDIRECT($AF$6),
       MATCH(TRIM($S44), INDIRECT($AF$7), 0),
       MATCH(TRIM(W$13), INDIRECT($AF$8), 0))</f>
        <v>#REF!</v>
      </c>
      <c r="X44" s="14" t="e">
        <f ca="1">INDEX(INDIRECT($AF$6),
       MATCH(TRIM($S44), INDIRECT($AF$7), 0),
       MATCH(TRIM(X$13), INDIRECT($AF$8), 0))</f>
        <v>#REF!</v>
      </c>
      <c r="Y44" s="14" t="e">
        <f ca="1">INDEX(INDIRECT($AF$6),
       MATCH(TRIM($S44), INDIRECT($AF$7), 0),
       MATCH(TRIM(Y$13), INDIRECT($AF$8), 0))</f>
        <v>#REF!</v>
      </c>
      <c r="Z44" s="14" t="e">
        <f ca="1">INDEX(INDIRECT($AF$6),
       MATCH(TRIM($S44), INDIRECT($AF$7), 0),
       MATCH(TRIM(Z$13), INDIRECT($AF$8), 0))</f>
        <v>#REF!</v>
      </c>
      <c r="AA44" s="14" t="e">
        <f ca="1">INDEX(INDIRECT($AF$6),
       MATCH(TRIM($S44), INDIRECT($AF$7), 0),
       MATCH(TRIM(AA$13), INDIRECT($AF$8), 0))</f>
        <v>#REF!</v>
      </c>
      <c r="AB44" s="14" t="e">
        <f t="shared" ca="1" si="0"/>
        <v>#REF!</v>
      </c>
    </row>
    <row r="45" spans="1:28" x14ac:dyDescent="0.2">
      <c r="R45">
        <v>32</v>
      </c>
      <c r="S45" t="s">
        <v>61</v>
      </c>
      <c r="T45" s="14" t="e">
        <f ca="1">INDEX(INDIRECT($AF$6),
       MATCH(TRIM($S45), INDIRECT($AF$7), 0),
       MATCH(TRIM(T$13), INDIRECT($AF$8), 0))</f>
        <v>#REF!</v>
      </c>
      <c r="U45" s="14" t="e">
        <f ca="1">INDEX(INDIRECT($AF$6),
       MATCH(TRIM($S45), INDIRECT($AF$7), 0),
       MATCH(TRIM(U$13), INDIRECT($AF$8), 0))</f>
        <v>#REF!</v>
      </c>
      <c r="V45" s="14" t="e">
        <f ca="1">INDEX(INDIRECT($AF$6),
       MATCH(TRIM($S45), INDIRECT($AF$7), 0),
       MATCH(TRIM(V$13), INDIRECT($AF$8), 0))</f>
        <v>#REF!</v>
      </c>
      <c r="W45" s="14" t="e">
        <f ca="1">INDEX(INDIRECT($AF$6),
       MATCH(TRIM($S45), INDIRECT($AF$7), 0),
       MATCH(TRIM(W$13), INDIRECT($AF$8), 0))</f>
        <v>#REF!</v>
      </c>
      <c r="X45" s="14" t="e">
        <f ca="1">INDEX(INDIRECT($AF$6),
       MATCH(TRIM($S45), INDIRECT($AF$7), 0),
       MATCH(TRIM(X$13), INDIRECT($AF$8), 0))</f>
        <v>#REF!</v>
      </c>
      <c r="Y45" s="14" t="e">
        <f ca="1">INDEX(INDIRECT($AF$6),
       MATCH(TRIM($S45), INDIRECT($AF$7), 0),
       MATCH(TRIM(Y$13), INDIRECT($AF$8), 0))</f>
        <v>#REF!</v>
      </c>
      <c r="Z45" s="14" t="e">
        <f ca="1">INDEX(INDIRECT($AF$6),
       MATCH(TRIM($S45), INDIRECT($AF$7), 0),
       MATCH(TRIM(Z$13), INDIRECT($AF$8), 0))</f>
        <v>#REF!</v>
      </c>
      <c r="AA45" s="14" t="e">
        <f ca="1">INDEX(INDIRECT($AF$6),
       MATCH(TRIM($S45), INDIRECT($AF$7), 0),
       MATCH(TRIM(AA$13), INDIRECT($AF$8), 0))</f>
        <v>#REF!</v>
      </c>
      <c r="AB45" s="14" t="e">
        <f t="shared" ca="1" si="0"/>
        <v>#REF!</v>
      </c>
    </row>
    <row r="46" spans="1:28" x14ac:dyDescent="0.2">
      <c r="R46">
        <v>33</v>
      </c>
      <c r="S46" t="s">
        <v>66</v>
      </c>
      <c r="T46" s="14" t="e">
        <f ca="1">INDEX(INDIRECT($AF$6),
       MATCH(TRIM($S46), INDIRECT($AF$7), 0),
       MATCH(TRIM(T$13), INDIRECT($AF$8), 0))</f>
        <v>#REF!</v>
      </c>
      <c r="U46" s="14" t="e">
        <f ca="1">INDEX(INDIRECT($AF$6),
       MATCH(TRIM($S46), INDIRECT($AF$7), 0),
       MATCH(TRIM(U$13), INDIRECT($AF$8), 0))</f>
        <v>#REF!</v>
      </c>
      <c r="V46" s="14" t="e">
        <f ca="1">INDEX(INDIRECT($AF$6),
       MATCH(TRIM($S46), INDIRECT($AF$7), 0),
       MATCH(TRIM(V$13), INDIRECT($AF$8), 0))</f>
        <v>#REF!</v>
      </c>
      <c r="W46" s="14" t="e">
        <f ca="1">INDEX(INDIRECT($AF$6),
       MATCH(TRIM($S46), INDIRECT($AF$7), 0),
       MATCH(TRIM(W$13), INDIRECT($AF$8), 0))</f>
        <v>#REF!</v>
      </c>
      <c r="X46" s="14" t="e">
        <f ca="1">INDEX(INDIRECT($AF$6),
       MATCH(TRIM($S46), INDIRECT($AF$7), 0),
       MATCH(TRIM(X$13), INDIRECT($AF$8), 0))</f>
        <v>#REF!</v>
      </c>
      <c r="Y46" s="14" t="e">
        <f ca="1">INDEX(INDIRECT($AF$6),
       MATCH(TRIM($S46), INDIRECT($AF$7), 0),
       MATCH(TRIM(Y$13), INDIRECT($AF$8), 0))</f>
        <v>#REF!</v>
      </c>
      <c r="Z46" s="14" t="e">
        <f ca="1">INDEX(INDIRECT($AF$6),
       MATCH(TRIM($S46), INDIRECT($AF$7), 0),
       MATCH(TRIM(Z$13), INDIRECT($AF$8), 0))</f>
        <v>#REF!</v>
      </c>
      <c r="AA46" s="14" t="e">
        <f ca="1">INDEX(INDIRECT($AF$6),
       MATCH(TRIM($S46), INDIRECT($AF$7), 0),
       MATCH(TRIM(AA$13), INDIRECT($AF$8), 0))</f>
        <v>#REF!</v>
      </c>
      <c r="AB46" s="14" t="e">
        <f t="shared" ca="1" si="0"/>
        <v>#REF!</v>
      </c>
    </row>
    <row r="47" spans="1:28" x14ac:dyDescent="0.2">
      <c r="R47">
        <v>34</v>
      </c>
      <c r="S47" t="s">
        <v>40</v>
      </c>
      <c r="T47" s="14" t="e">
        <f ca="1">INDEX(INDIRECT($AF$6),
       MATCH(TRIM($S47), INDIRECT($AF$7), 0),
       MATCH(TRIM(T$13), INDIRECT($AF$8), 0))</f>
        <v>#REF!</v>
      </c>
      <c r="U47" s="14" t="e">
        <f ca="1">INDEX(INDIRECT($AF$6),
       MATCH(TRIM($S47), INDIRECT($AF$7), 0),
       MATCH(TRIM(U$13), INDIRECT($AF$8), 0))</f>
        <v>#REF!</v>
      </c>
      <c r="V47" s="14" t="e">
        <f ca="1">INDEX(INDIRECT($AF$6),
       MATCH(TRIM($S47), INDIRECT($AF$7), 0),
       MATCH(TRIM(V$13), INDIRECT($AF$8), 0))</f>
        <v>#REF!</v>
      </c>
      <c r="W47" s="14" t="e">
        <f ca="1">INDEX(INDIRECT($AF$6),
       MATCH(TRIM($S47), INDIRECT($AF$7), 0),
       MATCH(TRIM(W$13), INDIRECT($AF$8), 0))</f>
        <v>#REF!</v>
      </c>
      <c r="X47" s="14" t="e">
        <f ca="1">INDEX(INDIRECT($AF$6),
       MATCH(TRIM($S47), INDIRECT($AF$7), 0),
       MATCH(TRIM(X$13), INDIRECT($AF$8), 0))</f>
        <v>#REF!</v>
      </c>
      <c r="Y47" s="14" t="e">
        <f ca="1">INDEX(INDIRECT($AF$6),
       MATCH(TRIM($S47), INDIRECT($AF$7), 0),
       MATCH(TRIM(Y$13), INDIRECT($AF$8), 0))</f>
        <v>#REF!</v>
      </c>
      <c r="Z47" s="14" t="e">
        <f ca="1">INDEX(INDIRECT($AF$6),
       MATCH(TRIM($S47), INDIRECT($AF$7), 0),
       MATCH(TRIM(Z$13), INDIRECT($AF$8), 0))</f>
        <v>#REF!</v>
      </c>
      <c r="AA47" s="14" t="e">
        <f ca="1">INDEX(INDIRECT($AF$6),
       MATCH(TRIM($S47), INDIRECT($AF$7), 0),
       MATCH(TRIM(AA$13), INDIRECT($AF$8), 0))</f>
        <v>#REF!</v>
      </c>
      <c r="AB47" s="14" t="e">
        <f t="shared" ca="1" si="0"/>
        <v>#REF!</v>
      </c>
    </row>
    <row r="48" spans="1:28" x14ac:dyDescent="0.2">
      <c r="R48">
        <v>35</v>
      </c>
      <c r="S48" t="s">
        <v>58</v>
      </c>
      <c r="T48" s="14" t="e">
        <f ca="1">INDEX(INDIRECT($AF$6),
       MATCH(TRIM($S48), INDIRECT($AF$7), 0),
       MATCH(TRIM(T$13), INDIRECT($AF$8), 0))</f>
        <v>#REF!</v>
      </c>
      <c r="U48" s="14" t="e">
        <f ca="1">INDEX(INDIRECT($AF$6),
       MATCH(TRIM($S48), INDIRECT($AF$7), 0),
       MATCH(TRIM(U$13), INDIRECT($AF$8), 0))</f>
        <v>#REF!</v>
      </c>
      <c r="V48" s="14" t="e">
        <f ca="1">INDEX(INDIRECT($AF$6),
       MATCH(TRIM($S48), INDIRECT($AF$7), 0),
       MATCH(TRIM(V$13), INDIRECT($AF$8), 0))</f>
        <v>#REF!</v>
      </c>
      <c r="W48" s="14" t="e">
        <f ca="1">INDEX(INDIRECT($AF$6),
       MATCH(TRIM($S48), INDIRECT($AF$7), 0),
       MATCH(TRIM(W$13), INDIRECT($AF$8), 0))</f>
        <v>#REF!</v>
      </c>
      <c r="X48" s="14" t="e">
        <f ca="1">INDEX(INDIRECT($AF$6),
       MATCH(TRIM($S48), INDIRECT($AF$7), 0),
       MATCH(TRIM(X$13), INDIRECT($AF$8), 0))</f>
        <v>#REF!</v>
      </c>
      <c r="Y48" s="14" t="e">
        <f ca="1">INDEX(INDIRECT($AF$6),
       MATCH(TRIM($S48), INDIRECT($AF$7), 0),
       MATCH(TRIM(Y$13), INDIRECT($AF$8), 0))</f>
        <v>#REF!</v>
      </c>
      <c r="Z48" s="14" t="e">
        <f ca="1">INDEX(INDIRECT($AF$6),
       MATCH(TRIM($S48), INDIRECT($AF$7), 0),
       MATCH(TRIM(Z$13), INDIRECT($AF$8), 0))</f>
        <v>#REF!</v>
      </c>
      <c r="AA48" s="14" t="e">
        <f ca="1">INDEX(INDIRECT($AF$6),
       MATCH(TRIM($S48), INDIRECT($AF$7), 0),
       MATCH(TRIM(AA$13), INDIRECT($AF$8), 0))</f>
        <v>#REF!</v>
      </c>
      <c r="AB48" s="14" t="e">
        <f t="shared" ca="1" si="0"/>
        <v>#REF!</v>
      </c>
    </row>
    <row r="49" spans="18:28" x14ac:dyDescent="0.2">
      <c r="R49">
        <v>36</v>
      </c>
      <c r="S49" t="s">
        <v>67</v>
      </c>
      <c r="T49" s="14" t="e">
        <f ca="1">INDEX(INDIRECT($AF$6),
       MATCH(TRIM($S49), INDIRECT($AF$7), 0),
       MATCH(TRIM(T$13), INDIRECT($AF$8), 0))</f>
        <v>#REF!</v>
      </c>
      <c r="U49" s="14" t="e">
        <f ca="1">INDEX(INDIRECT($AF$6),
       MATCH(TRIM($S49), INDIRECT($AF$7), 0),
       MATCH(TRIM(U$13), INDIRECT($AF$8), 0))</f>
        <v>#REF!</v>
      </c>
      <c r="V49" s="14" t="e">
        <f ca="1">INDEX(INDIRECT($AF$6),
       MATCH(TRIM($S49), INDIRECT($AF$7), 0),
       MATCH(TRIM(V$13), INDIRECT($AF$8), 0))</f>
        <v>#REF!</v>
      </c>
      <c r="W49" s="14" t="e">
        <f ca="1">INDEX(INDIRECT($AF$6),
       MATCH(TRIM($S49), INDIRECT($AF$7), 0),
       MATCH(TRIM(W$13), INDIRECT($AF$8), 0))</f>
        <v>#REF!</v>
      </c>
      <c r="X49" s="14" t="e">
        <f ca="1">INDEX(INDIRECT($AF$6),
       MATCH(TRIM($S49), INDIRECT($AF$7), 0),
       MATCH(TRIM(X$13), INDIRECT($AF$8), 0))</f>
        <v>#REF!</v>
      </c>
      <c r="Y49" s="14" t="e">
        <f ca="1">INDEX(INDIRECT($AF$6),
       MATCH(TRIM($S49), INDIRECT($AF$7), 0),
       MATCH(TRIM(Y$13), INDIRECT($AF$8), 0))</f>
        <v>#REF!</v>
      </c>
      <c r="Z49" s="14" t="e">
        <f ca="1">INDEX(INDIRECT($AF$6),
       MATCH(TRIM($S49), INDIRECT($AF$7), 0),
       MATCH(TRIM(Z$13), INDIRECT($AF$8), 0))</f>
        <v>#REF!</v>
      </c>
      <c r="AA49" s="14" t="e">
        <f ca="1">INDEX(INDIRECT($AF$6),
       MATCH(TRIM($S49), INDIRECT($AF$7), 0),
       MATCH(TRIM(AA$13), INDIRECT($AF$8), 0))</f>
        <v>#REF!</v>
      </c>
      <c r="AB49" s="14" t="e">
        <f t="shared" ca="1" si="0"/>
        <v>#REF!</v>
      </c>
    </row>
    <row r="50" spans="18:28" x14ac:dyDescent="0.2">
      <c r="R50">
        <v>37</v>
      </c>
      <c r="S50" t="s">
        <v>80</v>
      </c>
      <c r="T50" s="14" t="e">
        <f ca="1">INDEX(INDIRECT($AF$6),
       MATCH(TRIM($S50), INDIRECT($AF$7), 0),
       MATCH(TRIM(T$13), INDIRECT($AF$8), 0))</f>
        <v>#REF!</v>
      </c>
      <c r="U50" s="14" t="e">
        <f ca="1">INDEX(INDIRECT($AF$6),
       MATCH(TRIM($S50), INDIRECT($AF$7), 0),
       MATCH(TRIM(U$13), INDIRECT($AF$8), 0))</f>
        <v>#REF!</v>
      </c>
      <c r="V50" s="14" t="e">
        <f ca="1">INDEX(INDIRECT($AF$6),
       MATCH(TRIM($S50), INDIRECT($AF$7), 0),
       MATCH(TRIM(V$13), INDIRECT($AF$8), 0))</f>
        <v>#REF!</v>
      </c>
      <c r="W50" s="14" t="e">
        <f ca="1">INDEX(INDIRECT($AF$6),
       MATCH(TRIM($S50), INDIRECT($AF$7), 0),
       MATCH(TRIM(W$13), INDIRECT($AF$8), 0))</f>
        <v>#REF!</v>
      </c>
      <c r="X50" s="14" t="e">
        <f ca="1">INDEX(INDIRECT($AF$6),
       MATCH(TRIM($S50), INDIRECT($AF$7), 0),
       MATCH(TRIM(X$13), INDIRECT($AF$8), 0))</f>
        <v>#REF!</v>
      </c>
      <c r="Y50" s="14" t="e">
        <f ca="1">INDEX(INDIRECT($AF$6),
       MATCH(TRIM($S50), INDIRECT($AF$7), 0),
       MATCH(TRIM(Y$13), INDIRECT($AF$8), 0))</f>
        <v>#REF!</v>
      </c>
      <c r="Z50" s="14" t="e">
        <f ca="1">INDEX(INDIRECT($AF$6),
       MATCH(TRIM($S50), INDIRECT($AF$7), 0),
       MATCH(TRIM(Z$13), INDIRECT($AF$8), 0))</f>
        <v>#REF!</v>
      </c>
      <c r="AA50" s="14" t="e">
        <f ca="1">INDEX(INDIRECT($AF$6),
       MATCH(TRIM($S50), INDIRECT($AF$7), 0),
       MATCH(TRIM(AA$13), INDIRECT($AF$8), 0))</f>
        <v>#REF!</v>
      </c>
      <c r="AB50" s="14" t="e">
        <f t="shared" ca="1" si="0"/>
        <v>#REF!</v>
      </c>
    </row>
    <row r="51" spans="18:28" x14ac:dyDescent="0.2">
      <c r="R51">
        <v>38</v>
      </c>
      <c r="S51" t="s">
        <v>68</v>
      </c>
      <c r="T51" s="14" t="e">
        <f ca="1">INDEX(INDIRECT($AF$6),
       MATCH(TRIM($S51), INDIRECT($AF$7), 0),
       MATCH(TRIM(T$13), INDIRECT($AF$8), 0))</f>
        <v>#REF!</v>
      </c>
      <c r="U51" s="14" t="e">
        <f ca="1">INDEX(INDIRECT($AF$6),
       MATCH(TRIM($S51), INDIRECT($AF$7), 0),
       MATCH(TRIM(U$13), INDIRECT($AF$8), 0))</f>
        <v>#REF!</v>
      </c>
      <c r="V51" s="14" t="e">
        <f ca="1">INDEX(INDIRECT($AF$6),
       MATCH(TRIM($S51), INDIRECT($AF$7), 0),
       MATCH(TRIM(V$13), INDIRECT($AF$8), 0))</f>
        <v>#REF!</v>
      </c>
      <c r="W51" s="14" t="e">
        <f ca="1">INDEX(INDIRECT($AF$6),
       MATCH(TRIM($S51), INDIRECT($AF$7), 0),
       MATCH(TRIM(W$13), INDIRECT($AF$8), 0))</f>
        <v>#REF!</v>
      </c>
      <c r="X51" s="14" t="e">
        <f ca="1">INDEX(INDIRECT($AF$6),
       MATCH(TRIM($S51), INDIRECT($AF$7), 0),
       MATCH(TRIM(X$13), INDIRECT($AF$8), 0))</f>
        <v>#REF!</v>
      </c>
      <c r="Y51" s="14" t="e">
        <f ca="1">INDEX(INDIRECT($AF$6),
       MATCH(TRIM($S51), INDIRECT($AF$7), 0),
       MATCH(TRIM(Y$13), INDIRECT($AF$8), 0))</f>
        <v>#REF!</v>
      </c>
      <c r="Z51" s="14" t="e">
        <f ca="1">INDEX(INDIRECT($AF$6),
       MATCH(TRIM($S51), INDIRECT($AF$7), 0),
       MATCH(TRIM(Z$13), INDIRECT($AF$8), 0))</f>
        <v>#REF!</v>
      </c>
      <c r="AA51" s="14" t="e">
        <f ca="1">INDEX(INDIRECT($AF$6),
       MATCH(TRIM($S51), INDIRECT($AF$7), 0),
       MATCH(TRIM(AA$13), INDIRECT($AF$8), 0))</f>
        <v>#REF!</v>
      </c>
      <c r="AB51" s="14" t="e">
        <f t="shared" ca="1" si="0"/>
        <v>#REF!</v>
      </c>
    </row>
    <row r="52" spans="18:28" x14ac:dyDescent="0.2">
      <c r="R52">
        <v>39</v>
      </c>
      <c r="S52" t="s">
        <v>121</v>
      </c>
      <c r="T52" s="14" t="e">
        <f ca="1">INDEX(INDIRECT($AF$6),
       MATCH(TRIM($S52), INDIRECT($AF$7), 0),
       MATCH(TRIM(T$13), INDIRECT($AF$8), 0))</f>
        <v>#REF!</v>
      </c>
      <c r="U52" s="14" t="e">
        <f ca="1">INDEX(INDIRECT($AF$6),
       MATCH(TRIM($S52), INDIRECT($AF$7), 0),
       MATCH(TRIM(U$13), INDIRECT($AF$8), 0))</f>
        <v>#REF!</v>
      </c>
      <c r="V52" s="14" t="e">
        <f ca="1">INDEX(INDIRECT($AF$6),
       MATCH(TRIM($S52), INDIRECT($AF$7), 0),
       MATCH(TRIM(V$13), INDIRECT($AF$8), 0))</f>
        <v>#REF!</v>
      </c>
      <c r="W52" s="14" t="e">
        <f ca="1">INDEX(INDIRECT($AF$6),
       MATCH(TRIM($S52), INDIRECT($AF$7), 0),
       MATCH(TRIM(W$13), INDIRECT($AF$8), 0))</f>
        <v>#REF!</v>
      </c>
      <c r="X52" s="14" t="e">
        <f ca="1">INDEX(INDIRECT($AF$6),
       MATCH(TRIM($S52), INDIRECT($AF$7), 0),
       MATCH(TRIM(X$13), INDIRECT($AF$8), 0))</f>
        <v>#REF!</v>
      </c>
      <c r="Y52" s="14" t="e">
        <f ca="1">INDEX(INDIRECT($AF$6),
       MATCH(TRIM($S52), INDIRECT($AF$7), 0),
       MATCH(TRIM(Y$13), INDIRECT($AF$8), 0))</f>
        <v>#REF!</v>
      </c>
      <c r="Z52" s="14" t="e">
        <f ca="1">INDEX(INDIRECT($AF$6),
       MATCH(TRIM($S52), INDIRECT($AF$7), 0),
       MATCH(TRIM(Z$13), INDIRECT($AF$8), 0))</f>
        <v>#REF!</v>
      </c>
      <c r="AA52" s="14" t="e">
        <f ca="1">INDEX(INDIRECT($AF$6),
       MATCH(TRIM($S52), INDIRECT($AF$7), 0),
       MATCH(TRIM(AA$13), INDIRECT($AF$8), 0))</f>
        <v>#REF!</v>
      </c>
      <c r="AB52" s="14" t="e">
        <f t="shared" ca="1" si="0"/>
        <v>#REF!</v>
      </c>
    </row>
    <row r="53" spans="18:28" x14ac:dyDescent="0.2">
      <c r="R53">
        <v>40</v>
      </c>
      <c r="S53" t="s">
        <v>133</v>
      </c>
      <c r="T53" s="14" t="e">
        <f ca="1">INDEX(INDIRECT($AF$6),
       MATCH(TRIM($S53), INDIRECT($AF$7), 0),
       MATCH(TRIM(T$13), INDIRECT($AF$8), 0))</f>
        <v>#REF!</v>
      </c>
      <c r="U53" s="14" t="e">
        <f ca="1">INDEX(INDIRECT($AF$6),
       MATCH(TRIM($S53), INDIRECT($AF$7), 0),
       MATCH(TRIM(U$13), INDIRECT($AF$8), 0))</f>
        <v>#REF!</v>
      </c>
      <c r="V53" s="14" t="e">
        <f ca="1">INDEX(INDIRECT($AF$6),
       MATCH(TRIM($S53), INDIRECT($AF$7), 0),
       MATCH(TRIM(V$13), INDIRECT($AF$8), 0))</f>
        <v>#REF!</v>
      </c>
      <c r="W53" s="14" t="e">
        <f ca="1">INDEX(INDIRECT($AF$6),
       MATCH(TRIM($S53), INDIRECT($AF$7), 0),
       MATCH(TRIM(W$13), INDIRECT($AF$8), 0))</f>
        <v>#REF!</v>
      </c>
      <c r="X53" s="14" t="e">
        <f ca="1">INDEX(INDIRECT($AF$6),
       MATCH(TRIM($S53), INDIRECT($AF$7), 0),
       MATCH(TRIM(X$13), INDIRECT($AF$8), 0))</f>
        <v>#REF!</v>
      </c>
      <c r="Y53" s="14" t="e">
        <f ca="1">INDEX(INDIRECT($AF$6),
       MATCH(TRIM($S53), INDIRECT($AF$7), 0),
       MATCH(TRIM(Y$13), INDIRECT($AF$8), 0))</f>
        <v>#REF!</v>
      </c>
      <c r="Z53" s="14" t="e">
        <f ca="1">INDEX(INDIRECT($AF$6),
       MATCH(TRIM($S53), INDIRECT($AF$7), 0),
       MATCH(TRIM(Z$13), INDIRECT($AF$8), 0))</f>
        <v>#REF!</v>
      </c>
      <c r="AA53" s="14" t="e">
        <f ca="1">INDEX(INDIRECT($AF$6),
       MATCH(TRIM($S53), INDIRECT($AF$7), 0),
       MATCH(TRIM(AA$13), INDIRECT($AF$8), 0))</f>
        <v>#REF!</v>
      </c>
      <c r="AB53" s="14" t="e">
        <f t="shared" ca="1" si="0"/>
        <v>#REF!</v>
      </c>
    </row>
    <row r="54" spans="18:28" x14ac:dyDescent="0.2">
      <c r="R54">
        <v>41</v>
      </c>
      <c r="S54" t="s">
        <v>77</v>
      </c>
      <c r="T54" s="14" t="e">
        <f ca="1">INDEX(INDIRECT($AF$6),
       MATCH(TRIM($S54), INDIRECT($AF$7), 0),
       MATCH(TRIM(T$13), INDIRECT($AF$8), 0))</f>
        <v>#REF!</v>
      </c>
      <c r="U54" s="14" t="e">
        <f ca="1">INDEX(INDIRECT($AF$6),
       MATCH(TRIM($S54), INDIRECT($AF$7), 0),
       MATCH(TRIM(U$13), INDIRECT($AF$8), 0))</f>
        <v>#REF!</v>
      </c>
      <c r="V54" s="14" t="e">
        <f ca="1">INDEX(INDIRECT($AF$6),
       MATCH(TRIM($S54), INDIRECT($AF$7), 0),
       MATCH(TRIM(V$13), INDIRECT($AF$8), 0))</f>
        <v>#REF!</v>
      </c>
      <c r="W54" s="14" t="e">
        <f ca="1">INDEX(INDIRECT($AF$6),
       MATCH(TRIM($S54), INDIRECT($AF$7), 0),
       MATCH(TRIM(W$13), INDIRECT($AF$8), 0))</f>
        <v>#REF!</v>
      </c>
      <c r="X54" s="14" t="e">
        <f ca="1">INDEX(INDIRECT($AF$6),
       MATCH(TRIM($S54), INDIRECT($AF$7), 0),
       MATCH(TRIM(X$13), INDIRECT($AF$8), 0))</f>
        <v>#REF!</v>
      </c>
      <c r="Y54" s="14" t="e">
        <f ca="1">INDEX(INDIRECT($AF$6),
       MATCH(TRIM($S54), INDIRECT($AF$7), 0),
       MATCH(TRIM(Y$13), INDIRECT($AF$8), 0))</f>
        <v>#REF!</v>
      </c>
      <c r="Z54" s="14" t="e">
        <f ca="1">INDEX(INDIRECT($AF$6),
       MATCH(TRIM($S54), INDIRECT($AF$7), 0),
       MATCH(TRIM(Z$13), INDIRECT($AF$8), 0))</f>
        <v>#REF!</v>
      </c>
      <c r="AA54" s="14" t="e">
        <f ca="1">INDEX(INDIRECT($AF$6),
       MATCH(TRIM($S54), INDIRECT($AF$7), 0),
       MATCH(TRIM(AA$13), INDIRECT($AF$8), 0))</f>
        <v>#REF!</v>
      </c>
      <c r="AB54" s="14" t="e">
        <f t="shared" ca="1" si="0"/>
        <v>#REF!</v>
      </c>
    </row>
    <row r="55" spans="18:28" x14ac:dyDescent="0.2">
      <c r="R55">
        <v>42</v>
      </c>
      <c r="S55" t="s">
        <v>78</v>
      </c>
      <c r="T55" s="14" t="e">
        <f ca="1">INDEX(INDIRECT($AF$6),
       MATCH(TRIM($S55), INDIRECT($AF$7), 0),
       MATCH(TRIM(T$13), INDIRECT($AF$8), 0))</f>
        <v>#REF!</v>
      </c>
      <c r="U55" s="14" t="e">
        <f ca="1">INDEX(INDIRECT($AF$6),
       MATCH(TRIM($S55), INDIRECT($AF$7), 0),
       MATCH(TRIM(U$13), INDIRECT($AF$8), 0))</f>
        <v>#REF!</v>
      </c>
      <c r="V55" s="14" t="e">
        <f ca="1">INDEX(INDIRECT($AF$6),
       MATCH(TRIM($S55), INDIRECT($AF$7), 0),
       MATCH(TRIM(V$13), INDIRECT($AF$8), 0))</f>
        <v>#REF!</v>
      </c>
      <c r="W55" s="14" t="e">
        <f ca="1">INDEX(INDIRECT($AF$6),
       MATCH(TRIM($S55), INDIRECT($AF$7), 0),
       MATCH(TRIM(W$13), INDIRECT($AF$8), 0))</f>
        <v>#REF!</v>
      </c>
      <c r="X55" s="14" t="e">
        <f ca="1">INDEX(INDIRECT($AF$6),
       MATCH(TRIM($S55), INDIRECT($AF$7), 0),
       MATCH(TRIM(X$13), INDIRECT($AF$8), 0))</f>
        <v>#REF!</v>
      </c>
      <c r="Y55" s="14" t="e">
        <f ca="1">INDEX(INDIRECT($AF$6),
       MATCH(TRIM($S55), INDIRECT($AF$7), 0),
       MATCH(TRIM(Y$13), INDIRECT($AF$8), 0))</f>
        <v>#REF!</v>
      </c>
      <c r="Z55" s="14" t="e">
        <f ca="1">INDEX(INDIRECT($AF$6),
       MATCH(TRIM($S55), INDIRECT($AF$7), 0),
       MATCH(TRIM(Z$13), INDIRECT($AF$8), 0))</f>
        <v>#REF!</v>
      </c>
      <c r="AA55" s="14" t="e">
        <f ca="1">INDEX(INDIRECT($AF$6),
       MATCH(TRIM($S55), INDIRECT($AF$7), 0),
       MATCH(TRIM(AA$13), INDIRECT($AF$8), 0))</f>
        <v>#REF!</v>
      </c>
      <c r="AB55" s="14" t="e">
        <f t="shared" ca="1" si="0"/>
        <v>#REF!</v>
      </c>
    </row>
    <row r="56" spans="18:28" x14ac:dyDescent="0.2">
      <c r="R56">
        <v>43</v>
      </c>
      <c r="S56" t="s">
        <v>74</v>
      </c>
      <c r="T56" s="14" t="e">
        <f ca="1">INDEX(INDIRECT($AF$6),
       MATCH(TRIM($S56), INDIRECT($AF$7), 0),
       MATCH(TRIM(T$13), INDIRECT($AF$8), 0))</f>
        <v>#REF!</v>
      </c>
      <c r="U56" s="14" t="e">
        <f ca="1">INDEX(INDIRECT($AF$6),
       MATCH(TRIM($S56), INDIRECT($AF$7), 0),
       MATCH(TRIM(U$13), INDIRECT($AF$8), 0))</f>
        <v>#REF!</v>
      </c>
      <c r="V56" s="14" t="e">
        <f ca="1">INDEX(INDIRECT($AF$6),
       MATCH(TRIM($S56), INDIRECT($AF$7), 0),
       MATCH(TRIM(V$13), INDIRECT($AF$8), 0))</f>
        <v>#REF!</v>
      </c>
      <c r="W56" s="14" t="e">
        <f ca="1">INDEX(INDIRECT($AF$6),
       MATCH(TRIM($S56), INDIRECT($AF$7), 0),
       MATCH(TRIM(W$13), INDIRECT($AF$8), 0))</f>
        <v>#REF!</v>
      </c>
      <c r="X56" s="14" t="e">
        <f ca="1">INDEX(INDIRECT($AF$6),
       MATCH(TRIM($S56), INDIRECT($AF$7), 0),
       MATCH(TRIM(X$13), INDIRECT($AF$8), 0))</f>
        <v>#REF!</v>
      </c>
      <c r="Y56" s="14" t="e">
        <f ca="1">INDEX(INDIRECT($AF$6),
       MATCH(TRIM($S56), INDIRECT($AF$7), 0),
       MATCH(TRIM(Y$13), INDIRECT($AF$8), 0))</f>
        <v>#REF!</v>
      </c>
      <c r="Z56" s="14" t="e">
        <f ca="1">INDEX(INDIRECT($AF$6),
       MATCH(TRIM($S56), INDIRECT($AF$7), 0),
       MATCH(TRIM(Z$13), INDIRECT($AF$8), 0))</f>
        <v>#REF!</v>
      </c>
      <c r="AA56" s="14" t="e">
        <f ca="1">INDEX(INDIRECT($AF$6),
       MATCH(TRIM($S56), INDIRECT($AF$7), 0),
       MATCH(TRIM(AA$13), INDIRECT($AF$8), 0))</f>
        <v>#REF!</v>
      </c>
      <c r="AB56" s="14" t="e">
        <f t="shared" ca="1" si="0"/>
        <v>#REF!</v>
      </c>
    </row>
    <row r="57" spans="18:28" x14ac:dyDescent="0.2">
      <c r="R57">
        <v>44</v>
      </c>
      <c r="S57" t="s">
        <v>85</v>
      </c>
      <c r="T57" s="14" t="e">
        <f ca="1">INDEX(INDIRECT($AF$6),
       MATCH(TRIM($S57), INDIRECT($AF$7), 0),
       MATCH(TRIM(T$13), INDIRECT($AF$8), 0))</f>
        <v>#REF!</v>
      </c>
      <c r="U57" s="14" t="e">
        <f ca="1">INDEX(INDIRECT($AF$6),
       MATCH(TRIM($S57), INDIRECT($AF$7), 0),
       MATCH(TRIM(U$13), INDIRECT($AF$8), 0))</f>
        <v>#REF!</v>
      </c>
      <c r="V57" s="14" t="e">
        <f ca="1">INDEX(INDIRECT($AF$6),
       MATCH(TRIM($S57), INDIRECT($AF$7), 0),
       MATCH(TRIM(V$13), INDIRECT($AF$8), 0))</f>
        <v>#REF!</v>
      </c>
      <c r="W57" s="14" t="e">
        <f ca="1">INDEX(INDIRECT($AF$6),
       MATCH(TRIM($S57), INDIRECT($AF$7), 0),
       MATCH(TRIM(W$13), INDIRECT($AF$8), 0))</f>
        <v>#REF!</v>
      </c>
      <c r="X57" s="14" t="e">
        <f ca="1">INDEX(INDIRECT($AF$6),
       MATCH(TRIM($S57), INDIRECT($AF$7), 0),
       MATCH(TRIM(X$13), INDIRECT($AF$8), 0))</f>
        <v>#REF!</v>
      </c>
      <c r="Y57" s="14" t="e">
        <f ca="1">INDEX(INDIRECT($AF$6),
       MATCH(TRIM($S57), INDIRECT($AF$7), 0),
       MATCH(TRIM(Y$13), INDIRECT($AF$8), 0))</f>
        <v>#REF!</v>
      </c>
      <c r="Z57" s="14" t="e">
        <f ca="1">INDEX(INDIRECT($AF$6),
       MATCH(TRIM($S57), INDIRECT($AF$7), 0),
       MATCH(TRIM(Z$13), INDIRECT($AF$8), 0))</f>
        <v>#REF!</v>
      </c>
      <c r="AA57" s="14" t="e">
        <f ca="1">INDEX(INDIRECT($AF$6),
       MATCH(TRIM($S57), INDIRECT($AF$7), 0),
       MATCH(TRIM(AA$13), INDIRECT($AF$8), 0))</f>
        <v>#REF!</v>
      </c>
      <c r="AB57" s="14" t="e">
        <f t="shared" ca="1" si="0"/>
        <v>#REF!</v>
      </c>
    </row>
    <row r="58" spans="18:28" x14ac:dyDescent="0.2">
      <c r="R58">
        <v>45</v>
      </c>
      <c r="S58" t="s">
        <v>56</v>
      </c>
      <c r="T58" s="14" t="e">
        <f ca="1">INDEX(INDIRECT($AF$6),
       MATCH(TRIM($S58), INDIRECT($AF$7), 0),
       MATCH(TRIM(T$13), INDIRECT($AF$8), 0))</f>
        <v>#REF!</v>
      </c>
      <c r="U58" s="14" t="e">
        <f ca="1">INDEX(INDIRECT($AF$6),
       MATCH(TRIM($S58), INDIRECT($AF$7), 0),
       MATCH(TRIM(U$13), INDIRECT($AF$8), 0))</f>
        <v>#REF!</v>
      </c>
      <c r="V58" s="14" t="e">
        <f ca="1">INDEX(INDIRECT($AF$6),
       MATCH(TRIM($S58), INDIRECT($AF$7), 0),
       MATCH(TRIM(V$13), INDIRECT($AF$8), 0))</f>
        <v>#REF!</v>
      </c>
      <c r="W58" s="14" t="e">
        <f ca="1">INDEX(INDIRECT($AF$6),
       MATCH(TRIM($S58), INDIRECT($AF$7), 0),
       MATCH(TRIM(W$13), INDIRECT($AF$8), 0))</f>
        <v>#REF!</v>
      </c>
      <c r="X58" s="14" t="e">
        <f ca="1">INDEX(INDIRECT($AF$6),
       MATCH(TRIM($S58), INDIRECT($AF$7), 0),
       MATCH(TRIM(X$13), INDIRECT($AF$8), 0))</f>
        <v>#REF!</v>
      </c>
      <c r="Y58" s="14" t="e">
        <f ca="1">INDEX(INDIRECT($AF$6),
       MATCH(TRIM($S58), INDIRECT($AF$7), 0),
       MATCH(TRIM(Y$13), INDIRECT($AF$8), 0))</f>
        <v>#REF!</v>
      </c>
      <c r="Z58" s="14" t="e">
        <f ca="1">INDEX(INDIRECT($AF$6),
       MATCH(TRIM($S58), INDIRECT($AF$7), 0),
       MATCH(TRIM(Z$13), INDIRECT($AF$8), 0))</f>
        <v>#REF!</v>
      </c>
      <c r="AA58" s="14" t="e">
        <f ca="1">INDEX(INDIRECT($AF$6),
       MATCH(TRIM($S58), INDIRECT($AF$7), 0),
       MATCH(TRIM(AA$13), INDIRECT($AF$8), 0))</f>
        <v>#REF!</v>
      </c>
      <c r="AB58" s="14" t="e">
        <f t="shared" ca="1" si="0"/>
        <v>#REF!</v>
      </c>
    </row>
    <row r="59" spans="18:28" x14ac:dyDescent="0.2">
      <c r="R59">
        <v>46</v>
      </c>
      <c r="S59" t="s">
        <v>64</v>
      </c>
      <c r="T59" s="14" t="e">
        <f ca="1">INDEX(INDIRECT($AF$6),
       MATCH(TRIM($S59), INDIRECT($AF$7), 0),
       MATCH(TRIM(T$13), INDIRECT($AF$8), 0))</f>
        <v>#REF!</v>
      </c>
      <c r="U59" s="14" t="e">
        <f ca="1">INDEX(INDIRECT($AF$6),
       MATCH(TRIM($S59), INDIRECT($AF$7), 0),
       MATCH(TRIM(U$13), INDIRECT($AF$8), 0))</f>
        <v>#REF!</v>
      </c>
      <c r="V59" s="14" t="e">
        <f ca="1">INDEX(INDIRECT($AF$6),
       MATCH(TRIM($S59), INDIRECT($AF$7), 0),
       MATCH(TRIM(V$13), INDIRECT($AF$8), 0))</f>
        <v>#REF!</v>
      </c>
      <c r="W59" s="14" t="e">
        <f ca="1">INDEX(INDIRECT($AF$6),
       MATCH(TRIM($S59), INDIRECT($AF$7), 0),
       MATCH(TRIM(W$13), INDIRECT($AF$8), 0))</f>
        <v>#REF!</v>
      </c>
      <c r="X59" s="14" t="e">
        <f ca="1">INDEX(INDIRECT($AF$6),
       MATCH(TRIM($S59), INDIRECT($AF$7), 0),
       MATCH(TRIM(X$13), INDIRECT($AF$8), 0))</f>
        <v>#REF!</v>
      </c>
      <c r="Y59" s="14" t="e">
        <f ca="1">INDEX(INDIRECT($AF$6),
       MATCH(TRIM($S59), INDIRECT($AF$7), 0),
       MATCH(TRIM(Y$13), INDIRECT($AF$8), 0))</f>
        <v>#REF!</v>
      </c>
      <c r="Z59" s="14" t="e">
        <f ca="1">INDEX(INDIRECT($AF$6),
       MATCH(TRIM($S59), INDIRECT($AF$7), 0),
       MATCH(TRIM(Z$13), INDIRECT($AF$8), 0))</f>
        <v>#REF!</v>
      </c>
      <c r="AA59" s="14" t="e">
        <f ca="1">INDEX(INDIRECT($AF$6),
       MATCH(TRIM($S59), INDIRECT($AF$7), 0),
       MATCH(TRIM(AA$13), INDIRECT($AF$8), 0))</f>
        <v>#REF!</v>
      </c>
      <c r="AB59" s="14" t="e">
        <f t="shared" ca="1" si="0"/>
        <v>#REF!</v>
      </c>
    </row>
    <row r="60" spans="18:28" x14ac:dyDescent="0.2">
      <c r="R60">
        <v>47</v>
      </c>
      <c r="S60" t="s">
        <v>72</v>
      </c>
      <c r="T60" s="14" t="e">
        <f ca="1">INDEX(INDIRECT($AF$6),
       MATCH(TRIM($S60), INDIRECT($AF$7), 0),
       MATCH(TRIM(T$13), INDIRECT($AF$8), 0))</f>
        <v>#REF!</v>
      </c>
      <c r="U60" s="14" t="e">
        <f ca="1">INDEX(INDIRECT($AF$6),
       MATCH(TRIM($S60), INDIRECT($AF$7), 0),
       MATCH(TRIM(U$13), INDIRECT($AF$8), 0))</f>
        <v>#REF!</v>
      </c>
      <c r="V60" s="14" t="e">
        <f ca="1">INDEX(INDIRECT($AF$6),
       MATCH(TRIM($S60), INDIRECT($AF$7), 0),
       MATCH(TRIM(V$13), INDIRECT($AF$8), 0))</f>
        <v>#REF!</v>
      </c>
      <c r="W60" s="14" t="e">
        <f ca="1">INDEX(INDIRECT($AF$6),
       MATCH(TRIM($S60), INDIRECT($AF$7), 0),
       MATCH(TRIM(W$13), INDIRECT($AF$8), 0))</f>
        <v>#REF!</v>
      </c>
      <c r="X60" s="14" t="e">
        <f ca="1">INDEX(INDIRECT($AF$6),
       MATCH(TRIM($S60), INDIRECT($AF$7), 0),
       MATCH(TRIM(X$13), INDIRECT($AF$8), 0))</f>
        <v>#REF!</v>
      </c>
      <c r="Y60" s="14" t="e">
        <f ca="1">INDEX(INDIRECT($AF$6),
       MATCH(TRIM($S60), INDIRECT($AF$7), 0),
       MATCH(TRIM(Y$13), INDIRECT($AF$8), 0))</f>
        <v>#REF!</v>
      </c>
      <c r="Z60" s="14" t="e">
        <f ca="1">INDEX(INDIRECT($AF$6),
       MATCH(TRIM($S60), INDIRECT($AF$7), 0),
       MATCH(TRIM(Z$13), INDIRECT($AF$8), 0))</f>
        <v>#REF!</v>
      </c>
      <c r="AA60" s="14" t="e">
        <f ca="1">INDEX(INDIRECT($AF$6),
       MATCH(TRIM($S60), INDIRECT($AF$7), 0),
       MATCH(TRIM(AA$13), INDIRECT($AF$8), 0))</f>
        <v>#REF!</v>
      </c>
      <c r="AB60" s="14" t="e">
        <f t="shared" ca="1" si="0"/>
        <v>#REF!</v>
      </c>
    </row>
    <row r="61" spans="18:28" x14ac:dyDescent="0.2">
      <c r="R61">
        <v>48</v>
      </c>
      <c r="S61" t="s">
        <v>119</v>
      </c>
      <c r="T61" s="14" t="e">
        <f ca="1">INDEX(INDIRECT($AF$6),
       MATCH(TRIM($S61), INDIRECT($AF$7), 0),
       MATCH(TRIM(T$13), INDIRECT($AF$8), 0))</f>
        <v>#REF!</v>
      </c>
      <c r="U61" s="14" t="e">
        <f ca="1">INDEX(INDIRECT($AF$6),
       MATCH(TRIM($S61), INDIRECT($AF$7), 0),
       MATCH(TRIM(U$13), INDIRECT($AF$8), 0))</f>
        <v>#REF!</v>
      </c>
      <c r="V61" s="14" t="e">
        <f ca="1">INDEX(INDIRECT($AF$6),
       MATCH(TRIM($S61), INDIRECT($AF$7), 0),
       MATCH(TRIM(V$13), INDIRECT($AF$8), 0))</f>
        <v>#REF!</v>
      </c>
      <c r="W61" s="14" t="e">
        <f ca="1">INDEX(INDIRECT($AF$6),
       MATCH(TRIM($S61), INDIRECT($AF$7), 0),
       MATCH(TRIM(W$13), INDIRECT($AF$8), 0))</f>
        <v>#REF!</v>
      </c>
      <c r="X61" s="14" t="e">
        <f ca="1">INDEX(INDIRECT($AF$6),
       MATCH(TRIM($S61), INDIRECT($AF$7), 0),
       MATCH(TRIM(X$13), INDIRECT($AF$8), 0))</f>
        <v>#REF!</v>
      </c>
      <c r="Y61" s="14" t="e">
        <f ca="1">INDEX(INDIRECT($AF$6),
       MATCH(TRIM($S61), INDIRECT($AF$7), 0),
       MATCH(TRIM(Y$13), INDIRECT($AF$8), 0))</f>
        <v>#REF!</v>
      </c>
      <c r="Z61" s="14" t="e">
        <f ca="1">INDEX(INDIRECT($AF$6),
       MATCH(TRIM($S61), INDIRECT($AF$7), 0),
       MATCH(TRIM(Z$13), INDIRECT($AF$8), 0))</f>
        <v>#REF!</v>
      </c>
      <c r="AA61" s="14" t="e">
        <f ca="1">INDEX(INDIRECT($AF$6),
       MATCH(TRIM($S61), INDIRECT($AF$7), 0),
       MATCH(TRIM(AA$13), INDIRECT($AF$8), 0))</f>
        <v>#REF!</v>
      </c>
      <c r="AB61" s="14" t="e">
        <f t="shared" ca="1" si="0"/>
        <v>#REF!</v>
      </c>
    </row>
    <row r="62" spans="18:28" x14ac:dyDescent="0.2">
      <c r="R62">
        <v>49</v>
      </c>
      <c r="S62" t="s">
        <v>120</v>
      </c>
      <c r="T62" s="14" t="e">
        <f ca="1">INDEX(INDIRECT($AF$6),
       MATCH(TRIM($S62), INDIRECT($AF$7), 0),
       MATCH(TRIM(T$13), INDIRECT($AF$8), 0))</f>
        <v>#REF!</v>
      </c>
      <c r="U62" s="14" t="e">
        <f ca="1">INDEX(INDIRECT($AF$6),
       MATCH(TRIM($S62), INDIRECT($AF$7), 0),
       MATCH(TRIM(U$13), INDIRECT($AF$8), 0))</f>
        <v>#REF!</v>
      </c>
      <c r="V62" s="14" t="e">
        <f ca="1">INDEX(INDIRECT($AF$6),
       MATCH(TRIM($S62), INDIRECT($AF$7), 0),
       MATCH(TRIM(V$13), INDIRECT($AF$8), 0))</f>
        <v>#REF!</v>
      </c>
      <c r="W62" s="14" t="e">
        <f ca="1">INDEX(INDIRECT($AF$6),
       MATCH(TRIM($S62), INDIRECT($AF$7), 0),
       MATCH(TRIM(W$13), INDIRECT($AF$8), 0))</f>
        <v>#REF!</v>
      </c>
      <c r="X62" s="14" t="e">
        <f ca="1">INDEX(INDIRECT($AF$6),
       MATCH(TRIM($S62), INDIRECT($AF$7), 0),
       MATCH(TRIM(X$13), INDIRECT($AF$8), 0))</f>
        <v>#REF!</v>
      </c>
      <c r="Y62" s="14" t="e">
        <f ca="1">INDEX(INDIRECT($AF$6),
       MATCH(TRIM($S62), INDIRECT($AF$7), 0),
       MATCH(TRIM(Y$13), INDIRECT($AF$8), 0))</f>
        <v>#REF!</v>
      </c>
      <c r="Z62" s="14" t="e">
        <f ca="1">INDEX(INDIRECT($AF$6),
       MATCH(TRIM($S62), INDIRECT($AF$7), 0),
       MATCH(TRIM(Z$13), INDIRECT($AF$8), 0))</f>
        <v>#REF!</v>
      </c>
      <c r="AA62" s="14" t="e">
        <f ca="1">INDEX(INDIRECT($AF$6),
       MATCH(TRIM($S62), INDIRECT($AF$7), 0),
       MATCH(TRIM(AA$13), INDIRECT($AF$8), 0))</f>
        <v>#REF!</v>
      </c>
      <c r="AB62" s="14" t="e">
        <f t="shared" ca="1" si="0"/>
        <v>#REF!</v>
      </c>
    </row>
    <row r="63" spans="18:28" x14ac:dyDescent="0.2">
      <c r="R63">
        <v>50</v>
      </c>
      <c r="S63" t="s">
        <v>83</v>
      </c>
      <c r="T63" s="14" t="e">
        <f ca="1">INDEX(INDIRECT($AF$6),
       MATCH(TRIM($S63), INDIRECT($AF$7), 0),
       MATCH(TRIM(T$13), INDIRECT($AF$8), 0))</f>
        <v>#REF!</v>
      </c>
      <c r="U63" s="14" t="e">
        <f ca="1">INDEX(INDIRECT($AF$6),
       MATCH(TRIM($S63), INDIRECT($AF$7), 0),
       MATCH(TRIM(U$13), INDIRECT($AF$8), 0))</f>
        <v>#REF!</v>
      </c>
      <c r="V63" s="14" t="e">
        <f ca="1">INDEX(INDIRECT($AF$6),
       MATCH(TRIM($S63), INDIRECT($AF$7), 0),
       MATCH(TRIM(V$13), INDIRECT($AF$8), 0))</f>
        <v>#REF!</v>
      </c>
      <c r="W63" s="14" t="e">
        <f ca="1">INDEX(INDIRECT($AF$6),
       MATCH(TRIM($S63), INDIRECT($AF$7), 0),
       MATCH(TRIM(W$13), INDIRECT($AF$8), 0))</f>
        <v>#REF!</v>
      </c>
      <c r="X63" s="14" t="e">
        <f ca="1">INDEX(INDIRECT($AF$6),
       MATCH(TRIM($S63), INDIRECT($AF$7), 0),
       MATCH(TRIM(X$13), INDIRECT($AF$8), 0))</f>
        <v>#REF!</v>
      </c>
      <c r="Y63" s="14" t="e">
        <f ca="1">INDEX(INDIRECT($AF$6),
       MATCH(TRIM($S63), INDIRECT($AF$7), 0),
       MATCH(TRIM(Y$13), INDIRECT($AF$8), 0))</f>
        <v>#REF!</v>
      </c>
      <c r="Z63" s="14" t="e">
        <f ca="1">INDEX(INDIRECT($AF$6),
       MATCH(TRIM($S63), INDIRECT($AF$7), 0),
       MATCH(TRIM(Z$13), INDIRECT($AF$8), 0))</f>
        <v>#REF!</v>
      </c>
      <c r="AA63" s="14" t="e">
        <f ca="1">INDEX(INDIRECT($AF$6),
       MATCH(TRIM($S63), INDIRECT($AF$7), 0),
       MATCH(TRIM(AA$13), INDIRECT($AF$8), 0))</f>
        <v>#REF!</v>
      </c>
      <c r="AB63" s="14" t="e">
        <f t="shared" ca="1" si="0"/>
        <v>#REF!</v>
      </c>
    </row>
    <row r="64" spans="18:28" x14ac:dyDescent="0.2">
      <c r="R64">
        <v>51</v>
      </c>
      <c r="S64" t="s">
        <v>65</v>
      </c>
      <c r="T64" s="14" t="e">
        <f ca="1">INDEX(INDIRECT($AF$6),
       MATCH(TRIM($S64), INDIRECT($AF$7), 0),
       MATCH(TRIM(T$13), INDIRECT($AF$8), 0))</f>
        <v>#REF!</v>
      </c>
      <c r="U64" s="14" t="e">
        <f ca="1">INDEX(INDIRECT($AF$6),
       MATCH(TRIM($S64), INDIRECT($AF$7), 0),
       MATCH(TRIM(U$13), INDIRECT($AF$8), 0))</f>
        <v>#REF!</v>
      </c>
      <c r="V64" s="14" t="e">
        <f ca="1">INDEX(INDIRECT($AF$6),
       MATCH(TRIM($S64), INDIRECT($AF$7), 0),
       MATCH(TRIM(V$13), INDIRECT($AF$8), 0))</f>
        <v>#REF!</v>
      </c>
      <c r="W64" s="14" t="e">
        <f ca="1">INDEX(INDIRECT($AF$6),
       MATCH(TRIM($S64), INDIRECT($AF$7), 0),
       MATCH(TRIM(W$13), INDIRECT($AF$8), 0))</f>
        <v>#REF!</v>
      </c>
      <c r="X64" s="14" t="e">
        <f ca="1">INDEX(INDIRECT($AF$6),
       MATCH(TRIM($S64), INDIRECT($AF$7), 0),
       MATCH(TRIM(X$13), INDIRECT($AF$8), 0))</f>
        <v>#REF!</v>
      </c>
      <c r="Y64" s="14" t="e">
        <f ca="1">INDEX(INDIRECT($AF$6),
       MATCH(TRIM($S64), INDIRECT($AF$7), 0),
       MATCH(TRIM(Y$13), INDIRECT($AF$8), 0))</f>
        <v>#REF!</v>
      </c>
      <c r="Z64" s="14" t="e">
        <f ca="1">INDEX(INDIRECT($AF$6),
       MATCH(TRIM($S64), INDIRECT($AF$7), 0),
       MATCH(TRIM(Z$13), INDIRECT($AF$8), 0))</f>
        <v>#REF!</v>
      </c>
      <c r="AA64" s="14" t="e">
        <f ca="1">INDEX(INDIRECT($AF$6),
       MATCH(TRIM($S64), INDIRECT($AF$7), 0),
       MATCH(TRIM(AA$13), INDIRECT($AF$8), 0))</f>
        <v>#REF!</v>
      </c>
      <c r="AB64" s="14" t="e">
        <f t="shared" ca="1" si="0"/>
        <v>#REF!</v>
      </c>
    </row>
    <row r="65" spans="18:29" x14ac:dyDescent="0.2">
      <c r="R65">
        <v>52</v>
      </c>
      <c r="S65" t="s">
        <v>82</v>
      </c>
      <c r="T65" s="14" t="e">
        <f ca="1">INDEX(INDIRECT($AF$6),
       MATCH(TRIM($S65), INDIRECT($AF$7), 0),
       MATCH(TRIM(T$13), INDIRECT($AF$8), 0))</f>
        <v>#REF!</v>
      </c>
      <c r="U65" s="14" t="e">
        <f ca="1">INDEX(INDIRECT($AF$6),
       MATCH(TRIM($S65), INDIRECT($AF$7), 0),
       MATCH(TRIM(U$13), INDIRECT($AF$8), 0))</f>
        <v>#REF!</v>
      </c>
      <c r="V65" s="14" t="e">
        <f ca="1">INDEX(INDIRECT($AF$6),
       MATCH(TRIM($S65), INDIRECT($AF$7), 0),
       MATCH(TRIM(V$13), INDIRECT($AF$8), 0))</f>
        <v>#REF!</v>
      </c>
      <c r="W65" s="14" t="e">
        <f ca="1">INDEX(INDIRECT($AF$6),
       MATCH(TRIM($S65), INDIRECT($AF$7), 0),
       MATCH(TRIM(W$13), INDIRECT($AF$8), 0))</f>
        <v>#REF!</v>
      </c>
      <c r="X65" s="14" t="e">
        <f ca="1">INDEX(INDIRECT($AF$6),
       MATCH(TRIM($S65), INDIRECT($AF$7), 0),
       MATCH(TRIM(X$13), INDIRECT($AF$8), 0))</f>
        <v>#REF!</v>
      </c>
      <c r="Y65" s="14" t="e">
        <f ca="1">INDEX(INDIRECT($AF$6),
       MATCH(TRIM($S65), INDIRECT($AF$7), 0),
       MATCH(TRIM(Y$13), INDIRECT($AF$8), 0))</f>
        <v>#REF!</v>
      </c>
      <c r="Z65" s="14" t="e">
        <f ca="1">INDEX(INDIRECT($AF$6),
       MATCH(TRIM($S65), INDIRECT($AF$7), 0),
       MATCH(TRIM(Z$13), INDIRECT($AF$8), 0))</f>
        <v>#REF!</v>
      </c>
      <c r="AA65" s="14" t="e">
        <f ca="1">INDEX(INDIRECT($AF$6),
       MATCH(TRIM($S65), INDIRECT($AF$7), 0),
       MATCH(TRIM(AA$13), INDIRECT($AF$8), 0))</f>
        <v>#REF!</v>
      </c>
      <c r="AB65" s="14" t="e">
        <f t="shared" ca="1" si="0"/>
        <v>#REF!</v>
      </c>
    </row>
    <row r="66" spans="18:29" x14ac:dyDescent="0.2">
      <c r="R66">
        <v>53</v>
      </c>
      <c r="S66" t="s">
        <v>75</v>
      </c>
      <c r="T66" s="14" t="e">
        <f ca="1">INDEX(INDIRECT($AF$6),
       MATCH(TRIM($S66), INDIRECT($AF$7), 0),
       MATCH(TRIM(T$13), INDIRECT($AF$8), 0))</f>
        <v>#REF!</v>
      </c>
      <c r="U66" s="14" t="e">
        <f ca="1">INDEX(INDIRECT($AF$6),
       MATCH(TRIM($S66), INDIRECT($AF$7), 0),
       MATCH(TRIM(U$13), INDIRECT($AF$8), 0))</f>
        <v>#REF!</v>
      </c>
      <c r="V66" s="14" t="e">
        <f ca="1">INDEX(INDIRECT($AF$6),
       MATCH(TRIM($S66), INDIRECT($AF$7), 0),
       MATCH(TRIM(V$13), INDIRECT($AF$8), 0))</f>
        <v>#REF!</v>
      </c>
      <c r="W66" s="14" t="e">
        <f ca="1">INDEX(INDIRECT($AF$6),
       MATCH(TRIM($S66), INDIRECT($AF$7), 0),
       MATCH(TRIM(W$13), INDIRECT($AF$8), 0))</f>
        <v>#REF!</v>
      </c>
      <c r="X66" s="14" t="e">
        <f ca="1">INDEX(INDIRECT($AF$6),
       MATCH(TRIM($S66), INDIRECT($AF$7), 0),
       MATCH(TRIM(X$13), INDIRECT($AF$8), 0))</f>
        <v>#REF!</v>
      </c>
      <c r="Y66" s="14" t="e">
        <f ca="1">INDEX(INDIRECT($AF$6),
       MATCH(TRIM($S66), INDIRECT($AF$7), 0),
       MATCH(TRIM(Y$13), INDIRECT($AF$8), 0))</f>
        <v>#REF!</v>
      </c>
      <c r="Z66" s="14" t="e">
        <f ca="1">INDEX(INDIRECT($AF$6),
       MATCH(TRIM($S66), INDIRECT($AF$7), 0),
       MATCH(TRIM(Z$13), INDIRECT($AF$8), 0))</f>
        <v>#REF!</v>
      </c>
      <c r="AA66" s="14" t="e">
        <f ca="1">INDEX(INDIRECT($AF$6),
       MATCH(TRIM($S66), INDIRECT($AF$7), 0),
       MATCH(TRIM(AA$13), INDIRECT($AF$8), 0))</f>
        <v>#REF!</v>
      </c>
      <c r="AB66" s="14" t="e">
        <f t="shared" ca="1" si="0"/>
        <v>#REF!</v>
      </c>
    </row>
    <row r="67" spans="18:29" x14ac:dyDescent="0.2">
      <c r="R67">
        <v>54</v>
      </c>
      <c r="S67" t="s">
        <v>62</v>
      </c>
      <c r="T67" s="14" t="e">
        <f ca="1">INDEX(INDIRECT($AF$6),
       MATCH(TRIM($S67), INDIRECT($AF$7), 0),
       MATCH(TRIM(T$13), INDIRECT($AF$8), 0))</f>
        <v>#REF!</v>
      </c>
      <c r="U67" s="14" t="e">
        <f ca="1">INDEX(INDIRECT($AF$6),
       MATCH(TRIM($S67), INDIRECT($AF$7), 0),
       MATCH(TRIM(U$13), INDIRECT($AF$8), 0))</f>
        <v>#REF!</v>
      </c>
      <c r="V67" s="14" t="e">
        <f ca="1">INDEX(INDIRECT($AF$6),
       MATCH(TRIM($S67), INDIRECT($AF$7), 0),
       MATCH(TRIM(V$13), INDIRECT($AF$8), 0))</f>
        <v>#REF!</v>
      </c>
      <c r="W67" s="14" t="e">
        <f ca="1">INDEX(INDIRECT($AF$6),
       MATCH(TRIM($S67), INDIRECT($AF$7), 0),
       MATCH(TRIM(W$13), INDIRECT($AF$8), 0))</f>
        <v>#REF!</v>
      </c>
      <c r="X67" s="14" t="e">
        <f ca="1">INDEX(INDIRECT($AF$6),
       MATCH(TRIM($S67), INDIRECT($AF$7), 0),
       MATCH(TRIM(X$13), INDIRECT($AF$8), 0))</f>
        <v>#REF!</v>
      </c>
      <c r="Y67" s="14" t="e">
        <f ca="1">INDEX(INDIRECT($AF$6),
       MATCH(TRIM($S67), INDIRECT($AF$7), 0),
       MATCH(TRIM(Y$13), INDIRECT($AF$8), 0))</f>
        <v>#REF!</v>
      </c>
      <c r="Z67" s="14" t="e">
        <f ca="1">INDEX(INDIRECT($AF$6),
       MATCH(TRIM($S67), INDIRECT($AF$7), 0),
       MATCH(TRIM(Z$13), INDIRECT($AF$8), 0))</f>
        <v>#REF!</v>
      </c>
      <c r="AA67" s="14" t="e">
        <f ca="1">INDEX(INDIRECT($AF$6),
       MATCH(TRIM($S67), INDIRECT($AF$7), 0),
       MATCH(TRIM(AA$13), INDIRECT($AF$8), 0))</f>
        <v>#REF!</v>
      </c>
      <c r="AB67" s="14" t="e">
        <f t="shared" ca="1" si="0"/>
        <v>#REF!</v>
      </c>
    </row>
    <row r="68" spans="18:29" x14ac:dyDescent="0.2">
      <c r="R68">
        <v>55</v>
      </c>
      <c r="S68" t="s">
        <v>134</v>
      </c>
      <c r="T68" s="14" t="e">
        <f ca="1">INDEX(INDIRECT($AF$6),
       MATCH(TRIM($S68), INDIRECT($AF$7), 0),
       MATCH(TRIM(T$13), INDIRECT($AF$8), 0))</f>
        <v>#REF!</v>
      </c>
      <c r="U68" s="14" t="e">
        <f ca="1">INDEX(INDIRECT($AF$6),
       MATCH(TRIM($S68), INDIRECT($AF$7), 0),
       MATCH(TRIM(U$13), INDIRECT($AF$8), 0))</f>
        <v>#REF!</v>
      </c>
      <c r="V68" s="14" t="e">
        <f ca="1">INDEX(INDIRECT($AF$6),
       MATCH(TRIM($S68), INDIRECT($AF$7), 0),
       MATCH(TRIM(V$13), INDIRECT($AF$8), 0))</f>
        <v>#REF!</v>
      </c>
      <c r="W68" s="14" t="e">
        <f ca="1">INDEX(INDIRECT($AF$6),
       MATCH(TRIM($S68), INDIRECT($AF$7), 0),
       MATCH(TRIM(W$13), INDIRECT($AF$8), 0))</f>
        <v>#REF!</v>
      </c>
      <c r="X68" s="14" t="e">
        <f ca="1">INDEX(INDIRECT($AF$6),
       MATCH(TRIM($S68), INDIRECT($AF$7), 0),
       MATCH(TRIM(X$13), INDIRECT($AF$8), 0))</f>
        <v>#REF!</v>
      </c>
      <c r="Y68" s="14" t="e">
        <f ca="1">INDEX(INDIRECT($AF$6),
       MATCH(TRIM($S68), INDIRECT($AF$7), 0),
       MATCH(TRIM(Y$13), INDIRECT($AF$8), 0))</f>
        <v>#REF!</v>
      </c>
      <c r="Z68" s="14" t="e">
        <f ca="1">INDEX(INDIRECT($AF$6),
       MATCH(TRIM($S68), INDIRECT($AF$7), 0),
       MATCH(TRIM(Z$13), INDIRECT($AF$8), 0))</f>
        <v>#REF!</v>
      </c>
      <c r="AA68" s="14" t="e">
        <f ca="1">INDEX(INDIRECT($AF$6),
       MATCH(TRIM($S68), INDIRECT($AF$7), 0),
       MATCH(TRIM(AA$13), INDIRECT($AF$8), 0))</f>
        <v>#REF!</v>
      </c>
      <c r="AB68" s="14" t="e">
        <f t="shared" ca="1" si="0"/>
        <v>#REF!</v>
      </c>
    </row>
    <row r="69" spans="18:29" x14ac:dyDescent="0.2">
      <c r="R69">
        <v>56</v>
      </c>
      <c r="S69" t="s">
        <v>117</v>
      </c>
      <c r="T69" s="14" t="e">
        <f ca="1">INDEX(INDIRECT($AF$6),
       MATCH(TRIM($S69), INDIRECT($AF$7), 0),
       MATCH(TRIM(T$13), INDIRECT($AF$8), 0))</f>
        <v>#REF!</v>
      </c>
      <c r="U69" s="14" t="e">
        <f ca="1">INDEX(INDIRECT($AF$6),
       MATCH(TRIM($S69), INDIRECT($AF$7), 0),
       MATCH(TRIM(U$13), INDIRECT($AF$8), 0))</f>
        <v>#REF!</v>
      </c>
      <c r="V69" s="14" t="e">
        <f ca="1">INDEX(INDIRECT($AF$6),
       MATCH(TRIM($S69), INDIRECT($AF$7), 0),
       MATCH(TRIM(V$13), INDIRECT($AF$8), 0))</f>
        <v>#REF!</v>
      </c>
      <c r="W69" s="14" t="e">
        <f ca="1">INDEX(INDIRECT($AF$6),
       MATCH(TRIM($S69), INDIRECT($AF$7), 0),
       MATCH(TRIM(W$13), INDIRECT($AF$8), 0))</f>
        <v>#REF!</v>
      </c>
      <c r="X69" s="14" t="e">
        <f ca="1">INDEX(INDIRECT($AF$6),
       MATCH(TRIM($S69), INDIRECT($AF$7), 0),
       MATCH(TRIM(X$13), INDIRECT($AF$8), 0))</f>
        <v>#REF!</v>
      </c>
      <c r="Y69" s="14" t="e">
        <f ca="1">INDEX(INDIRECT($AF$6),
       MATCH(TRIM($S69), INDIRECT($AF$7), 0),
       MATCH(TRIM(Y$13), INDIRECT($AF$8), 0))</f>
        <v>#REF!</v>
      </c>
      <c r="Z69" s="14" t="e">
        <f ca="1">INDEX(INDIRECT($AF$6),
       MATCH(TRIM($S69), INDIRECT($AF$7), 0),
       MATCH(TRIM(Z$13), INDIRECT($AF$8), 0))</f>
        <v>#REF!</v>
      </c>
      <c r="AA69" s="14" t="e">
        <f ca="1">INDEX(INDIRECT($AF$6),
       MATCH(TRIM($S69), INDIRECT($AF$7), 0),
       MATCH(TRIM(AA$13), INDIRECT($AF$8), 0))</f>
        <v>#REF!</v>
      </c>
      <c r="AB69" s="14" t="e">
        <f t="shared" ca="1" si="0"/>
        <v>#REF!</v>
      </c>
    </row>
    <row r="70" spans="18:29" x14ac:dyDescent="0.2">
      <c r="R70">
        <v>57</v>
      </c>
      <c r="S70" t="s">
        <v>87</v>
      </c>
      <c r="T70" s="14" t="e">
        <f ca="1">INDEX(INDIRECT($AF$6),
       MATCH(TRIM($S70), INDIRECT($AF$7), 0),
       MATCH(TRIM(T$13), INDIRECT($AF$8), 0))</f>
        <v>#REF!</v>
      </c>
      <c r="U70" s="14" t="e">
        <f ca="1">INDEX(INDIRECT($AF$6),
       MATCH(TRIM($S70), INDIRECT($AF$7), 0),
       MATCH(TRIM(U$13), INDIRECT($AF$8), 0))</f>
        <v>#REF!</v>
      </c>
      <c r="V70" s="14" t="e">
        <f ca="1">INDEX(INDIRECT($AF$6),
       MATCH(TRIM($S70), INDIRECT($AF$7), 0),
       MATCH(TRIM(V$13), INDIRECT($AF$8), 0))</f>
        <v>#REF!</v>
      </c>
      <c r="W70" s="14" t="e">
        <f ca="1">INDEX(INDIRECT($AF$6),
       MATCH(TRIM($S70), INDIRECT($AF$7), 0),
       MATCH(TRIM(W$13), INDIRECT($AF$8), 0))</f>
        <v>#REF!</v>
      </c>
      <c r="X70" s="14" t="e">
        <f ca="1">INDEX(INDIRECT($AF$6),
       MATCH(TRIM($S70), INDIRECT($AF$7), 0),
       MATCH(TRIM(X$13), INDIRECT($AF$8), 0))</f>
        <v>#REF!</v>
      </c>
      <c r="Y70" s="14" t="e">
        <f ca="1">INDEX(INDIRECT($AF$6),
       MATCH(TRIM($S70), INDIRECT($AF$7), 0),
       MATCH(TRIM(Y$13), INDIRECT($AF$8), 0))</f>
        <v>#REF!</v>
      </c>
      <c r="Z70" s="14" t="e">
        <f ca="1">INDEX(INDIRECT($AF$6),
       MATCH(TRIM($S70), INDIRECT($AF$7), 0),
       MATCH(TRIM(Z$13), INDIRECT($AF$8), 0))</f>
        <v>#REF!</v>
      </c>
      <c r="AA70" s="14" t="e">
        <f ca="1">INDEX(INDIRECT($AF$6),
       MATCH(TRIM($S70), INDIRECT($AF$7), 0),
       MATCH(TRIM(AA$13), INDIRECT($AF$8), 0))</f>
        <v>#REF!</v>
      </c>
      <c r="AB70" s="14" t="e">
        <f t="shared" ca="1" si="0"/>
        <v>#REF!</v>
      </c>
    </row>
    <row r="71" spans="18:29" x14ac:dyDescent="0.2">
      <c r="R71">
        <v>58</v>
      </c>
      <c r="S71" t="s">
        <v>118</v>
      </c>
      <c r="T71" s="14" t="e">
        <f ca="1">INDEX(INDIRECT($AF$6),
       MATCH(TRIM($S71), INDIRECT($AF$7), 0),
       MATCH(TRIM(T$13), INDIRECT($AF$8), 0))</f>
        <v>#REF!</v>
      </c>
      <c r="U71" s="14" t="e">
        <f ca="1">INDEX(INDIRECT($AF$6),
       MATCH(TRIM($S71), INDIRECT($AF$7), 0),
       MATCH(TRIM(U$13), INDIRECT($AF$8), 0))</f>
        <v>#REF!</v>
      </c>
      <c r="V71" s="14" t="e">
        <f ca="1">INDEX(INDIRECT($AF$6),
       MATCH(TRIM($S71), INDIRECT($AF$7), 0),
       MATCH(TRIM(V$13), INDIRECT($AF$8), 0))</f>
        <v>#REF!</v>
      </c>
      <c r="W71" s="14" t="e">
        <f ca="1">INDEX(INDIRECT($AF$6),
       MATCH(TRIM($S71), INDIRECT($AF$7), 0),
       MATCH(TRIM(W$13), INDIRECT($AF$8), 0))</f>
        <v>#REF!</v>
      </c>
      <c r="X71" s="14" t="e">
        <f ca="1">INDEX(INDIRECT($AF$6),
       MATCH(TRIM($S71), INDIRECT($AF$7), 0),
       MATCH(TRIM(X$13), INDIRECT($AF$8), 0))</f>
        <v>#REF!</v>
      </c>
      <c r="Y71" s="14" t="e">
        <f ca="1">INDEX(INDIRECT($AF$6),
       MATCH(TRIM($S71), INDIRECT($AF$7), 0),
       MATCH(TRIM(Y$13), INDIRECT($AF$8), 0))</f>
        <v>#REF!</v>
      </c>
      <c r="Z71" s="14" t="e">
        <f ca="1">INDEX(INDIRECT($AF$6),
       MATCH(TRIM($S71), INDIRECT($AF$7), 0),
       MATCH(TRIM(Z$13), INDIRECT($AF$8), 0))</f>
        <v>#REF!</v>
      </c>
      <c r="AA71" s="14" t="e">
        <f ca="1">INDEX(INDIRECT($AF$6),
       MATCH(TRIM($S71), INDIRECT($AF$7), 0),
       MATCH(TRIM(AA$13), INDIRECT($AF$8), 0))</f>
        <v>#REF!</v>
      </c>
      <c r="AB71" s="14" t="e">
        <f t="shared" ca="1" si="0"/>
        <v>#REF!</v>
      </c>
    </row>
    <row r="72" spans="18:29" x14ac:dyDescent="0.2">
      <c r="R72">
        <v>59</v>
      </c>
      <c r="S72" t="s">
        <v>89</v>
      </c>
      <c r="T72" s="14" t="e">
        <f ca="1">INDEX(INDIRECT($AF$6),
       MATCH(TRIM($S72), INDIRECT($AF$7), 0),
       MATCH(TRIM(T$13), INDIRECT($AF$8), 0))</f>
        <v>#REF!</v>
      </c>
      <c r="U72" s="14" t="e">
        <f t="shared" ref="U72:AB72" ca="1" si="2">INDEX(INDIRECT($AF$6),
       MATCH(TRIM($S72), INDIRECT($AF$7), 0),
       MATCH(TRIM(U$13), INDIRECT($AF$8), 0))</f>
        <v>#REF!</v>
      </c>
      <c r="V72" s="14" t="e">
        <f t="shared" ca="1" si="2"/>
        <v>#REF!</v>
      </c>
      <c r="W72" s="14" t="e">
        <f t="shared" ca="1" si="2"/>
        <v>#REF!</v>
      </c>
      <c r="X72" s="14" t="e">
        <f t="shared" ca="1" si="2"/>
        <v>#REF!</v>
      </c>
      <c r="Y72" s="14" t="e">
        <f t="shared" ca="1" si="2"/>
        <v>#REF!</v>
      </c>
      <c r="Z72" s="14" t="e">
        <f t="shared" ca="1" si="2"/>
        <v>#REF!</v>
      </c>
      <c r="AA72" s="14" t="e">
        <f t="shared" ca="1" si="2"/>
        <v>#REF!</v>
      </c>
      <c r="AB72" s="14" t="e">
        <f t="shared" ca="1" si="0"/>
        <v>#REF!</v>
      </c>
    </row>
    <row r="73" spans="18:29" x14ac:dyDescent="0.2">
      <c r="R73">
        <v>60</v>
      </c>
      <c r="S73" t="s">
        <v>135</v>
      </c>
      <c r="T73" s="14" t="e">
        <f t="shared" ref="T73:AB74" ca="1" si="3">INDEX(INDIRECT($AF$6),
       MATCH(TRIM($S73), INDIRECT($AF$7), 0),
       MATCH(TRIM(T$13), INDIRECT($AF$8), 0))</f>
        <v>#REF!</v>
      </c>
      <c r="U73" s="14" t="e">
        <f t="shared" ca="1" si="3"/>
        <v>#REF!</v>
      </c>
      <c r="V73" s="14" t="e">
        <f t="shared" ca="1" si="3"/>
        <v>#REF!</v>
      </c>
      <c r="W73" s="14" t="e">
        <f t="shared" ca="1" si="3"/>
        <v>#REF!</v>
      </c>
      <c r="X73" s="14" t="e">
        <f t="shared" ca="1" si="3"/>
        <v>#REF!</v>
      </c>
      <c r="Y73" s="14" t="e">
        <f t="shared" ca="1" si="3"/>
        <v>#REF!</v>
      </c>
      <c r="Z73" s="14" t="e">
        <f t="shared" ca="1" si="3"/>
        <v>#REF!</v>
      </c>
      <c r="AA73" s="14" t="e">
        <f t="shared" ca="1" si="3"/>
        <v>#REF!</v>
      </c>
      <c r="AB73" s="14" t="e">
        <f t="shared" ca="1" si="0"/>
        <v>#REF!</v>
      </c>
      <c r="AC73" s="91">
        <f t="shared" ref="AC73" si="4">SUM(AC14:AC72)</f>
        <v>0</v>
      </c>
    </row>
    <row r="74" spans="18:29" x14ac:dyDescent="0.2">
      <c r="R74">
        <v>61</v>
      </c>
      <c r="S74" t="s">
        <v>136</v>
      </c>
      <c r="T74" s="14" t="e">
        <f t="shared" ca="1" si="3"/>
        <v>#REF!</v>
      </c>
      <c r="U74" s="14" t="e">
        <f t="shared" ca="1" si="3"/>
        <v>#REF!</v>
      </c>
      <c r="V74" s="14" t="e">
        <f t="shared" ca="1" si="3"/>
        <v>#REF!</v>
      </c>
      <c r="W74" s="14" t="e">
        <f t="shared" ca="1" si="3"/>
        <v>#REF!</v>
      </c>
      <c r="X74" s="14" t="e">
        <f t="shared" ca="1" si="3"/>
        <v>#REF!</v>
      </c>
      <c r="Y74" s="14" t="e">
        <f t="shared" ca="1" si="3"/>
        <v>#REF!</v>
      </c>
      <c r="Z74" s="14" t="e">
        <f t="shared" ca="1" si="3"/>
        <v>#REF!</v>
      </c>
      <c r="AA74" s="14" t="e">
        <f t="shared" ca="1" si="3"/>
        <v>#REF!</v>
      </c>
      <c r="AB74" s="14" t="e">
        <f t="shared" ca="1" si="0"/>
        <v>#REF!</v>
      </c>
    </row>
    <row r="75" spans="18:29" x14ac:dyDescent="0.2">
      <c r="R75" s="87" t="s">
        <v>26</v>
      </c>
      <c r="S75" s="88"/>
      <c r="T75" s="89" cm="1">
        <f t="array" aca="1" ref="T75" ca="1">SUM(IFERROR(T14:T74,0))</f>
        <v>0</v>
      </c>
      <c r="U75" s="89" cm="1">
        <f t="array" aca="1" ref="U75" ca="1">SUM(IFERROR(U14:U74,0))</f>
        <v>0</v>
      </c>
      <c r="V75" s="89" cm="1">
        <f t="array" aca="1" ref="V75" ca="1">SUM(IFERROR(V14:V74,0))</f>
        <v>0</v>
      </c>
      <c r="W75" s="89" cm="1">
        <f t="array" aca="1" ref="W75" ca="1">SUM(IFERROR(W14:W74,0))</f>
        <v>0</v>
      </c>
      <c r="X75" s="89" cm="1">
        <f t="array" aca="1" ref="X75" ca="1">SUM(IFERROR(X14:X74,0))</f>
        <v>0</v>
      </c>
      <c r="Y75" s="89" cm="1">
        <f t="array" aca="1" ref="Y75" ca="1">SUM(IFERROR(Y14:Y74,0))</f>
        <v>0</v>
      </c>
      <c r="Z75" s="89" cm="1">
        <f t="array" aca="1" ref="Z75" ca="1">SUM(IFERROR(Z14:Z74,0))</f>
        <v>0</v>
      </c>
      <c r="AA75" s="89" cm="1">
        <f t="array" aca="1" ref="AA75" ca="1">SUM(IFERROR(AA14:AA74,0))</f>
        <v>0</v>
      </c>
      <c r="AB75" s="89" cm="1">
        <f t="array" aca="1" ref="AB75" ca="1">SUM(IFERROR(AB14:AB74,0))</f>
        <v>0</v>
      </c>
      <c r="AC75" s="91">
        <f>SUM(AC16:AC74)</f>
        <v>0</v>
      </c>
    </row>
  </sheetData>
  <mergeCells count="14">
    <mergeCell ref="R75:S75"/>
    <mergeCell ref="AB12:AB13"/>
    <mergeCell ref="A13:A14"/>
    <mergeCell ref="B13:B14"/>
    <mergeCell ref="C13:E13"/>
    <mergeCell ref="F13:H13"/>
    <mergeCell ref="I13:J13"/>
    <mergeCell ref="A3:I3"/>
    <mergeCell ref="R3:Z3"/>
    <mergeCell ref="A4:I4"/>
    <mergeCell ref="R4:Z4"/>
    <mergeCell ref="T12:V12"/>
    <mergeCell ref="W12:Y12"/>
    <mergeCell ref="Z12:AA12"/>
  </mergeCells>
  <conditionalFormatting sqref="S75">
    <cfRule type="duplicateValues" dxfId="27" priority="1" stopIfTrue="1"/>
    <cfRule type="duplicateValues" dxfId="26" priority="2" stopIfTrue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9A84-A676-3D48-AFC0-9E63A2C815AC}">
  <dimension ref="A1:AF76"/>
  <sheetViews>
    <sheetView topLeftCell="O60" zoomScale="106" workbookViewId="0">
      <selection activeCell="T83" sqref="T83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145</v>
      </c>
      <c r="N6" t="s">
        <v>146</v>
      </c>
      <c r="O6" t="s">
        <v>130</v>
      </c>
      <c r="P6" t="str">
        <f>_xlfn.CONCAT("'",M6,N6,"'","!",O6)</f>
        <v>'[FDI.2019.xls]Thang 12 2019'!$C$7:$L$25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[FDI.2019.xls]</v>
      </c>
      <c r="AD6" t="str">
        <f>N6</f>
        <v>Thang 12 2019</v>
      </c>
      <c r="AE6" t="s">
        <v>151</v>
      </c>
      <c r="AF6" t="str">
        <f>_xlfn.CONCAT("'",AC6,AD6,"'","!",AE6)</f>
        <v>'[FDI.2019.xls]Thang 12 2019'!$C$164:$L$225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[FDI.2019.xls]</v>
      </c>
      <c r="N7" t="str">
        <f>N6</f>
        <v>Thang 12 2019</v>
      </c>
      <c r="O7" t="s">
        <v>99</v>
      </c>
      <c r="P7" t="str">
        <f>_xlfn.CONCAT("'",M7,N7,"'","!",O7)</f>
        <v>'[FDI.2019.xls]Thang 12 2019'!$B$7:$B$25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[FDI.2019.xls]</v>
      </c>
      <c r="AD7" t="str">
        <f>AD6</f>
        <v>Thang 12 2019</v>
      </c>
      <c r="AE7" t="s">
        <v>152</v>
      </c>
      <c r="AF7" t="str">
        <f>_xlfn.CONCAT("'",AC7,AD7,"'","!",AE7)</f>
        <v>'[FDI.2019.xls]Thang 12 2019'!$B$164:$B$225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[FDI.2019.xls]</v>
      </c>
      <c r="N8" t="str">
        <f>N6</f>
        <v>Thang 12 2019</v>
      </c>
      <c r="O8" t="s">
        <v>131</v>
      </c>
      <c r="P8" t="str">
        <f>_xlfn.CONCAT("'",M8,N8,"'","!",O8)</f>
        <v>'[FDI.2019.xls]Thang 12 2019'!$C$6:$L$6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[FDI.2019.xls]</v>
      </c>
      <c r="AD8" t="str">
        <f>AD6</f>
        <v>Thang 12 2019</v>
      </c>
      <c r="AE8" t="s">
        <v>153</v>
      </c>
      <c r="AF8" t="str">
        <f>_xlfn.CONCAT("'",AC8,AD8,"'","!",AE8)</f>
        <v>'[FDI.2019.xls]Thang 12 2019'!$C$163:$L$163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80" t="s">
        <v>107</v>
      </c>
      <c r="D13" s="81"/>
      <c r="E13" s="82"/>
      <c r="F13" s="77" t="s">
        <v>108</v>
      </c>
      <c r="G13" s="78"/>
      <c r="H13" s="79"/>
      <c r="I13" s="75" t="s">
        <v>109</v>
      </c>
      <c r="J13" s="76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74" t="s">
        <v>147</v>
      </c>
      <c r="X13" s="72" t="s">
        <v>148</v>
      </c>
      <c r="Y13" s="94" t="s">
        <v>149</v>
      </c>
      <c r="Z13" s="61" t="s">
        <v>126</v>
      </c>
      <c r="AA13" s="94" t="s">
        <v>154</v>
      </c>
      <c r="AB13" s="62"/>
    </row>
    <row r="14" spans="1:32" ht="84" x14ac:dyDescent="0.2">
      <c r="A14" s="56"/>
      <c r="B14" s="56"/>
      <c r="C14" s="57" t="s">
        <v>27</v>
      </c>
      <c r="D14" s="57" t="s">
        <v>28</v>
      </c>
      <c r="E14" s="58" t="s">
        <v>29</v>
      </c>
      <c r="F14" s="74" t="s">
        <v>147</v>
      </c>
      <c r="G14" s="72" t="s">
        <v>148</v>
      </c>
      <c r="H14" s="94" t="s">
        <v>149</v>
      </c>
      <c r="I14" s="61" t="s">
        <v>126</v>
      </c>
      <c r="J14" s="73" t="s">
        <v>127</v>
      </c>
      <c r="K14" s="66" t="s">
        <v>110</v>
      </c>
      <c r="L14" s="49"/>
      <c r="M14" s="49"/>
      <c r="R14">
        <v>1</v>
      </c>
      <c r="S14" t="s">
        <v>42</v>
      </c>
      <c r="T14" s="14" t="e">
        <f ca="1">INDEX(INDIRECT($AF$6),
       MATCH(TRIM($S14), INDIRECT($AF$7), 0),
       MATCH(TRIM(T$13), INDIRECT($AF$8), 0))</f>
        <v>#REF!</v>
      </c>
      <c r="U14" s="14" t="e">
        <f ca="1">INDEX(INDIRECT($AF$6),
       MATCH(TRIM($S14), INDIRECT($AF$7), 0),
       MATCH(TRIM(U$13), INDIRECT($AF$8), 0))</f>
        <v>#REF!</v>
      </c>
      <c r="V14" s="14" t="e">
        <f ca="1">INDEX(INDIRECT($AF$6),
       MATCH(TRIM($S14), INDIRECT($AF$7), 0),
       MATCH(TRIM(V$13), INDIRECT($AF$8), 0))</f>
        <v>#REF!</v>
      </c>
      <c r="W14" s="14" t="e">
        <f ca="1">INDEX(INDIRECT($AF$6),
       MATCH(TRIM($S14), INDIRECT($AF$7), 0),
       MATCH(TRIM(W$13), INDIRECT($AF$8), 0))</f>
        <v>#REF!</v>
      </c>
      <c r="X14" s="14" t="e">
        <f ca="1">INDEX(INDIRECT($AF$6),
       MATCH(TRIM($S14), INDIRECT($AF$7), 0),
       MATCH(TRIM(X$13), INDIRECT($AF$8), 0))</f>
        <v>#REF!</v>
      </c>
      <c r="Y14" s="14" t="e">
        <f ca="1">INDEX(INDIRECT($AF$6),
       MATCH(TRIM($S14), INDIRECT($AF$7), 0),
       MATCH(TRIM(Y$13), INDIRECT($AF$8), 0))</f>
        <v>#REF!</v>
      </c>
      <c r="Z14" s="14" t="e">
        <f ca="1">INDEX(INDIRECT($AF$6),
       MATCH(TRIM($S14), INDIRECT($AF$7), 0),
       MATCH(TRIM(Z$13), INDIRECT($AF$8), 0))</f>
        <v>#REF!</v>
      </c>
      <c r="AA14" s="14" t="e">
        <f ca="1">INDEX(INDIRECT($AF$6),
       MATCH(TRIM($S14), INDIRECT($AF$7), 0),
       MATCH(TRIM(AA$13), INDIRECT($AF$8), 0))</f>
        <v>#REF!</v>
      </c>
      <c r="AB14" s="14" t="e">
        <f ca="1">V14+Y14+AA14</f>
        <v>#REF!</v>
      </c>
    </row>
    <row r="15" spans="1:32" ht="57" x14ac:dyDescent="0.2">
      <c r="A15" s="26">
        <v>1</v>
      </c>
      <c r="B15" s="27" t="s">
        <v>7</v>
      </c>
      <c r="C15" s="28" t="e">
        <f ca="1">INDEX(INDIRECT($P$6),
       MATCH(TRIM($B15), INDIRECT($P$7), 0),
       MATCH(TRIM(C$14), INDIRECT($P$8), 0))</f>
        <v>#REF!</v>
      </c>
      <c r="D15" s="28" t="e">
        <f ca="1">INDEX(INDIRECT($P$6),
       MATCH(TRIM($B15), INDIRECT($P$7), 0),
       MATCH(TRIM(D$14), INDIRECT($P$8), 0))</f>
        <v>#REF!</v>
      </c>
      <c r="E15" s="28" t="e">
        <f ca="1">INDEX(INDIRECT($P$6),
       MATCH(TRIM($B15), INDIRECT($P$7), 0),
       MATCH(TRIM(E$14), INDIRECT($P$8), 0))</f>
        <v>#REF!</v>
      </c>
      <c r="F15" s="28" t="e">
        <f ca="1">INDEX(INDIRECT($P$6),
       MATCH(TRIM($B15), INDIRECT($P$7), 0),
       MATCH(TRIM(F$14), INDIRECT($P$8), 0))</f>
        <v>#REF!</v>
      </c>
      <c r="G15" s="28" t="e">
        <f ca="1">INDEX(INDIRECT($P$6),
       MATCH(TRIM($B15), INDIRECT($P$7), 0),
       MATCH(TRIM(G$14), INDIRECT($P$8), 0))</f>
        <v>#REF!</v>
      </c>
      <c r="H15" s="28" t="e">
        <f ca="1">INDEX(INDIRECT($P$6),
       MATCH(TRIM($B15), INDIRECT($P$7), 0),
       MATCH(TRIM(H$14), INDIRECT($P$8), 0))</f>
        <v>#REF!</v>
      </c>
      <c r="I15" s="28" t="e">
        <f ca="1">INDEX(INDIRECT($P$6),
       MATCH(TRIM($B15), INDIRECT($P$7), 0),
       MATCH(TRIM(I$14), INDIRECT($P$8), 0))</f>
        <v>#REF!</v>
      </c>
      <c r="J15" s="28" t="e">
        <f ca="1">INDEX(INDIRECT($P$6),
       MATCH(TRIM($B15), INDIRECT($P$7), 0),
       MATCH(TRIM(J$14), INDIRECT($P$8), 0))</f>
        <v>#REF!</v>
      </c>
      <c r="K15" s="28" t="e">
        <f ca="1">E15+H15+J15</f>
        <v>#REF!</v>
      </c>
      <c r="L15" s="46"/>
      <c r="M15" s="46"/>
      <c r="R15">
        <v>2</v>
      </c>
      <c r="S15" t="s">
        <v>37</v>
      </c>
      <c r="T15" s="14" t="e">
        <f ca="1">INDEX(INDIRECT($AF$6),
       MATCH(TRIM($S15), INDIRECT($AF$7), 0),
       MATCH(TRIM(T$13), INDIRECT($AF$8), 0))</f>
        <v>#REF!</v>
      </c>
      <c r="U15" s="14" t="e">
        <f ca="1">INDEX(INDIRECT($AF$6),
       MATCH(TRIM($S15), INDIRECT($AF$7), 0),
       MATCH(TRIM(U$13), INDIRECT($AF$8), 0))</f>
        <v>#REF!</v>
      </c>
      <c r="V15" s="14" t="e">
        <f ca="1">INDEX(INDIRECT($AF$6),
       MATCH(TRIM($S15), INDIRECT($AF$7), 0),
       MATCH(TRIM(V$13), INDIRECT($AF$8), 0))</f>
        <v>#REF!</v>
      </c>
      <c r="W15" s="14" t="e">
        <f ca="1">INDEX(INDIRECT($AF$6),
       MATCH(TRIM($S15), INDIRECT($AF$7), 0),
       MATCH(TRIM(W$13), INDIRECT($AF$8), 0))</f>
        <v>#REF!</v>
      </c>
      <c r="X15" s="14" t="e">
        <f ca="1">INDEX(INDIRECT($AF$6),
       MATCH(TRIM($S15), INDIRECT($AF$7), 0),
       MATCH(TRIM(X$13), INDIRECT($AF$8), 0))</f>
        <v>#REF!</v>
      </c>
      <c r="Y15" s="14" t="e">
        <f ca="1">INDEX(INDIRECT($AF$6),
       MATCH(TRIM($S15), INDIRECT($AF$7), 0),
       MATCH(TRIM(Y$13), INDIRECT($AF$8), 0))</f>
        <v>#REF!</v>
      </c>
      <c r="Z15" s="14" t="e">
        <f ca="1">INDEX(INDIRECT($AF$6),
       MATCH(TRIM($S15), INDIRECT($AF$7), 0),
       MATCH(TRIM(Z$13), INDIRECT($AF$8), 0))</f>
        <v>#REF!</v>
      </c>
      <c r="AA15" s="14" t="e">
        <f ca="1">INDEX(INDIRECT($AF$6),
       MATCH(TRIM($S15), INDIRECT($AF$7), 0),
       MATCH(TRIM(AA$13), INDIRECT($AF$8), 0))</f>
        <v>#REF!</v>
      </c>
      <c r="AB15" s="14" t="e">
        <f t="shared" ref="AB15:AB75" ca="1" si="0">V15+Y15+AA15</f>
        <v>#REF!</v>
      </c>
    </row>
    <row r="16" spans="1:32" ht="71" x14ac:dyDescent="0.2">
      <c r="A16" s="26">
        <v>2</v>
      </c>
      <c r="B16" s="27" t="s">
        <v>8</v>
      </c>
      <c r="C16" s="28" t="e">
        <f ca="1">INDEX(INDIRECT($P$6),
       MATCH(TRIM($B16), INDIRECT($P$7), 0),
       MATCH(TRIM(C$14), INDIRECT($P$8), 0))</f>
        <v>#REF!</v>
      </c>
      <c r="D16" s="28" t="e">
        <f ca="1">INDEX(INDIRECT($P$6),
       MATCH(TRIM($B16), INDIRECT($P$7), 0),
       MATCH(TRIM(D$14), INDIRECT($P$8), 0))</f>
        <v>#REF!</v>
      </c>
      <c r="E16" s="28" t="e">
        <f ca="1">INDEX(INDIRECT($P$6),
       MATCH(TRIM($B16), INDIRECT($P$7), 0),
       MATCH(TRIM(E$14), INDIRECT($P$8), 0))</f>
        <v>#REF!</v>
      </c>
      <c r="F16" s="28" t="e">
        <f ca="1">INDEX(INDIRECT($P$6),
       MATCH(TRIM($B16), INDIRECT($P$7), 0),
       MATCH(TRIM(F$14), INDIRECT($P$8), 0))</f>
        <v>#REF!</v>
      </c>
      <c r="G16" s="28" t="e">
        <f ca="1">INDEX(INDIRECT($P$6),
       MATCH(TRIM($B16), INDIRECT($P$7), 0),
       MATCH(TRIM(G$14), INDIRECT($P$8), 0))</f>
        <v>#REF!</v>
      </c>
      <c r="H16" s="28" t="e">
        <f ca="1">INDEX(INDIRECT($P$6),
       MATCH(TRIM($B16), INDIRECT($P$7), 0),
       MATCH(TRIM(H$14), INDIRECT($P$8), 0))</f>
        <v>#REF!</v>
      </c>
      <c r="I16" s="28" t="e">
        <f ca="1">INDEX(INDIRECT($P$6),
       MATCH(TRIM($B16), INDIRECT($P$7), 0),
       MATCH(TRIM(I$14), INDIRECT($P$8), 0))</f>
        <v>#REF!</v>
      </c>
      <c r="J16" s="28" t="e">
        <f ca="1">INDEX(INDIRECT($P$6),
       MATCH(TRIM($B16), INDIRECT($P$7), 0),
       MATCH(TRIM(J$14), INDIRECT($P$8), 0))</f>
        <v>#REF!</v>
      </c>
      <c r="K16" s="28" t="e">
        <f t="shared" ref="K16:K33" ca="1" si="1">E16+H16+J16</f>
        <v>#REF!</v>
      </c>
      <c r="L16" s="46"/>
      <c r="M16" s="46"/>
      <c r="R16">
        <v>3</v>
      </c>
      <c r="S16" t="s">
        <v>39</v>
      </c>
      <c r="T16" s="14" t="e">
        <f ca="1">INDEX(INDIRECT($AF$6),
       MATCH(TRIM($S16), INDIRECT($AF$7), 0),
       MATCH(TRIM(T$13), INDIRECT($AF$8), 0))</f>
        <v>#REF!</v>
      </c>
      <c r="U16" s="14" t="e">
        <f ca="1">INDEX(INDIRECT($AF$6),
       MATCH(TRIM($S16), INDIRECT($AF$7), 0),
       MATCH(TRIM(U$13), INDIRECT($AF$8), 0))</f>
        <v>#REF!</v>
      </c>
      <c r="V16" s="14" t="e">
        <f ca="1">INDEX(INDIRECT($AF$6),
       MATCH(TRIM($S16), INDIRECT($AF$7), 0),
       MATCH(TRIM(V$13), INDIRECT($AF$8), 0))</f>
        <v>#REF!</v>
      </c>
      <c r="W16" s="14" t="e">
        <f ca="1">INDEX(INDIRECT($AF$6),
       MATCH(TRIM($S16), INDIRECT($AF$7), 0),
       MATCH(TRIM(W$13), INDIRECT($AF$8), 0))</f>
        <v>#REF!</v>
      </c>
      <c r="X16" s="14" t="e">
        <f ca="1">INDEX(INDIRECT($AF$6),
       MATCH(TRIM($S16), INDIRECT($AF$7), 0),
       MATCH(TRIM(X$13), INDIRECT($AF$8), 0))</f>
        <v>#REF!</v>
      </c>
      <c r="Y16" s="14" t="e">
        <f ca="1">INDEX(INDIRECT($AF$6),
       MATCH(TRIM($S16), INDIRECT($AF$7), 0),
       MATCH(TRIM(Y$13), INDIRECT($AF$8), 0))</f>
        <v>#REF!</v>
      </c>
      <c r="Z16" s="14" t="e">
        <f ca="1">INDEX(INDIRECT($AF$6),
       MATCH(TRIM($S16), INDIRECT($AF$7), 0),
       MATCH(TRIM(Z$13), INDIRECT($AF$8), 0))</f>
        <v>#REF!</v>
      </c>
      <c r="AA16" s="14" t="e">
        <f ca="1">INDEX(INDIRECT($AF$6),
       MATCH(TRIM($S16), INDIRECT($AF$7), 0),
       MATCH(TRIM(AA$13), INDIRECT($AF$8), 0))</f>
        <v>#REF!</v>
      </c>
      <c r="AB16" s="14" t="e">
        <f t="shared" ca="1" si="0"/>
        <v>#REF!</v>
      </c>
    </row>
    <row r="17" spans="1:28" ht="57" x14ac:dyDescent="0.2">
      <c r="A17" s="26">
        <v>3</v>
      </c>
      <c r="B17" s="27" t="s">
        <v>9</v>
      </c>
      <c r="C17" s="28" t="e">
        <f ca="1">INDEX(INDIRECT($P$6),
       MATCH(TRIM($B17), INDIRECT($P$7), 0),
       MATCH(TRIM(C$14), INDIRECT($P$8), 0))</f>
        <v>#REF!</v>
      </c>
      <c r="D17" s="28" t="e">
        <f ca="1">INDEX(INDIRECT($P$6),
       MATCH(TRIM($B17), INDIRECT($P$7), 0),
       MATCH(TRIM(D$14), INDIRECT($P$8), 0))</f>
        <v>#REF!</v>
      </c>
      <c r="E17" s="28" t="e">
        <f ca="1">INDEX(INDIRECT($P$6),
       MATCH(TRIM($B17), INDIRECT($P$7), 0),
       MATCH(TRIM(E$14), INDIRECT($P$8), 0))</f>
        <v>#REF!</v>
      </c>
      <c r="F17" s="28" t="e">
        <f ca="1">INDEX(INDIRECT($P$6),
       MATCH(TRIM($B17), INDIRECT($P$7), 0),
       MATCH(TRIM(F$14), INDIRECT($P$8), 0))</f>
        <v>#REF!</v>
      </c>
      <c r="G17" s="28" t="e">
        <f ca="1">INDEX(INDIRECT($P$6),
       MATCH(TRIM($B17), INDIRECT($P$7), 0),
       MATCH(TRIM(G$14), INDIRECT($P$8), 0))</f>
        <v>#REF!</v>
      </c>
      <c r="H17" s="28" t="e">
        <f ca="1">INDEX(INDIRECT($P$6),
       MATCH(TRIM($B17), INDIRECT($P$7), 0),
       MATCH(TRIM(H$14), INDIRECT($P$8), 0))</f>
        <v>#REF!</v>
      </c>
      <c r="I17" s="28" t="e">
        <f ca="1">INDEX(INDIRECT($P$6),
       MATCH(TRIM($B17), INDIRECT($P$7), 0),
       MATCH(TRIM(I$14), INDIRECT($P$8), 0))</f>
        <v>#REF!</v>
      </c>
      <c r="J17" s="28" t="e">
        <f ca="1">INDEX(INDIRECT($P$6),
       MATCH(TRIM($B17), INDIRECT($P$7), 0),
       MATCH(TRIM(J$14), INDIRECT($P$8), 0))</f>
        <v>#REF!</v>
      </c>
      <c r="K17" s="28" t="e">
        <f t="shared" ca="1" si="1"/>
        <v>#REF!</v>
      </c>
      <c r="L17" s="46"/>
      <c r="M17" s="46"/>
      <c r="R17">
        <v>4</v>
      </c>
      <c r="S17" t="s">
        <v>41</v>
      </c>
      <c r="T17" s="14" t="e">
        <f ca="1">INDEX(INDIRECT($AF$6),
       MATCH(TRIM($S17), INDIRECT($AF$7), 0),
       MATCH(TRIM(T$13), INDIRECT($AF$8), 0))</f>
        <v>#REF!</v>
      </c>
      <c r="U17" s="14" t="e">
        <f ca="1">INDEX(INDIRECT($AF$6),
       MATCH(TRIM($S17), INDIRECT($AF$7), 0),
       MATCH(TRIM(U$13), INDIRECT($AF$8), 0))</f>
        <v>#REF!</v>
      </c>
      <c r="V17" s="14" t="e">
        <f ca="1">INDEX(INDIRECT($AF$6),
       MATCH(TRIM($S17), INDIRECT($AF$7), 0),
       MATCH(TRIM(V$13), INDIRECT($AF$8), 0))</f>
        <v>#REF!</v>
      </c>
      <c r="W17" s="14" t="e">
        <f ca="1">INDEX(INDIRECT($AF$6),
       MATCH(TRIM($S17), INDIRECT($AF$7), 0),
       MATCH(TRIM(W$13), INDIRECT($AF$8), 0))</f>
        <v>#REF!</v>
      </c>
      <c r="X17" s="14" t="e">
        <f ca="1">INDEX(INDIRECT($AF$6),
       MATCH(TRIM($S17), INDIRECT($AF$7), 0),
       MATCH(TRIM(X$13), INDIRECT($AF$8), 0))</f>
        <v>#REF!</v>
      </c>
      <c r="Y17" s="14" t="e">
        <f ca="1">INDEX(INDIRECT($AF$6),
       MATCH(TRIM($S17), INDIRECT($AF$7), 0),
       MATCH(TRIM(Y$13), INDIRECT($AF$8), 0))</f>
        <v>#REF!</v>
      </c>
      <c r="Z17" s="14" t="e">
        <f ca="1">INDEX(INDIRECT($AF$6),
       MATCH(TRIM($S17), INDIRECT($AF$7), 0),
       MATCH(TRIM(Z$13), INDIRECT($AF$8), 0))</f>
        <v>#REF!</v>
      </c>
      <c r="AA17" s="14" t="e">
        <f ca="1">INDEX(INDIRECT($AF$6),
       MATCH(TRIM($S17), INDIRECT($AF$7), 0),
       MATCH(TRIM(AA$13), INDIRECT($AF$8), 0))</f>
        <v>#REF!</v>
      </c>
      <c r="AB17" s="14" t="e">
        <f t="shared" ca="1" si="0"/>
        <v>#REF!</v>
      </c>
    </row>
    <row r="18" spans="1:28" x14ac:dyDescent="0.2">
      <c r="A18" s="26">
        <v>4</v>
      </c>
      <c r="B18" s="27" t="s">
        <v>10</v>
      </c>
      <c r="C18" s="28" t="e">
        <f ca="1">INDEX(INDIRECT($P$6),
       MATCH(TRIM($B18), INDIRECT($P$7), 0),
       MATCH(TRIM(C$14), INDIRECT($P$8), 0))</f>
        <v>#REF!</v>
      </c>
      <c r="D18" s="28" t="e">
        <f ca="1">INDEX(INDIRECT($P$6),
       MATCH(TRIM($B18), INDIRECT($P$7), 0),
       MATCH(TRIM(D$14), INDIRECT($P$8), 0))</f>
        <v>#REF!</v>
      </c>
      <c r="E18" s="28" t="e">
        <f ca="1">INDEX(INDIRECT($P$6),
       MATCH(TRIM($B18), INDIRECT($P$7), 0),
       MATCH(TRIM(E$14), INDIRECT($P$8), 0))</f>
        <v>#REF!</v>
      </c>
      <c r="F18" s="28" t="e">
        <f ca="1">INDEX(INDIRECT($P$6),
       MATCH(TRIM($B18), INDIRECT($P$7), 0),
       MATCH(TRIM(F$14), INDIRECT($P$8), 0))</f>
        <v>#REF!</v>
      </c>
      <c r="G18" s="28" t="e">
        <f ca="1">INDEX(INDIRECT($P$6),
       MATCH(TRIM($B18), INDIRECT($P$7), 0),
       MATCH(TRIM(G$14), INDIRECT($P$8), 0))</f>
        <v>#REF!</v>
      </c>
      <c r="H18" s="28" t="e">
        <f ca="1">INDEX(INDIRECT($P$6),
       MATCH(TRIM($B18), INDIRECT($P$7), 0),
       MATCH(TRIM(H$14), INDIRECT($P$8), 0))</f>
        <v>#REF!</v>
      </c>
      <c r="I18" s="28" t="e">
        <f ca="1">INDEX(INDIRECT($P$6),
       MATCH(TRIM($B18), INDIRECT($P$7), 0),
       MATCH(TRIM(I$14), INDIRECT($P$8), 0))</f>
        <v>#REF!</v>
      </c>
      <c r="J18" s="28" t="e">
        <f ca="1">INDEX(INDIRECT($P$6),
       MATCH(TRIM($B18), INDIRECT($P$7), 0),
       MATCH(TRIM(J$14), INDIRECT($P$8), 0))</f>
        <v>#REF!</v>
      </c>
      <c r="K18" s="28" t="e">
        <f t="shared" ca="1" si="1"/>
        <v>#REF!</v>
      </c>
      <c r="L18" s="46"/>
      <c r="M18" s="46"/>
      <c r="R18">
        <v>5</v>
      </c>
      <c r="S18" t="s">
        <v>38</v>
      </c>
      <c r="T18" s="14" t="e">
        <f ca="1">INDEX(INDIRECT($AF$6),
       MATCH(TRIM($S18), INDIRECT($AF$7), 0),
       MATCH(TRIM(T$13), INDIRECT($AF$8), 0))</f>
        <v>#REF!</v>
      </c>
      <c r="U18" s="14" t="e">
        <f ca="1">INDEX(INDIRECT($AF$6),
       MATCH(TRIM($S18), INDIRECT($AF$7), 0),
       MATCH(TRIM(U$13), INDIRECT($AF$8), 0))</f>
        <v>#REF!</v>
      </c>
      <c r="V18" s="14" t="e">
        <f ca="1">INDEX(INDIRECT($AF$6),
       MATCH(TRIM($S18), INDIRECT($AF$7), 0),
       MATCH(TRIM(V$13), INDIRECT($AF$8), 0))</f>
        <v>#REF!</v>
      </c>
      <c r="W18" s="14" t="e">
        <f ca="1">INDEX(INDIRECT($AF$6),
       MATCH(TRIM($S18), INDIRECT($AF$7), 0),
       MATCH(TRIM(W$13), INDIRECT($AF$8), 0))</f>
        <v>#REF!</v>
      </c>
      <c r="X18" s="14" t="e">
        <f ca="1">INDEX(INDIRECT($AF$6),
       MATCH(TRIM($S18), INDIRECT($AF$7), 0),
       MATCH(TRIM(X$13), INDIRECT($AF$8), 0))</f>
        <v>#REF!</v>
      </c>
      <c r="Y18" s="14" t="e">
        <f ca="1">INDEX(INDIRECT($AF$6),
       MATCH(TRIM($S18), INDIRECT($AF$7), 0),
       MATCH(TRIM(Y$13), INDIRECT($AF$8), 0))</f>
        <v>#REF!</v>
      </c>
      <c r="Z18" s="14" t="e">
        <f ca="1">INDEX(INDIRECT($AF$6),
       MATCH(TRIM($S18), INDIRECT($AF$7), 0),
       MATCH(TRIM(Z$13), INDIRECT($AF$8), 0))</f>
        <v>#REF!</v>
      </c>
      <c r="AA18" s="14" t="e">
        <f ca="1">INDEX(INDIRECT($AF$6),
       MATCH(TRIM($S18), INDIRECT($AF$7), 0),
       MATCH(TRIM(AA$13), INDIRECT($AF$8), 0))</f>
        <v>#REF!</v>
      </c>
      <c r="AB18" s="14" t="e">
        <f t="shared" ca="1" si="0"/>
        <v>#REF!</v>
      </c>
    </row>
    <row r="19" spans="1:28" ht="71" x14ac:dyDescent="0.2">
      <c r="A19" s="26">
        <v>5</v>
      </c>
      <c r="B19" s="27" t="s">
        <v>11</v>
      </c>
      <c r="C19" s="28" t="e">
        <f ca="1">INDEX(INDIRECT($P$6),
       MATCH(TRIM($B19), INDIRECT($P$7), 0),
       MATCH(TRIM(C$14), INDIRECT($P$8), 0))</f>
        <v>#REF!</v>
      </c>
      <c r="D19" s="28" t="e">
        <f ca="1">INDEX(INDIRECT($P$6),
       MATCH(TRIM($B19), INDIRECT($P$7), 0),
       MATCH(TRIM(D$14), INDIRECT($P$8), 0))</f>
        <v>#REF!</v>
      </c>
      <c r="E19" s="28" t="e">
        <f ca="1">INDEX(INDIRECT($P$6),
       MATCH(TRIM($B19), INDIRECT($P$7), 0),
       MATCH(TRIM(E$14), INDIRECT($P$8), 0))</f>
        <v>#REF!</v>
      </c>
      <c r="F19" s="28" t="e">
        <f ca="1">INDEX(INDIRECT($P$6),
       MATCH(TRIM($B19), INDIRECT($P$7), 0),
       MATCH(TRIM(F$14), INDIRECT($P$8), 0))</f>
        <v>#REF!</v>
      </c>
      <c r="G19" s="28" t="e">
        <f ca="1">INDEX(INDIRECT($P$6),
       MATCH(TRIM($B19), INDIRECT($P$7), 0),
       MATCH(TRIM(G$14), INDIRECT($P$8), 0))</f>
        <v>#REF!</v>
      </c>
      <c r="H19" s="28" t="e">
        <f ca="1">INDEX(INDIRECT($P$6),
       MATCH(TRIM($B19), INDIRECT($P$7), 0),
       MATCH(TRIM(H$14), INDIRECT($P$8), 0))</f>
        <v>#REF!</v>
      </c>
      <c r="I19" s="28" t="e">
        <f ca="1">INDEX(INDIRECT($P$6),
       MATCH(TRIM($B19), INDIRECT($P$7), 0),
       MATCH(TRIM(I$14), INDIRECT($P$8), 0))</f>
        <v>#REF!</v>
      </c>
      <c r="J19" s="28" t="e">
        <f ca="1">INDEX(INDIRECT($P$6),
       MATCH(TRIM($B19), INDIRECT($P$7), 0),
       MATCH(TRIM(J$14), INDIRECT($P$8), 0))</f>
        <v>#REF!</v>
      </c>
      <c r="K19" s="28" t="e">
        <f t="shared" ca="1" si="1"/>
        <v>#REF!</v>
      </c>
      <c r="L19" s="46"/>
      <c r="M19" s="46"/>
      <c r="R19">
        <v>6</v>
      </c>
      <c r="S19" t="s">
        <v>43</v>
      </c>
      <c r="T19" s="14" t="e">
        <f ca="1">INDEX(INDIRECT($AF$6),
       MATCH(TRIM($S19), INDIRECT($AF$7), 0),
       MATCH(TRIM(T$13), INDIRECT($AF$8), 0))</f>
        <v>#REF!</v>
      </c>
      <c r="U19" s="14" t="e">
        <f ca="1">INDEX(INDIRECT($AF$6),
       MATCH(TRIM($S19), INDIRECT($AF$7), 0),
       MATCH(TRIM(U$13), INDIRECT($AF$8), 0))</f>
        <v>#REF!</v>
      </c>
      <c r="V19" s="14" t="e">
        <f ca="1">INDEX(INDIRECT($AF$6),
       MATCH(TRIM($S19), INDIRECT($AF$7), 0),
       MATCH(TRIM(V$13), INDIRECT($AF$8), 0))</f>
        <v>#REF!</v>
      </c>
      <c r="W19" s="14" t="e">
        <f ca="1">INDEX(INDIRECT($AF$6),
       MATCH(TRIM($S19), INDIRECT($AF$7), 0),
       MATCH(TRIM(W$13), INDIRECT($AF$8), 0))</f>
        <v>#REF!</v>
      </c>
      <c r="X19" s="14" t="e">
        <f ca="1">INDEX(INDIRECT($AF$6),
       MATCH(TRIM($S19), INDIRECT($AF$7), 0),
       MATCH(TRIM(X$13), INDIRECT($AF$8), 0))</f>
        <v>#REF!</v>
      </c>
      <c r="Y19" s="14" t="e">
        <f ca="1">INDEX(INDIRECT($AF$6),
       MATCH(TRIM($S19), INDIRECT($AF$7), 0),
       MATCH(TRIM(Y$13), INDIRECT($AF$8), 0))</f>
        <v>#REF!</v>
      </c>
      <c r="Z19" s="14" t="e">
        <f ca="1">INDEX(INDIRECT($AF$6),
       MATCH(TRIM($S19), INDIRECT($AF$7), 0),
       MATCH(TRIM(Z$13), INDIRECT($AF$8), 0))</f>
        <v>#REF!</v>
      </c>
      <c r="AA19" s="14" t="e">
        <f ca="1">INDEX(INDIRECT($AF$6),
       MATCH(TRIM($S19), INDIRECT($AF$7), 0),
       MATCH(TRIM(AA$13), INDIRECT($AF$8), 0))</f>
        <v>#REF!</v>
      </c>
      <c r="AB19" s="14" t="e">
        <f t="shared" ca="1" si="0"/>
        <v>#REF!</v>
      </c>
    </row>
    <row r="20" spans="1:28" ht="57" x14ac:dyDescent="0.2">
      <c r="A20" s="26">
        <v>6</v>
      </c>
      <c r="B20" s="27" t="s">
        <v>12</v>
      </c>
      <c r="C20" s="28" t="e">
        <f ca="1">INDEX(INDIRECT($P$6),
       MATCH(TRIM($B20), INDIRECT($P$7), 0),
       MATCH(TRIM(C$14), INDIRECT($P$8), 0))</f>
        <v>#REF!</v>
      </c>
      <c r="D20" s="28" t="e">
        <f ca="1">INDEX(INDIRECT($P$6),
       MATCH(TRIM($B20), INDIRECT($P$7), 0),
       MATCH(TRIM(D$14), INDIRECT($P$8), 0))</f>
        <v>#REF!</v>
      </c>
      <c r="E20" s="28" t="e">
        <f ca="1">INDEX(INDIRECT($P$6),
       MATCH(TRIM($B20), INDIRECT($P$7), 0),
       MATCH(TRIM(E$14), INDIRECT($P$8), 0))</f>
        <v>#REF!</v>
      </c>
      <c r="F20" s="28" t="e">
        <f ca="1">INDEX(INDIRECT($P$6),
       MATCH(TRIM($B20), INDIRECT($P$7), 0),
       MATCH(TRIM(F$14), INDIRECT($P$8), 0))</f>
        <v>#REF!</v>
      </c>
      <c r="G20" s="28" t="e">
        <f ca="1">INDEX(INDIRECT($P$6),
       MATCH(TRIM($B20), INDIRECT($P$7), 0),
       MATCH(TRIM(G$14), INDIRECT($P$8), 0))</f>
        <v>#REF!</v>
      </c>
      <c r="H20" s="28" t="e">
        <f ca="1">INDEX(INDIRECT($P$6),
       MATCH(TRIM($B20), INDIRECT($P$7), 0),
       MATCH(TRIM(H$14), INDIRECT($P$8), 0))</f>
        <v>#REF!</v>
      </c>
      <c r="I20" s="28" t="e">
        <f ca="1">INDEX(INDIRECT($P$6),
       MATCH(TRIM($B20), INDIRECT($P$7), 0),
       MATCH(TRIM(I$14), INDIRECT($P$8), 0))</f>
        <v>#REF!</v>
      </c>
      <c r="J20" s="28" t="e">
        <f ca="1">INDEX(INDIRECT($P$6),
       MATCH(TRIM($B20), INDIRECT($P$7), 0),
       MATCH(TRIM(J$14), INDIRECT($P$8), 0))</f>
        <v>#REF!</v>
      </c>
      <c r="K20" s="28" t="e">
        <f t="shared" ca="1" si="1"/>
        <v>#REF!</v>
      </c>
      <c r="L20" s="46"/>
      <c r="M20" s="46"/>
      <c r="R20">
        <v>7</v>
      </c>
      <c r="S20" t="s">
        <v>46</v>
      </c>
      <c r="T20" s="14" t="e">
        <f ca="1">INDEX(INDIRECT($AF$6),
       MATCH(TRIM($S20), INDIRECT($AF$7), 0),
       MATCH(TRIM(T$13), INDIRECT($AF$8), 0))</f>
        <v>#REF!</v>
      </c>
      <c r="U20" s="14" t="e">
        <f ca="1">INDEX(INDIRECT($AF$6),
       MATCH(TRIM($S20), INDIRECT($AF$7), 0),
       MATCH(TRIM(U$13), INDIRECT($AF$8), 0))</f>
        <v>#REF!</v>
      </c>
      <c r="V20" s="14" t="e">
        <f ca="1">INDEX(INDIRECT($AF$6),
       MATCH(TRIM($S20), INDIRECT($AF$7), 0),
       MATCH(TRIM(V$13), INDIRECT($AF$8), 0))</f>
        <v>#REF!</v>
      </c>
      <c r="W20" s="14" t="e">
        <f ca="1">INDEX(INDIRECT($AF$6),
       MATCH(TRIM($S20), INDIRECT($AF$7), 0),
       MATCH(TRIM(W$13), INDIRECT($AF$8), 0))</f>
        <v>#REF!</v>
      </c>
      <c r="X20" s="14" t="e">
        <f ca="1">INDEX(INDIRECT($AF$6),
       MATCH(TRIM($S20), INDIRECT($AF$7), 0),
       MATCH(TRIM(X$13), INDIRECT($AF$8), 0))</f>
        <v>#REF!</v>
      </c>
      <c r="Y20" s="14" t="e">
        <f ca="1">INDEX(INDIRECT($AF$6),
       MATCH(TRIM($S20), INDIRECT($AF$7), 0),
       MATCH(TRIM(Y$13), INDIRECT($AF$8), 0))</f>
        <v>#REF!</v>
      </c>
      <c r="Z20" s="14" t="e">
        <f ca="1">INDEX(INDIRECT($AF$6),
       MATCH(TRIM($S20), INDIRECT($AF$7), 0),
       MATCH(TRIM(Z$13), INDIRECT($AF$8), 0))</f>
        <v>#REF!</v>
      </c>
      <c r="AA20" s="14" t="e">
        <f ca="1">INDEX(INDIRECT($AF$6),
       MATCH(TRIM($S20), INDIRECT($AF$7), 0),
       MATCH(TRIM(AA$13), INDIRECT($AF$8), 0))</f>
        <v>#REF!</v>
      </c>
      <c r="AB20" s="14" t="e">
        <f t="shared" ca="1" si="0"/>
        <v>#REF!</v>
      </c>
    </row>
    <row r="21" spans="1:28" ht="71" x14ac:dyDescent="0.2">
      <c r="A21" s="26">
        <v>7</v>
      </c>
      <c r="B21" s="27" t="s">
        <v>13</v>
      </c>
      <c r="C21" s="28" t="e">
        <f ca="1">INDEX(INDIRECT($P$6),
       MATCH(TRIM($B21), INDIRECT($P$7), 0),
       MATCH(TRIM(C$14), INDIRECT($P$8), 0))</f>
        <v>#REF!</v>
      </c>
      <c r="D21" s="28" t="e">
        <f ca="1">INDEX(INDIRECT($P$6),
       MATCH(TRIM($B21), INDIRECT($P$7), 0),
       MATCH(TRIM(D$14), INDIRECT($P$8), 0))</f>
        <v>#REF!</v>
      </c>
      <c r="E21" s="28" t="e">
        <f ca="1">INDEX(INDIRECT($P$6),
       MATCH(TRIM($B21), INDIRECT($P$7), 0),
       MATCH(TRIM(E$14), INDIRECT($P$8), 0))</f>
        <v>#REF!</v>
      </c>
      <c r="F21" s="28" t="e">
        <f ca="1">INDEX(INDIRECT($P$6),
       MATCH(TRIM($B21), INDIRECT($P$7), 0),
       MATCH(TRIM(F$14), INDIRECT($P$8), 0))</f>
        <v>#REF!</v>
      </c>
      <c r="G21" s="28" t="e">
        <f ca="1">INDEX(INDIRECT($P$6),
       MATCH(TRIM($B21), INDIRECT($P$7), 0),
       MATCH(TRIM(G$14), INDIRECT($P$8), 0))</f>
        <v>#REF!</v>
      </c>
      <c r="H21" s="28" t="e">
        <f ca="1">INDEX(INDIRECT($P$6),
       MATCH(TRIM($B21), INDIRECT($P$7), 0),
       MATCH(TRIM(H$14), INDIRECT($P$8), 0))</f>
        <v>#REF!</v>
      </c>
      <c r="I21" s="28" t="e">
        <f ca="1">INDEX(INDIRECT($P$6),
       MATCH(TRIM($B21), INDIRECT($P$7), 0),
       MATCH(TRIM(I$14), INDIRECT($P$8), 0))</f>
        <v>#REF!</v>
      </c>
      <c r="J21" s="28" t="e">
        <f ca="1">INDEX(INDIRECT($P$6),
       MATCH(TRIM($B21), INDIRECT($P$7), 0),
       MATCH(TRIM(J$14), INDIRECT($P$8), 0))</f>
        <v>#REF!</v>
      </c>
      <c r="K21" s="28" t="e">
        <f t="shared" ca="1" si="1"/>
        <v>#REF!</v>
      </c>
      <c r="L21" s="46"/>
      <c r="M21" s="46"/>
      <c r="R21">
        <v>8</v>
      </c>
      <c r="S21" t="s">
        <v>47</v>
      </c>
      <c r="T21" s="14" t="e">
        <f ca="1">INDEX(INDIRECT($AF$6),
       MATCH(TRIM($S21), INDIRECT($AF$7), 0),
       MATCH(TRIM(T$13), INDIRECT($AF$8), 0))</f>
        <v>#REF!</v>
      </c>
      <c r="U21" s="14" t="e">
        <f ca="1">INDEX(INDIRECT($AF$6),
       MATCH(TRIM($S21), INDIRECT($AF$7), 0),
       MATCH(TRIM(U$13), INDIRECT($AF$8), 0))</f>
        <v>#REF!</v>
      </c>
      <c r="V21" s="14" t="e">
        <f ca="1">INDEX(INDIRECT($AF$6),
       MATCH(TRIM($S21), INDIRECT($AF$7), 0),
       MATCH(TRIM(V$13), INDIRECT($AF$8), 0))</f>
        <v>#REF!</v>
      </c>
      <c r="W21" s="14" t="e">
        <f ca="1">INDEX(INDIRECT($AF$6),
       MATCH(TRIM($S21), INDIRECT($AF$7), 0),
       MATCH(TRIM(W$13), INDIRECT($AF$8), 0))</f>
        <v>#REF!</v>
      </c>
      <c r="X21" s="14" t="e">
        <f ca="1">INDEX(INDIRECT($AF$6),
       MATCH(TRIM($S21), INDIRECT($AF$7), 0),
       MATCH(TRIM(X$13), INDIRECT($AF$8), 0))</f>
        <v>#REF!</v>
      </c>
      <c r="Y21" s="14" t="e">
        <f ca="1">INDEX(INDIRECT($AF$6),
       MATCH(TRIM($S21), INDIRECT($AF$7), 0),
       MATCH(TRIM(Y$13), INDIRECT($AF$8), 0))</f>
        <v>#REF!</v>
      </c>
      <c r="Z21" s="14" t="e">
        <f ca="1">INDEX(INDIRECT($AF$6),
       MATCH(TRIM($S21), INDIRECT($AF$7), 0),
       MATCH(TRIM(Z$13), INDIRECT($AF$8), 0))</f>
        <v>#REF!</v>
      </c>
      <c r="AA21" s="14" t="e">
        <f ca="1">INDEX(INDIRECT($AF$6),
       MATCH(TRIM($S21), INDIRECT($AF$7), 0),
       MATCH(TRIM(AA$13), INDIRECT($AF$8), 0))</f>
        <v>#REF!</v>
      </c>
      <c r="AB21" s="14" t="e">
        <f t="shared" ca="1" si="0"/>
        <v>#REF!</v>
      </c>
    </row>
    <row r="22" spans="1:28" ht="29" x14ac:dyDescent="0.2">
      <c r="A22" s="26">
        <v>8</v>
      </c>
      <c r="B22" s="27" t="s">
        <v>14</v>
      </c>
      <c r="C22" s="28" t="e">
        <f ca="1">INDEX(INDIRECT($P$6),
       MATCH(TRIM($B22), INDIRECT($P$7), 0),
       MATCH(TRIM(C$14), INDIRECT($P$8), 0))</f>
        <v>#REF!</v>
      </c>
      <c r="D22" s="28" t="e">
        <f ca="1">INDEX(INDIRECT($P$6),
       MATCH(TRIM($B22), INDIRECT($P$7), 0),
       MATCH(TRIM(D$14), INDIRECT($P$8), 0))</f>
        <v>#REF!</v>
      </c>
      <c r="E22" s="28" t="e">
        <f ca="1">INDEX(INDIRECT($P$6),
       MATCH(TRIM($B22), INDIRECT($P$7), 0),
       MATCH(TRIM(E$14), INDIRECT($P$8), 0))</f>
        <v>#REF!</v>
      </c>
      <c r="F22" s="28" t="e">
        <f ca="1">INDEX(INDIRECT($P$6),
       MATCH(TRIM($B22), INDIRECT($P$7), 0),
       MATCH(TRIM(F$14), INDIRECT($P$8), 0))</f>
        <v>#REF!</v>
      </c>
      <c r="G22" s="28" t="e">
        <f ca="1">INDEX(INDIRECT($P$6),
       MATCH(TRIM($B22), INDIRECT($P$7), 0),
       MATCH(TRIM(G$14), INDIRECT($P$8), 0))</f>
        <v>#REF!</v>
      </c>
      <c r="H22" s="28" t="e">
        <f ca="1">INDEX(INDIRECT($P$6),
       MATCH(TRIM($B22), INDIRECT($P$7), 0),
       MATCH(TRIM(H$14), INDIRECT($P$8), 0))</f>
        <v>#REF!</v>
      </c>
      <c r="I22" s="28" t="e">
        <f ca="1">INDEX(INDIRECT($P$6),
       MATCH(TRIM($B22), INDIRECT($P$7), 0),
       MATCH(TRIM(I$14), INDIRECT($P$8), 0))</f>
        <v>#REF!</v>
      </c>
      <c r="J22" s="28" t="e">
        <f ca="1">INDEX(INDIRECT($P$6),
       MATCH(TRIM($B22), INDIRECT($P$7), 0),
       MATCH(TRIM(J$14), INDIRECT($P$8), 0))</f>
        <v>#REF!</v>
      </c>
      <c r="K22" s="28" t="e">
        <f t="shared" ca="1" si="1"/>
        <v>#REF!</v>
      </c>
      <c r="L22" s="46"/>
      <c r="M22" s="46"/>
      <c r="R22">
        <v>9</v>
      </c>
      <c r="S22" t="s">
        <v>44</v>
      </c>
      <c r="T22" s="14" t="e">
        <f ca="1">INDEX(INDIRECT($AF$6),
       MATCH(TRIM($S22), INDIRECT($AF$7), 0),
       MATCH(TRIM(T$13), INDIRECT($AF$8), 0))</f>
        <v>#REF!</v>
      </c>
      <c r="U22" s="14" t="e">
        <f ca="1">INDEX(INDIRECT($AF$6),
       MATCH(TRIM($S22), INDIRECT($AF$7), 0),
       MATCH(TRIM(U$13), INDIRECT($AF$8), 0))</f>
        <v>#REF!</v>
      </c>
      <c r="V22" s="14" t="e">
        <f ca="1">INDEX(INDIRECT($AF$6),
       MATCH(TRIM($S22), INDIRECT($AF$7), 0),
       MATCH(TRIM(V$13), INDIRECT($AF$8), 0))</f>
        <v>#REF!</v>
      </c>
      <c r="W22" s="14" t="e">
        <f ca="1">INDEX(INDIRECT($AF$6),
       MATCH(TRIM($S22), INDIRECT($AF$7), 0),
       MATCH(TRIM(W$13), INDIRECT($AF$8), 0))</f>
        <v>#REF!</v>
      </c>
      <c r="X22" s="14" t="e">
        <f ca="1">INDEX(INDIRECT($AF$6),
       MATCH(TRIM($S22), INDIRECT($AF$7), 0),
       MATCH(TRIM(X$13), INDIRECT($AF$8), 0))</f>
        <v>#REF!</v>
      </c>
      <c r="Y22" s="14" t="e">
        <f ca="1">INDEX(INDIRECT($AF$6),
       MATCH(TRIM($S22), INDIRECT($AF$7), 0),
       MATCH(TRIM(Y$13), INDIRECT($AF$8), 0))</f>
        <v>#REF!</v>
      </c>
      <c r="Z22" s="14" t="e">
        <f ca="1">INDEX(INDIRECT($AF$6),
       MATCH(TRIM($S22), INDIRECT($AF$7), 0),
       MATCH(TRIM(Z$13), INDIRECT($AF$8), 0))</f>
        <v>#REF!</v>
      </c>
      <c r="AA22" s="14" t="e">
        <f ca="1">INDEX(INDIRECT($AF$6),
       MATCH(TRIM($S22), INDIRECT($AF$7), 0),
       MATCH(TRIM(AA$13), INDIRECT($AF$8), 0))</f>
        <v>#REF!</v>
      </c>
      <c r="AB22" s="14" t="e">
        <f t="shared" ca="1" si="0"/>
        <v>#REF!</v>
      </c>
    </row>
    <row r="23" spans="1:28" ht="43" x14ac:dyDescent="0.2">
      <c r="A23" s="26">
        <v>9</v>
      </c>
      <c r="B23" s="27" t="s">
        <v>15</v>
      </c>
      <c r="C23" s="28" t="e">
        <f ca="1">INDEX(INDIRECT($P$6),
       MATCH(TRIM($B23), INDIRECT($P$7), 0),
       MATCH(TRIM(C$14), INDIRECT($P$8), 0))</f>
        <v>#REF!</v>
      </c>
      <c r="D23" s="28" t="e">
        <f ca="1">INDEX(INDIRECT($P$6),
       MATCH(TRIM($B23), INDIRECT($P$7), 0),
       MATCH(TRIM(D$14), INDIRECT($P$8), 0))</f>
        <v>#REF!</v>
      </c>
      <c r="E23" s="28" t="e">
        <f ca="1">INDEX(INDIRECT($P$6),
       MATCH(TRIM($B23), INDIRECT($P$7), 0),
       MATCH(TRIM(E$14), INDIRECT($P$8), 0))</f>
        <v>#REF!</v>
      </c>
      <c r="F23" s="28" t="e">
        <f ca="1">INDEX(INDIRECT($P$6),
       MATCH(TRIM($B23), INDIRECT($P$7), 0),
       MATCH(TRIM(F$14), INDIRECT($P$8), 0))</f>
        <v>#REF!</v>
      </c>
      <c r="G23" s="28" t="e">
        <f ca="1">INDEX(INDIRECT($P$6),
       MATCH(TRIM($B23), INDIRECT($P$7), 0),
       MATCH(TRIM(G$14), INDIRECT($P$8), 0))</f>
        <v>#REF!</v>
      </c>
      <c r="H23" s="28" t="e">
        <f ca="1">INDEX(INDIRECT($P$6),
       MATCH(TRIM($B23), INDIRECT($P$7), 0),
       MATCH(TRIM(H$14), INDIRECT($P$8), 0))</f>
        <v>#REF!</v>
      </c>
      <c r="I23" s="28" t="e">
        <f ca="1">INDEX(INDIRECT($P$6),
       MATCH(TRIM($B23), INDIRECT($P$7), 0),
       MATCH(TRIM(I$14), INDIRECT($P$8), 0))</f>
        <v>#REF!</v>
      </c>
      <c r="J23" s="28" t="e">
        <f ca="1">INDEX(INDIRECT($P$6),
       MATCH(TRIM($B23), INDIRECT($P$7), 0),
       MATCH(TRIM(J$14), INDIRECT($P$8), 0))</f>
        <v>#REF!</v>
      </c>
      <c r="K23" s="28" t="e">
        <f t="shared" ca="1" si="1"/>
        <v>#REF!</v>
      </c>
      <c r="L23" s="46"/>
      <c r="M23" s="46"/>
      <c r="R23">
        <v>10</v>
      </c>
      <c r="S23" t="s">
        <v>51</v>
      </c>
      <c r="T23" s="14" t="e">
        <f ca="1">INDEX(INDIRECT($AF$6),
       MATCH(TRIM($S23), INDIRECT($AF$7), 0),
       MATCH(TRIM(T$13), INDIRECT($AF$8), 0))</f>
        <v>#REF!</v>
      </c>
      <c r="U23" s="14" t="e">
        <f ca="1">INDEX(INDIRECT($AF$6),
       MATCH(TRIM($S23), INDIRECT($AF$7), 0),
       MATCH(TRIM(U$13), INDIRECT($AF$8), 0))</f>
        <v>#REF!</v>
      </c>
      <c r="V23" s="14" t="e">
        <f ca="1">INDEX(INDIRECT($AF$6),
       MATCH(TRIM($S23), INDIRECT($AF$7), 0),
       MATCH(TRIM(V$13), INDIRECT($AF$8), 0))</f>
        <v>#REF!</v>
      </c>
      <c r="W23" s="14" t="e">
        <f ca="1">INDEX(INDIRECT($AF$6),
       MATCH(TRIM($S23), INDIRECT($AF$7), 0),
       MATCH(TRIM(W$13), INDIRECT($AF$8), 0))</f>
        <v>#REF!</v>
      </c>
      <c r="X23" s="14" t="e">
        <f ca="1">INDEX(INDIRECT($AF$6),
       MATCH(TRIM($S23), INDIRECT($AF$7), 0),
       MATCH(TRIM(X$13), INDIRECT($AF$8), 0))</f>
        <v>#REF!</v>
      </c>
      <c r="Y23" s="14" t="e">
        <f ca="1">INDEX(INDIRECT($AF$6),
       MATCH(TRIM($S23), INDIRECT($AF$7), 0),
       MATCH(TRIM(Y$13), INDIRECT($AF$8), 0))</f>
        <v>#REF!</v>
      </c>
      <c r="Z23" s="14" t="e">
        <f ca="1">INDEX(INDIRECT($AF$6),
       MATCH(TRIM($S23), INDIRECT($AF$7), 0),
       MATCH(TRIM(Z$13), INDIRECT($AF$8), 0))</f>
        <v>#REF!</v>
      </c>
      <c r="AA23" s="14" t="e">
        <f ca="1">INDEX(INDIRECT($AF$6),
       MATCH(TRIM($S23), INDIRECT($AF$7), 0),
       MATCH(TRIM(AA$13), INDIRECT($AF$8), 0))</f>
        <v>#REF!</v>
      </c>
      <c r="AB23" s="14" t="e">
        <f t="shared" ca="1" si="0"/>
        <v>#REF!</v>
      </c>
    </row>
    <row r="24" spans="1:28" ht="43" x14ac:dyDescent="0.2">
      <c r="A24" s="26">
        <v>10</v>
      </c>
      <c r="B24" s="27" t="s">
        <v>16</v>
      </c>
      <c r="C24" s="28" t="e">
        <f ca="1">INDEX(INDIRECT($P$6),
       MATCH(TRIM($B24), INDIRECT($P$7), 0),
       MATCH(TRIM(C$14), INDIRECT($P$8), 0))</f>
        <v>#REF!</v>
      </c>
      <c r="D24" s="28" t="e">
        <f ca="1">INDEX(INDIRECT($P$6),
       MATCH(TRIM($B24), INDIRECT($P$7), 0),
       MATCH(TRIM(D$14), INDIRECT($P$8), 0))</f>
        <v>#REF!</v>
      </c>
      <c r="E24" s="28" t="e">
        <f ca="1">INDEX(INDIRECT($P$6),
       MATCH(TRIM($B24), INDIRECT($P$7), 0),
       MATCH(TRIM(E$14), INDIRECT($P$8), 0))</f>
        <v>#REF!</v>
      </c>
      <c r="F24" s="28" t="e">
        <f ca="1">INDEX(INDIRECT($P$6),
       MATCH(TRIM($B24), INDIRECT($P$7), 0),
       MATCH(TRIM(F$14), INDIRECT($P$8), 0))</f>
        <v>#REF!</v>
      </c>
      <c r="G24" s="28" t="e">
        <f ca="1">INDEX(INDIRECT($P$6),
       MATCH(TRIM($B24), INDIRECT($P$7), 0),
       MATCH(TRIM(G$14), INDIRECT($P$8), 0))</f>
        <v>#REF!</v>
      </c>
      <c r="H24" s="28" t="e">
        <f ca="1">INDEX(INDIRECT($P$6),
       MATCH(TRIM($B24), INDIRECT($P$7), 0),
       MATCH(TRIM(H$14), INDIRECT($P$8), 0))</f>
        <v>#REF!</v>
      </c>
      <c r="I24" s="28" t="e">
        <f ca="1">INDEX(INDIRECT($P$6),
       MATCH(TRIM($B24), INDIRECT($P$7), 0),
       MATCH(TRIM(I$14), INDIRECT($P$8), 0))</f>
        <v>#REF!</v>
      </c>
      <c r="J24" s="28" t="e">
        <f ca="1">INDEX(INDIRECT($P$6),
       MATCH(TRIM($B24), INDIRECT($P$7), 0),
       MATCH(TRIM(J$14), INDIRECT($P$8), 0))</f>
        <v>#REF!</v>
      </c>
      <c r="K24" s="28" t="e">
        <f t="shared" ca="1" si="1"/>
        <v>#REF!</v>
      </c>
      <c r="L24" s="46"/>
      <c r="M24" s="46"/>
      <c r="R24">
        <v>11</v>
      </c>
      <c r="S24" t="s">
        <v>45</v>
      </c>
      <c r="T24" s="14" t="e">
        <f ca="1">INDEX(INDIRECT($AF$6),
       MATCH(TRIM($S24), INDIRECT($AF$7), 0),
       MATCH(TRIM(T$13), INDIRECT($AF$8), 0))</f>
        <v>#REF!</v>
      </c>
      <c r="U24" s="14" t="e">
        <f ca="1">INDEX(INDIRECT($AF$6),
       MATCH(TRIM($S24), INDIRECT($AF$7), 0),
       MATCH(TRIM(U$13), INDIRECT($AF$8), 0))</f>
        <v>#REF!</v>
      </c>
      <c r="V24" s="14" t="e">
        <f ca="1">INDEX(INDIRECT($AF$6),
       MATCH(TRIM($S24), INDIRECT($AF$7), 0),
       MATCH(TRIM(V$13), INDIRECT($AF$8), 0))</f>
        <v>#REF!</v>
      </c>
      <c r="W24" s="14" t="e">
        <f ca="1">INDEX(INDIRECT($AF$6),
       MATCH(TRIM($S24), INDIRECT($AF$7), 0),
       MATCH(TRIM(W$13), INDIRECT($AF$8), 0))</f>
        <v>#REF!</v>
      </c>
      <c r="X24" s="14" t="e">
        <f ca="1">INDEX(INDIRECT($AF$6),
       MATCH(TRIM($S24), INDIRECT($AF$7), 0),
       MATCH(TRIM(X$13), INDIRECT($AF$8), 0))</f>
        <v>#REF!</v>
      </c>
      <c r="Y24" s="14" t="e">
        <f ca="1">INDEX(INDIRECT($AF$6),
       MATCH(TRIM($S24), INDIRECT($AF$7), 0),
       MATCH(TRIM(Y$13), INDIRECT($AF$8), 0))</f>
        <v>#REF!</v>
      </c>
      <c r="Z24" s="14" t="e">
        <f ca="1">INDEX(INDIRECT($AF$6),
       MATCH(TRIM($S24), INDIRECT($AF$7), 0),
       MATCH(TRIM(Z$13), INDIRECT($AF$8), 0))</f>
        <v>#REF!</v>
      </c>
      <c r="AA24" s="14" t="e">
        <f ca="1">INDEX(INDIRECT($AF$6),
       MATCH(TRIM($S24), INDIRECT($AF$7), 0),
       MATCH(TRIM(AA$13), INDIRECT($AF$8), 0))</f>
        <v>#REF!</v>
      </c>
      <c r="AB24" s="14" t="e">
        <f t="shared" ca="1" si="0"/>
        <v>#REF!</v>
      </c>
    </row>
    <row r="25" spans="1:28" ht="57" x14ac:dyDescent="0.2">
      <c r="A25" s="26">
        <v>11</v>
      </c>
      <c r="B25" s="27" t="s">
        <v>17</v>
      </c>
      <c r="C25" s="28" t="e">
        <f ca="1">INDEX(INDIRECT($P$6),
       MATCH(TRIM($B25), INDIRECT($P$7), 0),
       MATCH(TRIM(C$14), INDIRECT($P$8), 0))</f>
        <v>#REF!</v>
      </c>
      <c r="D25" s="28" t="e">
        <f ca="1">INDEX(INDIRECT($P$6),
       MATCH(TRIM($B25), INDIRECT($P$7), 0),
       MATCH(TRIM(D$14), INDIRECT($P$8), 0))</f>
        <v>#REF!</v>
      </c>
      <c r="E25" s="28" t="e">
        <f ca="1">INDEX(INDIRECT($P$6),
       MATCH(TRIM($B25), INDIRECT($P$7), 0),
       MATCH(TRIM(E$14), INDIRECT($P$8), 0))</f>
        <v>#REF!</v>
      </c>
      <c r="F25" s="28" t="e">
        <f ca="1">INDEX(INDIRECT($P$6),
       MATCH(TRIM($B25), INDIRECT($P$7), 0),
       MATCH(TRIM(F$14), INDIRECT($P$8), 0))</f>
        <v>#REF!</v>
      </c>
      <c r="G25" s="28" t="e">
        <f ca="1">INDEX(INDIRECT($P$6),
       MATCH(TRIM($B25), INDIRECT($P$7), 0),
       MATCH(TRIM(G$14), INDIRECT($P$8), 0))</f>
        <v>#REF!</v>
      </c>
      <c r="H25" s="28" t="e">
        <f ca="1">INDEX(INDIRECT($P$6),
       MATCH(TRIM($B25), INDIRECT($P$7), 0),
       MATCH(TRIM(H$14), INDIRECT($P$8), 0))</f>
        <v>#REF!</v>
      </c>
      <c r="I25" s="28" t="e">
        <f ca="1">INDEX(INDIRECT($P$6),
       MATCH(TRIM($B25), INDIRECT($P$7), 0),
       MATCH(TRIM(I$14), INDIRECT($P$8), 0))</f>
        <v>#REF!</v>
      </c>
      <c r="J25" s="28" t="e">
        <f ca="1">INDEX(INDIRECT($P$6),
       MATCH(TRIM($B25), INDIRECT($P$7), 0),
       MATCH(TRIM(J$14), INDIRECT($P$8), 0))</f>
        <v>#REF!</v>
      </c>
      <c r="K25" s="28" t="e">
        <f t="shared" ca="1" si="1"/>
        <v>#REF!</v>
      </c>
      <c r="L25" s="46"/>
      <c r="M25" s="46"/>
      <c r="R25">
        <v>12</v>
      </c>
      <c r="S25" t="s">
        <v>49</v>
      </c>
      <c r="T25" s="14" t="e">
        <f ca="1">INDEX(INDIRECT($AF$6),
       MATCH(TRIM($S25), INDIRECT($AF$7), 0),
       MATCH(TRIM(T$13), INDIRECT($AF$8), 0))</f>
        <v>#REF!</v>
      </c>
      <c r="U25" s="14" t="e">
        <f ca="1">INDEX(INDIRECT($AF$6),
       MATCH(TRIM($S25), INDIRECT($AF$7), 0),
       MATCH(TRIM(U$13), INDIRECT($AF$8), 0))</f>
        <v>#REF!</v>
      </c>
      <c r="V25" s="14" t="e">
        <f ca="1">INDEX(INDIRECT($AF$6),
       MATCH(TRIM($S25), INDIRECT($AF$7), 0),
       MATCH(TRIM(V$13), INDIRECT($AF$8), 0))</f>
        <v>#REF!</v>
      </c>
      <c r="W25" s="14" t="e">
        <f ca="1">INDEX(INDIRECT($AF$6),
       MATCH(TRIM($S25), INDIRECT($AF$7), 0),
       MATCH(TRIM(W$13), INDIRECT($AF$8), 0))</f>
        <v>#REF!</v>
      </c>
      <c r="X25" s="14" t="e">
        <f ca="1">INDEX(INDIRECT($AF$6),
       MATCH(TRIM($S25), INDIRECT($AF$7), 0),
       MATCH(TRIM(X$13), INDIRECT($AF$8), 0))</f>
        <v>#REF!</v>
      </c>
      <c r="Y25" s="14" t="e">
        <f ca="1">INDEX(INDIRECT($AF$6),
       MATCH(TRIM($S25), INDIRECT($AF$7), 0),
       MATCH(TRIM(Y$13), INDIRECT($AF$8), 0))</f>
        <v>#REF!</v>
      </c>
      <c r="Z25" s="14" t="e">
        <f ca="1">INDEX(INDIRECT($AF$6),
       MATCH(TRIM($S25), INDIRECT($AF$7), 0),
       MATCH(TRIM(Z$13), INDIRECT($AF$8), 0))</f>
        <v>#REF!</v>
      </c>
      <c r="AA25" s="14" t="e">
        <f ca="1">INDEX(INDIRECT($AF$6),
       MATCH(TRIM($S25), INDIRECT($AF$7), 0),
       MATCH(TRIM(AA$13), INDIRECT($AF$8), 0))</f>
        <v>#REF!</v>
      </c>
      <c r="AB25" s="14" t="e">
        <f t="shared" ca="1" si="0"/>
        <v>#REF!</v>
      </c>
    </row>
    <row r="26" spans="1:28" ht="29" x14ac:dyDescent="0.2">
      <c r="A26" s="26">
        <v>12</v>
      </c>
      <c r="B26" s="27" t="s">
        <v>18</v>
      </c>
      <c r="C26" s="28" t="e">
        <f ca="1">INDEX(INDIRECT($P$6),
       MATCH(TRIM($B26), INDIRECT($P$7), 0),
       MATCH(TRIM(C$14), INDIRECT($P$8), 0))</f>
        <v>#REF!</v>
      </c>
      <c r="D26" s="28" t="e">
        <f ca="1">INDEX(INDIRECT($P$6),
       MATCH(TRIM($B26), INDIRECT($P$7), 0),
       MATCH(TRIM(D$14), INDIRECT($P$8), 0))</f>
        <v>#REF!</v>
      </c>
      <c r="E26" s="28" t="e">
        <f ca="1">INDEX(INDIRECT($P$6),
       MATCH(TRIM($B26), INDIRECT($P$7), 0),
       MATCH(TRIM(E$14), INDIRECT($P$8), 0))</f>
        <v>#REF!</v>
      </c>
      <c r="F26" s="28" t="e">
        <f ca="1">INDEX(INDIRECT($P$6),
       MATCH(TRIM($B26), INDIRECT($P$7), 0),
       MATCH(TRIM(F$14), INDIRECT($P$8), 0))</f>
        <v>#REF!</v>
      </c>
      <c r="G26" s="28" t="e">
        <f ca="1">INDEX(INDIRECT($P$6),
       MATCH(TRIM($B26), INDIRECT($P$7), 0),
       MATCH(TRIM(G$14), INDIRECT($P$8), 0))</f>
        <v>#REF!</v>
      </c>
      <c r="H26" s="28" t="e">
        <f ca="1">INDEX(INDIRECT($P$6),
       MATCH(TRIM($B26), INDIRECT($P$7), 0),
       MATCH(TRIM(H$14), INDIRECT($P$8), 0))</f>
        <v>#REF!</v>
      </c>
      <c r="I26" s="28" t="e">
        <f ca="1">INDEX(INDIRECT($P$6),
       MATCH(TRIM($B26), INDIRECT($P$7), 0),
       MATCH(TRIM(I$14), INDIRECT($P$8), 0))</f>
        <v>#REF!</v>
      </c>
      <c r="J26" s="28" t="e">
        <f ca="1">INDEX(INDIRECT($P$6),
       MATCH(TRIM($B26), INDIRECT($P$7), 0),
       MATCH(TRIM(J$14), INDIRECT($P$8), 0))</f>
        <v>#REF!</v>
      </c>
      <c r="K26" s="28" t="e">
        <f t="shared" ca="1" si="1"/>
        <v>#REF!</v>
      </c>
      <c r="L26" s="46"/>
      <c r="M26" s="46"/>
      <c r="R26">
        <v>13</v>
      </c>
      <c r="S26" t="s">
        <v>55</v>
      </c>
      <c r="T26" s="14" t="e">
        <f ca="1">INDEX(INDIRECT($AF$6),
       MATCH(TRIM($S26), INDIRECT($AF$7), 0),
       MATCH(TRIM(T$13), INDIRECT($AF$8), 0))</f>
        <v>#REF!</v>
      </c>
      <c r="U26" s="14" t="e">
        <f ca="1">INDEX(INDIRECT($AF$6),
       MATCH(TRIM($S26), INDIRECT($AF$7), 0),
       MATCH(TRIM(U$13), INDIRECT($AF$8), 0))</f>
        <v>#REF!</v>
      </c>
      <c r="V26" s="14" t="e">
        <f ca="1">INDEX(INDIRECT($AF$6),
       MATCH(TRIM($S26), INDIRECT($AF$7), 0),
       MATCH(TRIM(V$13), INDIRECT($AF$8), 0))</f>
        <v>#REF!</v>
      </c>
      <c r="W26" s="14" t="e">
        <f ca="1">INDEX(INDIRECT($AF$6),
       MATCH(TRIM($S26), INDIRECT($AF$7), 0),
       MATCH(TRIM(W$13), INDIRECT($AF$8), 0))</f>
        <v>#REF!</v>
      </c>
      <c r="X26" s="14" t="e">
        <f ca="1">INDEX(INDIRECT($AF$6),
       MATCH(TRIM($S26), INDIRECT($AF$7), 0),
       MATCH(TRIM(X$13), INDIRECT($AF$8), 0))</f>
        <v>#REF!</v>
      </c>
      <c r="Y26" s="14" t="e">
        <f ca="1">INDEX(INDIRECT($AF$6),
       MATCH(TRIM($S26), INDIRECT($AF$7), 0),
       MATCH(TRIM(Y$13), INDIRECT($AF$8), 0))</f>
        <v>#REF!</v>
      </c>
      <c r="Z26" s="14" t="e">
        <f ca="1">INDEX(INDIRECT($AF$6),
       MATCH(TRIM($S26), INDIRECT($AF$7), 0),
       MATCH(TRIM(Z$13), INDIRECT($AF$8), 0))</f>
        <v>#REF!</v>
      </c>
      <c r="AA26" s="14" t="e">
        <f ca="1">INDEX(INDIRECT($AF$6),
       MATCH(TRIM($S26), INDIRECT($AF$7), 0),
       MATCH(TRIM(AA$13), INDIRECT($AF$8), 0))</f>
        <v>#REF!</v>
      </c>
      <c r="AB26" s="14" t="e">
        <f t="shared" ca="1" si="0"/>
        <v>#REF!</v>
      </c>
    </row>
    <row r="27" spans="1:28" ht="29" x14ac:dyDescent="0.2">
      <c r="A27" s="26">
        <v>13</v>
      </c>
      <c r="B27" s="27" t="s">
        <v>19</v>
      </c>
      <c r="C27" s="28" t="e">
        <f ca="1">INDEX(INDIRECT($P$6),
       MATCH(TRIM($B27), INDIRECT($P$7), 0),
       MATCH(TRIM(C$14), INDIRECT($P$8), 0))</f>
        <v>#REF!</v>
      </c>
      <c r="D27" s="28" t="e">
        <f ca="1">INDEX(INDIRECT($P$6),
       MATCH(TRIM($B27), INDIRECT($P$7), 0),
       MATCH(TRIM(D$14), INDIRECT($P$8), 0))</f>
        <v>#REF!</v>
      </c>
      <c r="E27" s="28" t="e">
        <f ca="1">INDEX(INDIRECT($P$6),
       MATCH(TRIM($B27), INDIRECT($P$7), 0),
       MATCH(TRIM(E$14), INDIRECT($P$8), 0))</f>
        <v>#REF!</v>
      </c>
      <c r="F27" s="28" t="e">
        <f ca="1">INDEX(INDIRECT($P$6),
       MATCH(TRIM($B27), INDIRECT($P$7), 0),
       MATCH(TRIM(F$14), INDIRECT($P$8), 0))</f>
        <v>#REF!</v>
      </c>
      <c r="G27" s="28" t="e">
        <f ca="1">INDEX(INDIRECT($P$6),
       MATCH(TRIM($B27), INDIRECT($P$7), 0),
       MATCH(TRIM(G$14), INDIRECT($P$8), 0))</f>
        <v>#REF!</v>
      </c>
      <c r="H27" s="28" t="e">
        <f ca="1">INDEX(INDIRECT($P$6),
       MATCH(TRIM($B27), INDIRECT($P$7), 0),
       MATCH(TRIM(H$14), INDIRECT($P$8), 0))</f>
        <v>#REF!</v>
      </c>
      <c r="I27" s="28" t="e">
        <f ca="1">INDEX(INDIRECT($P$6),
       MATCH(TRIM($B27), INDIRECT($P$7), 0),
       MATCH(TRIM(I$14), INDIRECT($P$8), 0))</f>
        <v>#REF!</v>
      </c>
      <c r="J27" s="28" t="e">
        <f ca="1">INDEX(INDIRECT($P$6),
       MATCH(TRIM($B27), INDIRECT($P$7), 0),
       MATCH(TRIM(J$14), INDIRECT($P$8), 0))</f>
        <v>#REF!</v>
      </c>
      <c r="K27" s="28" t="e">
        <f t="shared" ca="1" si="1"/>
        <v>#REF!</v>
      </c>
      <c r="L27" s="46"/>
      <c r="M27" s="46"/>
      <c r="R27">
        <v>14</v>
      </c>
      <c r="S27" t="s">
        <v>50</v>
      </c>
      <c r="T27" s="14" t="e">
        <f ca="1">INDEX(INDIRECT($AF$6),
       MATCH(TRIM($S27), INDIRECT($AF$7), 0),
       MATCH(TRIM(T$13), INDIRECT($AF$8), 0))</f>
        <v>#REF!</v>
      </c>
      <c r="U27" s="14" t="e">
        <f ca="1">INDEX(INDIRECT($AF$6),
       MATCH(TRIM($S27), INDIRECT($AF$7), 0),
       MATCH(TRIM(U$13), INDIRECT($AF$8), 0))</f>
        <v>#REF!</v>
      </c>
      <c r="V27" s="14" t="e">
        <f ca="1">INDEX(INDIRECT($AF$6),
       MATCH(TRIM($S27), INDIRECT($AF$7), 0),
       MATCH(TRIM(V$13), INDIRECT($AF$8), 0))</f>
        <v>#REF!</v>
      </c>
      <c r="W27" s="14" t="e">
        <f ca="1">INDEX(INDIRECT($AF$6),
       MATCH(TRIM($S27), INDIRECT($AF$7), 0),
       MATCH(TRIM(W$13), INDIRECT($AF$8), 0))</f>
        <v>#REF!</v>
      </c>
      <c r="X27" s="14" t="e">
        <f ca="1">INDEX(INDIRECT($AF$6),
       MATCH(TRIM($S27), INDIRECT($AF$7), 0),
       MATCH(TRIM(X$13), INDIRECT($AF$8), 0))</f>
        <v>#REF!</v>
      </c>
      <c r="Y27" s="14" t="e">
        <f ca="1">INDEX(INDIRECT($AF$6),
       MATCH(TRIM($S27), INDIRECT($AF$7), 0),
       MATCH(TRIM(Y$13), INDIRECT($AF$8), 0))</f>
        <v>#REF!</v>
      </c>
      <c r="Z27" s="14" t="e">
        <f ca="1">INDEX(INDIRECT($AF$6),
       MATCH(TRIM($S27), INDIRECT($AF$7), 0),
       MATCH(TRIM(Z$13), INDIRECT($AF$8), 0))</f>
        <v>#REF!</v>
      </c>
      <c r="AA27" s="14" t="e">
        <f ca="1">INDEX(INDIRECT($AF$6),
       MATCH(TRIM($S27), INDIRECT($AF$7), 0),
       MATCH(TRIM(AA$13), INDIRECT($AF$8), 0))</f>
        <v>#REF!</v>
      </c>
      <c r="AB27" s="14" t="e">
        <f t="shared" ca="1" si="0"/>
        <v>#REF!</v>
      </c>
    </row>
    <row r="28" spans="1:28" ht="43" x14ac:dyDescent="0.2">
      <c r="A28" s="26">
        <v>14</v>
      </c>
      <c r="B28" s="27" t="s">
        <v>20</v>
      </c>
      <c r="C28" s="28" t="e">
        <f ca="1">INDEX(INDIRECT($P$6),
       MATCH(TRIM($B28), INDIRECT($P$7), 0),
       MATCH(TRIM(C$14), INDIRECT($P$8), 0))</f>
        <v>#REF!</v>
      </c>
      <c r="D28" s="28" t="e">
        <f ca="1">INDEX(INDIRECT($P$6),
       MATCH(TRIM($B28), INDIRECT($P$7), 0),
       MATCH(TRIM(D$14), INDIRECT($P$8), 0))</f>
        <v>#REF!</v>
      </c>
      <c r="E28" s="28" t="e">
        <f ca="1">INDEX(INDIRECT($P$6),
       MATCH(TRIM($B28), INDIRECT($P$7), 0),
       MATCH(TRIM(E$14), INDIRECT($P$8), 0))</f>
        <v>#REF!</v>
      </c>
      <c r="F28" s="28" t="e">
        <f ca="1">INDEX(INDIRECT($P$6),
       MATCH(TRIM($B28), INDIRECT($P$7), 0),
       MATCH(TRIM(F$14), INDIRECT($P$8), 0))</f>
        <v>#REF!</v>
      </c>
      <c r="G28" s="28" t="e">
        <f ca="1">INDEX(INDIRECT($P$6),
       MATCH(TRIM($B28), INDIRECT($P$7), 0),
       MATCH(TRIM(G$14), INDIRECT($P$8), 0))</f>
        <v>#REF!</v>
      </c>
      <c r="H28" s="28" t="e">
        <f ca="1">INDEX(INDIRECT($P$6),
       MATCH(TRIM($B28), INDIRECT($P$7), 0),
       MATCH(TRIM(H$14), INDIRECT($P$8), 0))</f>
        <v>#REF!</v>
      </c>
      <c r="I28" s="28" t="e">
        <f ca="1">INDEX(INDIRECT($P$6),
       MATCH(TRIM($B28), INDIRECT($P$7), 0),
       MATCH(TRIM(I$14), INDIRECT($P$8), 0))</f>
        <v>#REF!</v>
      </c>
      <c r="J28" s="28" t="e">
        <f ca="1">INDEX(INDIRECT($P$6),
       MATCH(TRIM($B28), INDIRECT($P$7), 0),
       MATCH(TRIM(J$14), INDIRECT($P$8), 0))</f>
        <v>#REF!</v>
      </c>
      <c r="K28" s="28" t="e">
        <f t="shared" ca="1" si="1"/>
        <v>#REF!</v>
      </c>
      <c r="L28" s="46"/>
      <c r="M28" s="46"/>
      <c r="R28">
        <v>15</v>
      </c>
      <c r="S28" t="s">
        <v>69</v>
      </c>
      <c r="T28" s="14" t="e">
        <f ca="1">INDEX(INDIRECT($AF$6),
       MATCH(TRIM($S28), INDIRECT($AF$7), 0),
       MATCH(TRIM(T$13), INDIRECT($AF$8), 0))</f>
        <v>#REF!</v>
      </c>
      <c r="U28" s="14" t="e">
        <f ca="1">INDEX(INDIRECT($AF$6),
       MATCH(TRIM($S28), INDIRECT($AF$7), 0),
       MATCH(TRIM(U$13), INDIRECT($AF$8), 0))</f>
        <v>#REF!</v>
      </c>
      <c r="V28" s="14" t="e">
        <f ca="1">INDEX(INDIRECT($AF$6),
       MATCH(TRIM($S28), INDIRECT($AF$7), 0),
       MATCH(TRIM(V$13), INDIRECT($AF$8), 0))</f>
        <v>#REF!</v>
      </c>
      <c r="W28" s="14" t="e">
        <f ca="1">INDEX(INDIRECT($AF$6),
       MATCH(TRIM($S28), INDIRECT($AF$7), 0),
       MATCH(TRIM(W$13), INDIRECT($AF$8), 0))</f>
        <v>#REF!</v>
      </c>
      <c r="X28" s="14" t="e">
        <f ca="1">INDEX(INDIRECT($AF$6),
       MATCH(TRIM($S28), INDIRECT($AF$7), 0),
       MATCH(TRIM(X$13), INDIRECT($AF$8), 0))</f>
        <v>#REF!</v>
      </c>
      <c r="Y28" s="14" t="e">
        <f ca="1">INDEX(INDIRECT($AF$6),
       MATCH(TRIM($S28), INDIRECT($AF$7), 0),
       MATCH(TRIM(Y$13), INDIRECT($AF$8), 0))</f>
        <v>#REF!</v>
      </c>
      <c r="Z28" s="14" t="e">
        <f ca="1">INDEX(INDIRECT($AF$6),
       MATCH(TRIM($S28), INDIRECT($AF$7), 0),
       MATCH(TRIM(Z$13), INDIRECT($AF$8), 0))</f>
        <v>#REF!</v>
      </c>
      <c r="AA28" s="14" t="e">
        <f ca="1">INDEX(INDIRECT($AF$6),
       MATCH(TRIM($S28), INDIRECT($AF$7), 0),
       MATCH(TRIM(AA$13), INDIRECT($AF$8), 0))</f>
        <v>#REF!</v>
      </c>
      <c r="AB28" s="14" t="e">
        <f t="shared" ca="1" si="0"/>
        <v>#REF!</v>
      </c>
    </row>
    <row r="29" spans="1:28" ht="43" x14ac:dyDescent="0.2">
      <c r="A29" s="26">
        <v>15</v>
      </c>
      <c r="B29" s="27" t="s">
        <v>21</v>
      </c>
      <c r="C29" s="28" t="e">
        <f ca="1">INDEX(INDIRECT($P$6),
       MATCH(TRIM($B29), INDIRECT($P$7), 0),
       MATCH(TRIM(C$14), INDIRECT($P$8), 0))</f>
        <v>#REF!</v>
      </c>
      <c r="D29" s="28" t="e">
        <f ca="1">INDEX(INDIRECT($P$6),
       MATCH(TRIM($B29), INDIRECT($P$7), 0),
       MATCH(TRIM(D$14), INDIRECT($P$8), 0))</f>
        <v>#REF!</v>
      </c>
      <c r="E29" s="28" t="e">
        <f ca="1">INDEX(INDIRECT($P$6),
       MATCH(TRIM($B29), INDIRECT($P$7), 0),
       MATCH(TRIM(E$14), INDIRECT($P$8), 0))</f>
        <v>#REF!</v>
      </c>
      <c r="F29" s="28" t="e">
        <f ca="1">INDEX(INDIRECT($P$6),
       MATCH(TRIM($B29), INDIRECT($P$7), 0),
       MATCH(TRIM(F$14), INDIRECT($P$8), 0))</f>
        <v>#REF!</v>
      </c>
      <c r="G29" s="28" t="e">
        <f ca="1">INDEX(INDIRECT($P$6),
       MATCH(TRIM($B29), INDIRECT($P$7), 0),
       MATCH(TRIM(G$14), INDIRECT($P$8), 0))</f>
        <v>#REF!</v>
      </c>
      <c r="H29" s="28" t="e">
        <f ca="1">INDEX(INDIRECT($P$6),
       MATCH(TRIM($B29), INDIRECT($P$7), 0),
       MATCH(TRIM(H$14), INDIRECT($P$8), 0))</f>
        <v>#REF!</v>
      </c>
      <c r="I29" s="28" t="e">
        <f ca="1">INDEX(INDIRECT($P$6),
       MATCH(TRIM($B29), INDIRECT($P$7), 0),
       MATCH(TRIM(I$14), INDIRECT($P$8), 0))</f>
        <v>#REF!</v>
      </c>
      <c r="J29" s="28" t="e">
        <f ca="1">INDEX(INDIRECT($P$6),
       MATCH(TRIM($B29), INDIRECT($P$7), 0),
       MATCH(TRIM(J$14), INDIRECT($P$8), 0))</f>
        <v>#REF!</v>
      </c>
      <c r="K29" s="28" t="e">
        <f t="shared" ca="1" si="1"/>
        <v>#REF!</v>
      </c>
      <c r="L29" s="46"/>
      <c r="M29" s="46"/>
      <c r="R29">
        <v>16</v>
      </c>
      <c r="S29" t="s">
        <v>52</v>
      </c>
      <c r="T29" s="14" t="e">
        <f ca="1">INDEX(INDIRECT($AF$6),
       MATCH(TRIM($S29), INDIRECT($AF$7), 0),
       MATCH(TRIM(T$13), INDIRECT($AF$8), 0))</f>
        <v>#REF!</v>
      </c>
      <c r="U29" s="14" t="e">
        <f ca="1">INDEX(INDIRECT($AF$6),
       MATCH(TRIM($S29), INDIRECT($AF$7), 0),
       MATCH(TRIM(U$13), INDIRECT($AF$8), 0))</f>
        <v>#REF!</v>
      </c>
      <c r="V29" s="14" t="e">
        <f ca="1">INDEX(INDIRECT($AF$6),
       MATCH(TRIM($S29), INDIRECT($AF$7), 0),
       MATCH(TRIM(V$13), INDIRECT($AF$8), 0))</f>
        <v>#REF!</v>
      </c>
      <c r="W29" s="14" t="e">
        <f ca="1">INDEX(INDIRECT($AF$6),
       MATCH(TRIM($S29), INDIRECT($AF$7), 0),
       MATCH(TRIM(W$13), INDIRECT($AF$8), 0))</f>
        <v>#REF!</v>
      </c>
      <c r="X29" s="14" t="e">
        <f ca="1">INDEX(INDIRECT($AF$6),
       MATCH(TRIM($S29), INDIRECT($AF$7), 0),
       MATCH(TRIM(X$13), INDIRECT($AF$8), 0))</f>
        <v>#REF!</v>
      </c>
      <c r="Y29" s="14" t="e">
        <f ca="1">INDEX(INDIRECT($AF$6),
       MATCH(TRIM($S29), INDIRECT($AF$7), 0),
       MATCH(TRIM(Y$13), INDIRECT($AF$8), 0))</f>
        <v>#REF!</v>
      </c>
      <c r="Z29" s="14" t="e">
        <f ca="1">INDEX(INDIRECT($AF$6),
       MATCH(TRIM($S29), INDIRECT($AF$7), 0),
       MATCH(TRIM(Z$13), INDIRECT($AF$8), 0))</f>
        <v>#REF!</v>
      </c>
      <c r="AA29" s="14" t="e">
        <f ca="1">INDEX(INDIRECT($AF$6),
       MATCH(TRIM($S29), INDIRECT($AF$7), 0),
       MATCH(TRIM(AA$13), INDIRECT($AF$8), 0))</f>
        <v>#REF!</v>
      </c>
      <c r="AB29" s="14" t="e">
        <f t="shared" ca="1" si="0"/>
        <v>#REF!</v>
      </c>
    </row>
    <row r="30" spans="1:28" ht="29" x14ac:dyDescent="0.2">
      <c r="A30" s="26">
        <v>16</v>
      </c>
      <c r="B30" s="27" t="s">
        <v>22</v>
      </c>
      <c r="C30" s="28" t="e">
        <f ca="1">INDEX(INDIRECT($P$6),
       MATCH(TRIM($B30), INDIRECT($P$7), 0),
       MATCH(TRIM(C$14), INDIRECT($P$8), 0))</f>
        <v>#REF!</v>
      </c>
      <c r="D30" s="28" t="e">
        <f ca="1">INDEX(INDIRECT($P$6),
       MATCH(TRIM($B30), INDIRECT($P$7), 0),
       MATCH(TRIM(D$14), INDIRECT($P$8), 0))</f>
        <v>#REF!</v>
      </c>
      <c r="E30" s="28" t="e">
        <f ca="1">INDEX(INDIRECT($P$6),
       MATCH(TRIM($B30), INDIRECT($P$7), 0),
       MATCH(TRIM(E$14), INDIRECT($P$8), 0))</f>
        <v>#REF!</v>
      </c>
      <c r="F30" s="28" t="e">
        <f ca="1">INDEX(INDIRECT($P$6),
       MATCH(TRIM($B30), INDIRECT($P$7), 0),
       MATCH(TRIM(F$14), INDIRECT($P$8), 0))</f>
        <v>#REF!</v>
      </c>
      <c r="G30" s="28" t="e">
        <f ca="1">INDEX(INDIRECT($P$6),
       MATCH(TRIM($B30), INDIRECT($P$7), 0),
       MATCH(TRIM(G$14), INDIRECT($P$8), 0))</f>
        <v>#REF!</v>
      </c>
      <c r="H30" s="28" t="e">
        <f ca="1">INDEX(INDIRECT($P$6),
       MATCH(TRIM($B30), INDIRECT($P$7), 0),
       MATCH(TRIM(H$14), INDIRECT($P$8), 0))</f>
        <v>#REF!</v>
      </c>
      <c r="I30" s="28" t="e">
        <f ca="1">INDEX(INDIRECT($P$6),
       MATCH(TRIM($B30), INDIRECT($P$7), 0),
       MATCH(TRIM(I$14), INDIRECT($P$8), 0))</f>
        <v>#REF!</v>
      </c>
      <c r="J30" s="28" t="e">
        <f ca="1">INDEX(INDIRECT($P$6),
       MATCH(TRIM($B30), INDIRECT($P$7), 0),
       MATCH(TRIM(J$14), INDIRECT($P$8), 0))</f>
        <v>#REF!</v>
      </c>
      <c r="K30" s="28" t="e">
        <f t="shared" ca="1" si="1"/>
        <v>#REF!</v>
      </c>
      <c r="L30" s="46"/>
      <c r="M30" s="46"/>
      <c r="R30">
        <v>17</v>
      </c>
      <c r="S30" t="s">
        <v>53</v>
      </c>
      <c r="T30" s="14" t="e">
        <f ca="1">INDEX(INDIRECT($AF$6),
       MATCH(TRIM($S30), INDIRECT($AF$7), 0),
       MATCH(TRIM(T$13), INDIRECT($AF$8), 0))</f>
        <v>#REF!</v>
      </c>
      <c r="U30" s="14" t="e">
        <f ca="1">INDEX(INDIRECT($AF$6),
       MATCH(TRIM($S30), INDIRECT($AF$7), 0),
       MATCH(TRIM(U$13), INDIRECT($AF$8), 0))</f>
        <v>#REF!</v>
      </c>
      <c r="V30" s="14" t="e">
        <f ca="1">INDEX(INDIRECT($AF$6),
       MATCH(TRIM($S30), INDIRECT($AF$7), 0),
       MATCH(TRIM(V$13), INDIRECT($AF$8), 0))</f>
        <v>#REF!</v>
      </c>
      <c r="W30" s="14" t="e">
        <f ca="1">INDEX(INDIRECT($AF$6),
       MATCH(TRIM($S30), INDIRECT($AF$7), 0),
       MATCH(TRIM(W$13), INDIRECT($AF$8), 0))</f>
        <v>#REF!</v>
      </c>
      <c r="X30" s="14" t="e">
        <f ca="1">INDEX(INDIRECT($AF$6),
       MATCH(TRIM($S30), INDIRECT($AF$7), 0),
       MATCH(TRIM(X$13), INDIRECT($AF$8), 0))</f>
        <v>#REF!</v>
      </c>
      <c r="Y30" s="14" t="e">
        <f ca="1">INDEX(INDIRECT($AF$6),
       MATCH(TRIM($S30), INDIRECT($AF$7), 0),
       MATCH(TRIM(Y$13), INDIRECT($AF$8), 0))</f>
        <v>#REF!</v>
      </c>
      <c r="Z30" s="14" t="e">
        <f ca="1">INDEX(INDIRECT($AF$6),
       MATCH(TRIM($S30), INDIRECT($AF$7), 0),
       MATCH(TRIM(Z$13), INDIRECT($AF$8), 0))</f>
        <v>#REF!</v>
      </c>
      <c r="AA30" s="14" t="e">
        <f ca="1">INDEX(INDIRECT($AF$6),
       MATCH(TRIM($S30), INDIRECT($AF$7), 0),
       MATCH(TRIM(AA$13), INDIRECT($AF$8), 0))</f>
        <v>#REF!</v>
      </c>
      <c r="AB30" s="14" t="e">
        <f t="shared" ca="1" si="0"/>
        <v>#REF!</v>
      </c>
    </row>
    <row r="31" spans="1:28" ht="43" x14ac:dyDescent="0.2">
      <c r="A31" s="26">
        <v>17</v>
      </c>
      <c r="B31" s="27" t="s">
        <v>23</v>
      </c>
      <c r="C31" s="28" t="e">
        <f ca="1">INDEX(INDIRECT($P$6),
       MATCH(TRIM($B31), INDIRECT($P$7), 0),
       MATCH(TRIM(C$14), INDIRECT($P$8), 0))</f>
        <v>#REF!</v>
      </c>
      <c r="D31" s="28" t="e">
        <f ca="1">INDEX(INDIRECT($P$6),
       MATCH(TRIM($B31), INDIRECT($P$7), 0),
       MATCH(TRIM(D$14), INDIRECT($P$8), 0))</f>
        <v>#REF!</v>
      </c>
      <c r="E31" s="28" t="e">
        <f ca="1">INDEX(INDIRECT($P$6),
       MATCH(TRIM($B31), INDIRECT($P$7), 0),
       MATCH(TRIM(E$14), INDIRECT($P$8), 0))</f>
        <v>#REF!</v>
      </c>
      <c r="F31" s="28" t="e">
        <f ca="1">INDEX(INDIRECT($P$6),
       MATCH(TRIM($B31), INDIRECT($P$7), 0),
       MATCH(TRIM(F$14), INDIRECT($P$8), 0))</f>
        <v>#REF!</v>
      </c>
      <c r="G31" s="28" t="e">
        <f ca="1">INDEX(INDIRECT($P$6),
       MATCH(TRIM($B31), INDIRECT($P$7), 0),
       MATCH(TRIM(G$14), INDIRECT($P$8), 0))</f>
        <v>#REF!</v>
      </c>
      <c r="H31" s="28" t="e">
        <f ca="1">INDEX(INDIRECT($P$6),
       MATCH(TRIM($B31), INDIRECT($P$7), 0),
       MATCH(TRIM(H$14), INDIRECT($P$8), 0))</f>
        <v>#REF!</v>
      </c>
      <c r="I31" s="28" t="e">
        <f ca="1">INDEX(INDIRECT($P$6),
       MATCH(TRIM($B31), INDIRECT($P$7), 0),
       MATCH(TRIM(I$14), INDIRECT($P$8), 0))</f>
        <v>#REF!</v>
      </c>
      <c r="J31" s="28" t="e">
        <f ca="1">INDEX(INDIRECT($P$6),
       MATCH(TRIM($B31), INDIRECT($P$7), 0),
       MATCH(TRIM(J$14), INDIRECT($P$8), 0))</f>
        <v>#REF!</v>
      </c>
      <c r="K31" s="28" t="e">
        <f t="shared" ca="1" si="1"/>
        <v>#REF!</v>
      </c>
      <c r="L31" s="46"/>
      <c r="M31" s="46"/>
      <c r="R31">
        <v>18</v>
      </c>
      <c r="S31" t="s">
        <v>63</v>
      </c>
      <c r="T31" s="14" t="e">
        <f ca="1">INDEX(INDIRECT($AF$6),
       MATCH(TRIM($S31), INDIRECT($AF$7), 0),
       MATCH(TRIM(T$13), INDIRECT($AF$8), 0))</f>
        <v>#REF!</v>
      </c>
      <c r="U31" s="14" t="e">
        <f ca="1">INDEX(INDIRECT($AF$6),
       MATCH(TRIM($S31), INDIRECT($AF$7), 0),
       MATCH(TRIM(U$13), INDIRECT($AF$8), 0))</f>
        <v>#REF!</v>
      </c>
      <c r="V31" s="14" t="e">
        <f ca="1">INDEX(INDIRECT($AF$6),
       MATCH(TRIM($S31), INDIRECT($AF$7), 0),
       MATCH(TRIM(V$13), INDIRECT($AF$8), 0))</f>
        <v>#REF!</v>
      </c>
      <c r="W31" s="14" t="e">
        <f ca="1">INDEX(INDIRECT($AF$6),
       MATCH(TRIM($S31), INDIRECT($AF$7), 0),
       MATCH(TRIM(W$13), INDIRECT($AF$8), 0))</f>
        <v>#REF!</v>
      </c>
      <c r="X31" s="14" t="e">
        <f ca="1">INDEX(INDIRECT($AF$6),
       MATCH(TRIM($S31), INDIRECT($AF$7), 0),
       MATCH(TRIM(X$13), INDIRECT($AF$8), 0))</f>
        <v>#REF!</v>
      </c>
      <c r="Y31" s="14" t="e">
        <f ca="1">INDEX(INDIRECT($AF$6),
       MATCH(TRIM($S31), INDIRECT($AF$7), 0),
       MATCH(TRIM(Y$13), INDIRECT($AF$8), 0))</f>
        <v>#REF!</v>
      </c>
      <c r="Z31" s="14" t="e">
        <f ca="1">INDEX(INDIRECT($AF$6),
       MATCH(TRIM($S31), INDIRECT($AF$7), 0),
       MATCH(TRIM(Z$13), INDIRECT($AF$8), 0))</f>
        <v>#REF!</v>
      </c>
      <c r="AA31" s="14" t="e">
        <f ca="1">INDEX(INDIRECT($AF$6),
       MATCH(TRIM($S31), INDIRECT($AF$7), 0),
       MATCH(TRIM(AA$13), INDIRECT($AF$8), 0))</f>
        <v>#REF!</v>
      </c>
      <c r="AB31" s="14" t="e">
        <f t="shared" ca="1" si="0"/>
        <v>#REF!</v>
      </c>
    </row>
    <row r="32" spans="1:28" ht="57" x14ac:dyDescent="0.2">
      <c r="A32" s="26">
        <v>18</v>
      </c>
      <c r="B32" s="27" t="s">
        <v>24</v>
      </c>
      <c r="C32" s="28" t="e">
        <f ca="1">INDEX(INDIRECT($P$6),
       MATCH(TRIM($B32), INDIRECT($P$7), 0),
       MATCH(TRIM(C$14), INDIRECT($P$8), 0))</f>
        <v>#REF!</v>
      </c>
      <c r="D32" s="28" t="e">
        <f ca="1">INDEX(INDIRECT($P$6),
       MATCH(TRIM($B32), INDIRECT($P$7), 0),
       MATCH(TRIM(D$14), INDIRECT($P$8), 0))</f>
        <v>#REF!</v>
      </c>
      <c r="E32" s="28" t="e">
        <f ca="1">INDEX(INDIRECT($P$6),
       MATCH(TRIM($B32), INDIRECT($P$7), 0),
       MATCH(TRIM(E$14), INDIRECT($P$8), 0))</f>
        <v>#REF!</v>
      </c>
      <c r="F32" s="28" t="e">
        <f ca="1">INDEX(INDIRECT($P$6),
       MATCH(TRIM($B32), INDIRECT($P$7), 0),
       MATCH(TRIM(F$14), INDIRECT($P$8), 0))</f>
        <v>#REF!</v>
      </c>
      <c r="G32" s="28" t="e">
        <f ca="1">INDEX(INDIRECT($P$6),
       MATCH(TRIM($B32), INDIRECT($P$7), 0),
       MATCH(TRIM(G$14), INDIRECT($P$8), 0))</f>
        <v>#REF!</v>
      </c>
      <c r="H32" s="28" t="e">
        <f ca="1">INDEX(INDIRECT($P$6),
       MATCH(TRIM($B32), INDIRECT($P$7), 0),
       MATCH(TRIM(H$14), INDIRECT($P$8), 0))</f>
        <v>#REF!</v>
      </c>
      <c r="I32" s="28" t="e">
        <f ca="1">INDEX(INDIRECT($P$6),
       MATCH(TRIM($B32), INDIRECT($P$7), 0),
       MATCH(TRIM(I$14), INDIRECT($P$8), 0))</f>
        <v>#REF!</v>
      </c>
      <c r="J32" s="28" t="e">
        <f ca="1">INDEX(INDIRECT($P$6),
       MATCH(TRIM($B32), INDIRECT($P$7), 0),
       MATCH(TRIM(J$14), INDIRECT($P$8), 0))</f>
        <v>#REF!</v>
      </c>
      <c r="K32" s="28" t="e">
        <f t="shared" ca="1" si="1"/>
        <v>#REF!</v>
      </c>
      <c r="L32" s="46"/>
      <c r="M32" s="46"/>
      <c r="R32">
        <v>19</v>
      </c>
      <c r="S32" t="s">
        <v>70</v>
      </c>
      <c r="T32" s="14" t="e">
        <f ca="1">INDEX(INDIRECT($AF$6),
       MATCH(TRIM($S32), INDIRECT($AF$7), 0),
       MATCH(TRIM(T$13), INDIRECT($AF$8), 0))</f>
        <v>#REF!</v>
      </c>
      <c r="U32" s="14" t="e">
        <f ca="1">INDEX(INDIRECT($AF$6),
       MATCH(TRIM($S32), INDIRECT($AF$7), 0),
       MATCH(TRIM(U$13), INDIRECT($AF$8), 0))</f>
        <v>#REF!</v>
      </c>
      <c r="V32" s="14" t="e">
        <f ca="1">INDEX(INDIRECT($AF$6),
       MATCH(TRIM($S32), INDIRECT($AF$7), 0),
       MATCH(TRIM(V$13), INDIRECT($AF$8), 0))</f>
        <v>#REF!</v>
      </c>
      <c r="W32" s="14" t="e">
        <f ca="1">INDEX(INDIRECT($AF$6),
       MATCH(TRIM($S32), INDIRECT($AF$7), 0),
       MATCH(TRIM(W$13), INDIRECT($AF$8), 0))</f>
        <v>#REF!</v>
      </c>
      <c r="X32" s="14" t="e">
        <f ca="1">INDEX(INDIRECT($AF$6),
       MATCH(TRIM($S32), INDIRECT($AF$7), 0),
       MATCH(TRIM(X$13), INDIRECT($AF$8), 0))</f>
        <v>#REF!</v>
      </c>
      <c r="Y32" s="14" t="e">
        <f ca="1">INDEX(INDIRECT($AF$6),
       MATCH(TRIM($S32), INDIRECT($AF$7), 0),
       MATCH(TRIM(Y$13), INDIRECT($AF$8), 0))</f>
        <v>#REF!</v>
      </c>
      <c r="Z32" s="14" t="e">
        <f ca="1">INDEX(INDIRECT($AF$6),
       MATCH(TRIM($S32), INDIRECT($AF$7), 0),
       MATCH(TRIM(Z$13), INDIRECT($AF$8), 0))</f>
        <v>#REF!</v>
      </c>
      <c r="AA32" s="14" t="e">
        <f ca="1">INDEX(INDIRECT($AF$6),
       MATCH(TRIM($S32), INDIRECT($AF$7), 0),
       MATCH(TRIM(AA$13), INDIRECT($AF$8), 0))</f>
        <v>#REF!</v>
      </c>
      <c r="AB32" s="14" t="e">
        <f t="shared" ca="1" si="0"/>
        <v>#REF!</v>
      </c>
    </row>
    <row r="33" spans="1:28" ht="85" x14ac:dyDescent="0.2">
      <c r="A33" s="26">
        <v>19</v>
      </c>
      <c r="B33" s="27" t="s">
        <v>25</v>
      </c>
      <c r="C33" s="28" t="e">
        <f ca="1">INDEX(INDIRECT($P$6),
       MATCH(TRIM($B33), INDIRECT($P$7), 0),
       MATCH(TRIM(C$14), INDIRECT($P$8), 0))</f>
        <v>#REF!</v>
      </c>
      <c r="D33" s="28" t="e">
        <f ca="1">INDEX(INDIRECT($P$6),
       MATCH(TRIM($B33), INDIRECT($P$7), 0),
       MATCH(TRIM(D$14), INDIRECT($P$8), 0))</f>
        <v>#REF!</v>
      </c>
      <c r="E33" s="28" t="e">
        <f ca="1">INDEX(INDIRECT($P$6),
       MATCH(TRIM($B33), INDIRECT($P$7), 0),
       MATCH(TRIM(E$14), INDIRECT($P$8), 0))</f>
        <v>#REF!</v>
      </c>
      <c r="F33" s="28" t="e">
        <f ca="1">INDEX(INDIRECT($P$6),
       MATCH(TRIM($B33), INDIRECT($P$7), 0),
       MATCH(TRIM(F$14), INDIRECT($P$8), 0))</f>
        <v>#REF!</v>
      </c>
      <c r="G33" s="28" t="e">
        <f ca="1">INDEX(INDIRECT($P$6),
       MATCH(TRIM($B33), INDIRECT($P$7), 0),
       MATCH(TRIM(G$14), INDIRECT($P$8), 0))</f>
        <v>#REF!</v>
      </c>
      <c r="H33" s="28" t="e">
        <f ca="1">INDEX(INDIRECT($P$6),
       MATCH(TRIM($B33), INDIRECT($P$7), 0),
       MATCH(TRIM(H$14), INDIRECT($P$8), 0))</f>
        <v>#REF!</v>
      </c>
      <c r="I33" s="28" t="e">
        <f ca="1">INDEX(INDIRECT($P$6),
       MATCH(TRIM($B33), INDIRECT($P$7), 0),
       MATCH(TRIM(I$14), INDIRECT($P$8), 0))</f>
        <v>#REF!</v>
      </c>
      <c r="J33" s="28" t="e">
        <f ca="1">INDEX(INDIRECT($P$6),
       MATCH(TRIM($B33), INDIRECT($P$7), 0),
       MATCH(TRIM(J$14), INDIRECT($P$8), 0))</f>
        <v>#REF!</v>
      </c>
      <c r="K33" s="28" t="e">
        <f t="shared" ca="1" si="1"/>
        <v>#REF!</v>
      </c>
      <c r="L33" s="47"/>
      <c r="M33" s="47"/>
      <c r="R33">
        <v>20</v>
      </c>
      <c r="S33" t="s">
        <v>61</v>
      </c>
      <c r="T33" s="14" t="e">
        <f ca="1">INDEX(INDIRECT($AF$6),
       MATCH(TRIM($S33), INDIRECT($AF$7), 0),
       MATCH(TRIM(T$13), INDIRECT($AF$8), 0))</f>
        <v>#REF!</v>
      </c>
      <c r="U33" s="14" t="e">
        <f ca="1">INDEX(INDIRECT($AF$6),
       MATCH(TRIM($S33), INDIRECT($AF$7), 0),
       MATCH(TRIM(U$13), INDIRECT($AF$8), 0))</f>
        <v>#REF!</v>
      </c>
      <c r="V33" s="14" t="e">
        <f ca="1">INDEX(INDIRECT($AF$6),
       MATCH(TRIM($S33), INDIRECT($AF$7), 0),
       MATCH(TRIM(V$13), INDIRECT($AF$8), 0))</f>
        <v>#REF!</v>
      </c>
      <c r="W33" s="14" t="e">
        <f ca="1">INDEX(INDIRECT($AF$6),
       MATCH(TRIM($S33), INDIRECT($AF$7), 0),
       MATCH(TRIM(W$13), INDIRECT($AF$8), 0))</f>
        <v>#REF!</v>
      </c>
      <c r="X33" s="14" t="e">
        <f ca="1">INDEX(INDIRECT($AF$6),
       MATCH(TRIM($S33), INDIRECT($AF$7), 0),
       MATCH(TRIM(X$13), INDIRECT($AF$8), 0))</f>
        <v>#REF!</v>
      </c>
      <c r="Y33" s="14" t="e">
        <f ca="1">INDEX(INDIRECT($AF$6),
       MATCH(TRIM($S33), INDIRECT($AF$7), 0),
       MATCH(TRIM(Y$13), INDIRECT($AF$8), 0))</f>
        <v>#REF!</v>
      </c>
      <c r="Z33" s="14" t="e">
        <f ca="1">INDEX(INDIRECT($AF$6),
       MATCH(TRIM($S33), INDIRECT($AF$7), 0),
       MATCH(TRIM(Z$13), INDIRECT($AF$8), 0))</f>
        <v>#REF!</v>
      </c>
      <c r="AA33" s="14" t="e">
        <f ca="1">INDEX(INDIRECT($AF$6),
       MATCH(TRIM($S33), INDIRECT($AF$7), 0),
       MATCH(TRIM(AA$13), INDIRECT($AF$8), 0))</f>
        <v>#REF!</v>
      </c>
      <c r="AB33" s="14" t="e">
        <f t="shared" ca="1" si="0"/>
        <v>#REF!</v>
      </c>
    </row>
    <row r="34" spans="1:28" ht="17" thickBot="1" x14ac:dyDescent="0.25">
      <c r="A34" s="34" t="s">
        <v>26</v>
      </c>
      <c r="B34" s="35"/>
      <c r="C34" s="31" cm="1">
        <f t="array" aca="1" ref="C34" ca="1">SUM(IFERROR(C15:C33,0))</f>
        <v>0</v>
      </c>
      <c r="D34" s="31" cm="1">
        <f t="array" aca="1" ref="D34" ca="1">SUM(IFERROR(D15:D33,0))</f>
        <v>0</v>
      </c>
      <c r="E34" s="31" cm="1">
        <f t="array" aca="1" ref="E34" ca="1">SUM(IFERROR(E15:E33,0))</f>
        <v>0</v>
      </c>
      <c r="F34" s="31" cm="1">
        <f t="array" aca="1" ref="F34" ca="1">SUM(IFERROR(F15:F33,0))</f>
        <v>0</v>
      </c>
      <c r="G34" s="31" cm="1">
        <f t="array" aca="1" ref="G34" ca="1">SUM(IFERROR(G15:G33,0))</f>
        <v>0</v>
      </c>
      <c r="H34" s="31" cm="1">
        <f t="array" aca="1" ref="H34" ca="1">SUM(IFERROR(H15:H33,0))</f>
        <v>0</v>
      </c>
      <c r="I34" s="31" cm="1">
        <f t="array" aca="1" ref="I34" ca="1">SUM(IFERROR(I15:I33,0))</f>
        <v>0</v>
      </c>
      <c r="J34" s="31" cm="1">
        <f t="array" aca="1" ref="J34" ca="1">SUM(IFERROR(J15:J33,0))</f>
        <v>0</v>
      </c>
      <c r="K34" s="31" cm="1">
        <f t="array" aca="1" ref="K34" ca="1">SUM(IFERROR(K15:K33,0))</f>
        <v>0</v>
      </c>
      <c r="R34">
        <v>21</v>
      </c>
      <c r="S34" t="s">
        <v>59</v>
      </c>
      <c r="T34" s="14" t="e">
        <f ca="1">INDEX(INDIRECT($AF$6),
       MATCH(TRIM($S34), INDIRECT($AF$7), 0),
       MATCH(TRIM(T$13), INDIRECT($AF$8), 0))</f>
        <v>#REF!</v>
      </c>
      <c r="U34" s="14" t="e">
        <f ca="1">INDEX(INDIRECT($AF$6),
       MATCH(TRIM($S34), INDIRECT($AF$7), 0),
       MATCH(TRIM(U$13), INDIRECT($AF$8), 0))</f>
        <v>#REF!</v>
      </c>
      <c r="V34" s="14" t="e">
        <f ca="1">INDEX(INDIRECT($AF$6),
       MATCH(TRIM($S34), INDIRECT($AF$7), 0),
       MATCH(TRIM(V$13), INDIRECT($AF$8), 0))</f>
        <v>#REF!</v>
      </c>
      <c r="W34" s="14" t="e">
        <f ca="1">INDEX(INDIRECT($AF$6),
       MATCH(TRIM($S34), INDIRECT($AF$7), 0),
       MATCH(TRIM(W$13), INDIRECT($AF$8), 0))</f>
        <v>#REF!</v>
      </c>
      <c r="X34" s="14" t="e">
        <f ca="1">INDEX(INDIRECT($AF$6),
       MATCH(TRIM($S34), INDIRECT($AF$7), 0),
       MATCH(TRIM(X$13), INDIRECT($AF$8), 0))</f>
        <v>#REF!</v>
      </c>
      <c r="Y34" s="14" t="e">
        <f ca="1">INDEX(INDIRECT($AF$6),
       MATCH(TRIM($S34), INDIRECT($AF$7), 0),
       MATCH(TRIM(Y$13), INDIRECT($AF$8), 0))</f>
        <v>#REF!</v>
      </c>
      <c r="Z34" s="14" t="e">
        <f ca="1">INDEX(INDIRECT($AF$6),
       MATCH(TRIM($S34), INDIRECT($AF$7), 0),
       MATCH(TRIM(Z$13), INDIRECT($AF$8), 0))</f>
        <v>#REF!</v>
      </c>
      <c r="AA34" s="14" t="e">
        <f ca="1">INDEX(INDIRECT($AF$6),
       MATCH(TRIM($S34), INDIRECT($AF$7), 0),
       MATCH(TRIM(AA$13), INDIRECT($AF$8), 0))</f>
        <v>#REF!</v>
      </c>
      <c r="AB34" s="14" t="e">
        <f t="shared" ca="1" si="0"/>
        <v>#REF!</v>
      </c>
    </row>
    <row r="35" spans="1:28" ht="17" thickTop="1" x14ac:dyDescent="0.2">
      <c r="R35">
        <v>22</v>
      </c>
      <c r="S35" t="s">
        <v>56</v>
      </c>
      <c r="T35" s="14" t="e">
        <f ca="1">INDEX(INDIRECT($AF$6),
       MATCH(TRIM($S35), INDIRECT($AF$7), 0),
       MATCH(TRIM(T$13), INDIRECT($AF$8), 0))</f>
        <v>#REF!</v>
      </c>
      <c r="U35" s="14" t="e">
        <f ca="1">INDEX(INDIRECT($AF$6),
       MATCH(TRIM($S35), INDIRECT($AF$7), 0),
       MATCH(TRIM(U$13), INDIRECT($AF$8), 0))</f>
        <v>#REF!</v>
      </c>
      <c r="V35" s="14" t="e">
        <f ca="1">INDEX(INDIRECT($AF$6),
       MATCH(TRIM($S35), INDIRECT($AF$7), 0),
       MATCH(TRIM(V$13), INDIRECT($AF$8), 0))</f>
        <v>#REF!</v>
      </c>
      <c r="W35" s="14" t="e">
        <f ca="1">INDEX(INDIRECT($AF$6),
       MATCH(TRIM($S35), INDIRECT($AF$7), 0),
       MATCH(TRIM(W$13), INDIRECT($AF$8), 0))</f>
        <v>#REF!</v>
      </c>
      <c r="X35" s="14" t="e">
        <f ca="1">INDEX(INDIRECT($AF$6),
       MATCH(TRIM($S35), INDIRECT($AF$7), 0),
       MATCH(TRIM(X$13), INDIRECT($AF$8), 0))</f>
        <v>#REF!</v>
      </c>
      <c r="Y35" s="14" t="e">
        <f ca="1">INDEX(INDIRECT($AF$6),
       MATCH(TRIM($S35), INDIRECT($AF$7), 0),
       MATCH(TRIM(Y$13), INDIRECT($AF$8), 0))</f>
        <v>#REF!</v>
      </c>
      <c r="Z35" s="14" t="e">
        <f ca="1">INDEX(INDIRECT($AF$6),
       MATCH(TRIM($S35), INDIRECT($AF$7), 0),
       MATCH(TRIM(Z$13), INDIRECT($AF$8), 0))</f>
        <v>#REF!</v>
      </c>
      <c r="AA35" s="14" t="e">
        <f ca="1">INDEX(INDIRECT($AF$6),
       MATCH(TRIM($S35), INDIRECT($AF$7), 0),
       MATCH(TRIM(AA$13), INDIRECT($AF$8), 0))</f>
        <v>#REF!</v>
      </c>
      <c r="AB35" s="14" t="e">
        <f t="shared" ca="1" si="0"/>
        <v>#REF!</v>
      </c>
    </row>
    <row r="36" spans="1:28" x14ac:dyDescent="0.2">
      <c r="R36">
        <v>23</v>
      </c>
      <c r="S36" t="s">
        <v>48</v>
      </c>
      <c r="T36" s="14" t="e">
        <f ca="1">INDEX(INDIRECT($AF$6),
       MATCH(TRIM($S36), INDIRECT($AF$7), 0),
       MATCH(TRIM(T$13), INDIRECT($AF$8), 0))</f>
        <v>#REF!</v>
      </c>
      <c r="U36" s="14" t="e">
        <f ca="1">INDEX(INDIRECT($AF$6),
       MATCH(TRIM($S36), INDIRECT($AF$7), 0),
       MATCH(TRIM(U$13), INDIRECT($AF$8), 0))</f>
        <v>#REF!</v>
      </c>
      <c r="V36" s="14" t="e">
        <f ca="1">INDEX(INDIRECT($AF$6),
       MATCH(TRIM($S36), INDIRECT($AF$7), 0),
       MATCH(TRIM(V$13), INDIRECT($AF$8), 0))</f>
        <v>#REF!</v>
      </c>
      <c r="W36" s="14" t="e">
        <f ca="1">INDEX(INDIRECT($AF$6),
       MATCH(TRIM($S36), INDIRECT($AF$7), 0),
       MATCH(TRIM(W$13), INDIRECT($AF$8), 0))</f>
        <v>#REF!</v>
      </c>
      <c r="X36" s="14" t="e">
        <f ca="1">INDEX(INDIRECT($AF$6),
       MATCH(TRIM($S36), INDIRECT($AF$7), 0),
       MATCH(TRIM(X$13), INDIRECT($AF$8), 0))</f>
        <v>#REF!</v>
      </c>
      <c r="Y36" s="14" t="e">
        <f ca="1">INDEX(INDIRECT($AF$6),
       MATCH(TRIM($S36), INDIRECT($AF$7), 0),
       MATCH(TRIM(Y$13), INDIRECT($AF$8), 0))</f>
        <v>#REF!</v>
      </c>
      <c r="Z36" s="14" t="e">
        <f ca="1">INDEX(INDIRECT($AF$6),
       MATCH(TRIM($S36), INDIRECT($AF$7), 0),
       MATCH(TRIM(Z$13), INDIRECT($AF$8), 0))</f>
        <v>#REF!</v>
      </c>
      <c r="AA36" s="14" t="e">
        <f ca="1">INDEX(INDIRECT($AF$6),
       MATCH(TRIM($S36), INDIRECT($AF$7), 0),
       MATCH(TRIM(AA$13), INDIRECT($AF$8), 0))</f>
        <v>#REF!</v>
      </c>
      <c r="AB36" s="14" t="e">
        <f t="shared" ca="1" si="0"/>
        <v>#REF!</v>
      </c>
    </row>
    <row r="37" spans="1:28" x14ac:dyDescent="0.2">
      <c r="R37">
        <v>24</v>
      </c>
      <c r="S37" t="s">
        <v>72</v>
      </c>
      <c r="T37" s="14" t="e">
        <f ca="1">INDEX(INDIRECT($AF$6),
       MATCH(TRIM($S37), INDIRECT($AF$7), 0),
       MATCH(TRIM(T$13), INDIRECT($AF$8), 0))</f>
        <v>#REF!</v>
      </c>
      <c r="U37" s="14" t="e">
        <f ca="1">INDEX(INDIRECT($AF$6),
       MATCH(TRIM($S37), INDIRECT($AF$7), 0),
       MATCH(TRIM(U$13), INDIRECT($AF$8), 0))</f>
        <v>#REF!</v>
      </c>
      <c r="V37" s="14" t="e">
        <f ca="1">INDEX(INDIRECT($AF$6),
       MATCH(TRIM($S37), INDIRECT($AF$7), 0),
       MATCH(TRIM(V$13), INDIRECT($AF$8), 0))</f>
        <v>#REF!</v>
      </c>
      <c r="W37" s="14" t="e">
        <f ca="1">INDEX(INDIRECT($AF$6),
       MATCH(TRIM($S37), INDIRECT($AF$7), 0),
       MATCH(TRIM(W$13), INDIRECT($AF$8), 0))</f>
        <v>#REF!</v>
      </c>
      <c r="X37" s="14" t="e">
        <f ca="1">INDEX(INDIRECT($AF$6),
       MATCH(TRIM($S37), INDIRECT($AF$7), 0),
       MATCH(TRIM(X$13), INDIRECT($AF$8), 0))</f>
        <v>#REF!</v>
      </c>
      <c r="Y37" s="14" t="e">
        <f ca="1">INDEX(INDIRECT($AF$6),
       MATCH(TRIM($S37), INDIRECT($AF$7), 0),
       MATCH(TRIM(Y$13), INDIRECT($AF$8), 0))</f>
        <v>#REF!</v>
      </c>
      <c r="Z37" s="14" t="e">
        <f ca="1">INDEX(INDIRECT($AF$6),
       MATCH(TRIM($S37), INDIRECT($AF$7), 0),
       MATCH(TRIM(Z$13), INDIRECT($AF$8), 0))</f>
        <v>#REF!</v>
      </c>
      <c r="AA37" s="14" t="e">
        <f ca="1">INDEX(INDIRECT($AF$6),
       MATCH(TRIM($S37), INDIRECT($AF$7), 0),
       MATCH(TRIM(AA$13), INDIRECT($AF$8), 0))</f>
        <v>#REF!</v>
      </c>
      <c r="AB37" s="14" t="e">
        <f t="shared" ca="1" si="0"/>
        <v>#REF!</v>
      </c>
    </row>
    <row r="38" spans="1:28" x14ac:dyDescent="0.2">
      <c r="R38">
        <v>25</v>
      </c>
      <c r="S38" t="s">
        <v>67</v>
      </c>
      <c r="T38" s="14" t="e">
        <f ca="1">INDEX(INDIRECT($AF$6),
       MATCH(TRIM($S38), INDIRECT($AF$7), 0),
       MATCH(TRIM(T$13), INDIRECT($AF$8), 0))</f>
        <v>#REF!</v>
      </c>
      <c r="U38" s="14" t="e">
        <f ca="1">INDEX(INDIRECT($AF$6),
       MATCH(TRIM($S38), INDIRECT($AF$7), 0),
       MATCH(TRIM(U$13), INDIRECT($AF$8), 0))</f>
        <v>#REF!</v>
      </c>
      <c r="V38" s="14" t="e">
        <f ca="1">INDEX(INDIRECT($AF$6),
       MATCH(TRIM($S38), INDIRECT($AF$7), 0),
       MATCH(TRIM(V$13), INDIRECT($AF$8), 0))</f>
        <v>#REF!</v>
      </c>
      <c r="W38" s="14" t="e">
        <f ca="1">INDEX(INDIRECT($AF$6),
       MATCH(TRIM($S38), INDIRECT($AF$7), 0),
       MATCH(TRIM(W$13), INDIRECT($AF$8), 0))</f>
        <v>#REF!</v>
      </c>
      <c r="X38" s="14" t="e">
        <f ca="1">INDEX(INDIRECT($AF$6),
       MATCH(TRIM($S38), INDIRECT($AF$7), 0),
       MATCH(TRIM(X$13), INDIRECT($AF$8), 0))</f>
        <v>#REF!</v>
      </c>
      <c r="Y38" s="14" t="e">
        <f ca="1">INDEX(INDIRECT($AF$6),
       MATCH(TRIM($S38), INDIRECT($AF$7), 0),
       MATCH(TRIM(Y$13), INDIRECT($AF$8), 0))</f>
        <v>#REF!</v>
      </c>
      <c r="Z38" s="14" t="e">
        <f ca="1">INDEX(INDIRECT($AF$6),
       MATCH(TRIM($S38), INDIRECT($AF$7), 0),
       MATCH(TRIM(Z$13), INDIRECT($AF$8), 0))</f>
        <v>#REF!</v>
      </c>
      <c r="AA38" s="14" t="e">
        <f ca="1">INDEX(INDIRECT($AF$6),
       MATCH(TRIM($S38), INDIRECT($AF$7), 0),
       MATCH(TRIM(AA$13), INDIRECT($AF$8), 0))</f>
        <v>#REF!</v>
      </c>
      <c r="AB38" s="14" t="e">
        <f t="shared" ca="1" si="0"/>
        <v>#REF!</v>
      </c>
    </row>
    <row r="39" spans="1:28" x14ac:dyDescent="0.2">
      <c r="R39">
        <v>26</v>
      </c>
      <c r="S39" t="s">
        <v>54</v>
      </c>
      <c r="T39" s="14" t="e">
        <f ca="1">INDEX(INDIRECT($AF$6),
       MATCH(TRIM($S39), INDIRECT($AF$7), 0),
       MATCH(TRIM(T$13), INDIRECT($AF$8), 0))</f>
        <v>#REF!</v>
      </c>
      <c r="U39" s="14" t="e">
        <f ca="1">INDEX(INDIRECT($AF$6),
       MATCH(TRIM($S39), INDIRECT($AF$7), 0),
       MATCH(TRIM(U$13), INDIRECT($AF$8), 0))</f>
        <v>#REF!</v>
      </c>
      <c r="V39" s="14" t="e">
        <f ca="1">INDEX(INDIRECT($AF$6),
       MATCH(TRIM($S39), INDIRECT($AF$7), 0),
       MATCH(TRIM(V$13), INDIRECT($AF$8), 0))</f>
        <v>#REF!</v>
      </c>
      <c r="W39" s="14" t="e">
        <f ca="1">INDEX(INDIRECT($AF$6),
       MATCH(TRIM($S39), INDIRECT($AF$7), 0),
       MATCH(TRIM(W$13), INDIRECT($AF$8), 0))</f>
        <v>#REF!</v>
      </c>
      <c r="X39" s="14" t="e">
        <f ca="1">INDEX(INDIRECT($AF$6),
       MATCH(TRIM($S39), INDIRECT($AF$7), 0),
       MATCH(TRIM(X$13), INDIRECT($AF$8), 0))</f>
        <v>#REF!</v>
      </c>
      <c r="Y39" s="14" t="e">
        <f ca="1">INDEX(INDIRECT($AF$6),
       MATCH(TRIM($S39), INDIRECT($AF$7), 0),
       MATCH(TRIM(Y$13), INDIRECT($AF$8), 0))</f>
        <v>#REF!</v>
      </c>
      <c r="Z39" s="14" t="e">
        <f ca="1">INDEX(INDIRECT($AF$6),
       MATCH(TRIM($S39), INDIRECT($AF$7), 0),
       MATCH(TRIM(Z$13), INDIRECT($AF$8), 0))</f>
        <v>#REF!</v>
      </c>
      <c r="AA39" s="14" t="e">
        <f ca="1">INDEX(INDIRECT($AF$6),
       MATCH(TRIM($S39), INDIRECT($AF$7), 0),
       MATCH(TRIM(AA$13), INDIRECT($AF$8), 0))</f>
        <v>#REF!</v>
      </c>
      <c r="AB39" s="14" t="e">
        <f t="shared" ca="1" si="0"/>
        <v>#REF!</v>
      </c>
    </row>
    <row r="40" spans="1:28" x14ac:dyDescent="0.2">
      <c r="R40">
        <v>27</v>
      </c>
      <c r="S40" t="s">
        <v>64</v>
      </c>
      <c r="T40" s="14" t="e">
        <f ca="1">INDEX(INDIRECT($AF$6),
       MATCH(TRIM($S40), INDIRECT($AF$7), 0),
       MATCH(TRIM(T$13), INDIRECT($AF$8), 0))</f>
        <v>#REF!</v>
      </c>
      <c r="U40" s="14" t="e">
        <f ca="1">INDEX(INDIRECT($AF$6),
       MATCH(TRIM($S40), INDIRECT($AF$7), 0),
       MATCH(TRIM(U$13), INDIRECT($AF$8), 0))</f>
        <v>#REF!</v>
      </c>
      <c r="V40" s="14" t="e">
        <f ca="1">INDEX(INDIRECT($AF$6),
       MATCH(TRIM($S40), INDIRECT($AF$7), 0),
       MATCH(TRIM(V$13), INDIRECT($AF$8), 0))</f>
        <v>#REF!</v>
      </c>
      <c r="W40" s="14" t="e">
        <f ca="1">INDEX(INDIRECT($AF$6),
       MATCH(TRIM($S40), INDIRECT($AF$7), 0),
       MATCH(TRIM(W$13), INDIRECT($AF$8), 0))</f>
        <v>#REF!</v>
      </c>
      <c r="X40" s="14" t="e">
        <f ca="1">INDEX(INDIRECT($AF$6),
       MATCH(TRIM($S40), INDIRECT($AF$7), 0),
       MATCH(TRIM(X$13), INDIRECT($AF$8), 0))</f>
        <v>#REF!</v>
      </c>
      <c r="Y40" s="14" t="e">
        <f ca="1">INDEX(INDIRECT($AF$6),
       MATCH(TRIM($S40), INDIRECT($AF$7), 0),
       MATCH(TRIM(Y$13), INDIRECT($AF$8), 0))</f>
        <v>#REF!</v>
      </c>
      <c r="Z40" s="14" t="e">
        <f ca="1">INDEX(INDIRECT($AF$6),
       MATCH(TRIM($S40), INDIRECT($AF$7), 0),
       MATCH(TRIM(Z$13), INDIRECT($AF$8), 0))</f>
        <v>#REF!</v>
      </c>
      <c r="AA40" s="14" t="e">
        <f ca="1">INDEX(INDIRECT($AF$6),
       MATCH(TRIM($S40), INDIRECT($AF$7), 0),
       MATCH(TRIM(AA$13), INDIRECT($AF$8), 0))</f>
        <v>#REF!</v>
      </c>
      <c r="AB40" s="14" t="e">
        <f t="shared" ca="1" si="0"/>
        <v>#REF!</v>
      </c>
    </row>
    <row r="41" spans="1:28" x14ac:dyDescent="0.2">
      <c r="R41">
        <v>28</v>
      </c>
      <c r="S41" t="s">
        <v>81</v>
      </c>
      <c r="T41" s="14" t="e">
        <f ca="1">INDEX(INDIRECT($AF$6),
       MATCH(TRIM($S41), INDIRECT($AF$7), 0),
       MATCH(TRIM(T$13), INDIRECT($AF$8), 0))</f>
        <v>#REF!</v>
      </c>
      <c r="U41" s="14" t="e">
        <f ca="1">INDEX(INDIRECT($AF$6),
       MATCH(TRIM($S41), INDIRECT($AF$7), 0),
       MATCH(TRIM(U$13), INDIRECT($AF$8), 0))</f>
        <v>#REF!</v>
      </c>
      <c r="V41" s="14" t="e">
        <f ca="1">INDEX(INDIRECT($AF$6),
       MATCH(TRIM($S41), INDIRECT($AF$7), 0),
       MATCH(TRIM(V$13), INDIRECT($AF$8), 0))</f>
        <v>#REF!</v>
      </c>
      <c r="W41" s="14" t="e">
        <f ca="1">INDEX(INDIRECT($AF$6),
       MATCH(TRIM($S41), INDIRECT($AF$7), 0),
       MATCH(TRIM(W$13), INDIRECT($AF$8), 0))</f>
        <v>#REF!</v>
      </c>
      <c r="X41" s="14" t="e">
        <f ca="1">INDEX(INDIRECT($AF$6),
       MATCH(TRIM($S41), INDIRECT($AF$7), 0),
       MATCH(TRIM(X$13), INDIRECT($AF$8), 0))</f>
        <v>#REF!</v>
      </c>
      <c r="Y41" s="14" t="e">
        <f ca="1">INDEX(INDIRECT($AF$6),
       MATCH(TRIM($S41), INDIRECT($AF$7), 0),
       MATCH(TRIM(Y$13), INDIRECT($AF$8), 0))</f>
        <v>#REF!</v>
      </c>
      <c r="Z41" s="14" t="e">
        <f ca="1">INDEX(INDIRECT($AF$6),
       MATCH(TRIM($S41), INDIRECT($AF$7), 0),
       MATCH(TRIM(Z$13), INDIRECT($AF$8), 0))</f>
        <v>#REF!</v>
      </c>
      <c r="AA41" s="14" t="e">
        <f ca="1">INDEX(INDIRECT($AF$6),
       MATCH(TRIM($S41), INDIRECT($AF$7), 0),
       MATCH(TRIM(AA$13), INDIRECT($AF$8), 0))</f>
        <v>#REF!</v>
      </c>
      <c r="AB41" s="14" t="e">
        <f t="shared" ca="1" si="0"/>
        <v>#REF!</v>
      </c>
    </row>
    <row r="42" spans="1:28" x14ac:dyDescent="0.2">
      <c r="R42">
        <v>29</v>
      </c>
      <c r="S42" t="s">
        <v>71</v>
      </c>
      <c r="T42" s="14" t="e">
        <f ca="1">INDEX(INDIRECT($AF$6),
       MATCH(TRIM($S42), INDIRECT($AF$7), 0),
       MATCH(TRIM(T$13), INDIRECT($AF$8), 0))</f>
        <v>#REF!</v>
      </c>
      <c r="U42" s="14" t="e">
        <f ca="1">INDEX(INDIRECT($AF$6),
       MATCH(TRIM($S42), INDIRECT($AF$7), 0),
       MATCH(TRIM(U$13), INDIRECT($AF$8), 0))</f>
        <v>#REF!</v>
      </c>
      <c r="V42" s="14" t="e">
        <f ca="1">INDEX(INDIRECT($AF$6),
       MATCH(TRIM($S42), INDIRECT($AF$7), 0),
       MATCH(TRIM(V$13), INDIRECT($AF$8), 0))</f>
        <v>#REF!</v>
      </c>
      <c r="W42" s="14" t="e">
        <f ca="1">INDEX(INDIRECT($AF$6),
       MATCH(TRIM($S42), INDIRECT($AF$7), 0),
       MATCH(TRIM(W$13), INDIRECT($AF$8), 0))</f>
        <v>#REF!</v>
      </c>
      <c r="X42" s="14" t="e">
        <f ca="1">INDEX(INDIRECT($AF$6),
       MATCH(TRIM($S42), INDIRECT($AF$7), 0),
       MATCH(TRIM(X$13), INDIRECT($AF$8), 0))</f>
        <v>#REF!</v>
      </c>
      <c r="Y42" s="14" t="e">
        <f ca="1">INDEX(INDIRECT($AF$6),
       MATCH(TRIM($S42), INDIRECT($AF$7), 0),
       MATCH(TRIM(Y$13), INDIRECT($AF$8), 0))</f>
        <v>#REF!</v>
      </c>
      <c r="Z42" s="14" t="e">
        <f ca="1">INDEX(INDIRECT($AF$6),
       MATCH(TRIM($S42), INDIRECT($AF$7), 0),
       MATCH(TRIM(Z$13), INDIRECT($AF$8), 0))</f>
        <v>#REF!</v>
      </c>
      <c r="AA42" s="14" t="e">
        <f ca="1">INDEX(INDIRECT($AF$6),
       MATCH(TRIM($S42), INDIRECT($AF$7), 0),
       MATCH(TRIM(AA$13), INDIRECT($AF$8), 0))</f>
        <v>#REF!</v>
      </c>
      <c r="AB42" s="14" t="e">
        <f t="shared" ca="1" si="0"/>
        <v>#REF!</v>
      </c>
    </row>
    <row r="43" spans="1:28" x14ac:dyDescent="0.2">
      <c r="R43">
        <v>30</v>
      </c>
      <c r="S43" t="s">
        <v>76</v>
      </c>
      <c r="T43" s="14" t="e">
        <f ca="1">INDEX(INDIRECT($AF$6),
       MATCH(TRIM($S43), INDIRECT($AF$7), 0),
       MATCH(TRIM(T$13), INDIRECT($AF$8), 0))</f>
        <v>#REF!</v>
      </c>
      <c r="U43" s="14" t="e">
        <f ca="1">INDEX(INDIRECT($AF$6),
       MATCH(TRIM($S43), INDIRECT($AF$7), 0),
       MATCH(TRIM(U$13), INDIRECT($AF$8), 0))</f>
        <v>#REF!</v>
      </c>
      <c r="V43" s="14" t="e">
        <f ca="1">INDEX(INDIRECT($AF$6),
       MATCH(TRIM($S43), INDIRECT($AF$7), 0),
       MATCH(TRIM(V$13), INDIRECT($AF$8), 0))</f>
        <v>#REF!</v>
      </c>
      <c r="W43" s="14" t="e">
        <f ca="1">INDEX(INDIRECT($AF$6),
       MATCH(TRIM($S43), INDIRECT($AF$7), 0),
       MATCH(TRIM(W$13), INDIRECT($AF$8), 0))</f>
        <v>#REF!</v>
      </c>
      <c r="X43" s="14" t="e">
        <f ca="1">INDEX(INDIRECT($AF$6),
       MATCH(TRIM($S43), INDIRECT($AF$7), 0),
       MATCH(TRIM(X$13), INDIRECT($AF$8), 0))</f>
        <v>#REF!</v>
      </c>
      <c r="Y43" s="14" t="e">
        <f ca="1">INDEX(INDIRECT($AF$6),
       MATCH(TRIM($S43), INDIRECT($AF$7), 0),
       MATCH(TRIM(Y$13), INDIRECT($AF$8), 0))</f>
        <v>#REF!</v>
      </c>
      <c r="Z43" s="14" t="e">
        <f ca="1">INDEX(INDIRECT($AF$6),
       MATCH(TRIM($S43), INDIRECT($AF$7), 0),
       MATCH(TRIM(Z$13), INDIRECT($AF$8), 0))</f>
        <v>#REF!</v>
      </c>
      <c r="AA43" s="14" t="e">
        <f ca="1">INDEX(INDIRECT($AF$6),
       MATCH(TRIM($S43), INDIRECT($AF$7), 0),
       MATCH(TRIM(AA$13), INDIRECT($AF$8), 0))</f>
        <v>#REF!</v>
      </c>
      <c r="AB43" s="14" t="e">
        <f t="shared" ca="1" si="0"/>
        <v>#REF!</v>
      </c>
    </row>
    <row r="44" spans="1:28" x14ac:dyDescent="0.2">
      <c r="R44">
        <v>31</v>
      </c>
      <c r="S44" t="s">
        <v>88</v>
      </c>
      <c r="T44" s="14" t="e">
        <f ca="1">INDEX(INDIRECT($AF$6),
       MATCH(TRIM($S44), INDIRECT($AF$7), 0),
       MATCH(TRIM(T$13), INDIRECT($AF$8), 0))</f>
        <v>#REF!</v>
      </c>
      <c r="U44" s="14" t="e">
        <f ca="1">INDEX(INDIRECT($AF$6),
       MATCH(TRIM($S44), INDIRECT($AF$7), 0),
       MATCH(TRIM(U$13), INDIRECT($AF$8), 0))</f>
        <v>#REF!</v>
      </c>
      <c r="V44" s="14" t="e">
        <f ca="1">INDEX(INDIRECT($AF$6),
       MATCH(TRIM($S44), INDIRECT($AF$7), 0),
       MATCH(TRIM(V$13), INDIRECT($AF$8), 0))</f>
        <v>#REF!</v>
      </c>
      <c r="W44" s="14" t="e">
        <f ca="1">INDEX(INDIRECT($AF$6),
       MATCH(TRIM($S44), INDIRECT($AF$7), 0),
       MATCH(TRIM(W$13), INDIRECT($AF$8), 0))</f>
        <v>#REF!</v>
      </c>
      <c r="X44" s="14" t="e">
        <f ca="1">INDEX(INDIRECT($AF$6),
       MATCH(TRIM($S44), INDIRECT($AF$7), 0),
       MATCH(TRIM(X$13), INDIRECT($AF$8), 0))</f>
        <v>#REF!</v>
      </c>
      <c r="Y44" s="14" t="e">
        <f ca="1">INDEX(INDIRECT($AF$6),
       MATCH(TRIM($S44), INDIRECT($AF$7), 0),
       MATCH(TRIM(Y$13), INDIRECT($AF$8), 0))</f>
        <v>#REF!</v>
      </c>
      <c r="Z44" s="14" t="e">
        <f ca="1">INDEX(INDIRECT($AF$6),
       MATCH(TRIM($S44), INDIRECT($AF$7), 0),
       MATCH(TRIM(Z$13), INDIRECT($AF$8), 0))</f>
        <v>#REF!</v>
      </c>
      <c r="AA44" s="14" t="e">
        <f ca="1">INDEX(INDIRECT($AF$6),
       MATCH(TRIM($S44), INDIRECT($AF$7), 0),
       MATCH(TRIM(AA$13), INDIRECT($AF$8), 0))</f>
        <v>#REF!</v>
      </c>
      <c r="AB44" s="14" t="e">
        <f t="shared" ca="1" si="0"/>
        <v>#REF!</v>
      </c>
    </row>
    <row r="45" spans="1:28" x14ac:dyDescent="0.2">
      <c r="R45">
        <v>32</v>
      </c>
      <c r="S45" t="s">
        <v>84</v>
      </c>
      <c r="T45" s="14" t="e">
        <f ca="1">INDEX(INDIRECT($AF$6),
       MATCH(TRIM($S45), INDIRECT($AF$7), 0),
       MATCH(TRIM(T$13), INDIRECT($AF$8), 0))</f>
        <v>#REF!</v>
      </c>
      <c r="U45" s="14" t="e">
        <f ca="1">INDEX(INDIRECT($AF$6),
       MATCH(TRIM($S45), INDIRECT($AF$7), 0),
       MATCH(TRIM(U$13), INDIRECT($AF$8), 0))</f>
        <v>#REF!</v>
      </c>
      <c r="V45" s="14" t="e">
        <f ca="1">INDEX(INDIRECT($AF$6),
       MATCH(TRIM($S45), INDIRECT($AF$7), 0),
       MATCH(TRIM(V$13), INDIRECT($AF$8), 0))</f>
        <v>#REF!</v>
      </c>
      <c r="W45" s="14" t="e">
        <f ca="1">INDEX(INDIRECT($AF$6),
       MATCH(TRIM($S45), INDIRECT($AF$7), 0),
       MATCH(TRIM(W$13), INDIRECT($AF$8), 0))</f>
        <v>#REF!</v>
      </c>
      <c r="X45" s="14" t="e">
        <f ca="1">INDEX(INDIRECT($AF$6),
       MATCH(TRIM($S45), INDIRECT($AF$7), 0),
       MATCH(TRIM(X$13), INDIRECT($AF$8), 0))</f>
        <v>#REF!</v>
      </c>
      <c r="Y45" s="14" t="e">
        <f ca="1">INDEX(INDIRECT($AF$6),
       MATCH(TRIM($S45), INDIRECT($AF$7), 0),
       MATCH(TRIM(Y$13), INDIRECT($AF$8), 0))</f>
        <v>#REF!</v>
      </c>
      <c r="Z45" s="14" t="e">
        <f ca="1">INDEX(INDIRECT($AF$6),
       MATCH(TRIM($S45), INDIRECT($AF$7), 0),
       MATCH(TRIM(Z$13), INDIRECT($AF$8), 0))</f>
        <v>#REF!</v>
      </c>
      <c r="AA45" s="14" t="e">
        <f ca="1">INDEX(INDIRECT($AF$6),
       MATCH(TRIM($S45), INDIRECT($AF$7), 0),
       MATCH(TRIM(AA$13), INDIRECT($AF$8), 0))</f>
        <v>#REF!</v>
      </c>
      <c r="AB45" s="14" t="e">
        <f t="shared" ca="1" si="0"/>
        <v>#REF!</v>
      </c>
    </row>
    <row r="46" spans="1:28" x14ac:dyDescent="0.2">
      <c r="R46">
        <v>33</v>
      </c>
      <c r="S46" t="s">
        <v>80</v>
      </c>
      <c r="T46" s="14" t="e">
        <f ca="1">INDEX(INDIRECT($AF$6),
       MATCH(TRIM($S46), INDIRECT($AF$7), 0),
       MATCH(TRIM(T$13), INDIRECT($AF$8), 0))</f>
        <v>#REF!</v>
      </c>
      <c r="U46" s="14" t="e">
        <f ca="1">INDEX(INDIRECT($AF$6),
       MATCH(TRIM($S46), INDIRECT($AF$7), 0),
       MATCH(TRIM(U$13), INDIRECT($AF$8), 0))</f>
        <v>#REF!</v>
      </c>
      <c r="V46" s="14" t="e">
        <f ca="1">INDEX(INDIRECT($AF$6),
       MATCH(TRIM($S46), INDIRECT($AF$7), 0),
       MATCH(TRIM(V$13), INDIRECT($AF$8), 0))</f>
        <v>#REF!</v>
      </c>
      <c r="W46" s="14" t="e">
        <f ca="1">INDEX(INDIRECT($AF$6),
       MATCH(TRIM($S46), INDIRECT($AF$7), 0),
       MATCH(TRIM(W$13), INDIRECT($AF$8), 0))</f>
        <v>#REF!</v>
      </c>
      <c r="X46" s="14" t="e">
        <f ca="1">INDEX(INDIRECT($AF$6),
       MATCH(TRIM($S46), INDIRECT($AF$7), 0),
       MATCH(TRIM(X$13), INDIRECT($AF$8), 0))</f>
        <v>#REF!</v>
      </c>
      <c r="Y46" s="14" t="e">
        <f ca="1">INDEX(INDIRECT($AF$6),
       MATCH(TRIM($S46), INDIRECT($AF$7), 0),
       MATCH(TRIM(Y$13), INDIRECT($AF$8), 0))</f>
        <v>#REF!</v>
      </c>
      <c r="Z46" s="14" t="e">
        <f ca="1">INDEX(INDIRECT($AF$6),
       MATCH(TRIM($S46), INDIRECT($AF$7), 0),
       MATCH(TRIM(Z$13), INDIRECT($AF$8), 0))</f>
        <v>#REF!</v>
      </c>
      <c r="AA46" s="14" t="e">
        <f ca="1">INDEX(INDIRECT($AF$6),
       MATCH(TRIM($S46), INDIRECT($AF$7), 0),
       MATCH(TRIM(AA$13), INDIRECT($AF$8), 0))</f>
        <v>#REF!</v>
      </c>
      <c r="AB46" s="14" t="e">
        <f t="shared" ca="1" si="0"/>
        <v>#REF!</v>
      </c>
    </row>
    <row r="47" spans="1:28" x14ac:dyDescent="0.2">
      <c r="R47">
        <v>34</v>
      </c>
      <c r="S47" t="s">
        <v>40</v>
      </c>
      <c r="T47" s="14" t="e">
        <f ca="1">INDEX(INDIRECT($AF$6),
       MATCH(TRIM($S47), INDIRECT($AF$7), 0),
       MATCH(TRIM(T$13), INDIRECT($AF$8), 0))</f>
        <v>#REF!</v>
      </c>
      <c r="U47" s="14" t="e">
        <f ca="1">INDEX(INDIRECT($AF$6),
       MATCH(TRIM($S47), INDIRECT($AF$7), 0),
       MATCH(TRIM(U$13), INDIRECT($AF$8), 0))</f>
        <v>#REF!</v>
      </c>
      <c r="V47" s="14" t="e">
        <f ca="1">INDEX(INDIRECT($AF$6),
       MATCH(TRIM($S47), INDIRECT($AF$7), 0),
       MATCH(TRIM(V$13), INDIRECT($AF$8), 0))</f>
        <v>#REF!</v>
      </c>
      <c r="W47" s="14" t="e">
        <f ca="1">INDEX(INDIRECT($AF$6),
       MATCH(TRIM($S47), INDIRECT($AF$7), 0),
       MATCH(TRIM(W$13), INDIRECT($AF$8), 0))</f>
        <v>#REF!</v>
      </c>
      <c r="X47" s="14" t="e">
        <f ca="1">INDEX(INDIRECT($AF$6),
       MATCH(TRIM($S47), INDIRECT($AF$7), 0),
       MATCH(TRIM(X$13), INDIRECT($AF$8), 0))</f>
        <v>#REF!</v>
      </c>
      <c r="Y47" s="14" t="e">
        <f ca="1">INDEX(INDIRECT($AF$6),
       MATCH(TRIM($S47), INDIRECT($AF$7), 0),
       MATCH(TRIM(Y$13), INDIRECT($AF$8), 0))</f>
        <v>#REF!</v>
      </c>
      <c r="Z47" s="14" t="e">
        <f ca="1">INDEX(INDIRECT($AF$6),
       MATCH(TRIM($S47), INDIRECT($AF$7), 0),
       MATCH(TRIM(Z$13), INDIRECT($AF$8), 0))</f>
        <v>#REF!</v>
      </c>
      <c r="AA47" s="14" t="e">
        <f ca="1">INDEX(INDIRECT($AF$6),
       MATCH(TRIM($S47), INDIRECT($AF$7), 0),
       MATCH(TRIM(AA$13), INDIRECT($AF$8), 0))</f>
        <v>#REF!</v>
      </c>
      <c r="AB47" s="14" t="e">
        <f t="shared" ca="1" si="0"/>
        <v>#REF!</v>
      </c>
    </row>
    <row r="48" spans="1:28" x14ac:dyDescent="0.2">
      <c r="R48">
        <v>35</v>
      </c>
      <c r="S48" t="s">
        <v>66</v>
      </c>
      <c r="T48" s="14" t="e">
        <f ca="1">INDEX(INDIRECT($AF$6),
       MATCH(TRIM($S48), INDIRECT($AF$7), 0),
       MATCH(TRIM(T$13), INDIRECT($AF$8), 0))</f>
        <v>#REF!</v>
      </c>
      <c r="U48" s="14" t="e">
        <f ca="1">INDEX(INDIRECT($AF$6),
       MATCH(TRIM($S48), INDIRECT($AF$7), 0),
       MATCH(TRIM(U$13), INDIRECT($AF$8), 0))</f>
        <v>#REF!</v>
      </c>
      <c r="V48" s="14" t="e">
        <f ca="1">INDEX(INDIRECT($AF$6),
       MATCH(TRIM($S48), INDIRECT($AF$7), 0),
       MATCH(TRIM(V$13), INDIRECT($AF$8), 0))</f>
        <v>#REF!</v>
      </c>
      <c r="W48" s="14" t="e">
        <f ca="1">INDEX(INDIRECT($AF$6),
       MATCH(TRIM($S48), INDIRECT($AF$7), 0),
       MATCH(TRIM(W$13), INDIRECT($AF$8), 0))</f>
        <v>#REF!</v>
      </c>
      <c r="X48" s="14" t="e">
        <f ca="1">INDEX(INDIRECT($AF$6),
       MATCH(TRIM($S48), INDIRECT($AF$7), 0),
       MATCH(TRIM(X$13), INDIRECT($AF$8), 0))</f>
        <v>#REF!</v>
      </c>
      <c r="Y48" s="14" t="e">
        <f ca="1">INDEX(INDIRECT($AF$6),
       MATCH(TRIM($S48), INDIRECT($AF$7), 0),
       MATCH(TRIM(Y$13), INDIRECT($AF$8), 0))</f>
        <v>#REF!</v>
      </c>
      <c r="Z48" s="14" t="e">
        <f ca="1">INDEX(INDIRECT($AF$6),
       MATCH(TRIM($S48), INDIRECT($AF$7), 0),
       MATCH(TRIM(Z$13), INDIRECT($AF$8), 0))</f>
        <v>#REF!</v>
      </c>
      <c r="AA48" s="14" t="e">
        <f ca="1">INDEX(INDIRECT($AF$6),
       MATCH(TRIM($S48), INDIRECT($AF$7), 0),
       MATCH(TRIM(AA$13), INDIRECT($AF$8), 0))</f>
        <v>#REF!</v>
      </c>
      <c r="AB48" s="14" t="e">
        <f t="shared" ca="1" si="0"/>
        <v>#REF!</v>
      </c>
    </row>
    <row r="49" spans="18:28" x14ac:dyDescent="0.2">
      <c r="R49">
        <v>36</v>
      </c>
      <c r="S49" t="s">
        <v>133</v>
      </c>
      <c r="T49" s="14" t="e">
        <f ca="1">INDEX(INDIRECT($AF$6),
       MATCH(TRIM($S49), INDIRECT($AF$7), 0),
       MATCH(TRIM(T$13), INDIRECT($AF$8), 0))</f>
        <v>#REF!</v>
      </c>
      <c r="U49" s="14" t="e">
        <f ca="1">INDEX(INDIRECT($AF$6),
       MATCH(TRIM($S49), INDIRECT($AF$7), 0),
       MATCH(TRIM(U$13), INDIRECT($AF$8), 0))</f>
        <v>#REF!</v>
      </c>
      <c r="V49" s="14" t="e">
        <f ca="1">INDEX(INDIRECT($AF$6),
       MATCH(TRIM($S49), INDIRECT($AF$7), 0),
       MATCH(TRIM(V$13), INDIRECT($AF$8), 0))</f>
        <v>#REF!</v>
      </c>
      <c r="W49" s="14" t="e">
        <f ca="1">INDEX(INDIRECT($AF$6),
       MATCH(TRIM($S49), INDIRECT($AF$7), 0),
       MATCH(TRIM(W$13), INDIRECT($AF$8), 0))</f>
        <v>#REF!</v>
      </c>
      <c r="X49" s="14" t="e">
        <f ca="1">INDEX(INDIRECT($AF$6),
       MATCH(TRIM($S49), INDIRECT($AF$7), 0),
       MATCH(TRIM(X$13), INDIRECT($AF$8), 0))</f>
        <v>#REF!</v>
      </c>
      <c r="Y49" s="14" t="e">
        <f ca="1">INDEX(INDIRECT($AF$6),
       MATCH(TRIM($S49), INDIRECT($AF$7), 0),
       MATCH(TRIM(Y$13), INDIRECT($AF$8), 0))</f>
        <v>#REF!</v>
      </c>
      <c r="Z49" s="14" t="e">
        <f ca="1">INDEX(INDIRECT($AF$6),
       MATCH(TRIM($S49), INDIRECT($AF$7), 0),
       MATCH(TRIM(Z$13), INDIRECT($AF$8), 0))</f>
        <v>#REF!</v>
      </c>
      <c r="AA49" s="14" t="e">
        <f ca="1">INDEX(INDIRECT($AF$6),
       MATCH(TRIM($S49), INDIRECT($AF$7), 0),
       MATCH(TRIM(AA$13), INDIRECT($AF$8), 0))</f>
        <v>#REF!</v>
      </c>
      <c r="AB49" s="14" t="e">
        <f t="shared" ca="1" si="0"/>
        <v>#REF!</v>
      </c>
    </row>
    <row r="50" spans="18:28" x14ac:dyDescent="0.2">
      <c r="R50">
        <v>37</v>
      </c>
      <c r="S50" t="s">
        <v>75</v>
      </c>
      <c r="T50" s="14" t="e">
        <f ca="1">INDEX(INDIRECT($AF$6),
       MATCH(TRIM($S50), INDIRECT($AF$7), 0),
       MATCH(TRIM(T$13), INDIRECT($AF$8), 0))</f>
        <v>#REF!</v>
      </c>
      <c r="U50" s="14" t="e">
        <f ca="1">INDEX(INDIRECT($AF$6),
       MATCH(TRIM($S50), INDIRECT($AF$7), 0),
       MATCH(TRIM(U$13), INDIRECT($AF$8), 0))</f>
        <v>#REF!</v>
      </c>
      <c r="V50" s="14" t="e">
        <f ca="1">INDEX(INDIRECT($AF$6),
       MATCH(TRIM($S50), INDIRECT($AF$7), 0),
       MATCH(TRIM(V$13), INDIRECT($AF$8), 0))</f>
        <v>#REF!</v>
      </c>
      <c r="W50" s="14" t="e">
        <f ca="1">INDEX(INDIRECT($AF$6),
       MATCH(TRIM($S50), INDIRECT($AF$7), 0),
       MATCH(TRIM(W$13), INDIRECT($AF$8), 0))</f>
        <v>#REF!</v>
      </c>
      <c r="X50" s="14" t="e">
        <f ca="1">INDEX(INDIRECT($AF$6),
       MATCH(TRIM($S50), INDIRECT($AF$7), 0),
       MATCH(TRIM(X$13), INDIRECT($AF$8), 0))</f>
        <v>#REF!</v>
      </c>
      <c r="Y50" s="14" t="e">
        <f ca="1">INDEX(INDIRECT($AF$6),
       MATCH(TRIM($S50), INDIRECT($AF$7), 0),
       MATCH(TRIM(Y$13), INDIRECT($AF$8), 0))</f>
        <v>#REF!</v>
      </c>
      <c r="Z50" s="14" t="e">
        <f ca="1">INDEX(INDIRECT($AF$6),
       MATCH(TRIM($S50), INDIRECT($AF$7), 0),
       MATCH(TRIM(Z$13), INDIRECT($AF$8), 0))</f>
        <v>#REF!</v>
      </c>
      <c r="AA50" s="14" t="e">
        <f ca="1">INDEX(INDIRECT($AF$6),
       MATCH(TRIM($S50), INDIRECT($AF$7), 0),
       MATCH(TRIM(AA$13), INDIRECT($AF$8), 0))</f>
        <v>#REF!</v>
      </c>
      <c r="AB50" s="14" t="e">
        <f t="shared" ca="1" si="0"/>
        <v>#REF!</v>
      </c>
    </row>
    <row r="51" spans="18:28" x14ac:dyDescent="0.2">
      <c r="R51">
        <v>38</v>
      </c>
      <c r="S51" t="s">
        <v>77</v>
      </c>
      <c r="T51" s="14" t="e">
        <f ca="1">INDEX(INDIRECT($AF$6),
       MATCH(TRIM($S51), INDIRECT($AF$7), 0),
       MATCH(TRIM(T$13), INDIRECT($AF$8), 0))</f>
        <v>#REF!</v>
      </c>
      <c r="U51" s="14" t="e">
        <f ca="1">INDEX(INDIRECT($AF$6),
       MATCH(TRIM($S51), INDIRECT($AF$7), 0),
       MATCH(TRIM(U$13), INDIRECT($AF$8), 0))</f>
        <v>#REF!</v>
      </c>
      <c r="V51" s="14" t="e">
        <f ca="1">INDEX(INDIRECT($AF$6),
       MATCH(TRIM($S51), INDIRECT($AF$7), 0),
       MATCH(TRIM(V$13), INDIRECT($AF$8), 0))</f>
        <v>#REF!</v>
      </c>
      <c r="W51" s="14" t="e">
        <f ca="1">INDEX(INDIRECT($AF$6),
       MATCH(TRIM($S51), INDIRECT($AF$7), 0),
       MATCH(TRIM(W$13), INDIRECT($AF$8), 0))</f>
        <v>#REF!</v>
      </c>
      <c r="X51" s="14" t="e">
        <f ca="1">INDEX(INDIRECT($AF$6),
       MATCH(TRIM($S51), INDIRECT($AF$7), 0),
       MATCH(TRIM(X$13), INDIRECT($AF$8), 0))</f>
        <v>#REF!</v>
      </c>
      <c r="Y51" s="14" t="e">
        <f ca="1">INDEX(INDIRECT($AF$6),
       MATCH(TRIM($S51), INDIRECT($AF$7), 0),
       MATCH(TRIM(Y$13), INDIRECT($AF$8), 0))</f>
        <v>#REF!</v>
      </c>
      <c r="Z51" s="14" t="e">
        <f ca="1">INDEX(INDIRECT($AF$6),
       MATCH(TRIM($S51), INDIRECT($AF$7), 0),
       MATCH(TRIM(Z$13), INDIRECT($AF$8), 0))</f>
        <v>#REF!</v>
      </c>
      <c r="AA51" s="14" t="e">
        <f ca="1">INDEX(INDIRECT($AF$6),
       MATCH(TRIM($S51), INDIRECT($AF$7), 0),
       MATCH(TRIM(AA$13), INDIRECT($AF$8), 0))</f>
        <v>#REF!</v>
      </c>
      <c r="AB51" s="14" t="e">
        <f t="shared" ca="1" si="0"/>
        <v>#REF!</v>
      </c>
    </row>
    <row r="52" spans="18:28" x14ac:dyDescent="0.2">
      <c r="R52">
        <v>39</v>
      </c>
      <c r="S52" t="s">
        <v>68</v>
      </c>
      <c r="T52" s="14" t="e">
        <f ca="1">INDEX(INDIRECT($AF$6),
       MATCH(TRIM($S52), INDIRECT($AF$7), 0),
       MATCH(TRIM(T$13), INDIRECT($AF$8), 0))</f>
        <v>#REF!</v>
      </c>
      <c r="U52" s="14" t="e">
        <f ca="1">INDEX(INDIRECT($AF$6),
       MATCH(TRIM($S52), INDIRECT($AF$7), 0),
       MATCH(TRIM(U$13), INDIRECT($AF$8), 0))</f>
        <v>#REF!</v>
      </c>
      <c r="V52" s="14" t="e">
        <f ca="1">INDEX(INDIRECT($AF$6),
       MATCH(TRIM($S52), INDIRECT($AF$7), 0),
       MATCH(TRIM(V$13), INDIRECT($AF$8), 0))</f>
        <v>#REF!</v>
      </c>
      <c r="W52" s="14" t="e">
        <f ca="1">INDEX(INDIRECT($AF$6),
       MATCH(TRIM($S52), INDIRECT($AF$7), 0),
       MATCH(TRIM(W$13), INDIRECT($AF$8), 0))</f>
        <v>#REF!</v>
      </c>
      <c r="X52" s="14" t="e">
        <f ca="1">INDEX(INDIRECT($AF$6),
       MATCH(TRIM($S52), INDIRECT($AF$7), 0),
       MATCH(TRIM(X$13), INDIRECT($AF$8), 0))</f>
        <v>#REF!</v>
      </c>
      <c r="Y52" s="14" t="e">
        <f ca="1">INDEX(INDIRECT($AF$6),
       MATCH(TRIM($S52), INDIRECT($AF$7), 0),
       MATCH(TRIM(Y$13), INDIRECT($AF$8), 0))</f>
        <v>#REF!</v>
      </c>
      <c r="Z52" s="14" t="e">
        <f ca="1">INDEX(INDIRECT($AF$6),
       MATCH(TRIM($S52), INDIRECT($AF$7), 0),
       MATCH(TRIM(Z$13), INDIRECT($AF$8), 0))</f>
        <v>#REF!</v>
      </c>
      <c r="AA52" s="14" t="e">
        <f ca="1">INDEX(INDIRECT($AF$6),
       MATCH(TRIM($S52), INDIRECT($AF$7), 0),
       MATCH(TRIM(AA$13), INDIRECT($AF$8), 0))</f>
        <v>#REF!</v>
      </c>
      <c r="AB52" s="14" t="e">
        <f t="shared" ca="1" si="0"/>
        <v>#REF!</v>
      </c>
    </row>
    <row r="53" spans="18:28" x14ac:dyDescent="0.2">
      <c r="R53">
        <v>40</v>
      </c>
      <c r="S53" t="s">
        <v>62</v>
      </c>
      <c r="T53" s="14" t="e">
        <f ca="1">INDEX(INDIRECT($AF$6),
       MATCH(TRIM($S53), INDIRECT($AF$7), 0),
       MATCH(TRIM(T$13), INDIRECT($AF$8), 0))</f>
        <v>#REF!</v>
      </c>
      <c r="U53" s="14" t="e">
        <f ca="1">INDEX(INDIRECT($AF$6),
       MATCH(TRIM($S53), INDIRECT($AF$7), 0),
       MATCH(TRIM(U$13), INDIRECT($AF$8), 0))</f>
        <v>#REF!</v>
      </c>
      <c r="V53" s="14" t="e">
        <f ca="1">INDEX(INDIRECT($AF$6),
       MATCH(TRIM($S53), INDIRECT($AF$7), 0),
       MATCH(TRIM(V$13), INDIRECT($AF$8), 0))</f>
        <v>#REF!</v>
      </c>
      <c r="W53" s="14" t="e">
        <f ca="1">INDEX(INDIRECT($AF$6),
       MATCH(TRIM($S53), INDIRECT($AF$7), 0),
       MATCH(TRIM(W$13), INDIRECT($AF$8), 0))</f>
        <v>#REF!</v>
      </c>
      <c r="X53" s="14" t="e">
        <f ca="1">INDEX(INDIRECT($AF$6),
       MATCH(TRIM($S53), INDIRECT($AF$7), 0),
       MATCH(TRIM(X$13), INDIRECT($AF$8), 0))</f>
        <v>#REF!</v>
      </c>
      <c r="Y53" s="14" t="e">
        <f ca="1">INDEX(INDIRECT($AF$6),
       MATCH(TRIM($S53), INDIRECT($AF$7), 0),
       MATCH(TRIM(Y$13), INDIRECT($AF$8), 0))</f>
        <v>#REF!</v>
      </c>
      <c r="Z53" s="14" t="e">
        <f ca="1">INDEX(INDIRECT($AF$6),
       MATCH(TRIM($S53), INDIRECT($AF$7), 0),
       MATCH(TRIM(Z$13), INDIRECT($AF$8), 0))</f>
        <v>#REF!</v>
      </c>
      <c r="AA53" s="14" t="e">
        <f ca="1">INDEX(INDIRECT($AF$6),
       MATCH(TRIM($S53), INDIRECT($AF$7), 0),
       MATCH(TRIM(AA$13), INDIRECT($AF$8), 0))</f>
        <v>#REF!</v>
      </c>
      <c r="AB53" s="14" t="e">
        <f t="shared" ca="1" si="0"/>
        <v>#REF!</v>
      </c>
    </row>
    <row r="54" spans="18:28" x14ac:dyDescent="0.2">
      <c r="R54">
        <v>41</v>
      </c>
      <c r="S54" t="s">
        <v>60</v>
      </c>
      <c r="T54" s="14" t="e">
        <f ca="1">INDEX(INDIRECT($AF$6),
       MATCH(TRIM($S54), INDIRECT($AF$7), 0),
       MATCH(TRIM(T$13), INDIRECT($AF$8), 0))</f>
        <v>#REF!</v>
      </c>
      <c r="U54" s="14" t="e">
        <f ca="1">INDEX(INDIRECT($AF$6),
       MATCH(TRIM($S54), INDIRECT($AF$7), 0),
       MATCH(TRIM(U$13), INDIRECT($AF$8), 0))</f>
        <v>#REF!</v>
      </c>
      <c r="V54" s="14" t="e">
        <f ca="1">INDEX(INDIRECT($AF$6),
       MATCH(TRIM($S54), INDIRECT($AF$7), 0),
       MATCH(TRIM(V$13), INDIRECT($AF$8), 0))</f>
        <v>#REF!</v>
      </c>
      <c r="W54" s="14" t="e">
        <f ca="1">INDEX(INDIRECT($AF$6),
       MATCH(TRIM($S54), INDIRECT($AF$7), 0),
       MATCH(TRIM(W$13), INDIRECT($AF$8), 0))</f>
        <v>#REF!</v>
      </c>
      <c r="X54" s="14" t="e">
        <f ca="1">INDEX(INDIRECT($AF$6),
       MATCH(TRIM($S54), INDIRECT($AF$7), 0),
       MATCH(TRIM(X$13), INDIRECT($AF$8), 0))</f>
        <v>#REF!</v>
      </c>
      <c r="Y54" s="14" t="e">
        <f ca="1">INDEX(INDIRECT($AF$6),
       MATCH(TRIM($S54), INDIRECT($AF$7), 0),
       MATCH(TRIM(Y$13), INDIRECT($AF$8), 0))</f>
        <v>#REF!</v>
      </c>
      <c r="Z54" s="14" t="e">
        <f ca="1">INDEX(INDIRECT($AF$6),
       MATCH(TRIM($S54), INDIRECT($AF$7), 0),
       MATCH(TRIM(Z$13), INDIRECT($AF$8), 0))</f>
        <v>#REF!</v>
      </c>
      <c r="AA54" s="14" t="e">
        <f ca="1">INDEX(INDIRECT($AF$6),
       MATCH(TRIM($S54), INDIRECT($AF$7), 0),
       MATCH(TRIM(AA$13), INDIRECT($AF$8), 0))</f>
        <v>#REF!</v>
      </c>
      <c r="AB54" s="14" t="e">
        <f t="shared" ca="1" si="0"/>
        <v>#REF!</v>
      </c>
    </row>
    <row r="55" spans="18:28" x14ac:dyDescent="0.2">
      <c r="R55">
        <v>42</v>
      </c>
      <c r="S55" t="s">
        <v>57</v>
      </c>
      <c r="T55" s="14" t="e">
        <f ca="1">INDEX(INDIRECT($AF$6),
       MATCH(TRIM($S55), INDIRECT($AF$7), 0),
       MATCH(TRIM(T$13), INDIRECT($AF$8), 0))</f>
        <v>#REF!</v>
      </c>
      <c r="U55" s="14" t="e">
        <f ca="1">INDEX(INDIRECT($AF$6),
       MATCH(TRIM($S55), INDIRECT($AF$7), 0),
       MATCH(TRIM(U$13), INDIRECT($AF$8), 0))</f>
        <v>#REF!</v>
      </c>
      <c r="V55" s="14" t="e">
        <f ca="1">INDEX(INDIRECT($AF$6),
       MATCH(TRIM($S55), INDIRECT($AF$7), 0),
       MATCH(TRIM(V$13), INDIRECT($AF$8), 0))</f>
        <v>#REF!</v>
      </c>
      <c r="W55" s="14" t="e">
        <f ca="1">INDEX(INDIRECT($AF$6),
       MATCH(TRIM($S55), INDIRECT($AF$7), 0),
       MATCH(TRIM(W$13), INDIRECT($AF$8), 0))</f>
        <v>#REF!</v>
      </c>
      <c r="X55" s="14" t="e">
        <f ca="1">INDEX(INDIRECT($AF$6),
       MATCH(TRIM($S55), INDIRECT($AF$7), 0),
       MATCH(TRIM(X$13), INDIRECT($AF$8), 0))</f>
        <v>#REF!</v>
      </c>
      <c r="Y55" s="14" t="e">
        <f ca="1">INDEX(INDIRECT($AF$6),
       MATCH(TRIM($S55), INDIRECT($AF$7), 0),
       MATCH(TRIM(Y$13), INDIRECT($AF$8), 0))</f>
        <v>#REF!</v>
      </c>
      <c r="Z55" s="14" t="e">
        <f ca="1">INDEX(INDIRECT($AF$6),
       MATCH(TRIM($S55), INDIRECT($AF$7), 0),
       MATCH(TRIM(Z$13), INDIRECT($AF$8), 0))</f>
        <v>#REF!</v>
      </c>
      <c r="AA55" s="14" t="e">
        <f ca="1">INDEX(INDIRECT($AF$6),
       MATCH(TRIM($S55), INDIRECT($AF$7), 0),
       MATCH(TRIM(AA$13), INDIRECT($AF$8), 0))</f>
        <v>#REF!</v>
      </c>
      <c r="AB55" s="14" t="e">
        <f t="shared" ca="1" si="0"/>
        <v>#REF!</v>
      </c>
    </row>
    <row r="56" spans="18:28" x14ac:dyDescent="0.2">
      <c r="R56">
        <v>43</v>
      </c>
      <c r="S56" t="s">
        <v>58</v>
      </c>
      <c r="T56" s="14" t="e">
        <f ca="1">INDEX(INDIRECT($AF$6),
       MATCH(TRIM($S56), INDIRECT($AF$7), 0),
       MATCH(TRIM(T$13), INDIRECT($AF$8), 0))</f>
        <v>#REF!</v>
      </c>
      <c r="U56" s="14" t="e">
        <f ca="1">INDEX(INDIRECT($AF$6),
       MATCH(TRIM($S56), INDIRECT($AF$7), 0),
       MATCH(TRIM(U$13), INDIRECT($AF$8), 0))</f>
        <v>#REF!</v>
      </c>
      <c r="V56" s="14" t="e">
        <f ca="1">INDEX(INDIRECT($AF$6),
       MATCH(TRIM($S56), INDIRECT($AF$7), 0),
       MATCH(TRIM(V$13), INDIRECT($AF$8), 0))</f>
        <v>#REF!</v>
      </c>
      <c r="W56" s="14" t="e">
        <f ca="1">INDEX(INDIRECT($AF$6),
       MATCH(TRIM($S56), INDIRECT($AF$7), 0),
       MATCH(TRIM(W$13), INDIRECT($AF$8), 0))</f>
        <v>#REF!</v>
      </c>
      <c r="X56" s="14" t="e">
        <f ca="1">INDEX(INDIRECT($AF$6),
       MATCH(TRIM($S56), INDIRECT($AF$7), 0),
       MATCH(TRIM(X$13), INDIRECT($AF$8), 0))</f>
        <v>#REF!</v>
      </c>
      <c r="Y56" s="14" t="e">
        <f ca="1">INDEX(INDIRECT($AF$6),
       MATCH(TRIM($S56), INDIRECT($AF$7), 0),
       MATCH(TRIM(Y$13), INDIRECT($AF$8), 0))</f>
        <v>#REF!</v>
      </c>
      <c r="Z56" s="14" t="e">
        <f ca="1">INDEX(INDIRECT($AF$6),
       MATCH(TRIM($S56), INDIRECT($AF$7), 0),
       MATCH(TRIM(Z$13), INDIRECT($AF$8), 0))</f>
        <v>#REF!</v>
      </c>
      <c r="AA56" s="14" t="e">
        <f ca="1">INDEX(INDIRECT($AF$6),
       MATCH(TRIM($S56), INDIRECT($AF$7), 0),
       MATCH(TRIM(AA$13), INDIRECT($AF$8), 0))</f>
        <v>#REF!</v>
      </c>
      <c r="AB56" s="14" t="e">
        <f t="shared" ca="1" si="0"/>
        <v>#REF!</v>
      </c>
    </row>
    <row r="57" spans="18:28" x14ac:dyDescent="0.2">
      <c r="R57">
        <v>44</v>
      </c>
      <c r="S57" t="s">
        <v>83</v>
      </c>
      <c r="T57" s="14" t="e">
        <f ca="1">INDEX(INDIRECT($AF$6),
       MATCH(TRIM($S57), INDIRECT($AF$7), 0),
       MATCH(TRIM(T$13), INDIRECT($AF$8), 0))</f>
        <v>#REF!</v>
      </c>
      <c r="U57" s="14" t="e">
        <f ca="1">INDEX(INDIRECT($AF$6),
       MATCH(TRIM($S57), INDIRECT($AF$7), 0),
       MATCH(TRIM(U$13), INDIRECT($AF$8), 0))</f>
        <v>#REF!</v>
      </c>
      <c r="V57" s="14" t="e">
        <f ca="1">INDEX(INDIRECT($AF$6),
       MATCH(TRIM($S57), INDIRECT($AF$7), 0),
       MATCH(TRIM(V$13), INDIRECT($AF$8), 0))</f>
        <v>#REF!</v>
      </c>
      <c r="W57" s="14" t="e">
        <f ca="1">INDEX(INDIRECT($AF$6),
       MATCH(TRIM($S57), INDIRECT($AF$7), 0),
       MATCH(TRIM(W$13), INDIRECT($AF$8), 0))</f>
        <v>#REF!</v>
      </c>
      <c r="X57" s="14" t="e">
        <f ca="1">INDEX(INDIRECT($AF$6),
       MATCH(TRIM($S57), INDIRECT($AF$7), 0),
       MATCH(TRIM(X$13), INDIRECT($AF$8), 0))</f>
        <v>#REF!</v>
      </c>
      <c r="Y57" s="14" t="e">
        <f ca="1">INDEX(INDIRECT($AF$6),
       MATCH(TRIM($S57), INDIRECT($AF$7), 0),
       MATCH(TRIM(Y$13), INDIRECT($AF$8), 0))</f>
        <v>#REF!</v>
      </c>
      <c r="Z57" s="14" t="e">
        <f ca="1">INDEX(INDIRECT($AF$6),
       MATCH(TRIM($S57), INDIRECT($AF$7), 0),
       MATCH(TRIM(Z$13), INDIRECT($AF$8), 0))</f>
        <v>#REF!</v>
      </c>
      <c r="AA57" s="14" t="e">
        <f ca="1">INDEX(INDIRECT($AF$6),
       MATCH(TRIM($S57), INDIRECT($AF$7), 0),
       MATCH(TRIM(AA$13), INDIRECT($AF$8), 0))</f>
        <v>#REF!</v>
      </c>
      <c r="AB57" s="14" t="e">
        <f t="shared" ca="1" si="0"/>
        <v>#REF!</v>
      </c>
    </row>
    <row r="58" spans="18:28" x14ac:dyDescent="0.2">
      <c r="R58">
        <v>45</v>
      </c>
      <c r="S58" t="s">
        <v>73</v>
      </c>
      <c r="T58" s="14" t="e">
        <f ca="1">INDEX(INDIRECT($AF$6),
       MATCH(TRIM($S58), INDIRECT($AF$7), 0),
       MATCH(TRIM(T$13), INDIRECT($AF$8), 0))</f>
        <v>#REF!</v>
      </c>
      <c r="U58" s="14" t="e">
        <f ca="1">INDEX(INDIRECT($AF$6),
       MATCH(TRIM($S58), INDIRECT($AF$7), 0),
       MATCH(TRIM(U$13), INDIRECT($AF$8), 0))</f>
        <v>#REF!</v>
      </c>
      <c r="V58" s="14" t="e">
        <f ca="1">INDEX(INDIRECT($AF$6),
       MATCH(TRIM($S58), INDIRECT($AF$7), 0),
       MATCH(TRIM(V$13), INDIRECT($AF$8), 0))</f>
        <v>#REF!</v>
      </c>
      <c r="W58" s="14" t="e">
        <f ca="1">INDEX(INDIRECT($AF$6),
       MATCH(TRIM($S58), INDIRECT($AF$7), 0),
       MATCH(TRIM(W$13), INDIRECT($AF$8), 0))</f>
        <v>#REF!</v>
      </c>
      <c r="X58" s="14" t="e">
        <f ca="1">INDEX(INDIRECT($AF$6),
       MATCH(TRIM($S58), INDIRECT($AF$7), 0),
       MATCH(TRIM(X$13), INDIRECT($AF$8), 0))</f>
        <v>#REF!</v>
      </c>
      <c r="Y58" s="14" t="e">
        <f ca="1">INDEX(INDIRECT($AF$6),
       MATCH(TRIM($S58), INDIRECT($AF$7), 0),
       MATCH(TRIM(Y$13), INDIRECT($AF$8), 0))</f>
        <v>#REF!</v>
      </c>
      <c r="Z58" s="14" t="e">
        <f ca="1">INDEX(INDIRECT($AF$6),
       MATCH(TRIM($S58), INDIRECT($AF$7), 0),
       MATCH(TRIM(Z$13), INDIRECT($AF$8), 0))</f>
        <v>#REF!</v>
      </c>
      <c r="AA58" s="14" t="e">
        <f ca="1">INDEX(INDIRECT($AF$6),
       MATCH(TRIM($S58), INDIRECT($AF$7), 0),
       MATCH(TRIM(AA$13), INDIRECT($AF$8), 0))</f>
        <v>#REF!</v>
      </c>
      <c r="AB58" s="14" t="e">
        <f t="shared" ca="1" si="0"/>
        <v>#REF!</v>
      </c>
    </row>
    <row r="59" spans="18:28" x14ac:dyDescent="0.2">
      <c r="R59">
        <v>46</v>
      </c>
      <c r="S59" t="s">
        <v>87</v>
      </c>
      <c r="T59" s="14" t="e">
        <f ca="1">INDEX(INDIRECT($AF$6),
       MATCH(TRIM($S59), INDIRECT($AF$7), 0),
       MATCH(TRIM(T$13), INDIRECT($AF$8), 0))</f>
        <v>#REF!</v>
      </c>
      <c r="U59" s="14" t="e">
        <f ca="1">INDEX(INDIRECT($AF$6),
       MATCH(TRIM($S59), INDIRECT($AF$7), 0),
       MATCH(TRIM(U$13), INDIRECT($AF$8), 0))</f>
        <v>#REF!</v>
      </c>
      <c r="V59" s="14" t="e">
        <f ca="1">INDEX(INDIRECT($AF$6),
       MATCH(TRIM($S59), INDIRECT($AF$7), 0),
       MATCH(TRIM(V$13), INDIRECT($AF$8), 0))</f>
        <v>#REF!</v>
      </c>
      <c r="W59" s="14" t="e">
        <f ca="1">INDEX(INDIRECT($AF$6),
       MATCH(TRIM($S59), INDIRECT($AF$7), 0),
       MATCH(TRIM(W$13), INDIRECT($AF$8), 0))</f>
        <v>#REF!</v>
      </c>
      <c r="X59" s="14" t="e">
        <f ca="1">INDEX(INDIRECT($AF$6),
       MATCH(TRIM($S59), INDIRECT($AF$7), 0),
       MATCH(TRIM(X$13), INDIRECT($AF$8), 0))</f>
        <v>#REF!</v>
      </c>
      <c r="Y59" s="14" t="e">
        <f ca="1">INDEX(INDIRECT($AF$6),
       MATCH(TRIM($S59), INDIRECT($AF$7), 0),
       MATCH(TRIM(Y$13), INDIRECT($AF$8), 0))</f>
        <v>#REF!</v>
      </c>
      <c r="Z59" s="14" t="e">
        <f ca="1">INDEX(INDIRECT($AF$6),
       MATCH(TRIM($S59), INDIRECT($AF$7), 0),
       MATCH(TRIM(Z$13), INDIRECT($AF$8), 0))</f>
        <v>#REF!</v>
      </c>
      <c r="AA59" s="14" t="e">
        <f ca="1">INDEX(INDIRECT($AF$6),
       MATCH(TRIM($S59), INDIRECT($AF$7), 0),
       MATCH(TRIM(AA$13), INDIRECT($AF$8), 0))</f>
        <v>#REF!</v>
      </c>
      <c r="AB59" s="14" t="e">
        <f t="shared" ca="1" si="0"/>
        <v>#REF!</v>
      </c>
    </row>
    <row r="60" spans="18:28" x14ac:dyDescent="0.2">
      <c r="R60">
        <v>47</v>
      </c>
      <c r="S60" t="s">
        <v>85</v>
      </c>
      <c r="T60" s="14" t="e">
        <f ca="1">INDEX(INDIRECT($AF$6),
       MATCH(TRIM($S60), INDIRECT($AF$7), 0),
       MATCH(TRIM(T$13), INDIRECT($AF$8), 0))</f>
        <v>#REF!</v>
      </c>
      <c r="U60" s="14" t="e">
        <f ca="1">INDEX(INDIRECT($AF$6),
       MATCH(TRIM($S60), INDIRECT($AF$7), 0),
       MATCH(TRIM(U$13), INDIRECT($AF$8), 0))</f>
        <v>#REF!</v>
      </c>
      <c r="V60" s="14" t="e">
        <f ca="1">INDEX(INDIRECT($AF$6),
       MATCH(TRIM($S60), INDIRECT($AF$7), 0),
       MATCH(TRIM(V$13), INDIRECT($AF$8), 0))</f>
        <v>#REF!</v>
      </c>
      <c r="W60" s="14" t="e">
        <f ca="1">INDEX(INDIRECT($AF$6),
       MATCH(TRIM($S60), INDIRECT($AF$7), 0),
       MATCH(TRIM(W$13), INDIRECT($AF$8), 0))</f>
        <v>#REF!</v>
      </c>
      <c r="X60" s="14" t="e">
        <f ca="1">INDEX(INDIRECT($AF$6),
       MATCH(TRIM($S60), INDIRECT($AF$7), 0),
       MATCH(TRIM(X$13), INDIRECT($AF$8), 0))</f>
        <v>#REF!</v>
      </c>
      <c r="Y60" s="14" t="e">
        <f ca="1">INDEX(INDIRECT($AF$6),
       MATCH(TRIM($S60), INDIRECT($AF$7), 0),
       MATCH(TRIM(Y$13), INDIRECT($AF$8), 0))</f>
        <v>#REF!</v>
      </c>
      <c r="Z60" s="14" t="e">
        <f ca="1">INDEX(INDIRECT($AF$6),
       MATCH(TRIM($S60), INDIRECT($AF$7), 0),
       MATCH(TRIM(Z$13), INDIRECT($AF$8), 0))</f>
        <v>#REF!</v>
      </c>
      <c r="AA60" s="14" t="e">
        <f ca="1">INDEX(INDIRECT($AF$6),
       MATCH(TRIM($S60), INDIRECT($AF$7), 0),
       MATCH(TRIM(AA$13), INDIRECT($AF$8), 0))</f>
        <v>#REF!</v>
      </c>
      <c r="AB60" s="14" t="e">
        <f t="shared" ca="1" si="0"/>
        <v>#REF!</v>
      </c>
    </row>
    <row r="61" spans="18:28" x14ac:dyDescent="0.2">
      <c r="R61">
        <v>48</v>
      </c>
      <c r="S61" t="s">
        <v>82</v>
      </c>
      <c r="T61" s="14" t="e">
        <f ca="1">INDEX(INDIRECT($AF$6),
       MATCH(TRIM($S61), INDIRECT($AF$7), 0),
       MATCH(TRIM(T$13), INDIRECT($AF$8), 0))</f>
        <v>#REF!</v>
      </c>
      <c r="U61" s="14" t="e">
        <f ca="1">INDEX(INDIRECT($AF$6),
       MATCH(TRIM($S61), INDIRECT($AF$7), 0),
       MATCH(TRIM(U$13), INDIRECT($AF$8), 0))</f>
        <v>#REF!</v>
      </c>
      <c r="V61" s="14" t="e">
        <f ca="1">INDEX(INDIRECT($AF$6),
       MATCH(TRIM($S61), INDIRECT($AF$7), 0),
       MATCH(TRIM(V$13), INDIRECT($AF$8), 0))</f>
        <v>#REF!</v>
      </c>
      <c r="W61" s="14" t="e">
        <f ca="1">INDEX(INDIRECT($AF$6),
       MATCH(TRIM($S61), INDIRECT($AF$7), 0),
       MATCH(TRIM(W$13), INDIRECT($AF$8), 0))</f>
        <v>#REF!</v>
      </c>
      <c r="X61" s="14" t="e">
        <f ca="1">INDEX(INDIRECT($AF$6),
       MATCH(TRIM($S61), INDIRECT($AF$7), 0),
       MATCH(TRIM(X$13), INDIRECT($AF$8), 0))</f>
        <v>#REF!</v>
      </c>
      <c r="Y61" s="14" t="e">
        <f ca="1">INDEX(INDIRECT($AF$6),
       MATCH(TRIM($S61), INDIRECT($AF$7), 0),
       MATCH(TRIM(Y$13), INDIRECT($AF$8), 0))</f>
        <v>#REF!</v>
      </c>
      <c r="Z61" s="14" t="e">
        <f ca="1">INDEX(INDIRECT($AF$6),
       MATCH(TRIM($S61), INDIRECT($AF$7), 0),
       MATCH(TRIM(Z$13), INDIRECT($AF$8), 0))</f>
        <v>#REF!</v>
      </c>
      <c r="AA61" s="14" t="e">
        <f ca="1">INDEX(INDIRECT($AF$6),
       MATCH(TRIM($S61), INDIRECT($AF$7), 0),
       MATCH(TRIM(AA$13), INDIRECT($AF$8), 0))</f>
        <v>#REF!</v>
      </c>
      <c r="AB61" s="14" t="e">
        <f t="shared" ca="1" si="0"/>
        <v>#REF!</v>
      </c>
    </row>
    <row r="62" spans="18:28" x14ac:dyDescent="0.2">
      <c r="R62">
        <v>49</v>
      </c>
      <c r="S62" t="s">
        <v>65</v>
      </c>
      <c r="T62" s="14" t="e">
        <f ca="1">INDEX(INDIRECT($AF$6),
       MATCH(TRIM($S62), INDIRECT($AF$7), 0),
       MATCH(TRIM(T$13), INDIRECT($AF$8), 0))</f>
        <v>#REF!</v>
      </c>
      <c r="U62" s="14" t="e">
        <f ca="1">INDEX(INDIRECT($AF$6),
       MATCH(TRIM($S62), INDIRECT($AF$7), 0),
       MATCH(TRIM(U$13), INDIRECT($AF$8), 0))</f>
        <v>#REF!</v>
      </c>
      <c r="V62" s="14" t="e">
        <f ca="1">INDEX(INDIRECT($AF$6),
       MATCH(TRIM($S62), INDIRECT($AF$7), 0),
       MATCH(TRIM(V$13), INDIRECT($AF$8), 0))</f>
        <v>#REF!</v>
      </c>
      <c r="W62" s="14" t="e">
        <f ca="1">INDEX(INDIRECT($AF$6),
       MATCH(TRIM($S62), INDIRECT($AF$7), 0),
       MATCH(TRIM(W$13), INDIRECT($AF$8), 0))</f>
        <v>#REF!</v>
      </c>
      <c r="X62" s="14" t="e">
        <f ca="1">INDEX(INDIRECT($AF$6),
       MATCH(TRIM($S62), INDIRECT($AF$7), 0),
       MATCH(TRIM(X$13), INDIRECT($AF$8), 0))</f>
        <v>#REF!</v>
      </c>
      <c r="Y62" s="14" t="e">
        <f ca="1">INDEX(INDIRECT($AF$6),
       MATCH(TRIM($S62), INDIRECT($AF$7), 0),
       MATCH(TRIM(Y$13), INDIRECT($AF$8), 0))</f>
        <v>#REF!</v>
      </c>
      <c r="Z62" s="14" t="e">
        <f ca="1">INDEX(INDIRECT($AF$6),
       MATCH(TRIM($S62), INDIRECT($AF$7), 0),
       MATCH(TRIM(Z$13), INDIRECT($AF$8), 0))</f>
        <v>#REF!</v>
      </c>
      <c r="AA62" s="14" t="e">
        <f ca="1">INDEX(INDIRECT($AF$6),
       MATCH(TRIM($S62), INDIRECT($AF$7), 0),
       MATCH(TRIM(AA$13), INDIRECT($AF$8), 0))</f>
        <v>#REF!</v>
      </c>
      <c r="AB62" s="14" t="e">
        <f t="shared" ca="1" si="0"/>
        <v>#REF!</v>
      </c>
    </row>
    <row r="63" spans="18:28" x14ac:dyDescent="0.2">
      <c r="R63">
        <v>50</v>
      </c>
      <c r="S63" t="s">
        <v>120</v>
      </c>
      <c r="T63" s="14" t="e">
        <f ca="1">INDEX(INDIRECT($AF$6),
       MATCH(TRIM($S63), INDIRECT($AF$7), 0),
       MATCH(TRIM(T$13), INDIRECT($AF$8), 0))</f>
        <v>#REF!</v>
      </c>
      <c r="U63" s="14" t="e">
        <f ca="1">INDEX(INDIRECT($AF$6),
       MATCH(TRIM($S63), INDIRECT($AF$7), 0),
       MATCH(TRIM(U$13), INDIRECT($AF$8), 0))</f>
        <v>#REF!</v>
      </c>
      <c r="V63" s="14" t="e">
        <f ca="1">INDEX(INDIRECT($AF$6),
       MATCH(TRIM($S63), INDIRECT($AF$7), 0),
       MATCH(TRIM(V$13), INDIRECT($AF$8), 0))</f>
        <v>#REF!</v>
      </c>
      <c r="W63" s="14" t="e">
        <f ca="1">INDEX(INDIRECT($AF$6),
       MATCH(TRIM($S63), INDIRECT($AF$7), 0),
       MATCH(TRIM(W$13), INDIRECT($AF$8), 0))</f>
        <v>#REF!</v>
      </c>
      <c r="X63" s="14" t="e">
        <f ca="1">INDEX(INDIRECT($AF$6),
       MATCH(TRIM($S63), INDIRECT($AF$7), 0),
       MATCH(TRIM(X$13), INDIRECT($AF$8), 0))</f>
        <v>#REF!</v>
      </c>
      <c r="Y63" s="14" t="e">
        <f ca="1">INDEX(INDIRECT($AF$6),
       MATCH(TRIM($S63), INDIRECT($AF$7), 0),
       MATCH(TRIM(Y$13), INDIRECT($AF$8), 0))</f>
        <v>#REF!</v>
      </c>
      <c r="Z63" s="14" t="e">
        <f ca="1">INDEX(INDIRECT($AF$6),
       MATCH(TRIM($S63), INDIRECT($AF$7), 0),
       MATCH(TRIM(Z$13), INDIRECT($AF$8), 0))</f>
        <v>#REF!</v>
      </c>
      <c r="AA63" s="14" t="e">
        <f ca="1">INDEX(INDIRECT($AF$6),
       MATCH(TRIM($S63), INDIRECT($AF$7), 0),
       MATCH(TRIM(AA$13), INDIRECT($AF$8), 0))</f>
        <v>#REF!</v>
      </c>
      <c r="AB63" s="14" t="e">
        <f t="shared" ca="1" si="0"/>
        <v>#REF!</v>
      </c>
    </row>
    <row r="64" spans="18:28" x14ac:dyDescent="0.2">
      <c r="R64">
        <v>51</v>
      </c>
      <c r="S64" t="s">
        <v>89</v>
      </c>
      <c r="T64" s="14" t="e">
        <f ca="1">INDEX(INDIRECT($AF$6),
       MATCH(TRIM($S64), INDIRECT($AF$7), 0),
       MATCH(TRIM(T$13), INDIRECT($AF$8), 0))</f>
        <v>#REF!</v>
      </c>
      <c r="U64" s="14" t="e">
        <f ca="1">INDEX(INDIRECT($AF$6),
       MATCH(TRIM($S64), INDIRECT($AF$7), 0),
       MATCH(TRIM(U$13), INDIRECT($AF$8), 0))</f>
        <v>#REF!</v>
      </c>
      <c r="V64" s="14" t="e">
        <f ca="1">INDEX(INDIRECT($AF$6),
       MATCH(TRIM($S64), INDIRECT($AF$7), 0),
       MATCH(TRIM(V$13), INDIRECT($AF$8), 0))</f>
        <v>#REF!</v>
      </c>
      <c r="W64" s="14" t="e">
        <f ca="1">INDEX(INDIRECT($AF$6),
       MATCH(TRIM($S64), INDIRECT($AF$7), 0),
       MATCH(TRIM(W$13), INDIRECT($AF$8), 0))</f>
        <v>#REF!</v>
      </c>
      <c r="X64" s="14" t="e">
        <f ca="1">INDEX(INDIRECT($AF$6),
       MATCH(TRIM($S64), INDIRECT($AF$7), 0),
       MATCH(TRIM(X$13), INDIRECT($AF$8), 0))</f>
        <v>#REF!</v>
      </c>
      <c r="Y64" s="14" t="e">
        <f ca="1">INDEX(INDIRECT($AF$6),
       MATCH(TRIM($S64), INDIRECT($AF$7), 0),
       MATCH(TRIM(Y$13), INDIRECT($AF$8), 0))</f>
        <v>#REF!</v>
      </c>
      <c r="Z64" s="14" t="e">
        <f ca="1">INDEX(INDIRECT($AF$6),
       MATCH(TRIM($S64), INDIRECT($AF$7), 0),
       MATCH(TRIM(Z$13), INDIRECT($AF$8), 0))</f>
        <v>#REF!</v>
      </c>
      <c r="AA64" s="14" t="e">
        <f ca="1">INDEX(INDIRECT($AF$6),
       MATCH(TRIM($S64), INDIRECT($AF$7), 0),
       MATCH(TRIM(AA$13), INDIRECT($AF$8), 0))</f>
        <v>#REF!</v>
      </c>
      <c r="AB64" s="14" t="e">
        <f t="shared" ca="1" si="0"/>
        <v>#REF!</v>
      </c>
    </row>
    <row r="65" spans="18:29" x14ac:dyDescent="0.2">
      <c r="R65">
        <v>52</v>
      </c>
      <c r="S65" t="s">
        <v>74</v>
      </c>
      <c r="T65" s="14" t="e">
        <f ca="1">INDEX(INDIRECT($AF$6),
       MATCH(TRIM($S65), INDIRECT($AF$7), 0),
       MATCH(TRIM(T$13), INDIRECT($AF$8), 0))</f>
        <v>#REF!</v>
      </c>
      <c r="U65" s="14" t="e">
        <f ca="1">INDEX(INDIRECT($AF$6),
       MATCH(TRIM($S65), INDIRECT($AF$7), 0),
       MATCH(TRIM(U$13), INDIRECT($AF$8), 0))</f>
        <v>#REF!</v>
      </c>
      <c r="V65" s="14" t="e">
        <f ca="1">INDEX(INDIRECT($AF$6),
       MATCH(TRIM($S65), INDIRECT($AF$7), 0),
       MATCH(TRIM(V$13), INDIRECT($AF$8), 0))</f>
        <v>#REF!</v>
      </c>
      <c r="W65" s="14" t="e">
        <f ca="1">INDEX(INDIRECT($AF$6),
       MATCH(TRIM($S65), INDIRECT($AF$7), 0),
       MATCH(TRIM(W$13), INDIRECT($AF$8), 0))</f>
        <v>#REF!</v>
      </c>
      <c r="X65" s="14" t="e">
        <f ca="1">INDEX(INDIRECT($AF$6),
       MATCH(TRIM($S65), INDIRECT($AF$7), 0),
       MATCH(TRIM(X$13), INDIRECT($AF$8), 0))</f>
        <v>#REF!</v>
      </c>
      <c r="Y65" s="14" t="e">
        <f ca="1">INDEX(INDIRECT($AF$6),
       MATCH(TRIM($S65), INDIRECT($AF$7), 0),
       MATCH(TRIM(Y$13), INDIRECT($AF$8), 0))</f>
        <v>#REF!</v>
      </c>
      <c r="Z65" s="14" t="e">
        <f ca="1">INDEX(INDIRECT($AF$6),
       MATCH(TRIM($S65), INDIRECT($AF$7), 0),
       MATCH(TRIM(Z$13), INDIRECT($AF$8), 0))</f>
        <v>#REF!</v>
      </c>
      <c r="AA65" s="14" t="e">
        <f ca="1">INDEX(INDIRECT($AF$6),
       MATCH(TRIM($S65), INDIRECT($AF$7), 0),
       MATCH(TRIM(AA$13), INDIRECT($AF$8), 0))</f>
        <v>#REF!</v>
      </c>
      <c r="AB65" s="14" t="e">
        <f t="shared" ca="1" si="0"/>
        <v>#REF!</v>
      </c>
    </row>
    <row r="66" spans="18:29" x14ac:dyDescent="0.2">
      <c r="R66">
        <v>53</v>
      </c>
      <c r="S66" t="s">
        <v>119</v>
      </c>
      <c r="T66" s="14" t="e">
        <f ca="1">INDEX(INDIRECT($AF$6),
       MATCH(TRIM($S66), INDIRECT($AF$7), 0),
       MATCH(TRIM(T$13), INDIRECT($AF$8), 0))</f>
        <v>#REF!</v>
      </c>
      <c r="U66" s="14" t="e">
        <f ca="1">INDEX(INDIRECT($AF$6),
       MATCH(TRIM($S66), INDIRECT($AF$7), 0),
       MATCH(TRIM(U$13), INDIRECT($AF$8), 0))</f>
        <v>#REF!</v>
      </c>
      <c r="V66" s="14" t="e">
        <f ca="1">INDEX(INDIRECT($AF$6),
       MATCH(TRIM($S66), INDIRECT($AF$7), 0),
       MATCH(TRIM(V$13), INDIRECT($AF$8), 0))</f>
        <v>#REF!</v>
      </c>
      <c r="W66" s="14" t="e">
        <f ca="1">INDEX(INDIRECT($AF$6),
       MATCH(TRIM($S66), INDIRECT($AF$7), 0),
       MATCH(TRIM(W$13), INDIRECT($AF$8), 0))</f>
        <v>#REF!</v>
      </c>
      <c r="X66" s="14" t="e">
        <f ca="1">INDEX(INDIRECT($AF$6),
       MATCH(TRIM($S66), INDIRECT($AF$7), 0),
       MATCH(TRIM(X$13), INDIRECT($AF$8), 0))</f>
        <v>#REF!</v>
      </c>
      <c r="Y66" s="14" t="e">
        <f ca="1">INDEX(INDIRECT($AF$6),
       MATCH(TRIM($S66), INDIRECT($AF$7), 0),
       MATCH(TRIM(Y$13), INDIRECT($AF$8), 0))</f>
        <v>#REF!</v>
      </c>
      <c r="Z66" s="14" t="e">
        <f ca="1">INDEX(INDIRECT($AF$6),
       MATCH(TRIM($S66), INDIRECT($AF$7), 0),
       MATCH(TRIM(Z$13), INDIRECT($AF$8), 0))</f>
        <v>#REF!</v>
      </c>
      <c r="AA66" s="14" t="e">
        <f ca="1">INDEX(INDIRECT($AF$6),
       MATCH(TRIM($S66), INDIRECT($AF$7), 0),
       MATCH(TRIM(AA$13), INDIRECT($AF$8), 0))</f>
        <v>#REF!</v>
      </c>
      <c r="AB66" s="14" t="e">
        <f t="shared" ca="1" si="0"/>
        <v>#REF!</v>
      </c>
    </row>
    <row r="67" spans="18:29" x14ac:dyDescent="0.2">
      <c r="R67">
        <v>54</v>
      </c>
      <c r="S67" t="s">
        <v>136</v>
      </c>
      <c r="T67" s="14" t="e">
        <f ca="1">INDEX(INDIRECT($AF$6),
       MATCH(TRIM($S67), INDIRECT($AF$7), 0),
       MATCH(TRIM(T$13), INDIRECT($AF$8), 0))</f>
        <v>#REF!</v>
      </c>
      <c r="U67" s="14" t="e">
        <f ca="1">INDEX(INDIRECT($AF$6),
       MATCH(TRIM($S67), INDIRECT($AF$7), 0),
       MATCH(TRIM(U$13), INDIRECT($AF$8), 0))</f>
        <v>#REF!</v>
      </c>
      <c r="V67" s="14" t="e">
        <f ca="1">INDEX(INDIRECT($AF$6),
       MATCH(TRIM($S67), INDIRECT($AF$7), 0),
       MATCH(TRIM(V$13), INDIRECT($AF$8), 0))</f>
        <v>#REF!</v>
      </c>
      <c r="W67" s="14" t="e">
        <f ca="1">INDEX(INDIRECT($AF$6),
       MATCH(TRIM($S67), INDIRECT($AF$7), 0),
       MATCH(TRIM(W$13), INDIRECT($AF$8), 0))</f>
        <v>#REF!</v>
      </c>
      <c r="X67" s="14" t="e">
        <f ca="1">INDEX(INDIRECT($AF$6),
       MATCH(TRIM($S67), INDIRECT($AF$7), 0),
       MATCH(TRIM(X$13), INDIRECT($AF$8), 0))</f>
        <v>#REF!</v>
      </c>
      <c r="Y67" s="14" t="e">
        <f ca="1">INDEX(INDIRECT($AF$6),
       MATCH(TRIM($S67), INDIRECT($AF$7), 0),
       MATCH(TRIM(Y$13), INDIRECT($AF$8), 0))</f>
        <v>#REF!</v>
      </c>
      <c r="Z67" s="14" t="e">
        <f ca="1">INDEX(INDIRECT($AF$6),
       MATCH(TRIM($S67), INDIRECT($AF$7), 0),
       MATCH(TRIM(Z$13), INDIRECT($AF$8), 0))</f>
        <v>#REF!</v>
      </c>
      <c r="AA67" s="14" t="e">
        <f ca="1">INDEX(INDIRECT($AF$6),
       MATCH(TRIM($S67), INDIRECT($AF$7), 0),
       MATCH(TRIM(AA$13), INDIRECT($AF$8), 0))</f>
        <v>#REF!</v>
      </c>
      <c r="AB67" s="14" t="e">
        <f t="shared" ca="1" si="0"/>
        <v>#REF!</v>
      </c>
    </row>
    <row r="68" spans="18:29" x14ac:dyDescent="0.2">
      <c r="R68">
        <v>55</v>
      </c>
      <c r="S68" t="s">
        <v>117</v>
      </c>
      <c r="T68" s="14" t="e">
        <f ca="1">INDEX(INDIRECT($AF$6),
       MATCH(TRIM($S68), INDIRECT($AF$7), 0),
       MATCH(TRIM(T$13), INDIRECT($AF$8), 0))</f>
        <v>#REF!</v>
      </c>
      <c r="U68" s="14" t="e">
        <f ca="1">INDEX(INDIRECT($AF$6),
       MATCH(TRIM($S68), INDIRECT($AF$7), 0),
       MATCH(TRIM(U$13), INDIRECT($AF$8), 0))</f>
        <v>#REF!</v>
      </c>
      <c r="V68" s="14" t="e">
        <f ca="1">INDEX(INDIRECT($AF$6),
       MATCH(TRIM($S68), INDIRECT($AF$7), 0),
       MATCH(TRIM(V$13), INDIRECT($AF$8), 0))</f>
        <v>#REF!</v>
      </c>
      <c r="W68" s="14" t="e">
        <f ca="1">INDEX(INDIRECT($AF$6),
       MATCH(TRIM($S68), INDIRECT($AF$7), 0),
       MATCH(TRIM(W$13), INDIRECT($AF$8), 0))</f>
        <v>#REF!</v>
      </c>
      <c r="X68" s="14" t="e">
        <f ca="1">INDEX(INDIRECT($AF$6),
       MATCH(TRIM($S68), INDIRECT($AF$7), 0),
       MATCH(TRIM(X$13), INDIRECT($AF$8), 0))</f>
        <v>#REF!</v>
      </c>
      <c r="Y68" s="14" t="e">
        <f ca="1">INDEX(INDIRECT($AF$6),
       MATCH(TRIM($S68), INDIRECT($AF$7), 0),
       MATCH(TRIM(Y$13), INDIRECT($AF$8), 0))</f>
        <v>#REF!</v>
      </c>
      <c r="Z68" s="14" t="e">
        <f ca="1">INDEX(INDIRECT($AF$6),
       MATCH(TRIM($S68), INDIRECT($AF$7), 0),
       MATCH(TRIM(Z$13), INDIRECT($AF$8), 0))</f>
        <v>#REF!</v>
      </c>
      <c r="AA68" s="14" t="e">
        <f ca="1">INDEX(INDIRECT($AF$6),
       MATCH(TRIM($S68), INDIRECT($AF$7), 0),
       MATCH(TRIM(AA$13), INDIRECT($AF$8), 0))</f>
        <v>#REF!</v>
      </c>
      <c r="AB68" s="14" t="e">
        <f t="shared" ca="1" si="0"/>
        <v>#REF!</v>
      </c>
    </row>
    <row r="69" spans="18:29" x14ac:dyDescent="0.2">
      <c r="R69">
        <v>56</v>
      </c>
      <c r="S69" t="s">
        <v>78</v>
      </c>
      <c r="T69" s="14" t="e">
        <f ca="1">INDEX(INDIRECT($AF$6),
       MATCH(TRIM($S69), INDIRECT($AF$7), 0),
       MATCH(TRIM(T$13), INDIRECT($AF$8), 0))</f>
        <v>#REF!</v>
      </c>
      <c r="U69" s="14" t="e">
        <f ca="1">INDEX(INDIRECT($AF$6),
       MATCH(TRIM($S69), INDIRECT($AF$7), 0),
       MATCH(TRIM(U$13), INDIRECT($AF$8), 0))</f>
        <v>#REF!</v>
      </c>
      <c r="V69" s="14" t="e">
        <f ca="1">INDEX(INDIRECT($AF$6),
       MATCH(TRIM($S69), INDIRECT($AF$7), 0),
       MATCH(TRIM(V$13), INDIRECT($AF$8), 0))</f>
        <v>#REF!</v>
      </c>
      <c r="W69" s="14" t="e">
        <f ca="1">INDEX(INDIRECT($AF$6),
       MATCH(TRIM($S69), INDIRECT($AF$7), 0),
       MATCH(TRIM(W$13), INDIRECT($AF$8), 0))</f>
        <v>#REF!</v>
      </c>
      <c r="X69" s="14" t="e">
        <f ca="1">INDEX(INDIRECT($AF$6),
       MATCH(TRIM($S69), INDIRECT($AF$7), 0),
       MATCH(TRIM(X$13), INDIRECT($AF$8), 0))</f>
        <v>#REF!</v>
      </c>
      <c r="Y69" s="14" t="e">
        <f ca="1">INDEX(INDIRECT($AF$6),
       MATCH(TRIM($S69), INDIRECT($AF$7), 0),
       MATCH(TRIM(Y$13), INDIRECT($AF$8), 0))</f>
        <v>#REF!</v>
      </c>
      <c r="Z69" s="14" t="e">
        <f ca="1">INDEX(INDIRECT($AF$6),
       MATCH(TRIM($S69), INDIRECT($AF$7), 0),
       MATCH(TRIM(Z$13), INDIRECT($AF$8), 0))</f>
        <v>#REF!</v>
      </c>
      <c r="AA69" s="14" t="e">
        <f ca="1">INDEX(INDIRECT($AF$6),
       MATCH(TRIM($S69), INDIRECT($AF$7), 0),
       MATCH(TRIM(AA$13), INDIRECT($AF$8), 0))</f>
        <v>#REF!</v>
      </c>
      <c r="AB69" s="14" t="e">
        <f t="shared" ca="1" si="0"/>
        <v>#REF!</v>
      </c>
    </row>
    <row r="70" spans="18:29" x14ac:dyDescent="0.2">
      <c r="R70">
        <v>57</v>
      </c>
      <c r="S70" t="s">
        <v>118</v>
      </c>
      <c r="T70" s="14" t="e">
        <f ca="1">INDEX(INDIRECT($AF$6),
       MATCH(TRIM($S70), INDIRECT($AF$7), 0),
       MATCH(TRIM(T$13), INDIRECT($AF$8), 0))</f>
        <v>#REF!</v>
      </c>
      <c r="U70" s="14" t="e">
        <f ca="1">INDEX(INDIRECT($AF$6),
       MATCH(TRIM($S70), INDIRECT($AF$7), 0),
       MATCH(TRIM(U$13), INDIRECT($AF$8), 0))</f>
        <v>#REF!</v>
      </c>
      <c r="V70" s="14" t="e">
        <f ca="1">INDEX(INDIRECT($AF$6),
       MATCH(TRIM($S70), INDIRECT($AF$7), 0),
       MATCH(TRIM(V$13), INDIRECT($AF$8), 0))</f>
        <v>#REF!</v>
      </c>
      <c r="W70" s="14" t="e">
        <f ca="1">INDEX(INDIRECT($AF$6),
       MATCH(TRIM($S70), INDIRECT($AF$7), 0),
       MATCH(TRIM(W$13), INDIRECT($AF$8), 0))</f>
        <v>#REF!</v>
      </c>
      <c r="X70" s="14" t="e">
        <f ca="1">INDEX(INDIRECT($AF$6),
       MATCH(TRIM($S70), INDIRECT($AF$7), 0),
       MATCH(TRIM(X$13), INDIRECT($AF$8), 0))</f>
        <v>#REF!</v>
      </c>
      <c r="Y70" s="14" t="e">
        <f ca="1">INDEX(INDIRECT($AF$6),
       MATCH(TRIM($S70), INDIRECT($AF$7), 0),
       MATCH(TRIM(Y$13), INDIRECT($AF$8), 0))</f>
        <v>#REF!</v>
      </c>
      <c r="Z70" s="14" t="e">
        <f ca="1">INDEX(INDIRECT($AF$6),
       MATCH(TRIM($S70), INDIRECT($AF$7), 0),
       MATCH(TRIM(Z$13), INDIRECT($AF$8), 0))</f>
        <v>#REF!</v>
      </c>
      <c r="AA70" s="14" t="e">
        <f ca="1">INDEX(INDIRECT($AF$6),
       MATCH(TRIM($S70), INDIRECT($AF$7), 0),
       MATCH(TRIM(AA$13), INDIRECT($AF$8), 0))</f>
        <v>#REF!</v>
      </c>
      <c r="AB70" s="14" t="e">
        <f t="shared" ca="1" si="0"/>
        <v>#REF!</v>
      </c>
    </row>
    <row r="71" spans="18:29" x14ac:dyDescent="0.2">
      <c r="R71">
        <v>58</v>
      </c>
      <c r="S71" t="s">
        <v>134</v>
      </c>
      <c r="T71" s="14" t="e">
        <f ca="1">INDEX(INDIRECT($AF$6),
       MATCH(TRIM($S71), INDIRECT($AF$7), 0),
       MATCH(TRIM(T$13), INDIRECT($AF$8), 0))</f>
        <v>#REF!</v>
      </c>
      <c r="U71" s="14" t="e">
        <f ca="1">INDEX(INDIRECT($AF$6),
       MATCH(TRIM($S71), INDIRECT($AF$7), 0),
       MATCH(TRIM(U$13), INDIRECT($AF$8), 0))</f>
        <v>#REF!</v>
      </c>
      <c r="V71" s="14" t="e">
        <f ca="1">INDEX(INDIRECT($AF$6),
       MATCH(TRIM($S71), INDIRECT($AF$7), 0),
       MATCH(TRIM(V$13), INDIRECT($AF$8), 0))</f>
        <v>#REF!</v>
      </c>
      <c r="W71" s="14" t="e">
        <f ca="1">INDEX(INDIRECT($AF$6),
       MATCH(TRIM($S71), INDIRECT($AF$7), 0),
       MATCH(TRIM(W$13), INDIRECT($AF$8), 0))</f>
        <v>#REF!</v>
      </c>
      <c r="X71" s="14" t="e">
        <f ca="1">INDEX(INDIRECT($AF$6),
       MATCH(TRIM($S71), INDIRECT($AF$7), 0),
       MATCH(TRIM(X$13), INDIRECT($AF$8), 0))</f>
        <v>#REF!</v>
      </c>
      <c r="Y71" s="14" t="e">
        <f ca="1">INDEX(INDIRECT($AF$6),
       MATCH(TRIM($S71), INDIRECT($AF$7), 0),
       MATCH(TRIM(Y$13), INDIRECT($AF$8), 0))</f>
        <v>#REF!</v>
      </c>
      <c r="Z71" s="14" t="e">
        <f ca="1">INDEX(INDIRECT($AF$6),
       MATCH(TRIM($S71), INDIRECT($AF$7), 0),
       MATCH(TRIM(Z$13), INDIRECT($AF$8), 0))</f>
        <v>#REF!</v>
      </c>
      <c r="AA71" s="14" t="e">
        <f ca="1">INDEX(INDIRECT($AF$6),
       MATCH(TRIM($S71), INDIRECT($AF$7), 0),
       MATCH(TRIM(AA$13), INDIRECT($AF$8), 0))</f>
        <v>#REF!</v>
      </c>
      <c r="AB71" s="14" t="e">
        <f t="shared" ca="1" si="0"/>
        <v>#REF!</v>
      </c>
    </row>
    <row r="72" spans="18:29" x14ac:dyDescent="0.2">
      <c r="R72">
        <v>59</v>
      </c>
      <c r="S72" t="s">
        <v>121</v>
      </c>
      <c r="T72" s="14" t="e">
        <f ca="1">INDEX(INDIRECT($AF$6),
       MATCH(TRIM($S72), INDIRECT($AF$7), 0),
       MATCH(TRIM(T$13), INDIRECT($AF$8), 0))</f>
        <v>#REF!</v>
      </c>
      <c r="U72" s="14" t="e">
        <f t="shared" ref="U72:AB72" ca="1" si="2">INDEX(INDIRECT($AF$6),
       MATCH(TRIM($S72), INDIRECT($AF$7), 0),
       MATCH(TRIM(U$13), INDIRECT($AF$8), 0))</f>
        <v>#REF!</v>
      </c>
      <c r="V72" s="14" t="e">
        <f t="shared" ca="1" si="2"/>
        <v>#REF!</v>
      </c>
      <c r="W72" s="14" t="e">
        <f t="shared" ca="1" si="2"/>
        <v>#REF!</v>
      </c>
      <c r="X72" s="14" t="e">
        <f t="shared" ca="1" si="2"/>
        <v>#REF!</v>
      </c>
      <c r="Y72" s="14" t="e">
        <f t="shared" ca="1" si="2"/>
        <v>#REF!</v>
      </c>
      <c r="Z72" s="14" t="e">
        <f t="shared" ca="1" si="2"/>
        <v>#REF!</v>
      </c>
      <c r="AA72" s="14" t="e">
        <f t="shared" ca="1" si="2"/>
        <v>#REF!</v>
      </c>
      <c r="AB72" s="14" t="e">
        <f t="shared" ca="1" si="0"/>
        <v>#REF!</v>
      </c>
    </row>
    <row r="73" spans="18:29" x14ac:dyDescent="0.2">
      <c r="R73">
        <v>60</v>
      </c>
      <c r="S73" t="s">
        <v>135</v>
      </c>
      <c r="T73" s="14" t="e">
        <f t="shared" ref="T73:AB75" ca="1" si="3">INDEX(INDIRECT($AF$6),
       MATCH(TRIM($S73), INDIRECT($AF$7), 0),
       MATCH(TRIM(T$13), INDIRECT($AF$8), 0))</f>
        <v>#REF!</v>
      </c>
      <c r="U73" s="14" t="e">
        <f t="shared" ca="1" si="3"/>
        <v>#REF!</v>
      </c>
      <c r="V73" s="14" t="e">
        <f t="shared" ca="1" si="3"/>
        <v>#REF!</v>
      </c>
      <c r="W73" s="14" t="e">
        <f t="shared" ca="1" si="3"/>
        <v>#REF!</v>
      </c>
      <c r="X73" s="14" t="e">
        <f t="shared" ca="1" si="3"/>
        <v>#REF!</v>
      </c>
      <c r="Y73" s="14" t="e">
        <f t="shared" ca="1" si="3"/>
        <v>#REF!</v>
      </c>
      <c r="Z73" s="14" t="e">
        <f t="shared" ca="1" si="3"/>
        <v>#REF!</v>
      </c>
      <c r="AA73" s="14" t="e">
        <f t="shared" ca="1" si="3"/>
        <v>#REF!</v>
      </c>
      <c r="AB73" s="14" t="e">
        <f t="shared" ca="1" si="0"/>
        <v>#REF!</v>
      </c>
      <c r="AC73" s="91">
        <f t="shared" ref="AC73" si="4">SUM(AC14:AC72)</f>
        <v>0</v>
      </c>
    </row>
    <row r="74" spans="18:29" x14ac:dyDescent="0.2">
      <c r="R74">
        <v>61</v>
      </c>
      <c r="S74" t="s">
        <v>150</v>
      </c>
      <c r="T74" s="14" t="e">
        <f t="shared" ca="1" si="3"/>
        <v>#REF!</v>
      </c>
      <c r="U74" s="14" t="e">
        <f t="shared" ca="1" si="3"/>
        <v>#REF!</v>
      </c>
      <c r="V74" s="14" t="e">
        <f t="shared" ca="1" si="3"/>
        <v>#REF!</v>
      </c>
      <c r="W74" s="14" t="e">
        <f t="shared" ca="1" si="3"/>
        <v>#REF!</v>
      </c>
      <c r="X74" s="14" t="e">
        <f t="shared" ca="1" si="3"/>
        <v>#REF!</v>
      </c>
      <c r="Y74" s="14" t="e">
        <f t="shared" ca="1" si="3"/>
        <v>#REF!</v>
      </c>
      <c r="Z74" s="14" t="e">
        <f t="shared" ca="1" si="3"/>
        <v>#REF!</v>
      </c>
      <c r="AA74" s="14" t="e">
        <f t="shared" ca="1" si="3"/>
        <v>#REF!</v>
      </c>
      <c r="AB74" s="14" t="e">
        <f t="shared" ca="1" si="0"/>
        <v>#REF!</v>
      </c>
    </row>
    <row r="75" spans="18:29" x14ac:dyDescent="0.2">
      <c r="R75">
        <v>62</v>
      </c>
      <c r="S75" t="s">
        <v>86</v>
      </c>
      <c r="T75" s="14" t="e">
        <f t="shared" ca="1" si="3"/>
        <v>#REF!</v>
      </c>
      <c r="U75" s="14" t="e">
        <f t="shared" ca="1" si="3"/>
        <v>#REF!</v>
      </c>
      <c r="V75" s="14" t="e">
        <f t="shared" ca="1" si="3"/>
        <v>#REF!</v>
      </c>
      <c r="W75" s="14" t="e">
        <f t="shared" ca="1" si="3"/>
        <v>#REF!</v>
      </c>
      <c r="X75" s="14" t="e">
        <f t="shared" ca="1" si="3"/>
        <v>#REF!</v>
      </c>
      <c r="Y75" s="14" t="e">
        <f t="shared" ca="1" si="3"/>
        <v>#REF!</v>
      </c>
      <c r="Z75" s="14" t="e">
        <f t="shared" ca="1" si="3"/>
        <v>#REF!</v>
      </c>
      <c r="AA75" s="14" t="e">
        <f t="shared" ca="1" si="3"/>
        <v>#REF!</v>
      </c>
      <c r="AB75" s="14" t="e">
        <f t="shared" ca="1" si="0"/>
        <v>#REF!</v>
      </c>
      <c r="AC75" s="91">
        <f>SUM(AC16:AC74)</f>
        <v>0</v>
      </c>
    </row>
    <row r="76" spans="18:29" x14ac:dyDescent="0.2">
      <c r="R76" s="87" t="s">
        <v>26</v>
      </c>
      <c r="S76" s="88"/>
      <c r="T76" s="89" cm="1">
        <f t="array" aca="1" ref="T76" ca="1">SUM(IFERROR(T14:T75,0))</f>
        <v>0</v>
      </c>
      <c r="U76" s="89" cm="1">
        <f t="array" aca="1" ref="U76" ca="1">SUM(IFERROR(U14:U75,0))</f>
        <v>0</v>
      </c>
      <c r="V76" s="89" cm="1">
        <f t="array" aca="1" ref="V76" ca="1">SUM(IFERROR(V14:V75,0))</f>
        <v>0</v>
      </c>
      <c r="W76" s="89" cm="1">
        <f t="array" aca="1" ref="W76" ca="1">SUM(IFERROR(W14:W75,0))</f>
        <v>0</v>
      </c>
      <c r="X76" s="89" cm="1">
        <f t="array" aca="1" ref="X76" ca="1">SUM(IFERROR(X14:X75,0))</f>
        <v>0</v>
      </c>
      <c r="Y76" s="89" cm="1">
        <f t="array" aca="1" ref="Y76" ca="1">SUM(IFERROR(Y14:Y75,0))</f>
        <v>0</v>
      </c>
      <c r="Z76" s="89" cm="1">
        <f t="array" aca="1" ref="Z76" ca="1">SUM(IFERROR(Z14:Z75,0))</f>
        <v>0</v>
      </c>
      <c r="AA76" s="89" cm="1">
        <f t="array" aca="1" ref="AA76" ca="1">SUM(IFERROR(AA14:AA75,0))</f>
        <v>0</v>
      </c>
      <c r="AB76" s="89" cm="1">
        <f t="array" aca="1" ref="AB76" ca="1">SUM(IFERROR(AB14:AB75,0))</f>
        <v>0</v>
      </c>
    </row>
  </sheetData>
  <mergeCells count="14">
    <mergeCell ref="R76:S76"/>
    <mergeCell ref="AB12:AB13"/>
    <mergeCell ref="A13:A14"/>
    <mergeCell ref="B13:B14"/>
    <mergeCell ref="C13:E13"/>
    <mergeCell ref="F13:H13"/>
    <mergeCell ref="I13:J13"/>
    <mergeCell ref="A3:I3"/>
    <mergeCell ref="R3:Z3"/>
    <mergeCell ref="A4:I4"/>
    <mergeCell ref="R4:Z4"/>
    <mergeCell ref="T12:V12"/>
    <mergeCell ref="W12:Y12"/>
    <mergeCell ref="Z12:AA12"/>
  </mergeCells>
  <conditionalFormatting sqref="S76">
    <cfRule type="duplicateValues" dxfId="23" priority="1" stopIfTrue="1"/>
    <cfRule type="duplicateValues" dxfId="22" priority="2" stopIfTrue="1"/>
  </conditionalFormatting>
  <conditionalFormatting sqref="S76">
    <cfRule type="duplicateValues" dxfId="21" priority="3" stopIfTrue="1"/>
    <cfRule type="duplicateValues" dxfId="20" priority="4" stopIfTrue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6B67D-FA76-E240-B23A-B386F0EFF2CB}">
  <dimension ref="A1:AF77"/>
  <sheetViews>
    <sheetView topLeftCell="A28" zoomScale="106" workbookViewId="0">
      <selection activeCell="AA14" sqref="AA14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159</v>
      </c>
      <c r="N6" t="s">
        <v>155</v>
      </c>
      <c r="O6" t="s">
        <v>156</v>
      </c>
      <c r="P6" t="str">
        <f>_xlfn.CONCAT("'",M6,N6,"'","!",O6)</f>
        <v>'[FDI.2020.xlsx]Thang 12 2020'!$C$9:$I$27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[FDI.2020.xlsx]</v>
      </c>
      <c r="AD6" t="str">
        <f>N6</f>
        <v>Thang 12 2020</v>
      </c>
      <c r="AE6" t="s">
        <v>160</v>
      </c>
      <c r="AF6" t="str">
        <f>_xlfn.CONCAT("'",AC6,AD6,"'","!",AE6)</f>
        <v>'[FDI.2020.xlsx]Thang 12 2020'!$C$151:$I$209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[FDI.2020.xlsx]</v>
      </c>
      <c r="N7" t="str">
        <f>N6</f>
        <v>Thang 12 2020</v>
      </c>
      <c r="O7" t="s">
        <v>157</v>
      </c>
      <c r="P7" t="str">
        <f>_xlfn.CONCAT("'",M7,N7,"'","!",O7)</f>
        <v>'[FDI.2020.xlsx]Thang 12 2020'!$B$9:$B$27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[FDI.2020.xlsx]</v>
      </c>
      <c r="AD7" t="str">
        <f>AD6</f>
        <v>Thang 12 2020</v>
      </c>
      <c r="AE7" t="s">
        <v>161</v>
      </c>
      <c r="AF7" t="str">
        <f>_xlfn.CONCAT("'",AC7,AD7,"'","!",AE7)</f>
        <v>'[FDI.2020.xlsx]Thang 12 2020'!$B$151:$B$209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[FDI.2020.xlsx]</v>
      </c>
      <c r="N8" t="str">
        <f>N6</f>
        <v>Thang 12 2020</v>
      </c>
      <c r="O8" t="s">
        <v>158</v>
      </c>
      <c r="P8" t="str">
        <f>_xlfn.CONCAT("'",M8,N8,"'","!",O8)</f>
        <v>'[FDI.2020.xlsx]Thang 12 2020'!$C$8:$I$8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[FDI.2020.xlsx]</v>
      </c>
      <c r="AD8" t="str">
        <f>AD6</f>
        <v>Thang 12 2020</v>
      </c>
      <c r="AE8" t="s">
        <v>162</v>
      </c>
      <c r="AF8" t="str">
        <f>_xlfn.CONCAT("'",AC8,AD8,"'","!",AE8)</f>
        <v>'[FDI.2020.xlsx]Thang 12 2020'!$C$150:$I$150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80" t="s">
        <v>107</v>
      </c>
      <c r="D13" s="81"/>
      <c r="E13" s="82"/>
      <c r="F13" s="77" t="s">
        <v>108</v>
      </c>
      <c r="G13" s="78"/>
      <c r="H13" s="79"/>
      <c r="I13" s="75" t="s">
        <v>109</v>
      </c>
      <c r="J13" s="76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74" t="s">
        <v>147</v>
      </c>
      <c r="X13" s="72" t="s">
        <v>148</v>
      </c>
      <c r="Y13" s="94" t="s">
        <v>149</v>
      </c>
      <c r="Z13" s="61" t="s">
        <v>126</v>
      </c>
      <c r="AA13" s="73" t="s">
        <v>127</v>
      </c>
      <c r="AB13" s="62"/>
    </row>
    <row r="14" spans="1:32" ht="84" x14ac:dyDescent="0.2">
      <c r="A14" s="56"/>
      <c r="B14" s="56"/>
      <c r="C14" s="72" t="s">
        <v>27</v>
      </c>
      <c r="D14" s="57" t="s">
        <v>28</v>
      </c>
      <c r="E14" s="58" t="s">
        <v>29</v>
      </c>
      <c r="F14" s="74" t="s">
        <v>147</v>
      </c>
      <c r="G14" s="72" t="s">
        <v>148</v>
      </c>
      <c r="H14" s="94" t="s">
        <v>149</v>
      </c>
      <c r="I14" s="61" t="s">
        <v>126</v>
      </c>
      <c r="J14" s="73" t="s">
        <v>127</v>
      </c>
      <c r="K14" s="66" t="s">
        <v>110</v>
      </c>
      <c r="L14" s="49"/>
      <c r="M14" s="49"/>
      <c r="R14">
        <v>1</v>
      </c>
      <c r="S14" t="s">
        <v>42</v>
      </c>
      <c r="T14" s="14">
        <f ca="1">INDEX(INDIRECT($AF$6),
       MATCH(TRIM($S14), INDIRECT($AF$7), 0),
       MATCH(TRIM(T$13), INDIRECT($AF$8), 0))</f>
        <v>496</v>
      </c>
      <c r="U14" s="14" t="e">
        <f ca="1">INDEX(INDIRECT($AF$6),
       MATCH(TRIM($S14), INDIRECT($AF$7), 0),
       MATCH(TRIM(U$13), INDIRECT($AF$8), 0))</f>
        <v>#N/A</v>
      </c>
      <c r="V14" s="14">
        <f ca="1">INDEX(INDIRECT($AF$6),
       MATCH(TRIM($S14), INDIRECT($AF$7), 0),
       MATCH(TRIM(V$13), INDIRECT($AF$8), 0))</f>
        <v>711.81440099999998</v>
      </c>
      <c r="W14" s="14">
        <f ca="1">INDEX(INDIRECT($AF$6),
       MATCH(TRIM($S14), INDIRECT($AF$7), 0),
       MATCH(TRIM(W$13), INDIRECT($AF$8), 0))</f>
        <v>158</v>
      </c>
      <c r="X14" s="14" t="e">
        <f ca="1">INDEX(INDIRECT($AF$6),
       MATCH(TRIM($S14), INDIRECT($AF$7), 0),
       MATCH(TRIM(X$13), INDIRECT($AF$8), 0))</f>
        <v>#N/A</v>
      </c>
      <c r="Y14" s="14">
        <f ca="1">INDEX(INDIRECT($AF$6),
       MATCH(TRIM($S14), INDIRECT($AF$7), 0),
       MATCH(TRIM(Y$13), INDIRECT($AF$8), 0))</f>
        <v>1261.906729</v>
      </c>
      <c r="Z14" s="14">
        <f ca="1">INDEX(INDIRECT($AF$6),
       MATCH(TRIM($S14), INDIRECT($AF$7), 0),
       MATCH(TRIM(Z$13), INDIRECT($AF$8), 0))</f>
        <v>751</v>
      </c>
      <c r="AA14" s="14">
        <f ca="1">INDEX(INDIRECT($AF$6),
       MATCH(TRIM($S14), INDIRECT($AF$7), 0),
       MATCH(TRIM(AA$13), INDIRECT($AF$8), 0))</f>
        <v>1611.8166879687797</v>
      </c>
      <c r="AB14" s="14">
        <f ca="1">V14+Y14+AA14</f>
        <v>3585.5378179687796</v>
      </c>
    </row>
    <row r="15" spans="1:32" ht="57" x14ac:dyDescent="0.2">
      <c r="A15" s="26">
        <v>1</v>
      </c>
      <c r="B15" s="27" t="s">
        <v>7</v>
      </c>
      <c r="C15" s="28">
        <f ca="1">INDEX(INDIRECT($P$6),
       MATCH(TRIM($B15), INDIRECT($P$7), 0),
       MATCH(TRIM(C$14), INDIRECT($P$8), 0))</f>
        <v>800</v>
      </c>
      <c r="D15" s="28" t="e">
        <f ca="1">INDEX(INDIRECT($P$6),
       MATCH(TRIM($B15), INDIRECT($P$7), 0),
       MATCH(TRIM(D$14), INDIRECT($P$8), 0))</f>
        <v>#N/A</v>
      </c>
      <c r="E15" s="28">
        <f ca="1">INDEX(INDIRECT($P$6),
       MATCH(TRIM($B15), INDIRECT($P$7), 0),
       MATCH(TRIM(E$14), INDIRECT($P$8), 0))</f>
        <v>7190.7741480000004</v>
      </c>
      <c r="F15" s="28">
        <f ca="1">INDEX(INDIRECT($P$6),
       MATCH(TRIM($B15), INDIRECT($P$7), 0),
       MATCH(TRIM(F$14), INDIRECT($P$8), 0))</f>
        <v>680</v>
      </c>
      <c r="G15" s="28" t="e">
        <f ca="1">INDEX(INDIRECT($P$6),
       MATCH(TRIM($B15), INDIRECT($P$7), 0),
       MATCH(TRIM(G$14), INDIRECT($P$8), 0))</f>
        <v>#N/A</v>
      </c>
      <c r="H15" s="28">
        <f ca="1">INDEX(INDIRECT($P$6),
       MATCH(TRIM($B15), INDIRECT($P$7), 0),
       MATCH(TRIM(H$14), INDIRECT($P$8), 0))</f>
        <v>4593.8566406787504</v>
      </c>
      <c r="I15" s="28">
        <f ca="1">INDEX(INDIRECT($P$6),
       MATCH(TRIM($B15), INDIRECT($P$7), 0),
       MATCH(TRIM(I$14), INDIRECT($P$8), 0))</f>
        <v>1268</v>
      </c>
      <c r="J15" s="28">
        <f ca="1">INDEX(INDIRECT($P$6),
       MATCH(TRIM($B15), INDIRECT($P$7), 0),
       MATCH(TRIM(J$14), INDIRECT($P$8), 0))</f>
        <v>1816.4634590623748</v>
      </c>
      <c r="K15" s="28">
        <f ca="1">E15+H15+J15</f>
        <v>13601.094247741126</v>
      </c>
      <c r="L15" s="46"/>
      <c r="M15" s="46"/>
      <c r="R15">
        <v>2</v>
      </c>
      <c r="S15" t="s">
        <v>37</v>
      </c>
      <c r="T15" s="14">
        <f ca="1">INDEX(INDIRECT($AF$6),
       MATCH(TRIM($S15), INDIRECT($AF$7), 0),
       MATCH(TRIM(T$13), INDIRECT($AF$8), 0))</f>
        <v>950</v>
      </c>
      <c r="U15" s="14" t="e">
        <f ca="1">INDEX(INDIRECT($AF$6),
       MATCH(TRIM($S15), INDIRECT($AF$7), 0),
       MATCH(TRIM(U$13), INDIRECT($AF$8), 0))</f>
        <v>#N/A</v>
      </c>
      <c r="V15" s="14">
        <f ca="1">INDEX(INDIRECT($AF$6),
       MATCH(TRIM($S15), INDIRECT($AF$7), 0),
       MATCH(TRIM(V$13), INDIRECT($AF$8), 0))</f>
        <v>637.68200999999999</v>
      </c>
      <c r="W15" s="14">
        <f ca="1">INDEX(INDIRECT($AF$6),
       MATCH(TRIM($S15), INDIRECT($AF$7), 0),
       MATCH(TRIM(W$13), INDIRECT($AF$8), 0))</f>
        <v>250</v>
      </c>
      <c r="X15" s="14" t="e">
        <f ca="1">INDEX(INDIRECT($AF$6),
       MATCH(TRIM($S15), INDIRECT($AF$7), 0),
       MATCH(TRIM(X$13), INDIRECT($AF$8), 0))</f>
        <v>#N/A</v>
      </c>
      <c r="Y15" s="14">
        <f ca="1">INDEX(INDIRECT($AF$6),
       MATCH(TRIM($S15), INDIRECT($AF$7), 0),
       MATCH(TRIM(Y$13), INDIRECT($AF$8), 0))</f>
        <v>540.86544097843739</v>
      </c>
      <c r="Z15" s="14">
        <f ca="1">INDEX(INDIRECT($AF$6),
       MATCH(TRIM($S15), INDIRECT($AF$7), 0),
       MATCH(TRIM(Z$13), INDIRECT($AF$8), 0))</f>
        <v>3640</v>
      </c>
      <c r="AA15" s="14">
        <f ca="1">INDEX(INDIRECT($AF$6),
       MATCH(TRIM($S15), INDIRECT($AF$7), 0),
       MATCH(TRIM(AA$13), INDIRECT($AF$8), 0))</f>
        <v>3177.3834984953105</v>
      </c>
      <c r="AB15" s="14">
        <f t="shared" ref="AB15:AB75" ca="1" si="0">V15+Y15+AA15</f>
        <v>4355.9309494737481</v>
      </c>
    </row>
    <row r="16" spans="1:32" ht="71" x14ac:dyDescent="0.2">
      <c r="A16" s="26">
        <v>2</v>
      </c>
      <c r="B16" s="27" t="s">
        <v>8</v>
      </c>
      <c r="C16" s="28">
        <f ca="1">INDEX(INDIRECT($P$6),
       MATCH(TRIM($B16), INDIRECT($P$7), 0),
       MATCH(TRIM(C$14), INDIRECT($P$8), 0))</f>
        <v>20</v>
      </c>
      <c r="D16" s="28" t="e">
        <f ca="1">INDEX(INDIRECT($P$6),
       MATCH(TRIM($B16), INDIRECT($P$7), 0),
       MATCH(TRIM(D$14), INDIRECT($P$8), 0))</f>
        <v>#N/A</v>
      </c>
      <c r="E16" s="28">
        <f ca="1">INDEX(INDIRECT($P$6),
       MATCH(TRIM($B16), INDIRECT($P$7), 0),
       MATCH(TRIM(E$14), INDIRECT($P$8), 0))</f>
        <v>5080.8133260000004</v>
      </c>
      <c r="F16" s="28">
        <f ca="1">INDEX(INDIRECT($P$6),
       MATCH(TRIM($B16), INDIRECT($P$7), 0),
       MATCH(TRIM(F$14), INDIRECT($P$8), 0))</f>
        <v>8</v>
      </c>
      <c r="G16" s="28" t="e">
        <f ca="1">INDEX(INDIRECT($P$6),
       MATCH(TRIM($B16), INDIRECT($P$7), 0),
       MATCH(TRIM(G$14), INDIRECT($P$8), 0))</f>
        <v>#N/A</v>
      </c>
      <c r="H16" s="28">
        <f ca="1">INDEX(INDIRECT($P$6),
       MATCH(TRIM($B16), INDIRECT($P$7), 0),
       MATCH(TRIM(H$14), INDIRECT($P$8), 0))</f>
        <v>-137.469289</v>
      </c>
      <c r="I16" s="28">
        <f ca="1">INDEX(INDIRECT($P$6),
       MATCH(TRIM($B16), INDIRECT($P$7), 0),
       MATCH(TRIM(I$14), INDIRECT($P$8), 0))</f>
        <v>45</v>
      </c>
      <c r="J16" s="28">
        <f ca="1">INDEX(INDIRECT($P$6),
       MATCH(TRIM($B16), INDIRECT($P$7), 0),
       MATCH(TRIM(J$14), INDIRECT($P$8), 0))</f>
        <v>199.22343076989497</v>
      </c>
      <c r="K16" s="28">
        <f t="shared" ref="K16:K33" ca="1" si="1">E16+H16+J16</f>
        <v>5142.5674677698953</v>
      </c>
      <c r="L16" s="46"/>
      <c r="M16" s="46"/>
      <c r="R16">
        <v>3</v>
      </c>
      <c r="S16" t="s">
        <v>39</v>
      </c>
      <c r="T16" s="14">
        <f ca="1">INDEX(INDIRECT($AF$6),
       MATCH(TRIM($S16), INDIRECT($AF$7), 0),
       MATCH(TRIM(T$13), INDIRECT($AF$8), 0))</f>
        <v>133</v>
      </c>
      <c r="U16" s="14" t="e">
        <f ca="1">INDEX(INDIRECT($AF$6),
       MATCH(TRIM($S16), INDIRECT($AF$7), 0),
       MATCH(TRIM(U$13), INDIRECT($AF$8), 0))</f>
        <v>#N/A</v>
      </c>
      <c r="V16" s="14">
        <f ca="1">INDEX(INDIRECT($AF$6),
       MATCH(TRIM($S16), INDIRECT($AF$7), 0),
       MATCH(TRIM(V$13), INDIRECT($AF$8), 0))</f>
        <v>783.902917</v>
      </c>
      <c r="W16" s="14">
        <f ca="1">INDEX(INDIRECT($AF$6),
       MATCH(TRIM($S16), INDIRECT($AF$7), 0),
       MATCH(TRIM(W$13), INDIRECT($AF$8), 0))</f>
        <v>92</v>
      </c>
      <c r="X16" s="14" t="e">
        <f ca="1">INDEX(INDIRECT($AF$6),
       MATCH(TRIM($S16), INDIRECT($AF$7), 0),
       MATCH(TRIM(X$13), INDIRECT($AF$8), 0))</f>
        <v>#N/A</v>
      </c>
      <c r="Y16" s="14">
        <f ca="1">INDEX(INDIRECT($AF$6),
       MATCH(TRIM($S16), INDIRECT($AF$7), 0),
       MATCH(TRIM(Y$13), INDIRECT($AF$8), 0))</f>
        <v>317.639096</v>
      </c>
      <c r="Z16" s="14">
        <f ca="1">INDEX(INDIRECT($AF$6),
       MATCH(TRIM($S16), INDIRECT($AF$7), 0),
       MATCH(TRIM(Z$13), INDIRECT($AF$8), 0))</f>
        <v>395</v>
      </c>
      <c r="AA16" s="14">
        <f ca="1">INDEX(INDIRECT($AF$6),
       MATCH(TRIM($S16), INDIRECT($AF$7), 0),
       MATCH(TRIM(AA$13), INDIRECT($AF$8), 0))</f>
        <v>782.12474032583987</v>
      </c>
      <c r="AB16" s="14">
        <f t="shared" ca="1" si="0"/>
        <v>1883.6667533258399</v>
      </c>
    </row>
    <row r="17" spans="1:28" ht="57" x14ac:dyDescent="0.2">
      <c r="A17" s="26">
        <v>3</v>
      </c>
      <c r="B17" s="27" t="s">
        <v>9</v>
      </c>
      <c r="C17" s="28">
        <f ca="1">INDEX(INDIRECT($P$6),
       MATCH(TRIM($B17), INDIRECT($P$7), 0),
       MATCH(TRIM(C$14), INDIRECT($P$8), 0))</f>
        <v>70</v>
      </c>
      <c r="D17" s="28" t="e">
        <f ca="1">INDEX(INDIRECT($P$6),
       MATCH(TRIM($B17), INDIRECT($P$7), 0),
       MATCH(TRIM(D$14), INDIRECT($P$8), 0))</f>
        <v>#N/A</v>
      </c>
      <c r="E17" s="28">
        <f ca="1">INDEX(INDIRECT($P$6),
       MATCH(TRIM($B17), INDIRECT($P$7), 0),
       MATCH(TRIM(E$14), INDIRECT($P$8), 0))</f>
        <v>987.412103</v>
      </c>
      <c r="F17" s="28">
        <f ca="1">INDEX(INDIRECT($P$6),
       MATCH(TRIM($B17), INDIRECT($P$7), 0),
       MATCH(TRIM(F$14), INDIRECT($P$8), 0))</f>
        <v>32</v>
      </c>
      <c r="G17" s="28" t="e">
        <f ca="1">INDEX(INDIRECT($P$6),
       MATCH(TRIM($B17), INDIRECT($P$7), 0),
       MATCH(TRIM(G$14), INDIRECT($P$8), 0))</f>
        <v>#N/A</v>
      </c>
      <c r="H17" s="28">
        <f ca="1">INDEX(INDIRECT($P$6),
       MATCH(TRIM($B17), INDIRECT($P$7), 0),
       MATCH(TRIM(H$14), INDIRECT($P$8), 0))</f>
        <v>1256.075787</v>
      </c>
      <c r="I17" s="28">
        <f ca="1">INDEX(INDIRECT($P$6),
       MATCH(TRIM($B17), INDIRECT($P$7), 0),
       MATCH(TRIM(I$14), INDIRECT($P$8), 0))</f>
        <v>229</v>
      </c>
      <c r="J17" s="28">
        <f ca="1">INDEX(INDIRECT($P$6),
       MATCH(TRIM($B17), INDIRECT($P$7), 0),
       MATCH(TRIM(J$14), INDIRECT($P$8), 0))</f>
        <v>1941.4578675752098</v>
      </c>
      <c r="K17" s="28">
        <f t="shared" ca="1" si="1"/>
        <v>4184.9457575752094</v>
      </c>
      <c r="L17" s="46"/>
      <c r="M17" s="46"/>
      <c r="R17">
        <v>4</v>
      </c>
      <c r="S17" t="s">
        <v>41</v>
      </c>
      <c r="T17" s="14">
        <f ca="1">INDEX(INDIRECT($AF$6),
       MATCH(TRIM($S17), INDIRECT($AF$7), 0),
       MATCH(TRIM(T$13), INDIRECT($AF$8), 0))</f>
        <v>69</v>
      </c>
      <c r="U17" s="14" t="e">
        <f ca="1">INDEX(INDIRECT($AF$6),
       MATCH(TRIM($S17), INDIRECT($AF$7), 0),
       MATCH(TRIM(U$13), INDIRECT($AF$8), 0))</f>
        <v>#N/A</v>
      </c>
      <c r="V17" s="14">
        <f ca="1">INDEX(INDIRECT($AF$6),
       MATCH(TRIM($S17), INDIRECT($AF$7), 0),
       MATCH(TRIM(V$13), INDIRECT($AF$8), 0))</f>
        <v>405.03560499999998</v>
      </c>
      <c r="W17" s="14">
        <f ca="1">INDEX(INDIRECT($AF$6),
       MATCH(TRIM($S17), INDIRECT($AF$7), 0),
       MATCH(TRIM(W$13), INDIRECT($AF$8), 0))</f>
        <v>38</v>
      </c>
      <c r="X17" s="14" t="e">
        <f ca="1">INDEX(INDIRECT($AF$6),
       MATCH(TRIM($S17), INDIRECT($AF$7), 0),
       MATCH(TRIM(X$13), INDIRECT($AF$8), 0))</f>
        <v>#N/A</v>
      </c>
      <c r="Y17" s="14">
        <f ca="1">INDEX(INDIRECT($AF$6),
       MATCH(TRIM($S17), INDIRECT($AF$7), 0),
       MATCH(TRIM(Y$13), INDIRECT($AF$8), 0))</f>
        <v>160.48677518</v>
      </c>
      <c r="Z17" s="14">
        <f ca="1">INDEX(INDIRECT($AF$6),
       MATCH(TRIM($S17), INDIRECT($AF$7), 0),
       MATCH(TRIM(Z$13), INDIRECT($AF$8), 0))</f>
        <v>142</v>
      </c>
      <c r="AA17" s="14">
        <f ca="1">INDEX(INDIRECT($AF$6),
       MATCH(TRIM($S17), INDIRECT($AF$7), 0),
       MATCH(TRIM(AA$13), INDIRECT($AF$8), 0))</f>
        <v>362.82623019624987</v>
      </c>
      <c r="AB17" s="14">
        <f t="shared" ca="1" si="0"/>
        <v>928.34861037624989</v>
      </c>
    </row>
    <row r="18" spans="1:28" x14ac:dyDescent="0.2">
      <c r="A18" s="26">
        <v>4</v>
      </c>
      <c r="B18" s="27" t="s">
        <v>10</v>
      </c>
      <c r="C18" s="28">
        <f ca="1">INDEX(INDIRECT($P$6),
       MATCH(TRIM($B18), INDIRECT($P$7), 0),
       MATCH(TRIM(C$14), INDIRECT($P$8), 0))</f>
        <v>79</v>
      </c>
      <c r="D18" s="28" t="e">
        <f ca="1">INDEX(INDIRECT($P$6),
       MATCH(TRIM($B18), INDIRECT($P$7), 0),
       MATCH(TRIM(D$14), INDIRECT($P$8), 0))</f>
        <v>#N/A</v>
      </c>
      <c r="E18" s="28">
        <f ca="1">INDEX(INDIRECT($P$6),
       MATCH(TRIM($B18), INDIRECT($P$7), 0),
       MATCH(TRIM(E$14), INDIRECT($P$8), 0))</f>
        <v>237.24400800000001</v>
      </c>
      <c r="F18" s="28">
        <f ca="1">INDEX(INDIRECT($P$6),
       MATCH(TRIM($B18), INDIRECT($P$7), 0),
       MATCH(TRIM(F$14), INDIRECT($P$8), 0))</f>
        <v>29</v>
      </c>
      <c r="G18" s="28" t="e">
        <f ca="1">INDEX(INDIRECT($P$6),
       MATCH(TRIM($B18), INDIRECT($P$7), 0),
       MATCH(TRIM(G$14), INDIRECT($P$8), 0))</f>
        <v>#N/A</v>
      </c>
      <c r="H18" s="28">
        <f ca="1">INDEX(INDIRECT($P$6),
       MATCH(TRIM($B18), INDIRECT($P$7), 0),
       MATCH(TRIM(H$14), INDIRECT($P$8), 0))</f>
        <v>78.886713999999998</v>
      </c>
      <c r="I18" s="28">
        <f ca="1">INDEX(INDIRECT($P$6),
       MATCH(TRIM($B18), INDIRECT($P$7), 0),
       MATCH(TRIM(I$14), INDIRECT($P$8), 0))</f>
        <v>233</v>
      </c>
      <c r="J18" s="28">
        <f ca="1">INDEX(INDIRECT($P$6),
       MATCH(TRIM($B18), INDIRECT($P$7), 0),
       MATCH(TRIM(J$14), INDIRECT($P$8), 0))</f>
        <v>243.71684897701022</v>
      </c>
      <c r="K18" s="28">
        <f t="shared" ca="1" si="1"/>
        <v>559.84757097701026</v>
      </c>
      <c r="L18" s="46"/>
      <c r="M18" s="46"/>
      <c r="R18">
        <v>5</v>
      </c>
      <c r="S18" t="s">
        <v>38</v>
      </c>
      <c r="T18" s="14">
        <f ca="1">INDEX(INDIRECT($AF$6),
       MATCH(TRIM($S18), INDIRECT($AF$7), 0),
       MATCH(TRIM(T$13), INDIRECT($AF$8), 0))</f>
        <v>153</v>
      </c>
      <c r="U18" s="14" t="e">
        <f ca="1">INDEX(INDIRECT($AF$6),
       MATCH(TRIM($S18), INDIRECT($AF$7), 0),
       MATCH(TRIM(U$13), INDIRECT($AF$8), 0))</f>
        <v>#N/A</v>
      </c>
      <c r="V18" s="14">
        <f ca="1">INDEX(INDIRECT($AF$6),
       MATCH(TRIM($S18), INDIRECT($AF$7), 0),
       MATCH(TRIM(V$13), INDIRECT($AF$8), 0))</f>
        <v>429.96638000000002</v>
      </c>
      <c r="W18" s="14">
        <f ca="1">INDEX(INDIRECT($AF$6),
       MATCH(TRIM($S18), INDIRECT($AF$7), 0),
       MATCH(TRIM(W$13), INDIRECT($AF$8), 0))</f>
        <v>99</v>
      </c>
      <c r="X18" s="14" t="e">
        <f ca="1">INDEX(INDIRECT($AF$6),
       MATCH(TRIM($S18), INDIRECT($AF$7), 0),
       MATCH(TRIM(X$13), INDIRECT($AF$8), 0))</f>
        <v>#N/A</v>
      </c>
      <c r="Y18" s="14">
        <f ca="1">INDEX(INDIRECT($AF$6),
       MATCH(TRIM($S18), INDIRECT($AF$7), 0),
       MATCH(TRIM(Y$13), INDIRECT($AF$8), 0))</f>
        <v>381.87388728906251</v>
      </c>
      <c r="Z18" s="14">
        <f ca="1">INDEX(INDIRECT($AF$6),
       MATCH(TRIM($S18), INDIRECT($AF$7), 0),
       MATCH(TRIM(Z$13), INDIRECT($AF$8), 0))</f>
        <v>162</v>
      </c>
      <c r="AA18" s="14">
        <f ca="1">INDEX(INDIRECT($AF$6),
       MATCH(TRIM($S18), INDIRECT($AF$7), 0),
       MATCH(TRIM(AA$13), INDIRECT($AF$8), 0))</f>
        <v>89.352225716314891</v>
      </c>
      <c r="AB18" s="14">
        <f t="shared" ca="1" si="0"/>
        <v>901.1924930053774</v>
      </c>
    </row>
    <row r="19" spans="1:28" ht="71" x14ac:dyDescent="0.2">
      <c r="A19" s="26">
        <v>5</v>
      </c>
      <c r="B19" s="27" t="s">
        <v>11</v>
      </c>
      <c r="C19" s="28">
        <f ca="1">INDEX(INDIRECT($P$6),
       MATCH(TRIM($B19), INDIRECT($P$7), 0),
       MATCH(TRIM(C$14), INDIRECT($P$8), 0))</f>
        <v>704</v>
      </c>
      <c r="D19" s="28" t="e">
        <f ca="1">INDEX(INDIRECT($P$6),
       MATCH(TRIM($B19), INDIRECT($P$7), 0),
       MATCH(TRIM(D$14), INDIRECT($P$8), 0))</f>
        <v>#N/A</v>
      </c>
      <c r="E19" s="28">
        <f ca="1">INDEX(INDIRECT($P$6),
       MATCH(TRIM($B19), INDIRECT($P$7), 0),
       MATCH(TRIM(E$14), INDIRECT($P$8), 0))</f>
        <v>431.18400700000001</v>
      </c>
      <c r="F19" s="28">
        <f ca="1">INDEX(INDIRECT($P$6),
       MATCH(TRIM($B19), INDIRECT($P$7), 0),
       MATCH(TRIM(F$14), INDIRECT($P$8), 0))</f>
        <v>164</v>
      </c>
      <c r="G19" s="28" t="e">
        <f ca="1">INDEX(INDIRECT($P$6),
       MATCH(TRIM($B19), INDIRECT($P$7), 0),
       MATCH(TRIM(G$14), INDIRECT($P$8), 0))</f>
        <v>#N/A</v>
      </c>
      <c r="H19" s="28">
        <f ca="1">INDEX(INDIRECT($P$6),
       MATCH(TRIM($B19), INDIRECT($P$7), 0),
       MATCH(TRIM(H$14), INDIRECT($P$8), 0))</f>
        <v>234.24452517968751</v>
      </c>
      <c r="I19" s="28">
        <f ca="1">INDEX(INDIRECT($P$6),
       MATCH(TRIM($B19), INDIRECT($P$7), 0),
       MATCH(TRIM(I$14), INDIRECT($P$8), 0))</f>
        <v>2264</v>
      </c>
      <c r="J19" s="28">
        <f ca="1">INDEX(INDIRECT($P$6),
       MATCH(TRIM($B19), INDIRECT($P$7), 0),
       MATCH(TRIM(J$14), INDIRECT($P$8), 0))</f>
        <v>980.21474146658818</v>
      </c>
      <c r="K19" s="28">
        <f t="shared" ca="1" si="1"/>
        <v>1645.6432736462757</v>
      </c>
      <c r="L19" s="46"/>
      <c r="M19" s="46"/>
      <c r="R19">
        <v>6</v>
      </c>
      <c r="S19" t="s">
        <v>43</v>
      </c>
      <c r="T19" s="14">
        <f ca="1">INDEX(INDIRECT($AF$6),
       MATCH(TRIM($S19), INDIRECT($AF$7), 0),
       MATCH(TRIM(T$13), INDIRECT($AF$8), 0))</f>
        <v>79</v>
      </c>
      <c r="U19" s="14" t="e">
        <f ca="1">INDEX(INDIRECT($AF$6),
       MATCH(TRIM($S19), INDIRECT($AF$7), 0),
       MATCH(TRIM(U$13), INDIRECT($AF$8), 0))</f>
        <v>#N/A</v>
      </c>
      <c r="V19" s="14">
        <f ca="1">INDEX(INDIRECT($AF$6),
       MATCH(TRIM($S19), INDIRECT($AF$7), 0),
       MATCH(TRIM(V$13), INDIRECT($AF$8), 0))</f>
        <v>1064.1280420000001</v>
      </c>
      <c r="W19" s="14">
        <f ca="1">INDEX(INDIRECT($AF$6),
       MATCH(TRIM($S19), INDIRECT($AF$7), 0),
       MATCH(TRIM(W$13), INDIRECT($AF$8), 0))</f>
        <v>28</v>
      </c>
      <c r="X19" s="14" t="e">
        <f ca="1">INDEX(INDIRECT($AF$6),
       MATCH(TRIM($S19), INDIRECT($AF$7), 0),
       MATCH(TRIM(X$13), INDIRECT($AF$8), 0))</f>
        <v>#N/A</v>
      </c>
      <c r="Y19" s="14">
        <f ca="1">INDEX(INDIRECT($AF$6),
       MATCH(TRIM($S19), INDIRECT($AF$7), 0),
       MATCH(TRIM(Y$13), INDIRECT($AF$8), 0))</f>
        <v>376.66604100000001</v>
      </c>
      <c r="Z19" s="14">
        <f ca="1">INDEX(INDIRECT($AF$6),
       MATCH(TRIM($S19), INDIRECT($AF$7), 0),
       MATCH(TRIM(Z$13), INDIRECT($AF$8), 0))</f>
        <v>72</v>
      </c>
      <c r="AA19" s="14">
        <f ca="1">INDEX(INDIRECT($AF$6),
       MATCH(TRIM($S19), INDIRECT($AF$7), 0),
       MATCH(TRIM(AA$13), INDIRECT($AF$8), 0))</f>
        <v>69.757297109768956</v>
      </c>
      <c r="AB19" s="14">
        <f t="shared" ca="1" si="0"/>
        <v>1510.5513801097691</v>
      </c>
    </row>
    <row r="20" spans="1:28" ht="57" x14ac:dyDescent="0.2">
      <c r="A20" s="26">
        <v>6</v>
      </c>
      <c r="B20" s="27" t="s">
        <v>12</v>
      </c>
      <c r="C20" s="28">
        <f ca="1">INDEX(INDIRECT($P$6),
       MATCH(TRIM($B20), INDIRECT($P$7), 0),
       MATCH(TRIM(C$14), INDIRECT($P$8), 0))</f>
        <v>12</v>
      </c>
      <c r="D20" s="28" t="e">
        <f ca="1">INDEX(INDIRECT($P$6),
       MATCH(TRIM($B20), INDIRECT($P$7), 0),
       MATCH(TRIM(D$14), INDIRECT($P$8), 0))</f>
        <v>#N/A</v>
      </c>
      <c r="E20" s="28">
        <f ca="1">INDEX(INDIRECT($P$6),
       MATCH(TRIM($B20), INDIRECT($P$7), 0),
       MATCH(TRIM(E$14), INDIRECT($P$8), 0))</f>
        <v>103.087824</v>
      </c>
      <c r="F20" s="28">
        <f ca="1">INDEX(INDIRECT($P$6),
       MATCH(TRIM($B20), INDIRECT($P$7), 0),
       MATCH(TRIM(F$14), INDIRECT($P$8), 0))</f>
        <v>16</v>
      </c>
      <c r="G20" s="28" t="e">
        <f ca="1">INDEX(INDIRECT($P$6),
       MATCH(TRIM($B20), INDIRECT($P$7), 0),
       MATCH(TRIM(G$14), INDIRECT($P$8), 0))</f>
        <v>#N/A</v>
      </c>
      <c r="H20" s="28">
        <f ca="1">INDEX(INDIRECT($P$6),
       MATCH(TRIM($B20), INDIRECT($P$7), 0),
       MATCH(TRIM(H$14), INDIRECT($P$8), 0))</f>
        <v>79.645726999999994</v>
      </c>
      <c r="I20" s="28">
        <f ca="1">INDEX(INDIRECT($P$6),
       MATCH(TRIM($B20), INDIRECT($P$7), 0),
       MATCH(TRIM(I$14), INDIRECT($P$8), 0))</f>
        <v>29</v>
      </c>
      <c r="J20" s="28">
        <f ca="1">INDEX(INDIRECT($P$6),
       MATCH(TRIM($B20), INDIRECT($P$7), 0),
       MATCH(TRIM(J$14), INDIRECT($P$8), 0))</f>
        <v>27.901327174916069</v>
      </c>
      <c r="K20" s="28">
        <f t="shared" ca="1" si="1"/>
        <v>210.63487817491605</v>
      </c>
      <c r="L20" s="46"/>
      <c r="M20" s="46"/>
      <c r="R20">
        <v>7</v>
      </c>
      <c r="S20" t="s">
        <v>46</v>
      </c>
      <c r="T20" s="14">
        <f ca="1">INDEX(INDIRECT($AF$6),
       MATCH(TRIM($S20), INDIRECT($AF$7), 0),
       MATCH(TRIM(T$13), INDIRECT($AF$8), 0))</f>
        <v>15</v>
      </c>
      <c r="U20" s="14" t="e">
        <f ca="1">INDEX(INDIRECT($AF$6),
       MATCH(TRIM($S20), INDIRECT($AF$7), 0),
       MATCH(TRIM(U$13), INDIRECT($AF$8), 0))</f>
        <v>#N/A</v>
      </c>
      <c r="V20" s="14">
        <f ca="1">INDEX(INDIRECT($AF$6),
       MATCH(TRIM($S20), INDIRECT($AF$7), 0),
       MATCH(TRIM(V$13), INDIRECT($AF$8), 0))</f>
        <v>388.15810199999999</v>
      </c>
      <c r="W20" s="14">
        <f ca="1">INDEX(INDIRECT($AF$6),
       MATCH(TRIM($S20), INDIRECT($AF$7), 0),
       MATCH(TRIM(W$13), INDIRECT($AF$8), 0))</f>
        <v>29</v>
      </c>
      <c r="X20" s="14" t="e">
        <f ca="1">INDEX(INDIRECT($AF$6),
       MATCH(TRIM($S20), INDIRECT($AF$7), 0),
       MATCH(TRIM(X$13), INDIRECT($AF$8), 0))</f>
        <v>#N/A</v>
      </c>
      <c r="Y20" s="14">
        <f ca="1">INDEX(INDIRECT($AF$6),
       MATCH(TRIM($S20), INDIRECT($AF$7), 0),
       MATCH(TRIM(Y$13), INDIRECT($AF$8), 0))</f>
        <v>121.910752</v>
      </c>
      <c r="Z20" s="14">
        <f ca="1">INDEX(INDIRECT($AF$6),
       MATCH(TRIM($S20), INDIRECT($AF$7), 0),
       MATCH(TRIM(Z$13), INDIRECT($AF$8), 0))</f>
        <v>34</v>
      </c>
      <c r="AA20" s="14">
        <f ca="1">INDEX(INDIRECT($AF$6),
       MATCH(TRIM($S20), INDIRECT($AF$7), 0),
       MATCH(TRIM(AA$13), INDIRECT($AF$8), 0))</f>
        <v>37.996946061191366</v>
      </c>
      <c r="AB20" s="14">
        <f t="shared" ca="1" si="0"/>
        <v>548.06580006119134</v>
      </c>
    </row>
    <row r="21" spans="1:28" ht="71" x14ac:dyDescent="0.2">
      <c r="A21" s="26">
        <v>7</v>
      </c>
      <c r="B21" s="27" t="s">
        <v>13</v>
      </c>
      <c r="C21" s="28">
        <f ca="1">INDEX(INDIRECT($P$6),
       MATCH(TRIM($B21), INDIRECT($P$7), 0),
       MATCH(TRIM(C$14), INDIRECT($P$8), 0))</f>
        <v>376</v>
      </c>
      <c r="D21" s="28" t="e">
        <f ca="1">INDEX(INDIRECT($P$6),
       MATCH(TRIM($B21), INDIRECT($P$7), 0),
       MATCH(TRIM(D$14), INDIRECT($P$8), 0))</f>
        <v>#N/A</v>
      </c>
      <c r="E21" s="28">
        <f ca="1">INDEX(INDIRECT($P$6),
       MATCH(TRIM($B21), INDIRECT($P$7), 0),
       MATCH(TRIM(E$14), INDIRECT($P$8), 0))</f>
        <v>169.296008</v>
      </c>
      <c r="F21" s="28">
        <f ca="1">INDEX(INDIRECT($P$6),
       MATCH(TRIM($B21), INDIRECT($P$7), 0),
       MATCH(TRIM(F$14), INDIRECT($P$8), 0))</f>
        <v>87</v>
      </c>
      <c r="G21" s="28" t="e">
        <f ca="1">INDEX(INDIRECT($P$6),
       MATCH(TRIM($B21), INDIRECT($P$7), 0),
       MATCH(TRIM(G$14), INDIRECT($P$8), 0))</f>
        <v>#N/A</v>
      </c>
      <c r="H21" s="28">
        <f ca="1">INDEX(INDIRECT($P$6),
       MATCH(TRIM($B21), INDIRECT($P$7), 0),
       MATCH(TRIM(H$14), INDIRECT($P$8), 0))</f>
        <v>114.2967586015625</v>
      </c>
      <c r="I21" s="28">
        <f ca="1">INDEX(INDIRECT($P$6),
       MATCH(TRIM($B21), INDIRECT($P$7), 0),
       MATCH(TRIM(I$14), INDIRECT($P$8), 0))</f>
        <v>825</v>
      </c>
      <c r="J21" s="28">
        <f ca="1">INDEX(INDIRECT($P$6),
       MATCH(TRIM($B21), INDIRECT($P$7), 0),
       MATCH(TRIM(J$14), INDIRECT($P$8), 0))</f>
        <v>1062.9645251899863</v>
      </c>
      <c r="K21" s="28">
        <f t="shared" ca="1" si="1"/>
        <v>1346.5572917915488</v>
      </c>
      <c r="L21" s="46"/>
      <c r="M21" s="46"/>
      <c r="R21">
        <v>8</v>
      </c>
      <c r="S21" t="s">
        <v>47</v>
      </c>
      <c r="T21" s="14">
        <f ca="1">INDEX(INDIRECT($AF$6),
       MATCH(TRIM($S21), INDIRECT($AF$7), 0),
       MATCH(TRIM(T$13), INDIRECT($AF$8), 0))</f>
        <v>35</v>
      </c>
      <c r="U21" s="14" t="e">
        <f ca="1">INDEX(INDIRECT($AF$6),
       MATCH(TRIM($S21), INDIRECT($AF$7), 0),
       MATCH(TRIM(U$13), INDIRECT($AF$8), 0))</f>
        <v>#N/A</v>
      </c>
      <c r="V21" s="14">
        <f ca="1">INDEX(INDIRECT($AF$6),
       MATCH(TRIM($S21), INDIRECT($AF$7), 0),
       MATCH(TRIM(V$13), INDIRECT($AF$8), 0))</f>
        <v>395.29562800000002</v>
      </c>
      <c r="W21" s="14">
        <f ca="1">INDEX(INDIRECT($AF$6),
       MATCH(TRIM($S21), INDIRECT($AF$7), 0),
       MATCH(TRIM(W$13), INDIRECT($AF$8), 0))</f>
        <v>55</v>
      </c>
      <c r="X21" s="14" t="e">
        <f ca="1">INDEX(INDIRECT($AF$6),
       MATCH(TRIM($S21), INDIRECT($AF$7), 0),
       MATCH(TRIM(X$13), INDIRECT($AF$8), 0))</f>
        <v>#N/A</v>
      </c>
      <c r="Y21" s="14">
        <f ca="1">INDEX(INDIRECT($AF$6),
       MATCH(TRIM($S21), INDIRECT($AF$7), 0),
       MATCH(TRIM(Y$13), INDIRECT($AF$8), 0))</f>
        <v>432.49199399999998</v>
      </c>
      <c r="Z21" s="14">
        <f ca="1">INDEX(INDIRECT($AF$6),
       MATCH(TRIM($S21), INDIRECT($AF$7), 0),
       MATCH(TRIM(Z$13), INDIRECT($AF$8), 0))</f>
        <v>39</v>
      </c>
      <c r="AA21" s="14">
        <f ca="1">INDEX(INDIRECT($AF$6),
       MATCH(TRIM($S21), INDIRECT($AF$7), 0),
       MATCH(TRIM(AA$13), INDIRECT($AF$8), 0))</f>
        <v>66.901709251387615</v>
      </c>
      <c r="AB21" s="14">
        <f t="shared" ca="1" si="0"/>
        <v>894.68933125138767</v>
      </c>
    </row>
    <row r="22" spans="1:28" ht="29" x14ac:dyDescent="0.2">
      <c r="A22" s="26">
        <v>8</v>
      </c>
      <c r="B22" s="27" t="s">
        <v>14</v>
      </c>
      <c r="C22" s="28">
        <f ca="1">INDEX(INDIRECT($P$6),
       MATCH(TRIM($B22), INDIRECT($P$7), 0),
       MATCH(TRIM(C$14), INDIRECT($P$8), 0))</f>
        <v>59</v>
      </c>
      <c r="D22" s="28" t="e">
        <f ca="1">INDEX(INDIRECT($P$6),
       MATCH(TRIM($B22), INDIRECT($P$7), 0),
       MATCH(TRIM(D$14), INDIRECT($P$8), 0))</f>
        <v>#N/A</v>
      </c>
      <c r="E22" s="28">
        <f ca="1">INDEX(INDIRECT($P$6),
       MATCH(TRIM($B22), INDIRECT($P$7), 0),
       MATCH(TRIM(E$14), INDIRECT($P$8), 0))</f>
        <v>169.231087</v>
      </c>
      <c r="F22" s="28">
        <f ca="1">INDEX(INDIRECT($P$6),
       MATCH(TRIM($B22), INDIRECT($P$7), 0),
       MATCH(TRIM(F$14), INDIRECT($P$8), 0))</f>
        <v>19</v>
      </c>
      <c r="G22" s="28" t="e">
        <f ca="1">INDEX(INDIRECT($P$6),
       MATCH(TRIM($B22), INDIRECT($P$7), 0),
       MATCH(TRIM(G$14), INDIRECT($P$8), 0))</f>
        <v>#N/A</v>
      </c>
      <c r="H22" s="28">
        <f ca="1">INDEX(INDIRECT($P$6),
       MATCH(TRIM($B22), INDIRECT($P$7), 0),
       MATCH(TRIM(H$14), INDIRECT($P$8), 0))</f>
        <v>43.165264000000001</v>
      </c>
      <c r="I22" s="28">
        <f ca="1">INDEX(INDIRECT($P$6),
       MATCH(TRIM($B22), INDIRECT($P$7), 0),
       MATCH(TRIM(I$14), INDIRECT($P$8), 0))</f>
        <v>155</v>
      </c>
      <c r="J22" s="28">
        <f ca="1">INDEX(INDIRECT($P$6),
       MATCH(TRIM($B22), INDIRECT($P$7), 0),
       MATCH(TRIM(J$14), INDIRECT($P$8), 0))</f>
        <v>399.52523492744166</v>
      </c>
      <c r="K22" s="28">
        <f t="shared" ca="1" si="1"/>
        <v>611.9215859274417</v>
      </c>
      <c r="L22" s="46"/>
      <c r="M22" s="46"/>
      <c r="R22">
        <v>9</v>
      </c>
      <c r="S22" t="s">
        <v>44</v>
      </c>
      <c r="T22" s="14">
        <f ca="1">INDEX(INDIRECT($AF$6),
       MATCH(TRIM($S22), INDIRECT($AF$7), 0),
       MATCH(TRIM(T$13), INDIRECT($AF$8), 0))</f>
        <v>31</v>
      </c>
      <c r="U22" s="14" t="e">
        <f ca="1">INDEX(INDIRECT($AF$6),
       MATCH(TRIM($S22), INDIRECT($AF$7), 0),
       MATCH(TRIM(U$13), INDIRECT($AF$8), 0))</f>
        <v>#N/A</v>
      </c>
      <c r="V22" s="14">
        <f ca="1">INDEX(INDIRECT($AF$6),
       MATCH(TRIM($S22), INDIRECT($AF$7), 0),
       MATCH(TRIM(V$13), INDIRECT($AF$8), 0))</f>
        <v>302.36409400000002</v>
      </c>
      <c r="W22" s="14">
        <f ca="1">INDEX(INDIRECT($AF$6),
       MATCH(TRIM($S22), INDIRECT($AF$7), 0),
       MATCH(TRIM(W$13), INDIRECT($AF$8), 0))</f>
        <v>8</v>
      </c>
      <c r="X22" s="14" t="e">
        <f ca="1">INDEX(INDIRECT($AF$6),
       MATCH(TRIM($S22), INDIRECT($AF$7), 0),
       MATCH(TRIM(X$13), INDIRECT($AF$8), 0))</f>
        <v>#N/A</v>
      </c>
      <c r="Y22" s="14">
        <f ca="1">INDEX(INDIRECT($AF$6),
       MATCH(TRIM($S22), INDIRECT($AF$7), 0),
       MATCH(TRIM(Y$13), INDIRECT($AF$8), 0))</f>
        <v>1489.6558239999999</v>
      </c>
      <c r="Z22" s="14">
        <f ca="1">INDEX(INDIRECT($AF$6),
       MATCH(TRIM($S22), INDIRECT($AF$7), 0),
       MATCH(TRIM(Z$13), INDIRECT($AF$8), 0))</f>
        <v>37</v>
      </c>
      <c r="AA22" s="14">
        <f ca="1">INDEX(INDIRECT($AF$6),
       MATCH(TRIM($S22), INDIRECT($AF$7), 0),
       MATCH(TRIM(AA$13), INDIRECT($AF$8), 0))</f>
        <v>381.77688043394505</v>
      </c>
      <c r="AB22" s="14">
        <f t="shared" ca="1" si="0"/>
        <v>2173.7967984339448</v>
      </c>
    </row>
    <row r="23" spans="1:28" ht="43" x14ac:dyDescent="0.2">
      <c r="A23" s="26">
        <v>9</v>
      </c>
      <c r="B23" s="27" t="s">
        <v>15</v>
      </c>
      <c r="C23" s="28">
        <f ca="1">INDEX(INDIRECT($P$6),
       MATCH(TRIM($B23), INDIRECT($P$7), 0),
       MATCH(TRIM(C$14), INDIRECT($P$8), 0))</f>
        <v>57</v>
      </c>
      <c r="D23" s="28" t="e">
        <f ca="1">INDEX(INDIRECT($P$6),
       MATCH(TRIM($B23), INDIRECT($P$7), 0),
       MATCH(TRIM(D$14), INDIRECT($P$8), 0))</f>
        <v>#N/A</v>
      </c>
      <c r="E23" s="28">
        <f ca="1">INDEX(INDIRECT($P$6),
       MATCH(TRIM($B23), INDIRECT($P$7), 0),
       MATCH(TRIM(E$14), INDIRECT($P$8), 0))</f>
        <v>106.12933700000001</v>
      </c>
      <c r="F23" s="28">
        <f ca="1">INDEX(INDIRECT($P$6),
       MATCH(TRIM($B23), INDIRECT($P$7), 0),
       MATCH(TRIM(F$14), INDIRECT($P$8), 0))</f>
        <v>15</v>
      </c>
      <c r="G23" s="28" t="e">
        <f ca="1">INDEX(INDIRECT($P$6),
       MATCH(TRIM($B23), INDIRECT($P$7), 0),
       MATCH(TRIM(G$14), INDIRECT($P$8), 0))</f>
        <v>#N/A</v>
      </c>
      <c r="H23" s="28">
        <f ca="1">INDEX(INDIRECT($P$6),
       MATCH(TRIM($B23), INDIRECT($P$7), 0),
       MATCH(TRIM(H$14), INDIRECT($P$8), 0))</f>
        <v>27.715395000000001</v>
      </c>
      <c r="I23" s="28">
        <f ca="1">INDEX(INDIRECT($P$6),
       MATCH(TRIM($B23), INDIRECT($P$7), 0),
       MATCH(TRIM(I$14), INDIRECT($P$8), 0))</f>
        <v>399</v>
      </c>
      <c r="J23" s="28">
        <f ca="1">INDEX(INDIRECT($P$6),
       MATCH(TRIM($B23), INDIRECT($P$7), 0),
       MATCH(TRIM(J$14), INDIRECT($P$8), 0))</f>
        <v>207.6245398135737</v>
      </c>
      <c r="K23" s="28">
        <f t="shared" ca="1" si="1"/>
        <v>341.46927181357376</v>
      </c>
      <c r="L23" s="46"/>
      <c r="M23" s="46"/>
      <c r="R23">
        <v>10</v>
      </c>
      <c r="S23" t="s">
        <v>51</v>
      </c>
      <c r="T23" s="14">
        <f ca="1">INDEX(INDIRECT($AF$6),
       MATCH(TRIM($S23), INDIRECT($AF$7), 0),
       MATCH(TRIM(T$13), INDIRECT($AF$8), 0))</f>
        <v>33</v>
      </c>
      <c r="U23" s="14" t="e">
        <f ca="1">INDEX(INDIRECT($AF$6),
       MATCH(TRIM($S23), INDIRECT($AF$7), 0),
       MATCH(TRIM(U$13), INDIRECT($AF$8), 0))</f>
        <v>#N/A</v>
      </c>
      <c r="V23" s="14">
        <f ca="1">INDEX(INDIRECT($AF$6),
       MATCH(TRIM($S23), INDIRECT($AF$7), 0),
       MATCH(TRIM(V$13), INDIRECT($AF$8), 0))</f>
        <v>574.255043</v>
      </c>
      <c r="W23" s="14">
        <f ca="1">INDEX(INDIRECT($AF$6),
       MATCH(TRIM($S23), INDIRECT($AF$7), 0),
       MATCH(TRIM(W$13), INDIRECT($AF$8), 0))</f>
        <v>33</v>
      </c>
      <c r="X23" s="14" t="e">
        <f ca="1">INDEX(INDIRECT($AF$6),
       MATCH(TRIM($S23), INDIRECT($AF$7), 0),
       MATCH(TRIM(X$13), INDIRECT($AF$8), 0))</f>
        <v>#N/A</v>
      </c>
      <c r="Y23" s="14">
        <f ca="1">INDEX(INDIRECT($AF$6),
       MATCH(TRIM($S23), INDIRECT($AF$7), 0),
       MATCH(TRIM(Y$13), INDIRECT($AF$8), 0))</f>
        <v>145.256294</v>
      </c>
      <c r="Z23" s="14">
        <f ca="1">INDEX(INDIRECT($AF$6),
       MATCH(TRIM($S23), INDIRECT($AF$7), 0),
       MATCH(TRIM(Z$13), INDIRECT($AF$8), 0))</f>
        <v>28</v>
      </c>
      <c r="AA23" s="14">
        <f ca="1">INDEX(INDIRECT($AF$6),
       MATCH(TRIM($S23), INDIRECT($AF$7), 0),
       MATCH(TRIM(AA$13), INDIRECT($AF$8), 0))</f>
        <v>10.243370661874843</v>
      </c>
      <c r="AB23" s="14">
        <f t="shared" ca="1" si="0"/>
        <v>729.75470766187482</v>
      </c>
    </row>
    <row r="24" spans="1:28" ht="43" x14ac:dyDescent="0.2">
      <c r="A24" s="26">
        <v>10</v>
      </c>
      <c r="B24" s="27" t="s">
        <v>16</v>
      </c>
      <c r="C24" s="28">
        <f ca="1">INDEX(INDIRECT($P$6),
       MATCH(TRIM($B24), INDIRECT($P$7), 0),
       MATCH(TRIM(C$14), INDIRECT($P$8), 0))</f>
        <v>206</v>
      </c>
      <c r="D24" s="28" t="e">
        <f ca="1">INDEX(INDIRECT($P$6),
       MATCH(TRIM($B24), INDIRECT($P$7), 0),
       MATCH(TRIM(D$14), INDIRECT($P$8), 0))</f>
        <v>#N/A</v>
      </c>
      <c r="E24" s="28">
        <f ca="1">INDEX(INDIRECT($P$6),
       MATCH(TRIM($B24), INDIRECT($P$7), 0),
       MATCH(TRIM(E$14), INDIRECT($P$8), 0))</f>
        <v>53.460124</v>
      </c>
      <c r="F24" s="28">
        <f ca="1">INDEX(INDIRECT($P$6),
       MATCH(TRIM($B24), INDIRECT($P$7), 0),
       MATCH(TRIM(F$14), INDIRECT($P$8), 0))</f>
        <v>49</v>
      </c>
      <c r="G24" s="28" t="e">
        <f ca="1">INDEX(INDIRECT($P$6),
       MATCH(TRIM($B24), INDIRECT($P$7), 0),
       MATCH(TRIM(G$14), INDIRECT($P$8), 0))</f>
        <v>#N/A</v>
      </c>
      <c r="H24" s="28">
        <f ca="1">INDEX(INDIRECT($P$6),
       MATCH(TRIM($B24), INDIRECT($P$7), 0),
       MATCH(TRIM(H$14), INDIRECT($P$8), 0))</f>
        <v>41.563054000000001</v>
      </c>
      <c r="I24" s="28">
        <f ca="1">INDEX(INDIRECT($P$6),
       MATCH(TRIM($B24), INDIRECT($P$7), 0),
       MATCH(TRIM(I$14), INDIRECT($P$8), 0))</f>
        <v>352</v>
      </c>
      <c r="J24" s="28">
        <f ca="1">INDEX(INDIRECT($P$6),
       MATCH(TRIM($B24), INDIRECT($P$7), 0),
       MATCH(TRIM(J$14), INDIRECT($P$8), 0))</f>
        <v>176.2630631810695</v>
      </c>
      <c r="K24" s="28">
        <f t="shared" ca="1" si="1"/>
        <v>271.2862411810695</v>
      </c>
      <c r="L24" s="46"/>
      <c r="M24" s="46"/>
      <c r="R24">
        <v>11</v>
      </c>
      <c r="S24" t="s">
        <v>45</v>
      </c>
      <c r="T24" s="14">
        <f ca="1">INDEX(INDIRECT($AF$6),
       MATCH(TRIM($S24), INDIRECT($AF$7), 0),
       MATCH(TRIM(T$13), INDIRECT($AF$8), 0))</f>
        <v>113</v>
      </c>
      <c r="U24" s="14" t="e">
        <f ca="1">INDEX(INDIRECT($AF$6),
       MATCH(TRIM($S24), INDIRECT($AF$7), 0),
       MATCH(TRIM(U$13), INDIRECT($AF$8), 0))</f>
        <v>#N/A</v>
      </c>
      <c r="V24" s="14">
        <f ca="1">INDEX(INDIRECT($AF$6),
       MATCH(TRIM($S24), INDIRECT($AF$7), 0),
       MATCH(TRIM(V$13), INDIRECT($AF$8), 0))</f>
        <v>326.24147099999999</v>
      </c>
      <c r="W24" s="14">
        <f ca="1">INDEX(INDIRECT($AF$6),
       MATCH(TRIM($S24), INDIRECT($AF$7), 0),
       MATCH(TRIM(W$13), INDIRECT($AF$8), 0))</f>
        <v>102</v>
      </c>
      <c r="X24" s="14" t="e">
        <f ca="1">INDEX(INDIRECT($AF$6),
       MATCH(TRIM($S24), INDIRECT($AF$7), 0),
       MATCH(TRIM(X$13), INDIRECT($AF$8), 0))</f>
        <v>#N/A</v>
      </c>
      <c r="Y24" s="14">
        <f ca="1">INDEX(INDIRECT($AF$6),
       MATCH(TRIM($S24), INDIRECT($AF$7), 0),
       MATCH(TRIM(Y$13), INDIRECT($AF$8), 0))</f>
        <v>305.11305700000003</v>
      </c>
      <c r="Z24" s="14">
        <f ca="1">INDEX(INDIRECT($AF$6),
       MATCH(TRIM($S24), INDIRECT($AF$7), 0),
       MATCH(TRIM(Z$13), INDIRECT($AF$8), 0))</f>
        <v>132</v>
      </c>
      <c r="AA24" s="14">
        <f ca="1">INDEX(INDIRECT($AF$6),
       MATCH(TRIM($S24), INDIRECT($AF$7), 0),
       MATCH(TRIM(AA$13), INDIRECT($AF$8), 0))</f>
        <v>178.94206572026147</v>
      </c>
      <c r="AB24" s="14">
        <f t="shared" ca="1" si="0"/>
        <v>810.29659372026151</v>
      </c>
    </row>
    <row r="25" spans="1:28" ht="57" x14ac:dyDescent="0.2">
      <c r="A25" s="26">
        <v>11</v>
      </c>
      <c r="B25" s="27" t="s">
        <v>17</v>
      </c>
      <c r="C25" s="28">
        <f ca="1">INDEX(INDIRECT($P$6),
       MATCH(TRIM($B25), INDIRECT($P$7), 0),
       MATCH(TRIM(C$14), INDIRECT($P$8), 0))</f>
        <v>56</v>
      </c>
      <c r="D25" s="28" t="e">
        <f ca="1">INDEX(INDIRECT($P$6),
       MATCH(TRIM($B25), INDIRECT($P$7), 0),
       MATCH(TRIM(D$14), INDIRECT($P$8), 0))</f>
        <v>#N/A</v>
      </c>
      <c r="E25" s="28">
        <f ca="1">INDEX(INDIRECT($P$6),
       MATCH(TRIM($B25), INDIRECT($P$7), 0),
       MATCH(TRIM(E$14), INDIRECT($P$8), 0))</f>
        <v>20.013877000000001</v>
      </c>
      <c r="F25" s="28">
        <f ca="1">INDEX(INDIRECT($P$6),
       MATCH(TRIM($B25), INDIRECT($P$7), 0),
       MATCH(TRIM(F$14), INDIRECT($P$8), 0))</f>
        <v>9</v>
      </c>
      <c r="G25" s="28" t="e">
        <f ca="1">INDEX(INDIRECT($P$6),
       MATCH(TRIM($B25), INDIRECT($P$7), 0),
       MATCH(TRIM(G$14), INDIRECT($P$8), 0))</f>
        <v>#N/A</v>
      </c>
      <c r="H25" s="28">
        <f ca="1">INDEX(INDIRECT($P$6),
       MATCH(TRIM($B25), INDIRECT($P$7), 0),
       MATCH(TRIM(H$14), INDIRECT($P$8), 0))</f>
        <v>2.14</v>
      </c>
      <c r="I25" s="28">
        <f ca="1">INDEX(INDIRECT($P$6),
       MATCH(TRIM($B25), INDIRECT($P$7), 0),
       MATCH(TRIM(I$14), INDIRECT($P$8), 0))</f>
        <v>130</v>
      </c>
      <c r="J25" s="28">
        <f ca="1">INDEX(INDIRECT($P$6),
       MATCH(TRIM($B25), INDIRECT($P$7), 0),
       MATCH(TRIM(J$14), INDIRECT($P$8), 0))</f>
        <v>18.231527246014455</v>
      </c>
      <c r="K25" s="28">
        <f t="shared" ca="1" si="1"/>
        <v>40.38540424601446</v>
      </c>
      <c r="L25" s="46"/>
      <c r="M25" s="46"/>
      <c r="R25">
        <v>12</v>
      </c>
      <c r="S25" t="s">
        <v>49</v>
      </c>
      <c r="T25" s="14">
        <f ca="1">INDEX(INDIRECT($AF$6),
       MATCH(TRIM($S25), INDIRECT($AF$7), 0),
       MATCH(TRIM(T$13), INDIRECT($AF$8), 0))</f>
        <v>32</v>
      </c>
      <c r="U25" s="14" t="e">
        <f ca="1">INDEX(INDIRECT($AF$6),
       MATCH(TRIM($S25), INDIRECT($AF$7), 0),
       MATCH(TRIM(U$13), INDIRECT($AF$8), 0))</f>
        <v>#N/A</v>
      </c>
      <c r="V25" s="14">
        <f ca="1">INDEX(INDIRECT($AF$6),
       MATCH(TRIM($S25), INDIRECT($AF$7), 0),
       MATCH(TRIM(V$13), INDIRECT($AF$8), 0))</f>
        <v>164.42</v>
      </c>
      <c r="W25" s="14">
        <f ca="1">INDEX(INDIRECT($AF$6),
       MATCH(TRIM($S25), INDIRECT($AF$7), 0),
       MATCH(TRIM(W$13), INDIRECT($AF$8), 0))</f>
        <v>46</v>
      </c>
      <c r="X25" s="14" t="e">
        <f ca="1">INDEX(INDIRECT($AF$6),
       MATCH(TRIM($S25), INDIRECT($AF$7), 0),
       MATCH(TRIM(X$13), INDIRECT($AF$8), 0))</f>
        <v>#N/A</v>
      </c>
      <c r="Y25" s="14">
        <f ca="1">INDEX(INDIRECT($AF$6),
       MATCH(TRIM($S25), INDIRECT($AF$7), 0),
       MATCH(TRIM(Y$13), INDIRECT($AF$8), 0))</f>
        <v>322.79723201249999</v>
      </c>
      <c r="Z25" s="14">
        <f ca="1">INDEX(INDIRECT($AF$6),
       MATCH(TRIM($S25), INDIRECT($AF$7), 0),
       MATCH(TRIM(Z$13), INDIRECT($AF$8), 0))</f>
        <v>42</v>
      </c>
      <c r="AA25" s="14">
        <f ca="1">INDEX(INDIRECT($AF$6),
       MATCH(TRIM($S25), INDIRECT($AF$7), 0),
       MATCH(TRIM(AA$13), INDIRECT($AF$8), 0))</f>
        <v>33.058740354265296</v>
      </c>
      <c r="AB25" s="14">
        <f t="shared" ca="1" si="0"/>
        <v>520.27597236676525</v>
      </c>
    </row>
    <row r="26" spans="1:28" ht="29" x14ac:dyDescent="0.2">
      <c r="A26" s="26">
        <v>12</v>
      </c>
      <c r="B26" s="27" t="s">
        <v>18</v>
      </c>
      <c r="C26" s="28">
        <f ca="1">INDEX(INDIRECT($P$6),
       MATCH(TRIM($B26), INDIRECT($P$7), 0),
       MATCH(TRIM(C$14), INDIRECT($P$8), 0))</f>
        <v>4</v>
      </c>
      <c r="D26" s="28" t="e">
        <f ca="1">INDEX(INDIRECT($P$6),
       MATCH(TRIM($B26), INDIRECT($P$7), 0),
       MATCH(TRIM(D$14), INDIRECT($P$8), 0))</f>
        <v>#N/A</v>
      </c>
      <c r="E26" s="28">
        <f ca="1">INDEX(INDIRECT($P$6),
       MATCH(TRIM($B26), INDIRECT($P$7), 0),
       MATCH(TRIM(E$14), INDIRECT($P$8), 0))</f>
        <v>3.4234239999999998</v>
      </c>
      <c r="F26" s="28">
        <f ca="1">INDEX(INDIRECT($P$6),
       MATCH(TRIM($B26), INDIRECT($P$7), 0),
       MATCH(TRIM(F$14), INDIRECT($P$8), 0))</f>
        <v>7</v>
      </c>
      <c r="G26" s="28" t="e">
        <f ca="1">INDEX(INDIRECT($P$6),
       MATCH(TRIM($B26), INDIRECT($P$7), 0),
       MATCH(TRIM(G$14), INDIRECT($P$8), 0))</f>
        <v>#N/A</v>
      </c>
      <c r="H26" s="28">
        <f ca="1">INDEX(INDIRECT($P$6),
       MATCH(TRIM($B26), INDIRECT($P$7), 0),
       MATCH(TRIM(H$14), INDIRECT($P$8), 0))</f>
        <v>36.740039000000003</v>
      </c>
      <c r="I26" s="28">
        <f ca="1">INDEX(INDIRECT($P$6),
       MATCH(TRIM($B26), INDIRECT($P$7), 0),
       MATCH(TRIM(I$14), INDIRECT($P$8), 0))</f>
        <v>18</v>
      </c>
      <c r="J26" s="28">
        <f ca="1">INDEX(INDIRECT($P$6),
       MATCH(TRIM($B26), INDIRECT($P$7), 0),
       MATCH(TRIM(J$14), INDIRECT($P$8), 0))</f>
        <v>3.611786594243779</v>
      </c>
      <c r="K26" s="28">
        <f t="shared" ca="1" si="1"/>
        <v>43.775249594243782</v>
      </c>
      <c r="L26" s="46"/>
      <c r="M26" s="46"/>
      <c r="R26">
        <v>13</v>
      </c>
      <c r="S26" t="s">
        <v>55</v>
      </c>
      <c r="T26" s="14">
        <f ca="1">INDEX(INDIRECT($AF$6),
       MATCH(TRIM($S26), INDIRECT($AF$7), 0),
       MATCH(TRIM(T$13), INDIRECT($AF$8), 0))</f>
        <v>20</v>
      </c>
      <c r="U26" s="14" t="e">
        <f ca="1">INDEX(INDIRECT($AF$6),
       MATCH(TRIM($S26), INDIRECT($AF$7), 0),
       MATCH(TRIM(U$13), INDIRECT($AF$8), 0))</f>
        <v>#N/A</v>
      </c>
      <c r="V26" s="14">
        <f ca="1">INDEX(INDIRECT($AF$6),
       MATCH(TRIM($S26), INDIRECT($AF$7), 0),
       MATCH(TRIM(V$13), INDIRECT($AF$8), 0))</f>
        <v>373.92266599999999</v>
      </c>
      <c r="W26" s="14">
        <f ca="1">INDEX(INDIRECT($AF$6),
       MATCH(TRIM($S26), INDIRECT($AF$7), 0),
       MATCH(TRIM(W$13), INDIRECT($AF$8), 0))</f>
        <v>12</v>
      </c>
      <c r="X26" s="14" t="e">
        <f ca="1">INDEX(INDIRECT($AF$6),
       MATCH(TRIM($S26), INDIRECT($AF$7), 0),
       MATCH(TRIM(X$13), INDIRECT($AF$8), 0))</f>
        <v>#N/A</v>
      </c>
      <c r="Y26" s="14">
        <f ca="1">INDEX(INDIRECT($AF$6),
       MATCH(TRIM($S26), INDIRECT($AF$7), 0),
       MATCH(TRIM(Y$13), INDIRECT($AF$8), 0))</f>
        <v>24.302060999999998</v>
      </c>
      <c r="Z26" s="14">
        <f ca="1">INDEX(INDIRECT($AF$6),
       MATCH(TRIM($S26), INDIRECT($AF$7), 0),
       MATCH(TRIM(Z$13), INDIRECT($AF$8), 0))</f>
        <v>16</v>
      </c>
      <c r="AA26" s="14">
        <f ca="1">INDEX(INDIRECT($AF$6),
       MATCH(TRIM($S26), INDIRECT($AF$7), 0),
       MATCH(TRIM(AA$13), INDIRECT($AF$8), 0))</f>
        <v>2.5449290671679439</v>
      </c>
      <c r="AB26" s="14">
        <f t="shared" ca="1" si="0"/>
        <v>400.76965606716794</v>
      </c>
    </row>
    <row r="27" spans="1:28" ht="29" x14ac:dyDescent="0.2">
      <c r="A27" s="26">
        <v>13</v>
      </c>
      <c r="B27" s="27" t="s">
        <v>19</v>
      </c>
      <c r="C27" s="28">
        <f ca="1">INDEX(INDIRECT($P$6),
       MATCH(TRIM($B27), INDIRECT($P$7), 0),
       MATCH(TRIM(C$14), INDIRECT($P$8), 0))</f>
        <v>54</v>
      </c>
      <c r="D27" s="28" t="e">
        <f ca="1">INDEX(INDIRECT($P$6),
       MATCH(TRIM($B27), INDIRECT($P$7), 0),
       MATCH(TRIM(D$14), INDIRECT($P$8), 0))</f>
        <v>#N/A</v>
      </c>
      <c r="E27" s="28">
        <f ca="1">INDEX(INDIRECT($P$6),
       MATCH(TRIM($B27), INDIRECT($P$7), 0),
       MATCH(TRIM(E$14), INDIRECT($P$8), 0))</f>
        <v>19.365265999999998</v>
      </c>
      <c r="F27" s="28">
        <f ca="1">INDEX(INDIRECT($P$6),
       MATCH(TRIM($B27), INDIRECT($P$7), 0),
       MATCH(TRIM(F$14), INDIRECT($P$8), 0))</f>
        <v>16</v>
      </c>
      <c r="G27" s="28" t="e">
        <f ca="1">INDEX(INDIRECT($P$6),
       MATCH(TRIM($B27), INDIRECT($P$7), 0),
       MATCH(TRIM(G$14), INDIRECT($P$8), 0))</f>
        <v>#N/A</v>
      </c>
      <c r="H27" s="28">
        <f ca="1">INDEX(INDIRECT($P$6),
       MATCH(TRIM($B27), INDIRECT($P$7), 0),
       MATCH(TRIM(H$14), INDIRECT($P$8), 0))</f>
        <v>13.915717000000001</v>
      </c>
      <c r="I27" s="28">
        <f ca="1">INDEX(INDIRECT($P$6),
       MATCH(TRIM($B27), INDIRECT($P$7), 0),
       MATCH(TRIM(I$14), INDIRECT($P$8), 0))</f>
        <v>115</v>
      </c>
      <c r="J27" s="28">
        <f ca="1">INDEX(INDIRECT($P$6),
       MATCH(TRIM($B27), INDIRECT($P$7), 0),
       MATCH(TRIM(J$14), INDIRECT($P$8), 0))</f>
        <v>75.054241539087542</v>
      </c>
      <c r="K27" s="28">
        <f t="shared" ca="1" si="1"/>
        <v>108.33522453908753</v>
      </c>
      <c r="L27" s="46"/>
      <c r="M27" s="46"/>
      <c r="R27">
        <v>14</v>
      </c>
      <c r="S27" t="s">
        <v>50</v>
      </c>
      <c r="T27" s="14">
        <f ca="1">INDEX(INDIRECT($AF$6),
       MATCH(TRIM($S27), INDIRECT($AF$7), 0),
       MATCH(TRIM(T$13), INDIRECT($AF$8), 0))</f>
        <v>28</v>
      </c>
      <c r="U27" s="14" t="e">
        <f ca="1">INDEX(INDIRECT($AF$6),
       MATCH(TRIM($S27), INDIRECT($AF$7), 0),
       MATCH(TRIM(U$13), INDIRECT($AF$8), 0))</f>
        <v>#N/A</v>
      </c>
      <c r="V27" s="14">
        <f ca="1">INDEX(INDIRECT($AF$6),
       MATCH(TRIM($S27), INDIRECT($AF$7), 0),
       MATCH(TRIM(V$13), INDIRECT($AF$8), 0))</f>
        <v>497.49656199999998</v>
      </c>
      <c r="W27" s="14">
        <f ca="1">INDEX(INDIRECT($AF$6),
       MATCH(TRIM($S27), INDIRECT($AF$7), 0),
       MATCH(TRIM(W$13), INDIRECT($AF$8), 0))</f>
        <v>13</v>
      </c>
      <c r="X27" s="14" t="e">
        <f ca="1">INDEX(INDIRECT($AF$6),
       MATCH(TRIM($S27), INDIRECT($AF$7), 0),
       MATCH(TRIM(X$13), INDIRECT($AF$8), 0))</f>
        <v>#N/A</v>
      </c>
      <c r="Y27" s="14">
        <f ca="1">INDEX(INDIRECT($AF$6),
       MATCH(TRIM($S27), INDIRECT($AF$7), 0),
       MATCH(TRIM(Y$13), INDIRECT($AF$8), 0))</f>
        <v>20.489530999999999</v>
      </c>
      <c r="Z27" s="14">
        <f ca="1">INDEX(INDIRECT($AF$6),
       MATCH(TRIM($S27), INDIRECT($AF$7), 0),
       MATCH(TRIM(Z$13), INDIRECT($AF$8), 0))</f>
        <v>32</v>
      </c>
      <c r="AA27" s="14">
        <f ca="1">INDEX(INDIRECT($AF$6),
       MATCH(TRIM($S27), INDIRECT($AF$7), 0),
       MATCH(TRIM(AA$13), INDIRECT($AF$8), 0))</f>
        <v>22.724484725687095</v>
      </c>
      <c r="AB27" s="14">
        <f t="shared" ca="1" si="0"/>
        <v>540.71057772568713</v>
      </c>
    </row>
    <row r="28" spans="1:28" ht="43" x14ac:dyDescent="0.2">
      <c r="A28" s="26">
        <v>14</v>
      </c>
      <c r="B28" s="27" t="s">
        <v>20</v>
      </c>
      <c r="C28" s="28">
        <f ca="1">INDEX(INDIRECT($P$6),
       MATCH(TRIM($B28), INDIRECT($P$7), 0),
       MATCH(TRIM(C$14), INDIRECT($P$8), 0))</f>
        <v>4</v>
      </c>
      <c r="D28" s="28" t="e">
        <f ca="1">INDEX(INDIRECT($P$6),
       MATCH(TRIM($B28), INDIRECT($P$7), 0),
       MATCH(TRIM(D$14), INDIRECT($P$8), 0))</f>
        <v>#N/A</v>
      </c>
      <c r="E28" s="28">
        <f ca="1">INDEX(INDIRECT($P$6),
       MATCH(TRIM($B28), INDIRECT($P$7), 0),
       MATCH(TRIM(E$14), INDIRECT($P$8), 0))</f>
        <v>64.424666000000002</v>
      </c>
      <c r="F28" s="28">
        <f ca="1">INDEX(INDIRECT($P$6),
       MATCH(TRIM($B28), INDIRECT($P$7), 0),
       MATCH(TRIM(F$14), INDIRECT($P$8), 0))</f>
        <v>0</v>
      </c>
      <c r="G28" s="28" t="e">
        <f ca="1">INDEX(INDIRECT($P$6),
       MATCH(TRIM($B28), INDIRECT($P$7), 0),
       MATCH(TRIM(G$14), INDIRECT($P$8), 0))</f>
        <v>#N/A</v>
      </c>
      <c r="H28" s="28">
        <f ca="1">INDEX(INDIRECT($P$6),
       MATCH(TRIM($B28), INDIRECT($P$7), 0),
       MATCH(TRIM(H$14), INDIRECT($P$8), 0))</f>
        <v>0</v>
      </c>
      <c r="I28" s="28">
        <f ca="1">INDEX(INDIRECT($P$6),
       MATCH(TRIM($B28), INDIRECT($P$7), 0),
       MATCH(TRIM(I$14), INDIRECT($P$8), 0))</f>
        <v>12</v>
      </c>
      <c r="J28" s="28">
        <f ca="1">INDEX(INDIRECT($P$6),
       MATCH(TRIM($B28), INDIRECT($P$7), 0),
       MATCH(TRIM(J$14), INDIRECT($P$8), 0))</f>
        <v>23.585494435224248</v>
      </c>
      <c r="K28" s="28">
        <f t="shared" ca="1" si="1"/>
        <v>88.01016043522425</v>
      </c>
      <c r="L28" s="46"/>
      <c r="M28" s="46"/>
      <c r="R28">
        <v>15</v>
      </c>
      <c r="S28" t="s">
        <v>69</v>
      </c>
      <c r="T28" s="14">
        <f ca="1">INDEX(INDIRECT($AF$6),
       MATCH(TRIM($S28), INDIRECT($AF$7), 0),
       MATCH(TRIM(T$13), INDIRECT($AF$8), 0))</f>
        <v>83</v>
      </c>
      <c r="U28" s="14" t="e">
        <f ca="1">INDEX(INDIRECT($AF$6),
       MATCH(TRIM($S28), INDIRECT($AF$7), 0),
       MATCH(TRIM(U$13), INDIRECT($AF$8), 0))</f>
        <v>#N/A</v>
      </c>
      <c r="V28" s="14">
        <f ca="1">INDEX(INDIRECT($AF$6),
       MATCH(TRIM($S28), INDIRECT($AF$7), 0),
       MATCH(TRIM(V$13), INDIRECT($AF$8), 0))</f>
        <v>128.855626</v>
      </c>
      <c r="W28" s="14">
        <f ca="1">INDEX(INDIRECT($AF$6),
       MATCH(TRIM($S28), INDIRECT($AF$7), 0),
       MATCH(TRIM(W$13), INDIRECT($AF$8), 0))</f>
        <v>20</v>
      </c>
      <c r="X28" s="14" t="e">
        <f ca="1">INDEX(INDIRECT($AF$6),
       MATCH(TRIM($S28), INDIRECT($AF$7), 0),
       MATCH(TRIM(X$13), INDIRECT($AF$8), 0))</f>
        <v>#N/A</v>
      </c>
      <c r="Y28" s="14">
        <f ca="1">INDEX(INDIRECT($AF$6),
       MATCH(TRIM($S28), INDIRECT($AF$7), 0),
       MATCH(TRIM(Y$13), INDIRECT($AF$8), 0))</f>
        <v>80.057353000000006</v>
      </c>
      <c r="Z28" s="14">
        <f ca="1">INDEX(INDIRECT($AF$6),
       MATCH(TRIM($S28), INDIRECT($AF$7), 0),
       MATCH(TRIM(Z$13), INDIRECT($AF$8), 0))</f>
        <v>105</v>
      </c>
      <c r="AA28" s="14">
        <f ca="1">INDEX(INDIRECT($AF$6),
       MATCH(TRIM($S28), INDIRECT($AF$7), 0),
       MATCH(TRIM(AA$13), INDIRECT($AF$8), 0))</f>
        <v>8.6303587728068507</v>
      </c>
      <c r="AB28" s="14">
        <f t="shared" ca="1" si="0"/>
        <v>217.54333777280686</v>
      </c>
    </row>
    <row r="29" spans="1:28" ht="43" x14ac:dyDescent="0.2">
      <c r="A29" s="26">
        <v>15</v>
      </c>
      <c r="B29" s="27" t="s">
        <v>21</v>
      </c>
      <c r="C29" s="28">
        <f ca="1">INDEX(INDIRECT($P$6),
       MATCH(TRIM($B29), INDIRECT($P$7), 0),
       MATCH(TRIM(C$14), INDIRECT($P$8), 0))</f>
        <v>9</v>
      </c>
      <c r="D29" s="28" t="e">
        <f ca="1">INDEX(INDIRECT($P$6),
       MATCH(TRIM($B29), INDIRECT($P$7), 0),
       MATCH(TRIM(D$14), INDIRECT($P$8), 0))</f>
        <v>#N/A</v>
      </c>
      <c r="E29" s="28">
        <f ca="1">INDEX(INDIRECT($P$6),
       MATCH(TRIM($B29), INDIRECT($P$7), 0),
       MATCH(TRIM(E$14), INDIRECT($P$8), 0))</f>
        <v>4.4863189999999999</v>
      </c>
      <c r="F29" s="28">
        <f ca="1">INDEX(INDIRECT($P$6),
       MATCH(TRIM($B29), INDIRECT($P$7), 0),
       MATCH(TRIM(F$14), INDIRECT($P$8), 0))</f>
        <v>4</v>
      </c>
      <c r="G29" s="28" t="e">
        <f ca="1">INDEX(INDIRECT($P$6),
       MATCH(TRIM($B29), INDIRECT($P$7), 0),
       MATCH(TRIM(G$14), INDIRECT($P$8), 0))</f>
        <v>#N/A</v>
      </c>
      <c r="H29" s="28">
        <f ca="1">INDEX(INDIRECT($P$6),
       MATCH(TRIM($B29), INDIRECT($P$7), 0),
       MATCH(TRIM(H$14), INDIRECT($P$8), 0))</f>
        <v>12.654999999999999</v>
      </c>
      <c r="I29" s="28">
        <f ca="1">INDEX(INDIRECT($P$6),
       MATCH(TRIM($B29), INDIRECT($P$7), 0),
       MATCH(TRIM(I$14), INDIRECT($P$8), 0))</f>
        <v>27</v>
      </c>
      <c r="J29" s="28">
        <f ca="1">INDEX(INDIRECT($P$6),
       MATCH(TRIM($B29), INDIRECT($P$7), 0),
       MATCH(TRIM(J$14), INDIRECT($P$8), 0))</f>
        <v>15.41790511715589</v>
      </c>
      <c r="K29" s="28">
        <f t="shared" ca="1" si="1"/>
        <v>32.559224117155892</v>
      </c>
      <c r="L29" s="46"/>
      <c r="M29" s="46"/>
      <c r="R29">
        <v>16</v>
      </c>
      <c r="S29" t="s">
        <v>52</v>
      </c>
      <c r="T29" s="14">
        <f ca="1">INDEX(INDIRECT($AF$6),
       MATCH(TRIM($S29), INDIRECT($AF$7), 0),
       MATCH(TRIM(T$13), INDIRECT($AF$8), 0))</f>
        <v>22</v>
      </c>
      <c r="U29" s="14" t="e">
        <f ca="1">INDEX(INDIRECT($AF$6),
       MATCH(TRIM($S29), INDIRECT($AF$7), 0),
       MATCH(TRIM(U$13), INDIRECT($AF$8), 0))</f>
        <v>#N/A</v>
      </c>
      <c r="V29" s="14">
        <f ca="1">INDEX(INDIRECT($AF$6),
       MATCH(TRIM($S29), INDIRECT($AF$7), 0),
       MATCH(TRIM(V$13), INDIRECT($AF$8), 0))</f>
        <v>241.73641499999999</v>
      </c>
      <c r="W29" s="14">
        <f ca="1">INDEX(INDIRECT($AF$6),
       MATCH(TRIM($S29), INDIRECT($AF$7), 0),
       MATCH(TRIM(W$13), INDIRECT($AF$8), 0))</f>
        <v>34</v>
      </c>
      <c r="X29" s="14" t="e">
        <f ca="1">INDEX(INDIRECT($AF$6),
       MATCH(TRIM($S29), INDIRECT($AF$7), 0),
       MATCH(TRIM(X$13), INDIRECT($AF$8), 0))</f>
        <v>#N/A</v>
      </c>
      <c r="Y29" s="14">
        <f ca="1">INDEX(INDIRECT($AF$6),
       MATCH(TRIM($S29), INDIRECT($AF$7), 0),
       MATCH(TRIM(Y$13), INDIRECT($AF$8), 0))</f>
        <v>203.026622</v>
      </c>
      <c r="Z29" s="14">
        <f ca="1">INDEX(INDIRECT($AF$6),
       MATCH(TRIM($S29), INDIRECT($AF$7), 0),
       MATCH(TRIM(Z$13), INDIRECT($AF$8), 0))</f>
        <v>40</v>
      </c>
      <c r="AA29" s="14">
        <f ca="1">INDEX(INDIRECT($AF$6),
       MATCH(TRIM($S29), INDIRECT($AF$7), 0),
       MATCH(TRIM(AA$13), INDIRECT($AF$8), 0))</f>
        <v>43.01184392290655</v>
      </c>
      <c r="AB29" s="14">
        <f t="shared" ca="1" si="0"/>
        <v>487.77488092290656</v>
      </c>
    </row>
    <row r="30" spans="1:28" ht="29" x14ac:dyDescent="0.2">
      <c r="A30" s="26">
        <v>16</v>
      </c>
      <c r="B30" s="27" t="s">
        <v>22</v>
      </c>
      <c r="C30" s="28">
        <f ca="1">INDEX(INDIRECT($P$6),
       MATCH(TRIM($B30), INDIRECT($P$7), 0),
       MATCH(TRIM(C$14), INDIRECT($P$8), 0))</f>
        <v>1</v>
      </c>
      <c r="D30" s="28" t="e">
        <f ca="1">INDEX(INDIRECT($P$6),
       MATCH(TRIM($B30), INDIRECT($P$7), 0),
       MATCH(TRIM(D$14), INDIRECT($P$8), 0))</f>
        <v>#N/A</v>
      </c>
      <c r="E30" s="28">
        <f ca="1">INDEX(INDIRECT($P$6),
       MATCH(TRIM($B30), INDIRECT($P$7), 0),
       MATCH(TRIM(E$14), INDIRECT($P$8), 0))</f>
        <v>0.40766599999999997</v>
      </c>
      <c r="F30" s="28">
        <f ca="1">INDEX(INDIRECT($P$6),
       MATCH(TRIM($B30), INDIRECT($P$7), 0),
       MATCH(TRIM(F$14), INDIRECT($P$8), 0))</f>
        <v>1</v>
      </c>
      <c r="G30" s="28" t="e">
        <f ca="1">INDEX(INDIRECT($P$6),
       MATCH(TRIM($B30), INDIRECT($P$7), 0),
       MATCH(TRIM(G$14), INDIRECT($P$8), 0))</f>
        <v>#N/A</v>
      </c>
      <c r="H30" s="28">
        <f ca="1">INDEX(INDIRECT($P$6),
       MATCH(TRIM($B30), INDIRECT($P$7), 0),
       MATCH(TRIM(H$14), INDIRECT($P$8), 0))</f>
        <v>0.68031200000000003</v>
      </c>
      <c r="I30" s="28">
        <f ca="1">INDEX(INDIRECT($P$6),
       MATCH(TRIM($B30), INDIRECT($P$7), 0),
       MATCH(TRIM(I$14), INDIRECT($P$8), 0))</f>
        <v>12</v>
      </c>
      <c r="J30" s="28">
        <f ca="1">INDEX(INDIRECT($P$6),
       MATCH(TRIM($B30), INDIRECT($P$7), 0),
       MATCH(TRIM(J$14), INDIRECT($P$8), 0))</f>
        <v>5.2847116958767328</v>
      </c>
      <c r="K30" s="28">
        <f t="shared" ca="1" si="1"/>
        <v>6.3726896958767334</v>
      </c>
      <c r="L30" s="46"/>
      <c r="M30" s="46"/>
      <c r="R30">
        <v>17</v>
      </c>
      <c r="S30" t="s">
        <v>53</v>
      </c>
      <c r="T30" s="14">
        <f ca="1">INDEX(INDIRECT($AF$6),
       MATCH(TRIM($S30), INDIRECT($AF$7), 0),
       MATCH(TRIM(T$13), INDIRECT($AF$8), 0))</f>
        <v>48</v>
      </c>
      <c r="U30" s="14" t="e">
        <f ca="1">INDEX(INDIRECT($AF$6),
       MATCH(TRIM($S30), INDIRECT($AF$7), 0),
       MATCH(TRIM(U$13), INDIRECT($AF$8), 0))</f>
        <v>#N/A</v>
      </c>
      <c r="V30" s="14">
        <f ca="1">INDEX(INDIRECT($AF$6),
       MATCH(TRIM($S30), INDIRECT($AF$7), 0),
       MATCH(TRIM(V$13), INDIRECT($AF$8), 0))</f>
        <v>322.381325</v>
      </c>
      <c r="W30" s="14">
        <f ca="1">INDEX(INDIRECT($AF$6),
       MATCH(TRIM($S30), INDIRECT($AF$7), 0),
       MATCH(TRIM(W$13), INDIRECT($AF$8), 0))</f>
        <v>18</v>
      </c>
      <c r="X30" s="14" t="e">
        <f ca="1">INDEX(INDIRECT($AF$6),
       MATCH(TRIM($S30), INDIRECT($AF$7), 0),
       MATCH(TRIM(X$13), INDIRECT($AF$8), 0))</f>
        <v>#N/A</v>
      </c>
      <c r="Y30" s="14">
        <f ca="1">INDEX(INDIRECT($AF$6),
       MATCH(TRIM($S30), INDIRECT($AF$7), 0),
       MATCH(TRIM(Y$13), INDIRECT($AF$8), 0))</f>
        <v>26.151533000000001</v>
      </c>
      <c r="Z30" s="14">
        <f ca="1">INDEX(INDIRECT($AF$6),
       MATCH(TRIM($S30), INDIRECT($AF$7), 0),
       MATCH(TRIM(Z$13), INDIRECT($AF$8), 0))</f>
        <v>18</v>
      </c>
      <c r="AA30" s="14">
        <f ca="1">INDEX(INDIRECT($AF$6),
       MATCH(TRIM($S30), INDIRECT($AF$7), 0),
       MATCH(TRIM(AA$13), INDIRECT($AF$8), 0))</f>
        <v>20.566953783308932</v>
      </c>
      <c r="AB30" s="14">
        <f t="shared" ca="1" si="0"/>
        <v>369.09981178330895</v>
      </c>
    </row>
    <row r="31" spans="1:28" ht="43" x14ac:dyDescent="0.2">
      <c r="A31" s="26">
        <v>17</v>
      </c>
      <c r="B31" s="27" t="s">
        <v>23</v>
      </c>
      <c r="C31" s="28">
        <f ca="1">INDEX(INDIRECT($P$6),
       MATCH(TRIM($B31), INDIRECT($P$7), 0),
       MATCH(TRIM(C$14), INDIRECT($P$8), 0))</f>
        <v>5</v>
      </c>
      <c r="D31" s="28" t="e">
        <f ca="1">INDEX(INDIRECT($P$6),
       MATCH(TRIM($B31), INDIRECT($P$7), 0),
       MATCH(TRIM(D$14), INDIRECT($P$8), 0))</f>
        <v>#N/A</v>
      </c>
      <c r="E31" s="28">
        <f ca="1">INDEX(INDIRECT($P$6),
       MATCH(TRIM($B31), INDIRECT($P$7), 0),
       MATCH(TRIM(E$14), INDIRECT($P$8), 0))</f>
        <v>2.6753079999999998</v>
      </c>
      <c r="F31" s="28">
        <f ca="1">INDEX(INDIRECT($P$6),
       MATCH(TRIM($B31), INDIRECT($P$7), 0),
       MATCH(TRIM(F$14), INDIRECT($P$8), 0))</f>
        <v>1</v>
      </c>
      <c r="G31" s="28" t="e">
        <f ca="1">INDEX(INDIRECT($P$6),
       MATCH(TRIM($B31), INDIRECT($P$7), 0),
       MATCH(TRIM(G$14), INDIRECT($P$8), 0))</f>
        <v>#N/A</v>
      </c>
      <c r="H31" s="28">
        <f ca="1">INDEX(INDIRECT($P$6),
       MATCH(TRIM($B31), INDIRECT($P$7), 0),
       MATCH(TRIM(H$14), INDIRECT($P$8), 0))</f>
        <v>1.603</v>
      </c>
      <c r="I31" s="28">
        <f ca="1">INDEX(INDIRECT($P$6),
       MATCH(TRIM($B31), INDIRECT($P$7), 0),
       MATCH(TRIM(I$14), INDIRECT($P$8), 0))</f>
        <v>4</v>
      </c>
      <c r="J31" s="28">
        <f ca="1">INDEX(INDIRECT($P$6),
       MATCH(TRIM($B31), INDIRECT($P$7), 0),
       MATCH(TRIM(J$14), INDIRECT($P$8), 0))</f>
        <v>0.88141154996987259</v>
      </c>
      <c r="K31" s="28">
        <f t="shared" ca="1" si="1"/>
        <v>5.1597195499698723</v>
      </c>
      <c r="L31" s="46"/>
      <c r="M31" s="46"/>
      <c r="R31">
        <v>18</v>
      </c>
      <c r="S31" t="s">
        <v>63</v>
      </c>
      <c r="T31" s="14">
        <f ca="1">INDEX(INDIRECT($AF$6),
       MATCH(TRIM($S31), INDIRECT($AF$7), 0),
       MATCH(TRIM(T$13), INDIRECT($AF$8), 0))</f>
        <v>9</v>
      </c>
      <c r="U31" s="14" t="e">
        <f ca="1">INDEX(INDIRECT($AF$6),
       MATCH(TRIM($S31), INDIRECT($AF$7), 0),
       MATCH(TRIM(U$13), INDIRECT($AF$8), 0))</f>
        <v>#N/A</v>
      </c>
      <c r="V31" s="14">
        <f ca="1">INDEX(INDIRECT($AF$6),
       MATCH(TRIM($S31), INDIRECT($AF$7), 0),
       MATCH(TRIM(V$13), INDIRECT($AF$8), 0))</f>
        <v>108.187264</v>
      </c>
      <c r="W31" s="14">
        <f ca="1">INDEX(INDIRECT($AF$6),
       MATCH(TRIM($S31), INDIRECT($AF$7), 0),
       MATCH(TRIM(W$13), INDIRECT($AF$8), 0))</f>
        <v>11</v>
      </c>
      <c r="X31" s="14" t="e">
        <f ca="1">INDEX(INDIRECT($AF$6),
       MATCH(TRIM($S31), INDIRECT($AF$7), 0),
       MATCH(TRIM(X$13), INDIRECT($AF$8), 0))</f>
        <v>#N/A</v>
      </c>
      <c r="Y31" s="14">
        <f ca="1">INDEX(INDIRECT($AF$6),
       MATCH(TRIM($S31), INDIRECT($AF$7), 0),
       MATCH(TRIM(Y$13), INDIRECT($AF$8), 0))</f>
        <v>55.281609000000003</v>
      </c>
      <c r="Z31" s="14">
        <f ca="1">INDEX(INDIRECT($AF$6),
       MATCH(TRIM($S31), INDIRECT($AF$7), 0),
       MATCH(TRIM(Z$13), INDIRECT($AF$8), 0))</f>
        <v>6</v>
      </c>
      <c r="AA31" s="14">
        <f ca="1">INDEX(INDIRECT($AF$6),
       MATCH(TRIM($S31), INDIRECT($AF$7), 0),
       MATCH(TRIM(AA$13), INDIRECT($AF$8), 0))</f>
        <v>3.6852256236541243</v>
      </c>
      <c r="AB31" s="14">
        <f t="shared" ca="1" si="0"/>
        <v>167.15409862365414</v>
      </c>
    </row>
    <row r="32" spans="1:28" ht="57" x14ac:dyDescent="0.2">
      <c r="A32" s="26">
        <v>18</v>
      </c>
      <c r="B32" s="27" t="s">
        <v>24</v>
      </c>
      <c r="C32" s="28">
        <f ca="1">INDEX(INDIRECT($P$6),
       MATCH(TRIM($B32), INDIRECT($P$7), 0),
       MATCH(TRIM(C$14), INDIRECT($P$8), 0))</f>
        <v>6</v>
      </c>
      <c r="D32" s="28" t="e">
        <f ca="1">INDEX(INDIRECT($P$6),
       MATCH(TRIM($B32), INDIRECT($P$7), 0),
       MATCH(TRIM(D$14), INDIRECT($P$8), 0))</f>
        <v>#N/A</v>
      </c>
      <c r="E32" s="28">
        <f ca="1">INDEX(INDIRECT($P$6),
       MATCH(TRIM($B32), INDIRECT($P$7), 0),
       MATCH(TRIM(E$14), INDIRECT($P$8), 0))</f>
        <v>0.28884799999999999</v>
      </c>
      <c r="F32" s="28">
        <f ca="1">INDEX(INDIRECT($P$6),
       MATCH(TRIM($B32), INDIRECT($P$7), 0),
       MATCH(TRIM(F$14), INDIRECT($P$8), 0))</f>
        <v>3</v>
      </c>
      <c r="G32" s="28" t="e">
        <f ca="1">INDEX(INDIRECT($P$6),
       MATCH(TRIM($B32), INDIRECT($P$7), 0),
       MATCH(TRIM(G$14), INDIRECT($P$8), 0))</f>
        <v>#N/A</v>
      </c>
      <c r="H32" s="28">
        <f ca="1">INDEX(INDIRECT($P$6),
       MATCH(TRIM($B32), INDIRECT($P$7), 0),
       MATCH(TRIM(H$14), INDIRECT($P$8), 0))</f>
        <v>14.770996</v>
      </c>
      <c r="I32" s="28">
        <f ca="1">INDEX(INDIRECT($P$6),
       MATCH(TRIM($B32), INDIRECT($P$7), 0),
       MATCH(TRIM(I$14), INDIRECT($P$8), 0))</f>
        <v>24</v>
      </c>
      <c r="J32" s="28">
        <f ca="1">INDEX(INDIRECT($P$6),
       MATCH(TRIM($B32), INDIRECT($P$7), 0),
       MATCH(TRIM(J$14), INDIRECT($P$8), 0))</f>
        <v>271.77601564728155</v>
      </c>
      <c r="K32" s="28">
        <f t="shared" ca="1" si="1"/>
        <v>286.83585964728155</v>
      </c>
      <c r="L32" s="46"/>
      <c r="M32" s="46"/>
      <c r="R32">
        <v>19</v>
      </c>
      <c r="S32" t="s">
        <v>70</v>
      </c>
      <c r="T32" s="14">
        <f ca="1">INDEX(INDIRECT($AF$6),
       MATCH(TRIM($S32), INDIRECT($AF$7), 0),
       MATCH(TRIM(T$13), INDIRECT($AF$8), 0))</f>
        <v>14</v>
      </c>
      <c r="U32" s="14" t="e">
        <f ca="1">INDEX(INDIRECT($AF$6),
       MATCH(TRIM($S32), INDIRECT($AF$7), 0),
       MATCH(TRIM(U$13), INDIRECT($AF$8), 0))</f>
        <v>#N/A</v>
      </c>
      <c r="V32" s="14">
        <f ca="1">INDEX(INDIRECT($AF$6),
       MATCH(TRIM($S32), INDIRECT($AF$7), 0),
       MATCH(TRIM(V$13), INDIRECT($AF$8), 0))</f>
        <v>240.297</v>
      </c>
      <c r="W32" s="14">
        <f ca="1">INDEX(INDIRECT($AF$6),
       MATCH(TRIM($S32), INDIRECT($AF$7), 0),
       MATCH(TRIM(W$13), INDIRECT($AF$8), 0))</f>
        <v>7</v>
      </c>
      <c r="X32" s="14" t="e">
        <f ca="1">INDEX(INDIRECT($AF$6),
       MATCH(TRIM($S32), INDIRECT($AF$7), 0),
       MATCH(TRIM(X$13), INDIRECT($AF$8), 0))</f>
        <v>#N/A</v>
      </c>
      <c r="Y32" s="14">
        <f ca="1">INDEX(INDIRECT($AF$6),
       MATCH(TRIM($S32), INDIRECT($AF$7), 0),
       MATCH(TRIM(Y$13), INDIRECT($AF$8), 0))</f>
        <v>100.95305500000001</v>
      </c>
      <c r="Z32" s="14">
        <f ca="1">INDEX(INDIRECT($AF$6),
       MATCH(TRIM($S32), INDIRECT($AF$7), 0),
       MATCH(TRIM(Z$13), INDIRECT($AF$8), 0))</f>
        <v>22</v>
      </c>
      <c r="AA32" s="14">
        <f ca="1">INDEX(INDIRECT($AF$6),
       MATCH(TRIM($S32), INDIRECT($AF$7), 0),
       MATCH(TRIM(AA$13), INDIRECT($AF$8), 0))</f>
        <v>8.2932917485925817</v>
      </c>
      <c r="AB32" s="14">
        <f t="shared" ca="1" si="0"/>
        <v>349.54334674859257</v>
      </c>
    </row>
    <row r="33" spans="1:28" ht="85" x14ac:dyDescent="0.2">
      <c r="A33" s="26">
        <v>19</v>
      </c>
      <c r="B33" s="27" t="s">
        <v>25</v>
      </c>
      <c r="C33" s="28">
        <f ca="1">INDEX(INDIRECT($P$6),
       MATCH(TRIM($B33), INDIRECT($P$7), 0),
       MATCH(TRIM(C$14), INDIRECT($P$8), 0))</f>
        <v>1</v>
      </c>
      <c r="D33" s="28" t="e">
        <f ca="1">INDEX(INDIRECT($P$6),
       MATCH(TRIM($B33), INDIRECT($P$7), 0),
       MATCH(TRIM(D$14), INDIRECT($P$8), 0))</f>
        <v>#N/A</v>
      </c>
      <c r="E33" s="28">
        <f ca="1">INDEX(INDIRECT($P$6),
       MATCH(TRIM($B33), INDIRECT($P$7), 0),
       MATCH(TRIM(E$14), INDIRECT($P$8), 0))</f>
        <v>2.7</v>
      </c>
      <c r="F33" s="28">
        <f ca="1">INDEX(INDIRECT($P$6),
       MATCH(TRIM($B33), INDIRECT($P$7), 0),
       MATCH(TRIM(F$14), INDIRECT($P$8), 0))</f>
        <v>0</v>
      </c>
      <c r="G33" s="28" t="e">
        <f ca="1">INDEX(INDIRECT($P$6),
       MATCH(TRIM($B33), INDIRECT($P$7), 0),
       MATCH(TRIM(G$14), INDIRECT($P$8), 0))</f>
        <v>#N/A</v>
      </c>
      <c r="H33" s="28">
        <f ca="1">INDEX(INDIRECT($P$6),
       MATCH(TRIM($B33), INDIRECT($P$7), 0),
       MATCH(TRIM(H$14), INDIRECT($P$8), 0))</f>
        <v>0</v>
      </c>
      <c r="I33" s="28">
        <f ca="1">INDEX(INDIRECT($P$6),
       MATCH(TRIM($B33), INDIRECT($P$7), 0),
       MATCH(TRIM(I$14), INDIRECT($P$8), 0))</f>
        <v>0</v>
      </c>
      <c r="J33" s="28">
        <f ca="1">INDEX(INDIRECT($P$6),
       MATCH(TRIM($B33), INDIRECT($P$7), 0),
       MATCH(TRIM(J$14), INDIRECT($P$8), 0))</f>
        <v>0</v>
      </c>
      <c r="K33" s="28">
        <f t="shared" ca="1" si="1"/>
        <v>2.7</v>
      </c>
      <c r="L33" s="47"/>
      <c r="M33" s="47"/>
      <c r="R33">
        <v>20</v>
      </c>
      <c r="S33" t="s">
        <v>61</v>
      </c>
      <c r="T33" s="14">
        <f ca="1">INDEX(INDIRECT($AF$6),
       MATCH(TRIM($S33), INDIRECT($AF$7), 0),
       MATCH(TRIM(T$13), INDIRECT($AF$8), 0))</f>
        <v>19</v>
      </c>
      <c r="U33" s="14" t="e">
        <f ca="1">INDEX(INDIRECT($AF$6),
       MATCH(TRIM($S33), INDIRECT($AF$7), 0),
       MATCH(TRIM(U$13), INDIRECT($AF$8), 0))</f>
        <v>#N/A</v>
      </c>
      <c r="V33" s="14">
        <f ca="1">INDEX(INDIRECT($AF$6),
       MATCH(TRIM($S33), INDIRECT($AF$7), 0),
       MATCH(TRIM(V$13), INDIRECT($AF$8), 0))</f>
        <v>221.547336</v>
      </c>
      <c r="W33" s="14">
        <f ca="1">INDEX(INDIRECT($AF$6),
       MATCH(TRIM($S33), INDIRECT($AF$7), 0),
       MATCH(TRIM(W$13), INDIRECT($AF$8), 0))</f>
        <v>17</v>
      </c>
      <c r="X33" s="14" t="e">
        <f ca="1">INDEX(INDIRECT($AF$6),
       MATCH(TRIM($S33), INDIRECT($AF$7), 0),
       MATCH(TRIM(X$13), INDIRECT($AF$8), 0))</f>
        <v>#N/A</v>
      </c>
      <c r="Y33" s="14">
        <f ca="1">INDEX(INDIRECT($AF$6),
       MATCH(TRIM($S33), INDIRECT($AF$7), 0),
       MATCH(TRIM(Y$13), INDIRECT($AF$8), 0))</f>
        <v>59.636676999999999</v>
      </c>
      <c r="Z33" s="14">
        <f ca="1">INDEX(INDIRECT($AF$6),
       MATCH(TRIM($S33), INDIRECT($AF$7), 0),
       MATCH(TRIM(Z$13), INDIRECT($AF$8), 0))</f>
        <v>10</v>
      </c>
      <c r="AA33" s="14">
        <f ca="1">INDEX(INDIRECT($AF$6),
       MATCH(TRIM($S33), INDIRECT($AF$7), 0),
       MATCH(TRIM(AA$13), INDIRECT($AF$8), 0))</f>
        <v>9.5556365750030352</v>
      </c>
      <c r="AB33" s="14">
        <f t="shared" ca="1" si="0"/>
        <v>290.739649575003</v>
      </c>
    </row>
    <row r="34" spans="1:28" ht="17" thickBot="1" x14ac:dyDescent="0.25">
      <c r="A34" s="34" t="s">
        <v>26</v>
      </c>
      <c r="B34" s="35"/>
      <c r="C34" s="31" cm="1">
        <f t="array" aca="1" ref="C34" ca="1">SUM(IFERROR(C15:C33,0))</f>
        <v>2523</v>
      </c>
      <c r="D34" s="31" cm="1">
        <f t="array" aca="1" ref="D34" ca="1">SUM(IFERROR(D15:D33,0))</f>
        <v>0</v>
      </c>
      <c r="E34" s="31" cm="1">
        <f t="array" aca="1" ref="E34" ca="1">SUM(IFERROR(E15:E33,0))</f>
        <v>14646.417346</v>
      </c>
      <c r="F34" s="31" cm="1">
        <f t="array" aca="1" ref="F34" ca="1">SUM(IFERROR(F15:F33,0))</f>
        <v>1140</v>
      </c>
      <c r="G34" s="31" cm="1">
        <f t="array" aca="1" ref="G34" ca="1">SUM(IFERROR(G15:G33,0))</f>
        <v>0</v>
      </c>
      <c r="H34" s="31" cm="1">
        <f t="array" aca="1" ref="H34" ca="1">SUM(IFERROR(H15:H33,0))</f>
        <v>6414.4856404600023</v>
      </c>
      <c r="I34" s="31" cm="1">
        <f t="array" aca="1" ref="I34" ca="1">SUM(IFERROR(I15:I33,0))</f>
        <v>6141</v>
      </c>
      <c r="J34" s="31" cm="1">
        <f t="array" aca="1" ref="J34" ca="1">SUM(IFERROR(J15:J33,0))</f>
        <v>7469.1981319629194</v>
      </c>
      <c r="K34" s="31" cm="1">
        <f t="array" aca="1" ref="K34" ca="1">SUM(IFERROR(K15:K33,0))</f>
        <v>28530.101118422925</v>
      </c>
      <c r="R34">
        <v>21</v>
      </c>
      <c r="S34" t="s">
        <v>59</v>
      </c>
      <c r="T34" s="14">
        <f ca="1">INDEX(INDIRECT($AF$6),
       MATCH(TRIM($S34), INDIRECT($AF$7), 0),
       MATCH(TRIM(T$13), INDIRECT($AF$8), 0))</f>
        <v>6</v>
      </c>
      <c r="U34" s="14" t="e">
        <f ca="1">INDEX(INDIRECT($AF$6),
       MATCH(TRIM($S34), INDIRECT($AF$7), 0),
       MATCH(TRIM(U$13), INDIRECT($AF$8), 0))</f>
        <v>#N/A</v>
      </c>
      <c r="V34" s="14">
        <f ca="1">INDEX(INDIRECT($AF$6),
       MATCH(TRIM($S34), INDIRECT($AF$7), 0),
       MATCH(TRIM(V$13), INDIRECT($AF$8), 0))</f>
        <v>18.423287999999999</v>
      </c>
      <c r="W34" s="14">
        <f ca="1">INDEX(INDIRECT($AF$6),
       MATCH(TRIM($S34), INDIRECT($AF$7), 0),
       MATCH(TRIM(W$13), INDIRECT($AF$8), 0))</f>
        <v>0</v>
      </c>
      <c r="X34" s="14" t="e">
        <f ca="1">INDEX(INDIRECT($AF$6),
       MATCH(TRIM($S34), INDIRECT($AF$7), 0),
       MATCH(TRIM(X$13), INDIRECT($AF$8), 0))</f>
        <v>#N/A</v>
      </c>
      <c r="Y34" s="14">
        <f ca="1">INDEX(INDIRECT($AF$6),
       MATCH(TRIM($S34), INDIRECT($AF$7), 0),
       MATCH(TRIM(Y$13), INDIRECT($AF$8), 0))</f>
        <v>0</v>
      </c>
      <c r="Z34" s="14">
        <f ca="1">INDEX(INDIRECT($AF$6),
       MATCH(TRIM($S34), INDIRECT($AF$7), 0),
       MATCH(TRIM(Z$13), INDIRECT($AF$8), 0))</f>
        <v>23</v>
      </c>
      <c r="AA34" s="14">
        <f ca="1">INDEX(INDIRECT($AF$6),
       MATCH(TRIM($S34), INDIRECT($AF$7), 0),
       MATCH(TRIM(AA$13), INDIRECT($AF$8), 0))</f>
        <v>23.772166715305158</v>
      </c>
      <c r="AB34" s="14">
        <f t="shared" ca="1" si="0"/>
        <v>42.195454715305161</v>
      </c>
    </row>
    <row r="35" spans="1:28" ht="17" thickTop="1" x14ac:dyDescent="0.2">
      <c r="R35">
        <v>22</v>
      </c>
      <c r="S35" t="s">
        <v>56</v>
      </c>
      <c r="T35" s="14">
        <f ca="1">INDEX(INDIRECT($AF$6),
       MATCH(TRIM($S35), INDIRECT($AF$7), 0),
       MATCH(TRIM(T$13), INDIRECT($AF$8), 0))</f>
        <v>10</v>
      </c>
      <c r="U35" s="14" t="e">
        <f ca="1">INDEX(INDIRECT($AF$6),
       MATCH(TRIM($S35), INDIRECT($AF$7), 0),
       MATCH(TRIM(U$13), INDIRECT($AF$8), 0))</f>
        <v>#N/A</v>
      </c>
      <c r="V35" s="14">
        <f ca="1">INDEX(INDIRECT($AF$6),
       MATCH(TRIM($S35), INDIRECT($AF$7), 0),
       MATCH(TRIM(V$13), INDIRECT($AF$8), 0))</f>
        <v>164.69580099999999</v>
      </c>
      <c r="W35" s="14">
        <f ca="1">INDEX(INDIRECT($AF$6),
       MATCH(TRIM($S35), INDIRECT($AF$7), 0),
       MATCH(TRIM(W$13), INDIRECT($AF$8), 0))</f>
        <v>0</v>
      </c>
      <c r="X35" s="14" t="e">
        <f ca="1">INDEX(INDIRECT($AF$6),
       MATCH(TRIM($S35), INDIRECT($AF$7), 0),
       MATCH(TRIM(X$13), INDIRECT($AF$8), 0))</f>
        <v>#N/A</v>
      </c>
      <c r="Y35" s="14">
        <f ca="1">INDEX(INDIRECT($AF$6),
       MATCH(TRIM($S35), INDIRECT($AF$7), 0),
       MATCH(TRIM(Y$13), INDIRECT($AF$8), 0))</f>
        <v>0</v>
      </c>
      <c r="Z35" s="14">
        <f ca="1">INDEX(INDIRECT($AF$6),
       MATCH(TRIM($S35), INDIRECT($AF$7), 0),
       MATCH(TRIM(Z$13), INDIRECT($AF$8), 0))</f>
        <v>6</v>
      </c>
      <c r="AA35" s="14">
        <f ca="1">INDEX(INDIRECT($AF$6),
       MATCH(TRIM($S35), INDIRECT($AF$7), 0),
       MATCH(TRIM(AA$13), INDIRECT($AF$8), 0))</f>
        <v>4.7502824154256515</v>
      </c>
      <c r="AB35" s="14">
        <f t="shared" ca="1" si="0"/>
        <v>169.44608341542565</v>
      </c>
    </row>
    <row r="36" spans="1:28" x14ac:dyDescent="0.2">
      <c r="R36">
        <v>23</v>
      </c>
      <c r="S36" t="s">
        <v>48</v>
      </c>
      <c r="T36" s="14">
        <f ca="1">INDEX(INDIRECT($AF$6),
       MATCH(TRIM($S36), INDIRECT($AF$7), 0),
       MATCH(TRIM(T$13), INDIRECT($AF$8), 0))</f>
        <v>16</v>
      </c>
      <c r="U36" s="14" t="e">
        <f ca="1">INDEX(INDIRECT($AF$6),
       MATCH(TRIM($S36), INDIRECT($AF$7), 0),
       MATCH(TRIM(U$13), INDIRECT($AF$8), 0))</f>
        <v>#N/A</v>
      </c>
      <c r="V36" s="14">
        <f ca="1">INDEX(INDIRECT($AF$6),
       MATCH(TRIM($S36), INDIRECT($AF$7), 0),
       MATCH(TRIM(V$13), INDIRECT($AF$8), 0))</f>
        <v>465.98547200000002</v>
      </c>
      <c r="W36" s="14">
        <f ca="1">INDEX(INDIRECT($AF$6),
       MATCH(TRIM($S36), INDIRECT($AF$7), 0),
       MATCH(TRIM(W$13), INDIRECT($AF$8), 0))</f>
        <v>2</v>
      </c>
      <c r="X36" s="14" t="e">
        <f ca="1">INDEX(INDIRECT($AF$6),
       MATCH(TRIM($S36), INDIRECT($AF$7), 0),
       MATCH(TRIM(X$13), INDIRECT($AF$8), 0))</f>
        <v>#N/A</v>
      </c>
      <c r="Y36" s="14">
        <f ca="1">INDEX(INDIRECT($AF$6),
       MATCH(TRIM($S36), INDIRECT($AF$7), 0),
       MATCH(TRIM(Y$13), INDIRECT($AF$8), 0))</f>
        <v>14.88</v>
      </c>
      <c r="Z36" s="14">
        <f ca="1">INDEX(INDIRECT($AF$6),
       MATCH(TRIM($S36), INDIRECT($AF$7), 0),
       MATCH(TRIM(Z$13), INDIRECT($AF$8), 0))</f>
        <v>16</v>
      </c>
      <c r="AA36" s="14">
        <f ca="1">INDEX(INDIRECT($AF$6),
       MATCH(TRIM($S36), INDIRECT($AF$7), 0),
       MATCH(TRIM(AA$13), INDIRECT($AF$8), 0))</f>
        <v>24.793811429801156</v>
      </c>
      <c r="AB36" s="14">
        <f t="shared" ca="1" si="0"/>
        <v>505.65928342980118</v>
      </c>
    </row>
    <row r="37" spans="1:28" x14ac:dyDescent="0.2">
      <c r="R37">
        <v>24</v>
      </c>
      <c r="S37" t="s">
        <v>72</v>
      </c>
      <c r="T37" s="14">
        <f ca="1">INDEX(INDIRECT($AF$6),
       MATCH(TRIM($S37), INDIRECT($AF$7), 0),
       MATCH(TRIM(T$13), INDIRECT($AF$8), 0))</f>
        <v>1</v>
      </c>
      <c r="U37" s="14" t="e">
        <f ca="1">INDEX(INDIRECT($AF$6),
       MATCH(TRIM($S37), INDIRECT($AF$7), 0),
       MATCH(TRIM(U$13), INDIRECT($AF$8), 0))</f>
        <v>#N/A</v>
      </c>
      <c r="V37" s="14">
        <f ca="1">INDEX(INDIRECT($AF$6),
       MATCH(TRIM($S37), INDIRECT($AF$7), 0),
       MATCH(TRIM(V$13), INDIRECT($AF$8), 0))</f>
        <v>0.215</v>
      </c>
      <c r="W37" s="14">
        <f ca="1">INDEX(INDIRECT($AF$6),
       MATCH(TRIM($S37), INDIRECT($AF$7), 0),
       MATCH(TRIM(W$13), INDIRECT($AF$8), 0))</f>
        <v>0</v>
      </c>
      <c r="X37" s="14" t="e">
        <f ca="1">INDEX(INDIRECT($AF$6),
       MATCH(TRIM($S37), INDIRECT($AF$7), 0),
       MATCH(TRIM(X$13), INDIRECT($AF$8), 0))</f>
        <v>#N/A</v>
      </c>
      <c r="Y37" s="14">
        <f ca="1">INDEX(INDIRECT($AF$6),
       MATCH(TRIM($S37), INDIRECT($AF$7), 0),
       MATCH(TRIM(Y$13), INDIRECT($AF$8), 0))</f>
        <v>0</v>
      </c>
      <c r="Z37" s="14">
        <f ca="1">INDEX(INDIRECT($AF$6),
       MATCH(TRIM($S37), INDIRECT($AF$7), 0),
       MATCH(TRIM(Z$13), INDIRECT($AF$8), 0))</f>
        <v>3</v>
      </c>
      <c r="AA37" s="14">
        <f ca="1">INDEX(INDIRECT($AF$6),
       MATCH(TRIM($S37), INDIRECT($AF$7), 0),
       MATCH(TRIM(AA$13), INDIRECT($AF$8), 0))</f>
        <v>0.20280623224584671</v>
      </c>
      <c r="AB37" s="14">
        <f t="shared" ca="1" si="0"/>
        <v>0.41780623224584668</v>
      </c>
    </row>
    <row r="38" spans="1:28" x14ac:dyDescent="0.2">
      <c r="R38">
        <v>25</v>
      </c>
      <c r="S38" t="s">
        <v>67</v>
      </c>
      <c r="T38" s="14">
        <f ca="1">INDEX(INDIRECT($AF$6),
       MATCH(TRIM($S38), INDIRECT($AF$7), 0),
       MATCH(TRIM(T$13), INDIRECT($AF$8), 0))</f>
        <v>5</v>
      </c>
      <c r="U38" s="14" t="e">
        <f ca="1">INDEX(INDIRECT($AF$6),
       MATCH(TRIM($S38), INDIRECT($AF$7), 0),
       MATCH(TRIM(U$13), INDIRECT($AF$8), 0))</f>
        <v>#N/A</v>
      </c>
      <c r="V38" s="14">
        <f ca="1">INDEX(INDIRECT($AF$6),
       MATCH(TRIM($S38), INDIRECT($AF$7), 0),
       MATCH(TRIM(V$13), INDIRECT($AF$8), 0))</f>
        <v>30.255673999999999</v>
      </c>
      <c r="W38" s="14">
        <f ca="1">INDEX(INDIRECT($AF$6),
       MATCH(TRIM($S38), INDIRECT($AF$7), 0),
       MATCH(TRIM(W$13), INDIRECT($AF$8), 0))</f>
        <v>2</v>
      </c>
      <c r="X38" s="14" t="e">
        <f ca="1">INDEX(INDIRECT($AF$6),
       MATCH(TRIM($S38), INDIRECT($AF$7), 0),
       MATCH(TRIM(X$13), INDIRECT($AF$8), 0))</f>
        <v>#N/A</v>
      </c>
      <c r="Y38" s="14">
        <f ca="1">INDEX(INDIRECT($AF$6),
       MATCH(TRIM($S38), INDIRECT($AF$7), 0),
       MATCH(TRIM(Y$13), INDIRECT($AF$8), 0))</f>
        <v>13.446827000000001</v>
      </c>
      <c r="Z38" s="14">
        <f ca="1">INDEX(INDIRECT($AF$6),
       MATCH(TRIM($S38), INDIRECT($AF$7), 0),
       MATCH(TRIM(Z$13), INDIRECT($AF$8), 0))</f>
        <v>116</v>
      </c>
      <c r="AA38" s="14">
        <f ca="1">INDEX(INDIRECT($AF$6),
       MATCH(TRIM($S38), INDIRECT($AF$7), 0),
       MATCH(TRIM(AA$13), INDIRECT($AF$8), 0))</f>
        <v>32.863120722138248</v>
      </c>
      <c r="AB38" s="14">
        <f t="shared" ca="1" si="0"/>
        <v>76.565621722138246</v>
      </c>
    </row>
    <row r="39" spans="1:28" x14ac:dyDescent="0.2">
      <c r="R39">
        <v>26</v>
      </c>
      <c r="S39" t="s">
        <v>54</v>
      </c>
      <c r="T39" s="14">
        <f ca="1">INDEX(INDIRECT($AF$6),
       MATCH(TRIM($S39), INDIRECT($AF$7), 0),
       MATCH(TRIM(T$13), INDIRECT($AF$8), 0))</f>
        <v>8</v>
      </c>
      <c r="U39" s="14" t="e">
        <f ca="1">INDEX(INDIRECT($AF$6),
       MATCH(TRIM($S39), INDIRECT($AF$7), 0),
       MATCH(TRIM(U$13), INDIRECT($AF$8), 0))</f>
        <v>#N/A</v>
      </c>
      <c r="V39" s="14">
        <f ca="1">INDEX(INDIRECT($AF$6),
       MATCH(TRIM($S39), INDIRECT($AF$7), 0),
       MATCH(TRIM(V$13), INDIRECT($AF$8), 0))</f>
        <v>34.102477999999998</v>
      </c>
      <c r="W39" s="14">
        <f ca="1">INDEX(INDIRECT($AF$6),
       MATCH(TRIM($S39), INDIRECT($AF$7), 0),
       MATCH(TRIM(W$13), INDIRECT($AF$8), 0))</f>
        <v>10</v>
      </c>
      <c r="X39" s="14" t="e">
        <f ca="1">INDEX(INDIRECT($AF$6),
       MATCH(TRIM($S39), INDIRECT($AF$7), 0),
       MATCH(TRIM(X$13), INDIRECT($AF$8), 0))</f>
        <v>#N/A</v>
      </c>
      <c r="Y39" s="14">
        <f ca="1">INDEX(INDIRECT($AF$6),
       MATCH(TRIM($S39), INDIRECT($AF$7), 0),
       MATCH(TRIM(Y$13), INDIRECT($AF$8), 0))</f>
        <v>-97.555726000000007</v>
      </c>
      <c r="Z39" s="14">
        <f ca="1">INDEX(INDIRECT($AF$6),
       MATCH(TRIM($S39), INDIRECT($AF$7), 0),
       MATCH(TRIM(Z$13), INDIRECT($AF$8), 0))</f>
        <v>15</v>
      </c>
      <c r="AA39" s="14">
        <f ca="1">INDEX(INDIRECT($AF$6),
       MATCH(TRIM($S39), INDIRECT($AF$7), 0),
       MATCH(TRIM(AA$13), INDIRECT($AF$8), 0))</f>
        <v>27.355556615305158</v>
      </c>
      <c r="AB39" s="14">
        <f t="shared" ca="1" si="0"/>
        <v>-36.097691384694855</v>
      </c>
    </row>
    <row r="40" spans="1:28" x14ac:dyDescent="0.2">
      <c r="R40">
        <v>27</v>
      </c>
      <c r="S40" t="s">
        <v>64</v>
      </c>
      <c r="T40" s="14">
        <f ca="1">INDEX(INDIRECT($AF$6),
       MATCH(TRIM($S40), INDIRECT($AF$7), 0),
       MATCH(TRIM(T$13), INDIRECT($AF$8), 0))</f>
        <v>6</v>
      </c>
      <c r="U40" s="14" t="e">
        <f ca="1">INDEX(INDIRECT($AF$6),
       MATCH(TRIM($S40), INDIRECT($AF$7), 0),
       MATCH(TRIM(U$13), INDIRECT($AF$8), 0))</f>
        <v>#N/A</v>
      </c>
      <c r="V40" s="14">
        <f ca="1">INDEX(INDIRECT($AF$6),
       MATCH(TRIM($S40), INDIRECT($AF$7), 0),
       MATCH(TRIM(V$13), INDIRECT($AF$8), 0))</f>
        <v>77.767493999999999</v>
      </c>
      <c r="W40" s="14">
        <f ca="1">INDEX(INDIRECT($AF$6),
       MATCH(TRIM($S40), INDIRECT($AF$7), 0),
       MATCH(TRIM(W$13), INDIRECT($AF$8), 0))</f>
        <v>3</v>
      </c>
      <c r="X40" s="14" t="e">
        <f ca="1">INDEX(INDIRECT($AF$6),
       MATCH(TRIM($S40), INDIRECT($AF$7), 0),
       MATCH(TRIM(X$13), INDIRECT($AF$8), 0))</f>
        <v>#N/A</v>
      </c>
      <c r="Y40" s="14">
        <f ca="1">INDEX(INDIRECT($AF$6),
       MATCH(TRIM($S40), INDIRECT($AF$7), 0),
       MATCH(TRIM(Y$13), INDIRECT($AF$8), 0))</f>
        <v>1.1872149999999999</v>
      </c>
      <c r="Z40" s="14">
        <f ca="1">INDEX(INDIRECT($AF$6),
       MATCH(TRIM($S40), INDIRECT($AF$7), 0),
       MATCH(TRIM(Z$13), INDIRECT($AF$8), 0))</f>
        <v>27</v>
      </c>
      <c r="AA40" s="14">
        <f ca="1">INDEX(INDIRECT($AF$6),
       MATCH(TRIM($S40), INDIRECT($AF$7), 0),
       MATCH(TRIM(AA$13), INDIRECT($AF$8), 0))</f>
        <v>21.493678009041403</v>
      </c>
      <c r="AB40" s="14">
        <f t="shared" ca="1" si="0"/>
        <v>100.4483870090414</v>
      </c>
    </row>
    <row r="41" spans="1:28" x14ac:dyDescent="0.2">
      <c r="R41">
        <v>28</v>
      </c>
      <c r="S41" t="s">
        <v>81</v>
      </c>
      <c r="T41" s="14">
        <f ca="1">INDEX(INDIRECT($AF$6),
       MATCH(TRIM($S41), INDIRECT($AF$7), 0),
       MATCH(TRIM(T$13), INDIRECT($AF$8), 0))</f>
        <v>6</v>
      </c>
      <c r="U41" s="14" t="e">
        <f ca="1">INDEX(INDIRECT($AF$6),
       MATCH(TRIM($S41), INDIRECT($AF$7), 0),
       MATCH(TRIM(U$13), INDIRECT($AF$8), 0))</f>
        <v>#N/A</v>
      </c>
      <c r="V41" s="14">
        <f ca="1">INDEX(INDIRECT($AF$6),
       MATCH(TRIM($S41), INDIRECT($AF$7), 0),
       MATCH(TRIM(V$13), INDIRECT($AF$8), 0))</f>
        <v>104.42</v>
      </c>
      <c r="W41" s="14">
        <f ca="1">INDEX(INDIRECT($AF$6),
       MATCH(TRIM($S41), INDIRECT($AF$7), 0),
       MATCH(TRIM(W$13), INDIRECT($AF$8), 0))</f>
        <v>9</v>
      </c>
      <c r="X41" s="14" t="e">
        <f ca="1">INDEX(INDIRECT($AF$6),
       MATCH(TRIM($S41), INDIRECT($AF$7), 0),
       MATCH(TRIM(X$13), INDIRECT($AF$8), 0))</f>
        <v>#N/A</v>
      </c>
      <c r="Y41" s="14">
        <f ca="1">INDEX(INDIRECT($AF$6),
       MATCH(TRIM($S41), INDIRECT($AF$7), 0),
       MATCH(TRIM(Y$13), INDIRECT($AF$8), 0))</f>
        <v>52.521399000000002</v>
      </c>
      <c r="Z41" s="14">
        <f ca="1">INDEX(INDIRECT($AF$6),
       MATCH(TRIM($S41), INDIRECT($AF$7), 0),
       MATCH(TRIM(Z$13), INDIRECT($AF$8), 0))</f>
        <v>1</v>
      </c>
      <c r="AA41" s="14">
        <f ca="1">INDEX(INDIRECT($AF$6),
       MATCH(TRIM($S41), INDIRECT($AF$7), 0),
       MATCH(TRIM(AA$13), INDIRECT($AF$8), 0))</f>
        <v>82.835341</v>
      </c>
      <c r="AB41" s="14">
        <f t="shared" ca="1" si="0"/>
        <v>239.77673999999999</v>
      </c>
    </row>
    <row r="42" spans="1:28" x14ac:dyDescent="0.2">
      <c r="R42">
        <v>29</v>
      </c>
      <c r="S42" t="s">
        <v>71</v>
      </c>
      <c r="T42" s="14">
        <f ca="1">INDEX(INDIRECT($AF$6),
       MATCH(TRIM($S42), INDIRECT($AF$7), 0),
       MATCH(TRIM(T$13), INDIRECT($AF$8), 0))</f>
        <v>7</v>
      </c>
      <c r="U42" s="14" t="e">
        <f ca="1">INDEX(INDIRECT($AF$6),
       MATCH(TRIM($S42), INDIRECT($AF$7), 0),
       MATCH(TRIM(U$13), INDIRECT($AF$8), 0))</f>
        <v>#N/A</v>
      </c>
      <c r="V42" s="14">
        <f ca="1">INDEX(INDIRECT($AF$6),
       MATCH(TRIM($S42), INDIRECT($AF$7), 0),
       MATCH(TRIM(V$13), INDIRECT($AF$8), 0))</f>
        <v>29.605566</v>
      </c>
      <c r="W42" s="14">
        <f ca="1">INDEX(INDIRECT($AF$6),
       MATCH(TRIM($S42), INDIRECT($AF$7), 0),
       MATCH(TRIM(W$13), INDIRECT($AF$8), 0))</f>
        <v>2</v>
      </c>
      <c r="X42" s="14" t="e">
        <f ca="1">INDEX(INDIRECT($AF$6),
       MATCH(TRIM($S42), INDIRECT($AF$7), 0),
       MATCH(TRIM(X$13), INDIRECT($AF$8), 0))</f>
        <v>#N/A</v>
      </c>
      <c r="Y42" s="14">
        <f ca="1">INDEX(INDIRECT($AF$6),
       MATCH(TRIM($S42), INDIRECT($AF$7), 0),
       MATCH(TRIM(Y$13), INDIRECT($AF$8), 0))</f>
        <v>42</v>
      </c>
      <c r="Z42" s="14">
        <f ca="1">INDEX(INDIRECT($AF$6),
       MATCH(TRIM($S42), INDIRECT($AF$7), 0),
       MATCH(TRIM(Z$13), INDIRECT($AF$8), 0))</f>
        <v>5</v>
      </c>
      <c r="AA42" s="14">
        <f ca="1">INDEX(INDIRECT($AF$6),
       MATCH(TRIM($S42), INDIRECT($AF$7), 0),
       MATCH(TRIM(AA$13), INDIRECT($AF$8), 0))</f>
        <v>44.126392938021866</v>
      </c>
      <c r="AB42" s="14">
        <f t="shared" ca="1" si="0"/>
        <v>115.73195893802186</v>
      </c>
    </row>
    <row r="43" spans="1:28" x14ac:dyDescent="0.2">
      <c r="R43">
        <v>30</v>
      </c>
      <c r="S43" t="s">
        <v>76</v>
      </c>
      <c r="T43" s="14">
        <f ca="1">INDEX(INDIRECT($AF$6),
       MATCH(TRIM($S43), INDIRECT($AF$7), 0),
       MATCH(TRIM(T$13), INDIRECT($AF$8), 0))</f>
        <v>3</v>
      </c>
      <c r="U43" s="14" t="e">
        <f ca="1">INDEX(INDIRECT($AF$6),
       MATCH(TRIM($S43), INDIRECT($AF$7), 0),
       MATCH(TRIM(U$13), INDIRECT($AF$8), 0))</f>
        <v>#N/A</v>
      </c>
      <c r="V43" s="14">
        <f ca="1">INDEX(INDIRECT($AF$6),
       MATCH(TRIM($S43), INDIRECT($AF$7), 0),
       MATCH(TRIM(V$13), INDIRECT($AF$8), 0))</f>
        <v>64.025000000000006</v>
      </c>
      <c r="W43" s="14">
        <f ca="1">INDEX(INDIRECT($AF$6),
       MATCH(TRIM($S43), INDIRECT($AF$7), 0),
       MATCH(TRIM(W$13), INDIRECT($AF$8), 0))</f>
        <v>7</v>
      </c>
      <c r="X43" s="14" t="e">
        <f ca="1">INDEX(INDIRECT($AF$6),
       MATCH(TRIM($S43), INDIRECT($AF$7), 0),
       MATCH(TRIM(X$13), INDIRECT($AF$8), 0))</f>
        <v>#N/A</v>
      </c>
      <c r="Y43" s="14">
        <f ca="1">INDEX(INDIRECT($AF$6),
       MATCH(TRIM($S43), INDIRECT($AF$7), 0),
       MATCH(TRIM(Y$13), INDIRECT($AF$8), 0))</f>
        <v>63.3</v>
      </c>
      <c r="Z43" s="14">
        <f ca="1">INDEX(INDIRECT($AF$6),
       MATCH(TRIM($S43), INDIRECT($AF$7), 0),
       MATCH(TRIM(Z$13), INDIRECT($AF$8), 0))</f>
        <v>3</v>
      </c>
      <c r="AA43" s="14">
        <f ca="1">INDEX(INDIRECT($AF$6),
       MATCH(TRIM($S43), INDIRECT($AF$7), 0),
       MATCH(TRIM(AA$13), INDIRECT($AF$8), 0))</f>
        <v>4.247556598089008</v>
      </c>
      <c r="AB43" s="14">
        <f t="shared" ca="1" si="0"/>
        <v>131.57255659808902</v>
      </c>
    </row>
    <row r="44" spans="1:28" x14ac:dyDescent="0.2">
      <c r="R44">
        <v>31</v>
      </c>
      <c r="S44" t="s">
        <v>88</v>
      </c>
      <c r="T44" s="14">
        <f ca="1">INDEX(INDIRECT($AF$6),
       MATCH(TRIM($S44), INDIRECT($AF$7), 0),
       MATCH(TRIM(T$13), INDIRECT($AF$8), 0))</f>
        <v>0</v>
      </c>
      <c r="U44" s="14" t="e">
        <f ca="1">INDEX(INDIRECT($AF$6),
       MATCH(TRIM($S44), INDIRECT($AF$7), 0),
       MATCH(TRIM(U$13), INDIRECT($AF$8), 0))</f>
        <v>#N/A</v>
      </c>
      <c r="V44" s="14">
        <f ca="1">INDEX(INDIRECT($AF$6),
       MATCH(TRIM($S44), INDIRECT($AF$7), 0),
       MATCH(TRIM(V$13), INDIRECT($AF$8), 0))</f>
        <v>0</v>
      </c>
      <c r="W44" s="14">
        <f ca="1">INDEX(INDIRECT($AF$6),
       MATCH(TRIM($S44), INDIRECT($AF$7), 0),
       MATCH(TRIM(W$13), INDIRECT($AF$8), 0))</f>
        <v>2</v>
      </c>
      <c r="X44" s="14" t="e">
        <f ca="1">INDEX(INDIRECT($AF$6),
       MATCH(TRIM($S44), INDIRECT($AF$7), 0),
       MATCH(TRIM(X$13), INDIRECT($AF$8), 0))</f>
        <v>#N/A</v>
      </c>
      <c r="Y44" s="14">
        <f ca="1">INDEX(INDIRECT($AF$6),
       MATCH(TRIM($S44), INDIRECT($AF$7), 0),
       MATCH(TRIM(Y$13), INDIRECT($AF$8), 0))</f>
        <v>-158.50708299999999</v>
      </c>
      <c r="Z44" s="14">
        <f ca="1">INDEX(INDIRECT($AF$6),
       MATCH(TRIM($S44), INDIRECT($AF$7), 0),
       MATCH(TRIM(Z$13), INDIRECT($AF$8), 0))</f>
        <v>9</v>
      </c>
      <c r="AA44" s="14">
        <f ca="1">INDEX(INDIRECT($AF$6),
       MATCH(TRIM($S44), INDIRECT($AF$7), 0),
       MATCH(TRIM(AA$13), INDIRECT($AF$8), 0))</f>
        <v>23.220940999980197</v>
      </c>
      <c r="AB44" s="14">
        <f t="shared" ca="1" si="0"/>
        <v>-135.28614200001979</v>
      </c>
    </row>
    <row r="45" spans="1:28" x14ac:dyDescent="0.2">
      <c r="R45">
        <v>32</v>
      </c>
      <c r="S45" t="s">
        <v>84</v>
      </c>
      <c r="T45" s="14">
        <f ca="1">INDEX(INDIRECT($AF$6),
       MATCH(TRIM($S45), INDIRECT($AF$7), 0),
       MATCH(TRIM(T$13), INDIRECT($AF$8), 0))</f>
        <v>1</v>
      </c>
      <c r="U45" s="14" t="e">
        <f ca="1">INDEX(INDIRECT($AF$6),
       MATCH(TRIM($S45), INDIRECT($AF$7), 0),
       MATCH(TRIM(U$13), INDIRECT($AF$8), 0))</f>
        <v>#N/A</v>
      </c>
      <c r="V45" s="14">
        <f ca="1">INDEX(INDIRECT($AF$6),
       MATCH(TRIM($S45), INDIRECT($AF$7), 0),
       MATCH(TRIM(V$13), INDIRECT($AF$8), 0))</f>
        <v>4000</v>
      </c>
      <c r="W45" s="14">
        <f ca="1">INDEX(INDIRECT($AF$6),
       MATCH(TRIM($S45), INDIRECT($AF$7), 0),
       MATCH(TRIM(W$13), INDIRECT($AF$8), 0))</f>
        <v>0</v>
      </c>
      <c r="X45" s="14" t="e">
        <f ca="1">INDEX(INDIRECT($AF$6),
       MATCH(TRIM($S45), INDIRECT($AF$7), 0),
       MATCH(TRIM(X$13), INDIRECT($AF$8), 0))</f>
        <v>#N/A</v>
      </c>
      <c r="Y45" s="14">
        <f ca="1">INDEX(INDIRECT($AF$6),
       MATCH(TRIM($S45), INDIRECT($AF$7), 0),
       MATCH(TRIM(Y$13), INDIRECT($AF$8), 0))</f>
        <v>0</v>
      </c>
      <c r="Z45" s="14">
        <f ca="1">INDEX(INDIRECT($AF$6),
       MATCH(TRIM($S45), INDIRECT($AF$7), 0),
       MATCH(TRIM(Z$13), INDIRECT($AF$8), 0))</f>
        <v>0</v>
      </c>
      <c r="AA45" s="14">
        <f ca="1">INDEX(INDIRECT($AF$6),
       MATCH(TRIM($S45), INDIRECT($AF$7), 0),
       MATCH(TRIM(AA$13), INDIRECT($AF$8), 0))</f>
        <v>0</v>
      </c>
      <c r="AB45" s="14">
        <f t="shared" ca="1" si="0"/>
        <v>4000</v>
      </c>
    </row>
    <row r="46" spans="1:28" x14ac:dyDescent="0.2">
      <c r="R46">
        <v>33</v>
      </c>
      <c r="S46" t="s">
        <v>80</v>
      </c>
      <c r="T46" s="14">
        <f ca="1">INDEX(INDIRECT($AF$6),
       MATCH(TRIM($S46), INDIRECT($AF$7), 0),
       MATCH(TRIM(T$13), INDIRECT($AF$8), 0))</f>
        <v>2</v>
      </c>
      <c r="U46" s="14" t="e">
        <f ca="1">INDEX(INDIRECT($AF$6),
       MATCH(TRIM($S46), INDIRECT($AF$7), 0),
       MATCH(TRIM(U$13), INDIRECT($AF$8), 0))</f>
        <v>#N/A</v>
      </c>
      <c r="V46" s="14">
        <f ca="1">INDEX(INDIRECT($AF$6),
       MATCH(TRIM($S46), INDIRECT($AF$7), 0),
       MATCH(TRIM(V$13), INDIRECT($AF$8), 0))</f>
        <v>70.387843000000004</v>
      </c>
      <c r="W46" s="14">
        <f ca="1">INDEX(INDIRECT($AF$6),
       MATCH(TRIM($S46), INDIRECT($AF$7), 0),
       MATCH(TRIM(W$13), INDIRECT($AF$8), 0))</f>
        <v>5</v>
      </c>
      <c r="X46" s="14" t="e">
        <f ca="1">INDEX(INDIRECT($AF$6),
       MATCH(TRIM($S46), INDIRECT($AF$7), 0),
       MATCH(TRIM(X$13), INDIRECT($AF$8), 0))</f>
        <v>#N/A</v>
      </c>
      <c r="Y46" s="14">
        <f ca="1">INDEX(INDIRECT($AF$6),
       MATCH(TRIM($S46), INDIRECT($AF$7), 0),
       MATCH(TRIM(Y$13), INDIRECT($AF$8), 0))</f>
        <v>-18.762944000000001</v>
      </c>
      <c r="Z46" s="14">
        <f ca="1">INDEX(INDIRECT($AF$6),
       MATCH(TRIM($S46), INDIRECT($AF$7), 0),
       MATCH(TRIM(Z$13), INDIRECT($AF$8), 0))</f>
        <v>1</v>
      </c>
      <c r="AA46" s="14">
        <f ca="1">INDEX(INDIRECT($AF$6),
       MATCH(TRIM($S46), INDIRECT($AF$7), 0),
       MATCH(TRIM(AA$13), INDIRECT($AF$8), 0))</f>
        <v>0.52485000000000004</v>
      </c>
      <c r="AB46" s="14">
        <f t="shared" ca="1" si="0"/>
        <v>52.149749</v>
      </c>
    </row>
    <row r="47" spans="1:28" x14ac:dyDescent="0.2">
      <c r="R47">
        <v>34</v>
      </c>
      <c r="S47" t="s">
        <v>40</v>
      </c>
      <c r="T47" s="14">
        <f ca="1">INDEX(INDIRECT($AF$6),
       MATCH(TRIM($S47), INDIRECT($AF$7), 0),
       MATCH(TRIM(T$13), INDIRECT($AF$8), 0))</f>
        <v>3</v>
      </c>
      <c r="U47" s="14" t="e">
        <f ca="1">INDEX(INDIRECT($AF$6),
       MATCH(TRIM($S47), INDIRECT($AF$7), 0),
       MATCH(TRIM(U$13), INDIRECT($AF$8), 0))</f>
        <v>#N/A</v>
      </c>
      <c r="V47" s="14">
        <f ca="1">INDEX(INDIRECT($AF$6),
       MATCH(TRIM($S47), INDIRECT($AF$7), 0),
       MATCH(TRIM(V$13), INDIRECT($AF$8), 0))</f>
        <v>2.78851</v>
      </c>
      <c r="W47" s="14">
        <f ca="1">INDEX(INDIRECT($AF$6),
       MATCH(TRIM($S47), INDIRECT($AF$7), 0),
       MATCH(TRIM(W$13), INDIRECT($AF$8), 0))</f>
        <v>4</v>
      </c>
      <c r="X47" s="14" t="e">
        <f ca="1">INDEX(INDIRECT($AF$6),
       MATCH(TRIM($S47), INDIRECT($AF$7), 0),
       MATCH(TRIM(X$13), INDIRECT($AF$8), 0))</f>
        <v>#N/A</v>
      </c>
      <c r="Y47" s="14">
        <f ca="1">INDEX(INDIRECT($AF$6),
       MATCH(TRIM($S47), INDIRECT($AF$7), 0),
       MATCH(TRIM(Y$13), INDIRECT($AF$8), 0))</f>
        <v>31.628034</v>
      </c>
      <c r="Z47" s="14">
        <f ca="1">INDEX(INDIRECT($AF$6),
       MATCH(TRIM($S47), INDIRECT($AF$7), 0),
       MATCH(TRIM(Z$13), INDIRECT($AF$8), 0))</f>
        <v>15</v>
      </c>
      <c r="AA47" s="14">
        <f ca="1">INDEX(INDIRECT($AF$6),
       MATCH(TRIM($S47), INDIRECT($AF$7), 0),
       MATCH(TRIM(AA$13), INDIRECT($AF$8), 0))</f>
        <v>83.074327346819331</v>
      </c>
      <c r="AB47" s="14">
        <f t="shared" ca="1" si="0"/>
        <v>117.49087134681933</v>
      </c>
    </row>
    <row r="48" spans="1:28" x14ac:dyDescent="0.2">
      <c r="R48">
        <v>35</v>
      </c>
      <c r="S48" t="s">
        <v>66</v>
      </c>
      <c r="T48" s="14">
        <f ca="1">INDEX(INDIRECT($AF$6),
       MATCH(TRIM($S48), INDIRECT($AF$7), 0),
       MATCH(TRIM(T$13), INDIRECT($AF$8), 0))</f>
        <v>4</v>
      </c>
      <c r="U48" s="14" t="e">
        <f ca="1">INDEX(INDIRECT($AF$6),
       MATCH(TRIM($S48), INDIRECT($AF$7), 0),
       MATCH(TRIM(U$13), INDIRECT($AF$8), 0))</f>
        <v>#N/A</v>
      </c>
      <c r="V48" s="14">
        <f ca="1">INDEX(INDIRECT($AF$6),
       MATCH(TRIM($S48), INDIRECT($AF$7), 0),
       MATCH(TRIM(V$13), INDIRECT($AF$8), 0))</f>
        <v>10.934782</v>
      </c>
      <c r="W48" s="14">
        <f ca="1">INDEX(INDIRECT($AF$6),
       MATCH(TRIM($S48), INDIRECT($AF$7), 0),
       MATCH(TRIM(W$13), INDIRECT($AF$8), 0))</f>
        <v>3</v>
      </c>
      <c r="X48" s="14" t="e">
        <f ca="1">INDEX(INDIRECT($AF$6),
       MATCH(TRIM($S48), INDIRECT($AF$7), 0),
       MATCH(TRIM(X$13), INDIRECT($AF$8), 0))</f>
        <v>#N/A</v>
      </c>
      <c r="Y48" s="14">
        <f ca="1">INDEX(INDIRECT($AF$6),
       MATCH(TRIM($S48), INDIRECT($AF$7), 0),
       MATCH(TRIM(Y$13), INDIRECT($AF$8), 0))</f>
        <v>4.8525840000000002</v>
      </c>
      <c r="Z48" s="14">
        <f ca="1">INDEX(INDIRECT($AF$6),
       MATCH(TRIM($S48), INDIRECT($AF$7), 0),
       MATCH(TRIM(Z$13), INDIRECT($AF$8), 0))</f>
        <v>15</v>
      </c>
      <c r="AA48" s="14">
        <f ca="1">INDEX(INDIRECT($AF$6),
       MATCH(TRIM($S48), INDIRECT($AF$7), 0),
       MATCH(TRIM(AA$13), INDIRECT($AF$8), 0))</f>
        <v>29.211515704772321</v>
      </c>
      <c r="AB48" s="14">
        <f t="shared" ca="1" si="0"/>
        <v>44.998881704772323</v>
      </c>
    </row>
    <row r="49" spans="18:28" x14ac:dyDescent="0.2">
      <c r="R49">
        <v>36</v>
      </c>
      <c r="S49" t="s">
        <v>133</v>
      </c>
      <c r="T49" s="14">
        <f ca="1">INDEX(INDIRECT($AF$6),
       MATCH(TRIM($S49), INDIRECT($AF$7), 0),
       MATCH(TRIM(T$13), INDIRECT($AF$8), 0))</f>
        <v>1</v>
      </c>
      <c r="U49" s="14" t="e">
        <f ca="1">INDEX(INDIRECT($AF$6),
       MATCH(TRIM($S49), INDIRECT($AF$7), 0),
       MATCH(TRIM(U$13), INDIRECT($AF$8), 0))</f>
        <v>#N/A</v>
      </c>
      <c r="V49" s="14">
        <f ca="1">INDEX(INDIRECT($AF$6),
       MATCH(TRIM($S49), INDIRECT($AF$7), 0),
       MATCH(TRIM(V$13), INDIRECT($AF$8), 0))</f>
        <v>40.772531999999998</v>
      </c>
      <c r="W49" s="14">
        <f ca="1">INDEX(INDIRECT($AF$6),
       MATCH(TRIM($S49), INDIRECT($AF$7), 0),
       MATCH(TRIM(W$13), INDIRECT($AF$8), 0))</f>
        <v>0</v>
      </c>
      <c r="X49" s="14" t="e">
        <f ca="1">INDEX(INDIRECT($AF$6),
       MATCH(TRIM($S49), INDIRECT($AF$7), 0),
       MATCH(TRIM(X$13), INDIRECT($AF$8), 0))</f>
        <v>#N/A</v>
      </c>
      <c r="Y49" s="14">
        <f ca="1">INDEX(INDIRECT($AF$6),
       MATCH(TRIM($S49), INDIRECT($AF$7), 0),
       MATCH(TRIM(Y$13), INDIRECT($AF$8), 0))</f>
        <v>0</v>
      </c>
      <c r="Z49" s="14">
        <f ca="1">INDEX(INDIRECT($AF$6),
       MATCH(TRIM($S49), INDIRECT($AF$7), 0),
       MATCH(TRIM(Z$13), INDIRECT($AF$8), 0))</f>
        <v>1</v>
      </c>
      <c r="AA49" s="14">
        <f ca="1">INDEX(INDIRECT($AF$6),
       MATCH(TRIM($S49), INDIRECT($AF$7), 0),
       MATCH(TRIM(AA$13), INDIRECT($AF$8), 0))</f>
        <v>4.3040371868812904E-2</v>
      </c>
      <c r="AB49" s="14">
        <f t="shared" ca="1" si="0"/>
        <v>40.815572371868811</v>
      </c>
    </row>
    <row r="50" spans="18:28" x14ac:dyDescent="0.2">
      <c r="R50">
        <v>37</v>
      </c>
      <c r="S50" t="s">
        <v>75</v>
      </c>
      <c r="T50" s="14">
        <f ca="1">INDEX(INDIRECT($AF$6),
       MATCH(TRIM($S50), INDIRECT($AF$7), 0),
       MATCH(TRIM(T$13), INDIRECT($AF$8), 0))</f>
        <v>1</v>
      </c>
      <c r="U50" s="14" t="e">
        <f ca="1">INDEX(INDIRECT($AF$6),
       MATCH(TRIM($S50), INDIRECT($AF$7), 0),
       MATCH(TRIM(U$13), INDIRECT($AF$8), 0))</f>
        <v>#N/A</v>
      </c>
      <c r="V50" s="14">
        <f ca="1">INDEX(INDIRECT($AF$6),
       MATCH(TRIM($S50), INDIRECT($AF$7), 0),
       MATCH(TRIM(V$13), INDIRECT($AF$8), 0))</f>
        <v>5</v>
      </c>
      <c r="W50" s="14">
        <f ca="1">INDEX(INDIRECT($AF$6),
       MATCH(TRIM($S50), INDIRECT($AF$7), 0),
       MATCH(TRIM(W$13), INDIRECT($AF$8), 0))</f>
        <v>0</v>
      </c>
      <c r="X50" s="14" t="e">
        <f ca="1">INDEX(INDIRECT($AF$6),
       MATCH(TRIM($S50), INDIRECT($AF$7), 0),
       MATCH(TRIM(X$13), INDIRECT($AF$8), 0))</f>
        <v>#N/A</v>
      </c>
      <c r="Y50" s="14">
        <f ca="1">INDEX(INDIRECT($AF$6),
       MATCH(TRIM($S50), INDIRECT($AF$7), 0),
       MATCH(TRIM(Y$13), INDIRECT($AF$8), 0))</f>
        <v>0</v>
      </c>
      <c r="Z50" s="14">
        <f ca="1">INDEX(INDIRECT($AF$6),
       MATCH(TRIM($S50), INDIRECT($AF$7), 0),
       MATCH(TRIM(Z$13), INDIRECT($AF$8), 0))</f>
        <v>1</v>
      </c>
      <c r="AA50" s="14">
        <f ca="1">INDEX(INDIRECT($AF$6),
       MATCH(TRIM($S50), INDIRECT($AF$7), 0),
       MATCH(TRIM(AA$13), INDIRECT($AF$8), 0))</f>
        <v>8.1776706550744593E-2</v>
      </c>
      <c r="AB50" s="14">
        <f t="shared" ca="1" si="0"/>
        <v>5.0817767065507446</v>
      </c>
    </row>
    <row r="51" spans="18:28" x14ac:dyDescent="0.2">
      <c r="R51">
        <v>38</v>
      </c>
      <c r="S51" t="s">
        <v>77</v>
      </c>
      <c r="T51" s="14">
        <f ca="1">INDEX(INDIRECT($AF$6),
       MATCH(TRIM($S51), INDIRECT($AF$7), 0),
       MATCH(TRIM(T$13), INDIRECT($AF$8), 0))</f>
        <v>5</v>
      </c>
      <c r="U51" s="14" t="e">
        <f ca="1">INDEX(INDIRECT($AF$6),
       MATCH(TRIM($S51), INDIRECT($AF$7), 0),
       MATCH(TRIM(U$13), INDIRECT($AF$8), 0))</f>
        <v>#N/A</v>
      </c>
      <c r="V51" s="14">
        <f ca="1">INDEX(INDIRECT($AF$6),
       MATCH(TRIM($S51), INDIRECT($AF$7), 0),
       MATCH(TRIM(V$13), INDIRECT($AF$8), 0))</f>
        <v>31.717624000000001</v>
      </c>
      <c r="W51" s="14">
        <f ca="1">INDEX(INDIRECT($AF$6),
       MATCH(TRIM($S51), INDIRECT($AF$7), 0),
       MATCH(TRIM(W$13), INDIRECT($AF$8), 0))</f>
        <v>1</v>
      </c>
      <c r="X51" s="14" t="e">
        <f ca="1">INDEX(INDIRECT($AF$6),
       MATCH(TRIM($S51), INDIRECT($AF$7), 0),
       MATCH(TRIM(X$13), INDIRECT($AF$8), 0))</f>
        <v>#N/A</v>
      </c>
      <c r="Y51" s="14">
        <f ca="1">INDEX(INDIRECT($AF$6),
       MATCH(TRIM($S51), INDIRECT($AF$7), 0),
       MATCH(TRIM(Y$13), INDIRECT($AF$8), 0))</f>
        <v>0.46842099999999998</v>
      </c>
      <c r="Z51" s="14">
        <f ca="1">INDEX(INDIRECT($AF$6),
       MATCH(TRIM($S51), INDIRECT($AF$7), 0),
       MATCH(TRIM(Z$13), INDIRECT($AF$8), 0))</f>
        <v>11</v>
      </c>
      <c r="AA51" s="14">
        <f ca="1">INDEX(INDIRECT($AF$6),
       MATCH(TRIM($S51), INDIRECT($AF$7), 0),
       MATCH(TRIM(AA$13), INDIRECT($AF$8), 0))</f>
        <v>11.43468552247224</v>
      </c>
      <c r="AB51" s="14">
        <f t="shared" ca="1" si="0"/>
        <v>43.620730522472243</v>
      </c>
    </row>
    <row r="52" spans="18:28" x14ac:dyDescent="0.2">
      <c r="R52">
        <v>39</v>
      </c>
      <c r="S52" t="s">
        <v>68</v>
      </c>
      <c r="T52" s="14">
        <f ca="1">INDEX(INDIRECT($AF$6),
       MATCH(TRIM($S52), INDIRECT($AF$7), 0),
       MATCH(TRIM(T$13), INDIRECT($AF$8), 0))</f>
        <v>11</v>
      </c>
      <c r="U52" s="14" t="e">
        <f ca="1">INDEX(INDIRECT($AF$6),
       MATCH(TRIM($S52), INDIRECT($AF$7), 0),
       MATCH(TRIM(U$13), INDIRECT($AF$8), 0))</f>
        <v>#N/A</v>
      </c>
      <c r="V52" s="14">
        <f ca="1">INDEX(INDIRECT($AF$6),
       MATCH(TRIM($S52), INDIRECT($AF$7), 0),
       MATCH(TRIM(V$13), INDIRECT($AF$8), 0))</f>
        <v>82.808165000000002</v>
      </c>
      <c r="W52" s="14">
        <f ca="1">INDEX(INDIRECT($AF$6),
       MATCH(TRIM($S52), INDIRECT($AF$7), 0),
       MATCH(TRIM(W$13), INDIRECT($AF$8), 0))</f>
        <v>1</v>
      </c>
      <c r="X52" s="14" t="e">
        <f ca="1">INDEX(INDIRECT($AF$6),
       MATCH(TRIM($S52), INDIRECT($AF$7), 0),
       MATCH(TRIM(X$13), INDIRECT($AF$8), 0))</f>
        <v>#N/A</v>
      </c>
      <c r="Y52" s="14">
        <f ca="1">INDEX(INDIRECT($AF$6),
       MATCH(TRIM($S52), INDIRECT($AF$7), 0),
       MATCH(TRIM(Y$13), INDIRECT($AF$8), 0))</f>
        <v>0.29589399999999999</v>
      </c>
      <c r="Z52" s="14">
        <f ca="1">INDEX(INDIRECT($AF$6),
       MATCH(TRIM($S52), INDIRECT($AF$7), 0),
       MATCH(TRIM(Z$13), INDIRECT($AF$8), 0))</f>
        <v>9</v>
      </c>
      <c r="AA52" s="14">
        <f ca="1">INDEX(INDIRECT($AF$6),
       MATCH(TRIM($S52), INDIRECT($AF$7), 0),
       MATCH(TRIM(AA$13), INDIRECT($AF$8), 0))</f>
        <v>7.7834002883704878</v>
      </c>
      <c r="AB52" s="14">
        <f t="shared" ca="1" si="0"/>
        <v>90.887459288370493</v>
      </c>
    </row>
    <row r="53" spans="18:28" x14ac:dyDescent="0.2">
      <c r="R53">
        <v>40</v>
      </c>
      <c r="S53" t="s">
        <v>62</v>
      </c>
      <c r="T53" s="14">
        <f ca="1">INDEX(INDIRECT($AF$6),
       MATCH(TRIM($S53), INDIRECT($AF$7), 0),
       MATCH(TRIM(T$13), INDIRECT($AF$8), 0))</f>
        <v>1</v>
      </c>
      <c r="U53" s="14" t="e">
        <f ca="1">INDEX(INDIRECT($AF$6),
       MATCH(TRIM($S53), INDIRECT($AF$7), 0),
       MATCH(TRIM(U$13), INDIRECT($AF$8), 0))</f>
        <v>#N/A</v>
      </c>
      <c r="V53" s="14">
        <f ca="1">INDEX(INDIRECT($AF$6),
       MATCH(TRIM($S53), INDIRECT($AF$7), 0),
       MATCH(TRIM(V$13), INDIRECT($AF$8), 0))</f>
        <v>1.833132</v>
      </c>
      <c r="W53" s="14">
        <f ca="1">INDEX(INDIRECT($AF$6),
       MATCH(TRIM($S53), INDIRECT($AF$7), 0),
       MATCH(TRIM(W$13), INDIRECT($AF$8), 0))</f>
        <v>1</v>
      </c>
      <c r="X53" s="14" t="e">
        <f ca="1">INDEX(INDIRECT($AF$6),
       MATCH(TRIM($S53), INDIRECT($AF$7), 0),
       MATCH(TRIM(X$13), INDIRECT($AF$8), 0))</f>
        <v>#N/A</v>
      </c>
      <c r="Y53" s="14">
        <f ca="1">INDEX(INDIRECT($AF$6),
       MATCH(TRIM($S53), INDIRECT($AF$7), 0),
       MATCH(TRIM(Y$13), INDIRECT($AF$8), 0))</f>
        <v>1.5</v>
      </c>
      <c r="Z53" s="14">
        <f ca="1">INDEX(INDIRECT($AF$6),
       MATCH(TRIM($S53), INDIRECT($AF$7), 0),
       MATCH(TRIM(Z$13), INDIRECT($AF$8), 0))</f>
        <v>1</v>
      </c>
      <c r="AA53" s="14">
        <f ca="1">INDEX(INDIRECT($AF$6),
       MATCH(TRIM($S53), INDIRECT($AF$7), 0),
       MATCH(TRIM(AA$13), INDIRECT($AF$8), 0))</f>
        <v>2.3645967117155902</v>
      </c>
      <c r="AB53" s="14">
        <f t="shared" ca="1" si="0"/>
        <v>5.6977287117155901</v>
      </c>
    </row>
    <row r="54" spans="18:28" x14ac:dyDescent="0.2">
      <c r="R54">
        <v>41</v>
      </c>
      <c r="S54" t="s">
        <v>60</v>
      </c>
      <c r="T54" s="14">
        <f ca="1">INDEX(INDIRECT($AF$6),
       MATCH(TRIM($S54), INDIRECT($AF$7), 0),
       MATCH(TRIM(T$13), INDIRECT($AF$8), 0))</f>
        <v>16</v>
      </c>
      <c r="U54" s="14" t="e">
        <f ca="1">INDEX(INDIRECT($AF$6),
       MATCH(TRIM($S54), INDIRECT($AF$7), 0),
       MATCH(TRIM(U$13), INDIRECT($AF$8), 0))</f>
        <v>#N/A</v>
      </c>
      <c r="V54" s="14">
        <f ca="1">INDEX(INDIRECT($AF$6),
       MATCH(TRIM($S54), INDIRECT($AF$7), 0),
       MATCH(TRIM(V$13), INDIRECT($AF$8), 0))</f>
        <v>50.940392000000003</v>
      </c>
      <c r="W54" s="14">
        <f ca="1">INDEX(INDIRECT($AF$6),
       MATCH(TRIM($S54), INDIRECT($AF$7), 0),
       MATCH(TRIM(W$13), INDIRECT($AF$8), 0))</f>
        <v>8</v>
      </c>
      <c r="X54" s="14" t="e">
        <f ca="1">INDEX(INDIRECT($AF$6),
       MATCH(TRIM($S54), INDIRECT($AF$7), 0),
       MATCH(TRIM(X$13), INDIRECT($AF$8), 0))</f>
        <v>#N/A</v>
      </c>
      <c r="Y54" s="14">
        <f ca="1">INDEX(INDIRECT($AF$6),
       MATCH(TRIM($S54), INDIRECT($AF$7), 0),
       MATCH(TRIM(Y$13), INDIRECT($AF$8), 0))</f>
        <v>20.21715</v>
      </c>
      <c r="Z54" s="14">
        <f ca="1">INDEX(INDIRECT($AF$6),
       MATCH(TRIM($S54), INDIRECT($AF$7), 0),
       MATCH(TRIM(Z$13), INDIRECT($AF$8), 0))</f>
        <v>19</v>
      </c>
      <c r="AA54" s="14">
        <f ca="1">INDEX(INDIRECT($AF$6),
       MATCH(TRIM($S54), INDIRECT($AF$7), 0),
       MATCH(TRIM(AA$13), INDIRECT($AF$8), 0))</f>
        <v>26.750800956658111</v>
      </c>
      <c r="AB54" s="14">
        <f t="shared" ca="1" si="0"/>
        <v>97.908342956658117</v>
      </c>
    </row>
    <row r="55" spans="18:28" x14ac:dyDescent="0.2">
      <c r="R55">
        <v>42</v>
      </c>
      <c r="S55" t="s">
        <v>57</v>
      </c>
      <c r="T55" s="14">
        <f ca="1">INDEX(INDIRECT($AF$6),
       MATCH(TRIM($S55), INDIRECT($AF$7), 0),
       MATCH(TRIM(T$13), INDIRECT($AF$8), 0))</f>
        <v>8</v>
      </c>
      <c r="U55" s="14" t="e">
        <f ca="1">INDEX(INDIRECT($AF$6),
       MATCH(TRIM($S55), INDIRECT($AF$7), 0),
       MATCH(TRIM(U$13), INDIRECT($AF$8), 0))</f>
        <v>#N/A</v>
      </c>
      <c r="V55" s="14">
        <f ca="1">INDEX(INDIRECT($AF$6),
       MATCH(TRIM($S55), INDIRECT($AF$7), 0),
       MATCH(TRIM(V$13), INDIRECT($AF$8), 0))</f>
        <v>541.12480800000003</v>
      </c>
      <c r="W55" s="14">
        <f ca="1">INDEX(INDIRECT($AF$6),
       MATCH(TRIM($S55), INDIRECT($AF$7), 0),
       MATCH(TRIM(W$13), INDIRECT($AF$8), 0))</f>
        <v>2</v>
      </c>
      <c r="X55" s="14" t="e">
        <f ca="1">INDEX(INDIRECT($AF$6),
       MATCH(TRIM($S55), INDIRECT($AF$7), 0),
       MATCH(TRIM(X$13), INDIRECT($AF$8), 0))</f>
        <v>#N/A</v>
      </c>
      <c r="Y55" s="14">
        <f ca="1">INDEX(INDIRECT($AF$6),
       MATCH(TRIM($S55), INDIRECT($AF$7), 0),
       MATCH(TRIM(Y$13), INDIRECT($AF$8), 0))</f>
        <v>5.6195649999999997</v>
      </c>
      <c r="Z55" s="14">
        <f ca="1">INDEX(INDIRECT($AF$6),
       MATCH(TRIM($S55), INDIRECT($AF$7), 0),
       MATCH(TRIM(Z$13), INDIRECT($AF$8), 0))</f>
        <v>7</v>
      </c>
      <c r="AA55" s="14">
        <f ca="1">INDEX(INDIRECT($AF$6),
       MATCH(TRIM($S55), INDIRECT($AF$7), 0),
       MATCH(TRIM(AA$13), INDIRECT($AF$8), 0))</f>
        <v>21.957591649995699</v>
      </c>
      <c r="AB55" s="14">
        <f t="shared" ca="1" si="0"/>
        <v>568.70196464999572</v>
      </c>
    </row>
    <row r="56" spans="18:28" x14ac:dyDescent="0.2">
      <c r="R56">
        <v>43</v>
      </c>
      <c r="S56" t="s">
        <v>58</v>
      </c>
      <c r="T56" s="14">
        <f ca="1">INDEX(INDIRECT($AF$6),
       MATCH(TRIM($S56), INDIRECT($AF$7), 0),
       MATCH(TRIM(T$13), INDIRECT($AF$8), 0))</f>
        <v>2</v>
      </c>
      <c r="U56" s="14" t="e">
        <f ca="1">INDEX(INDIRECT($AF$6),
       MATCH(TRIM($S56), INDIRECT($AF$7), 0),
       MATCH(TRIM(U$13), INDIRECT($AF$8), 0))</f>
        <v>#N/A</v>
      </c>
      <c r="V56" s="14">
        <f ca="1">INDEX(INDIRECT($AF$6),
       MATCH(TRIM($S56), INDIRECT($AF$7), 0),
       MATCH(TRIM(V$13), INDIRECT($AF$8), 0))</f>
        <v>10.282038999999999</v>
      </c>
      <c r="W56" s="14">
        <f ca="1">INDEX(INDIRECT($AF$6),
       MATCH(TRIM($S56), INDIRECT($AF$7), 0),
       MATCH(TRIM(W$13), INDIRECT($AF$8), 0))</f>
        <v>0</v>
      </c>
      <c r="X56" s="14" t="e">
        <f ca="1">INDEX(INDIRECT($AF$6),
       MATCH(TRIM($S56), INDIRECT($AF$7), 0),
       MATCH(TRIM(X$13), INDIRECT($AF$8), 0))</f>
        <v>#N/A</v>
      </c>
      <c r="Y56" s="14">
        <f ca="1">INDEX(INDIRECT($AF$6),
       MATCH(TRIM($S56), INDIRECT($AF$7), 0),
       MATCH(TRIM(Y$13), INDIRECT($AF$8), 0))</f>
        <v>0</v>
      </c>
      <c r="Z56" s="14">
        <f ca="1">INDEX(INDIRECT($AF$6),
       MATCH(TRIM($S56), INDIRECT($AF$7), 0),
       MATCH(TRIM(Z$13), INDIRECT($AF$8), 0))</f>
        <v>8</v>
      </c>
      <c r="AA56" s="14">
        <f ca="1">INDEX(INDIRECT($AF$6),
       MATCH(TRIM($S56), INDIRECT($AF$7), 0),
       MATCH(TRIM(AA$13), INDIRECT($AF$8), 0))</f>
        <v>5.2912359203322676</v>
      </c>
      <c r="AB56" s="14">
        <f t="shared" ca="1" si="0"/>
        <v>15.573274920332267</v>
      </c>
    </row>
    <row r="57" spans="18:28" x14ac:dyDescent="0.2">
      <c r="R57">
        <v>44</v>
      </c>
      <c r="S57" t="s">
        <v>83</v>
      </c>
      <c r="T57" s="14">
        <f ca="1">INDEX(INDIRECT($AF$6),
       MATCH(TRIM($S57), INDIRECT($AF$7), 0),
       MATCH(TRIM(T$13), INDIRECT($AF$8), 0))</f>
        <v>3</v>
      </c>
      <c r="U57" s="14" t="e">
        <f ca="1">INDEX(INDIRECT($AF$6),
       MATCH(TRIM($S57), INDIRECT($AF$7), 0),
       MATCH(TRIM(U$13), INDIRECT($AF$8), 0))</f>
        <v>#N/A</v>
      </c>
      <c r="V57" s="14">
        <f ca="1">INDEX(INDIRECT($AF$6),
       MATCH(TRIM($S57), INDIRECT($AF$7), 0),
       MATCH(TRIM(V$13), INDIRECT($AF$8), 0))</f>
        <v>10</v>
      </c>
      <c r="W57" s="14">
        <f ca="1">INDEX(INDIRECT($AF$6),
       MATCH(TRIM($S57), INDIRECT($AF$7), 0),
       MATCH(TRIM(W$13), INDIRECT($AF$8), 0))</f>
        <v>0</v>
      </c>
      <c r="X57" s="14" t="e">
        <f ca="1">INDEX(INDIRECT($AF$6),
       MATCH(TRIM($S57), INDIRECT($AF$7), 0),
       MATCH(TRIM(X$13), INDIRECT($AF$8), 0))</f>
        <v>#N/A</v>
      </c>
      <c r="Y57" s="14">
        <f ca="1">INDEX(INDIRECT($AF$6),
       MATCH(TRIM($S57), INDIRECT($AF$7), 0),
       MATCH(TRIM(Y$13), INDIRECT($AF$8), 0))</f>
        <v>0</v>
      </c>
      <c r="Z57" s="14">
        <f ca="1">INDEX(INDIRECT($AF$6),
       MATCH(TRIM($S57), INDIRECT($AF$7), 0),
       MATCH(TRIM(Z$13), INDIRECT($AF$8), 0))</f>
        <v>41</v>
      </c>
      <c r="AA57" s="14">
        <f ca="1">INDEX(INDIRECT($AF$6),
       MATCH(TRIM($S57), INDIRECT($AF$7), 0),
       MATCH(TRIM(AA$13), INDIRECT($AF$8), 0))</f>
        <v>8.3361439230438048</v>
      </c>
      <c r="AB57" s="14">
        <f t="shared" ca="1" si="0"/>
        <v>18.336143923043807</v>
      </c>
    </row>
    <row r="58" spans="18:28" x14ac:dyDescent="0.2">
      <c r="R58">
        <v>45</v>
      </c>
      <c r="S58" t="s">
        <v>73</v>
      </c>
      <c r="T58" s="14">
        <f ca="1">INDEX(INDIRECT($AF$6),
       MATCH(TRIM($S58), INDIRECT($AF$7), 0),
       MATCH(TRIM(T$13), INDIRECT($AF$8), 0))</f>
        <v>1</v>
      </c>
      <c r="U58" s="14" t="e">
        <f ca="1">INDEX(INDIRECT($AF$6),
       MATCH(TRIM($S58), INDIRECT($AF$7), 0),
       MATCH(TRIM(U$13), INDIRECT($AF$8), 0))</f>
        <v>#N/A</v>
      </c>
      <c r="V58" s="14">
        <f ca="1">INDEX(INDIRECT($AF$6),
       MATCH(TRIM($S58), INDIRECT($AF$7), 0),
       MATCH(TRIM(V$13), INDIRECT($AF$8), 0))</f>
        <v>5</v>
      </c>
      <c r="W58" s="14">
        <f ca="1">INDEX(INDIRECT($AF$6),
       MATCH(TRIM($S58), INDIRECT($AF$7), 0),
       MATCH(TRIM(W$13), INDIRECT($AF$8), 0))</f>
        <v>0</v>
      </c>
      <c r="X58" s="14" t="e">
        <f ca="1">INDEX(INDIRECT($AF$6),
       MATCH(TRIM($S58), INDIRECT($AF$7), 0),
       MATCH(TRIM(X$13), INDIRECT($AF$8), 0))</f>
        <v>#N/A</v>
      </c>
      <c r="Y58" s="14">
        <f ca="1">INDEX(INDIRECT($AF$6),
       MATCH(TRIM($S58), INDIRECT($AF$7), 0),
       MATCH(TRIM(Y$13), INDIRECT($AF$8), 0))</f>
        <v>0</v>
      </c>
      <c r="Z58" s="14">
        <f ca="1">INDEX(INDIRECT($AF$6),
       MATCH(TRIM($S58), INDIRECT($AF$7), 0),
       MATCH(TRIM(Z$13), INDIRECT($AF$8), 0))</f>
        <v>19</v>
      </c>
      <c r="AA58" s="14">
        <f ca="1">INDEX(INDIRECT($AF$6),
       MATCH(TRIM($S58), INDIRECT($AF$7), 0),
       MATCH(TRIM(AA$13), INDIRECT($AF$8), 0))</f>
        <v>9.3169277782560069</v>
      </c>
      <c r="AB58" s="14">
        <f t="shared" ca="1" si="0"/>
        <v>14.316927778256007</v>
      </c>
    </row>
    <row r="59" spans="18:28" x14ac:dyDescent="0.2">
      <c r="R59">
        <v>46</v>
      </c>
      <c r="S59" t="s">
        <v>87</v>
      </c>
      <c r="T59" s="14">
        <f ca="1">INDEX(INDIRECT($AF$6),
       MATCH(TRIM($S59), INDIRECT($AF$7), 0),
       MATCH(TRIM(T$13), INDIRECT($AF$8), 0))</f>
        <v>0</v>
      </c>
      <c r="U59" s="14" t="e">
        <f ca="1">INDEX(INDIRECT($AF$6),
       MATCH(TRIM($S59), INDIRECT($AF$7), 0),
       MATCH(TRIM(U$13), INDIRECT($AF$8), 0))</f>
        <v>#N/A</v>
      </c>
      <c r="V59" s="14">
        <f ca="1">INDEX(INDIRECT($AF$6),
       MATCH(TRIM($S59), INDIRECT($AF$7), 0),
       MATCH(TRIM(V$13), INDIRECT($AF$8), 0))</f>
        <v>0</v>
      </c>
      <c r="W59" s="14">
        <f ca="1">INDEX(INDIRECT($AF$6),
       MATCH(TRIM($S59), INDIRECT($AF$7), 0),
       MATCH(TRIM(W$13), INDIRECT($AF$8), 0))</f>
        <v>1</v>
      </c>
      <c r="X59" s="14" t="e">
        <f ca="1">INDEX(INDIRECT($AF$6),
       MATCH(TRIM($S59), INDIRECT($AF$7), 0),
       MATCH(TRIM(X$13), INDIRECT($AF$8), 0))</f>
        <v>#N/A</v>
      </c>
      <c r="Y59" s="14">
        <f ca="1">INDEX(INDIRECT($AF$6),
       MATCH(TRIM($S59), INDIRECT($AF$7), 0),
       MATCH(TRIM(Y$13), INDIRECT($AF$8), 0))</f>
        <v>10.1</v>
      </c>
      <c r="Z59" s="14">
        <f ca="1">INDEX(INDIRECT($AF$6),
       MATCH(TRIM($S59), INDIRECT($AF$7), 0),
       MATCH(TRIM(Z$13), INDIRECT($AF$8), 0))</f>
        <v>5</v>
      </c>
      <c r="AA59" s="14">
        <f ca="1">INDEX(INDIRECT($AF$6),
       MATCH(TRIM($S59), INDIRECT($AF$7), 0),
       MATCH(TRIM(AA$13), INDIRECT($AF$8), 0))</f>
        <v>10.07450488370195</v>
      </c>
      <c r="AB59" s="14">
        <f t="shared" ca="1" si="0"/>
        <v>20.17450488370195</v>
      </c>
    </row>
    <row r="60" spans="18:28" x14ac:dyDescent="0.2">
      <c r="R60">
        <v>47</v>
      </c>
      <c r="S60" t="s">
        <v>85</v>
      </c>
      <c r="T60" s="14">
        <f ca="1">INDEX(INDIRECT($AF$6),
       MATCH(TRIM($S60), INDIRECT($AF$7), 0),
       MATCH(TRIM(T$13), INDIRECT($AF$8), 0))</f>
        <v>1</v>
      </c>
      <c r="U60" s="14" t="e">
        <f ca="1">INDEX(INDIRECT($AF$6),
       MATCH(TRIM($S60), INDIRECT($AF$7), 0),
       MATCH(TRIM(U$13), INDIRECT($AF$8), 0))</f>
        <v>#N/A</v>
      </c>
      <c r="V60" s="14">
        <f ca="1">INDEX(INDIRECT($AF$6),
       MATCH(TRIM($S60), INDIRECT($AF$7), 0),
       MATCH(TRIM(V$13), INDIRECT($AF$8), 0))</f>
        <v>12</v>
      </c>
      <c r="W60" s="14">
        <f ca="1">INDEX(INDIRECT($AF$6),
       MATCH(TRIM($S60), INDIRECT($AF$7), 0),
       MATCH(TRIM(W$13), INDIRECT($AF$8), 0))</f>
        <v>0</v>
      </c>
      <c r="X60" s="14" t="e">
        <f ca="1">INDEX(INDIRECT($AF$6),
       MATCH(TRIM($S60), INDIRECT($AF$7), 0),
       MATCH(TRIM(X$13), INDIRECT($AF$8), 0))</f>
        <v>#N/A</v>
      </c>
      <c r="Y60" s="14">
        <f ca="1">INDEX(INDIRECT($AF$6),
       MATCH(TRIM($S60), INDIRECT($AF$7), 0),
       MATCH(TRIM(Y$13), INDIRECT($AF$8), 0))</f>
        <v>0</v>
      </c>
      <c r="Z60" s="14">
        <f ca="1">INDEX(INDIRECT($AF$6),
       MATCH(TRIM($S60), INDIRECT($AF$7), 0),
       MATCH(TRIM(Z$13), INDIRECT($AF$8), 0))</f>
        <v>4</v>
      </c>
      <c r="AA60" s="14">
        <f ca="1">INDEX(INDIRECT($AF$6),
       MATCH(TRIM($S60), INDIRECT($AF$7), 0),
       MATCH(TRIM(AA$13), INDIRECT($AF$8), 0))</f>
        <v>2.2957520493242662</v>
      </c>
      <c r="AB60" s="14">
        <f t="shared" ca="1" si="0"/>
        <v>14.295752049324266</v>
      </c>
    </row>
    <row r="61" spans="18:28" x14ac:dyDescent="0.2">
      <c r="R61">
        <v>48</v>
      </c>
      <c r="S61" t="s">
        <v>82</v>
      </c>
      <c r="T61" s="14">
        <f ca="1">INDEX(INDIRECT($AF$6),
       MATCH(TRIM($S61), INDIRECT($AF$7), 0),
       MATCH(TRIM(T$13), INDIRECT($AF$8), 0))</f>
        <v>0</v>
      </c>
      <c r="U61" s="14" t="e">
        <f ca="1">INDEX(INDIRECT($AF$6),
       MATCH(TRIM($S61), INDIRECT($AF$7), 0),
       MATCH(TRIM(U$13), INDIRECT($AF$8), 0))</f>
        <v>#N/A</v>
      </c>
      <c r="V61" s="14">
        <f ca="1">INDEX(INDIRECT($AF$6),
       MATCH(TRIM($S61), INDIRECT($AF$7), 0),
       MATCH(TRIM(V$13), INDIRECT($AF$8), 0))</f>
        <v>0</v>
      </c>
      <c r="W61" s="14">
        <f ca="1">INDEX(INDIRECT($AF$6),
       MATCH(TRIM($S61), INDIRECT($AF$7), 0),
       MATCH(TRIM(W$13), INDIRECT($AF$8), 0))</f>
        <v>1</v>
      </c>
      <c r="X61" s="14" t="e">
        <f ca="1">INDEX(INDIRECT($AF$6),
       MATCH(TRIM($S61), INDIRECT($AF$7), 0),
       MATCH(TRIM(X$13), INDIRECT($AF$8), 0))</f>
        <v>#N/A</v>
      </c>
      <c r="Y61" s="14">
        <f ca="1">INDEX(INDIRECT($AF$6),
       MATCH(TRIM($S61), INDIRECT($AF$7), 0),
       MATCH(TRIM(Y$13), INDIRECT($AF$8), 0))</f>
        <v>1.726817</v>
      </c>
      <c r="Z61" s="14">
        <f ca="1">INDEX(INDIRECT($AF$6),
       MATCH(TRIM($S61), INDIRECT($AF$7), 0),
       MATCH(TRIM(Z$13), INDIRECT($AF$8), 0))</f>
        <v>6</v>
      </c>
      <c r="AA61" s="14">
        <f ca="1">INDEX(INDIRECT($AF$6),
       MATCH(TRIM($S61), INDIRECT($AF$7), 0),
       MATCH(TRIM(AA$13), INDIRECT($AF$8), 0))</f>
        <v>14.482927175690804</v>
      </c>
      <c r="AB61" s="14">
        <f t="shared" ca="1" si="0"/>
        <v>16.209744175690805</v>
      </c>
    </row>
    <row r="62" spans="18:28" x14ac:dyDescent="0.2">
      <c r="R62">
        <v>49</v>
      </c>
      <c r="S62" t="s">
        <v>65</v>
      </c>
      <c r="T62" s="14">
        <f ca="1">INDEX(INDIRECT($AF$6),
       MATCH(TRIM($S62), INDIRECT($AF$7), 0),
       MATCH(TRIM(T$13), INDIRECT($AF$8), 0))</f>
        <v>1</v>
      </c>
      <c r="U62" s="14" t="e">
        <f ca="1">INDEX(INDIRECT($AF$6),
       MATCH(TRIM($S62), INDIRECT($AF$7), 0),
       MATCH(TRIM(U$13), INDIRECT($AF$8), 0))</f>
        <v>#N/A</v>
      </c>
      <c r="V62" s="14">
        <f ca="1">INDEX(INDIRECT($AF$6),
       MATCH(TRIM($S62), INDIRECT($AF$7), 0),
       MATCH(TRIM(V$13), INDIRECT($AF$8), 0))</f>
        <v>2.0191560000000002</v>
      </c>
      <c r="W62" s="14">
        <f ca="1">INDEX(INDIRECT($AF$6),
       MATCH(TRIM($S62), INDIRECT($AF$7), 0),
       MATCH(TRIM(W$13), INDIRECT($AF$8), 0))</f>
        <v>1</v>
      </c>
      <c r="X62" s="14" t="e">
        <f ca="1">INDEX(INDIRECT($AF$6),
       MATCH(TRIM($S62), INDIRECT($AF$7), 0),
       MATCH(TRIM(X$13), INDIRECT($AF$8), 0))</f>
        <v>#N/A</v>
      </c>
      <c r="Y62" s="14">
        <f ca="1">INDEX(INDIRECT($AF$6),
       MATCH(TRIM($S62), INDIRECT($AF$7), 0),
       MATCH(TRIM(Y$13), INDIRECT($AF$8), 0))</f>
        <v>0.68031200000000003</v>
      </c>
      <c r="Z62" s="14">
        <f ca="1">INDEX(INDIRECT($AF$6),
       MATCH(TRIM($S62), INDIRECT($AF$7), 0),
       MATCH(TRIM(Z$13), INDIRECT($AF$8), 0))</f>
        <v>10</v>
      </c>
      <c r="AA62" s="14">
        <f ca="1">INDEX(INDIRECT($AF$6),
       MATCH(TRIM($S62), INDIRECT($AF$7), 0),
       MATCH(TRIM(AA$13), INDIRECT($AF$8), 0))</f>
        <v>5.5824282501506461</v>
      </c>
      <c r="AB62" s="14">
        <f t="shared" ca="1" si="0"/>
        <v>8.2818962501506466</v>
      </c>
    </row>
    <row r="63" spans="18:28" x14ac:dyDescent="0.2">
      <c r="R63">
        <v>50</v>
      </c>
      <c r="S63" t="s">
        <v>120</v>
      </c>
      <c r="T63" s="14">
        <f ca="1">INDEX(INDIRECT($AF$6),
       MATCH(TRIM($S63), INDIRECT($AF$7), 0),
       MATCH(TRIM(T$13), INDIRECT($AF$8), 0))</f>
        <v>0</v>
      </c>
      <c r="U63" s="14" t="e">
        <f ca="1">INDEX(INDIRECT($AF$6),
       MATCH(TRIM($S63), INDIRECT($AF$7), 0),
       MATCH(TRIM(U$13), INDIRECT($AF$8), 0))</f>
        <v>#N/A</v>
      </c>
      <c r="V63" s="14">
        <f ca="1">INDEX(INDIRECT($AF$6),
       MATCH(TRIM($S63), INDIRECT($AF$7), 0),
       MATCH(TRIM(V$13), INDIRECT($AF$8), 0))</f>
        <v>0</v>
      </c>
      <c r="W63" s="14">
        <f ca="1">INDEX(INDIRECT($AF$6),
       MATCH(TRIM($S63), INDIRECT($AF$7), 0),
       MATCH(TRIM(W$13), INDIRECT($AF$8), 0))</f>
        <v>0</v>
      </c>
      <c r="X63" s="14" t="e">
        <f ca="1">INDEX(INDIRECT($AF$6),
       MATCH(TRIM($S63), INDIRECT($AF$7), 0),
       MATCH(TRIM(X$13), INDIRECT($AF$8), 0))</f>
        <v>#N/A</v>
      </c>
      <c r="Y63" s="14">
        <f ca="1">INDEX(INDIRECT($AF$6),
       MATCH(TRIM($S63), INDIRECT($AF$7), 0),
       MATCH(TRIM(Y$13), INDIRECT($AF$8), 0))</f>
        <v>0</v>
      </c>
      <c r="Z63" s="14">
        <f ca="1">INDEX(INDIRECT($AF$6),
       MATCH(TRIM($S63), INDIRECT($AF$7), 0),
       MATCH(TRIM(Z$13), INDIRECT($AF$8), 0))</f>
        <v>3</v>
      </c>
      <c r="AA63" s="14">
        <f ca="1">INDEX(INDIRECT($AF$6),
       MATCH(TRIM($S63), INDIRECT($AF$7), 0),
       MATCH(TRIM(AA$13), INDIRECT($AF$8), 0))</f>
        <v>0.30864250667125709</v>
      </c>
      <c r="AB63" s="14">
        <f t="shared" ca="1" si="0"/>
        <v>0.30864250667125709</v>
      </c>
    </row>
    <row r="64" spans="18:28" x14ac:dyDescent="0.2">
      <c r="R64">
        <v>51</v>
      </c>
      <c r="S64" t="s">
        <v>89</v>
      </c>
      <c r="T64" s="14" t="e">
        <f ca="1">INDEX(INDIRECT($AF$6),
       MATCH(TRIM($S64), INDIRECT($AF$7), 0),
       MATCH(TRIM(T$13), INDIRECT($AF$8), 0))</f>
        <v>#N/A</v>
      </c>
      <c r="U64" s="14" t="e">
        <f ca="1">INDEX(INDIRECT($AF$6),
       MATCH(TRIM($S64), INDIRECT($AF$7), 0),
       MATCH(TRIM(U$13), INDIRECT($AF$8), 0))</f>
        <v>#N/A</v>
      </c>
      <c r="V64" s="14" t="e">
        <f ca="1">INDEX(INDIRECT($AF$6),
       MATCH(TRIM($S64), INDIRECT($AF$7), 0),
       MATCH(TRIM(V$13), INDIRECT($AF$8), 0))</f>
        <v>#N/A</v>
      </c>
      <c r="W64" s="14" t="e">
        <f ca="1">INDEX(INDIRECT($AF$6),
       MATCH(TRIM($S64), INDIRECT($AF$7), 0),
       MATCH(TRIM(W$13), INDIRECT($AF$8), 0))</f>
        <v>#N/A</v>
      </c>
      <c r="X64" s="14" t="e">
        <f ca="1">INDEX(INDIRECT($AF$6),
       MATCH(TRIM($S64), INDIRECT($AF$7), 0),
       MATCH(TRIM(X$13), INDIRECT($AF$8), 0))</f>
        <v>#N/A</v>
      </c>
      <c r="Y64" s="14" t="e">
        <f ca="1">INDEX(INDIRECT($AF$6),
       MATCH(TRIM($S64), INDIRECT($AF$7), 0),
       MATCH(TRIM(Y$13), INDIRECT($AF$8), 0))</f>
        <v>#N/A</v>
      </c>
      <c r="Z64" s="14" t="e">
        <f ca="1">INDEX(INDIRECT($AF$6),
       MATCH(TRIM($S64), INDIRECT($AF$7), 0),
       MATCH(TRIM(Z$13), INDIRECT($AF$8), 0))</f>
        <v>#N/A</v>
      </c>
      <c r="AA64" s="14" t="e">
        <f ca="1">INDEX(INDIRECT($AF$6),
       MATCH(TRIM($S64), INDIRECT($AF$7), 0),
       MATCH(TRIM(AA$13), INDIRECT($AF$8), 0))</f>
        <v>#N/A</v>
      </c>
      <c r="AB64" s="14" t="e">
        <f t="shared" ca="1" si="0"/>
        <v>#N/A</v>
      </c>
    </row>
    <row r="65" spans="18:29" x14ac:dyDescent="0.2">
      <c r="R65">
        <v>52</v>
      </c>
      <c r="S65" t="s">
        <v>74</v>
      </c>
      <c r="T65" s="14">
        <f ca="1">INDEX(INDIRECT($AF$6),
       MATCH(TRIM($S65), INDIRECT($AF$7), 0),
       MATCH(TRIM(T$13), INDIRECT($AF$8), 0))</f>
        <v>1</v>
      </c>
      <c r="U65" s="14" t="e">
        <f ca="1">INDEX(INDIRECT($AF$6),
       MATCH(TRIM($S65), INDIRECT($AF$7), 0),
       MATCH(TRIM(U$13), INDIRECT($AF$8), 0))</f>
        <v>#N/A</v>
      </c>
      <c r="V65" s="14">
        <f ca="1">INDEX(INDIRECT($AF$6),
       MATCH(TRIM($S65), INDIRECT($AF$7), 0),
       MATCH(TRIM(V$13), INDIRECT($AF$8), 0))</f>
        <v>4.0522470000000004</v>
      </c>
      <c r="W65" s="14">
        <f ca="1">INDEX(INDIRECT($AF$6),
       MATCH(TRIM($S65), INDIRECT($AF$7), 0),
       MATCH(TRIM(W$13), INDIRECT($AF$8), 0))</f>
        <v>0</v>
      </c>
      <c r="X65" s="14" t="e">
        <f ca="1">INDEX(INDIRECT($AF$6),
       MATCH(TRIM($S65), INDIRECT($AF$7), 0),
       MATCH(TRIM(X$13), INDIRECT($AF$8), 0))</f>
        <v>#N/A</v>
      </c>
      <c r="Y65" s="14">
        <f ca="1">INDEX(INDIRECT($AF$6),
       MATCH(TRIM($S65), INDIRECT($AF$7), 0),
       MATCH(TRIM(Y$13), INDIRECT($AF$8), 0))</f>
        <v>0</v>
      </c>
      <c r="Z65" s="14">
        <f ca="1">INDEX(INDIRECT($AF$6),
       MATCH(TRIM($S65), INDIRECT($AF$7), 0),
       MATCH(TRIM(Z$13), INDIRECT($AF$8), 0))</f>
        <v>0</v>
      </c>
      <c r="AA65" s="14">
        <f ca="1">INDEX(INDIRECT($AF$6),
       MATCH(TRIM($S65), INDIRECT($AF$7), 0),
       MATCH(TRIM(AA$13), INDIRECT($AF$8), 0))</f>
        <v>0</v>
      </c>
      <c r="AB65" s="14">
        <f t="shared" ca="1" si="0"/>
        <v>4.0522470000000004</v>
      </c>
    </row>
    <row r="66" spans="18:29" x14ac:dyDescent="0.2">
      <c r="R66">
        <v>53</v>
      </c>
      <c r="S66" t="s">
        <v>119</v>
      </c>
      <c r="T66" s="14" t="e">
        <f ca="1">INDEX(INDIRECT($AF$6),
       MATCH(TRIM($S66), INDIRECT($AF$7), 0),
       MATCH(TRIM(T$13), INDIRECT($AF$8), 0))</f>
        <v>#N/A</v>
      </c>
      <c r="U66" s="14" t="e">
        <f ca="1">INDEX(INDIRECT($AF$6),
       MATCH(TRIM($S66), INDIRECT($AF$7), 0),
       MATCH(TRIM(U$13), INDIRECT($AF$8), 0))</f>
        <v>#N/A</v>
      </c>
      <c r="V66" s="14" t="e">
        <f ca="1">INDEX(INDIRECT($AF$6),
       MATCH(TRIM($S66), INDIRECT($AF$7), 0),
       MATCH(TRIM(V$13), INDIRECT($AF$8), 0))</f>
        <v>#N/A</v>
      </c>
      <c r="W66" s="14" t="e">
        <f ca="1">INDEX(INDIRECT($AF$6),
       MATCH(TRIM($S66), INDIRECT($AF$7), 0),
       MATCH(TRIM(W$13), INDIRECT($AF$8), 0))</f>
        <v>#N/A</v>
      </c>
      <c r="X66" s="14" t="e">
        <f ca="1">INDEX(INDIRECT($AF$6),
       MATCH(TRIM($S66), INDIRECT($AF$7), 0),
       MATCH(TRIM(X$13), INDIRECT($AF$8), 0))</f>
        <v>#N/A</v>
      </c>
      <c r="Y66" s="14" t="e">
        <f ca="1">INDEX(INDIRECT($AF$6),
       MATCH(TRIM($S66), INDIRECT($AF$7), 0),
       MATCH(TRIM(Y$13), INDIRECT($AF$8), 0))</f>
        <v>#N/A</v>
      </c>
      <c r="Z66" s="14" t="e">
        <f ca="1">INDEX(INDIRECT($AF$6),
       MATCH(TRIM($S66), INDIRECT($AF$7), 0),
       MATCH(TRIM(Z$13), INDIRECT($AF$8), 0))</f>
        <v>#N/A</v>
      </c>
      <c r="AA66" s="14" t="e">
        <f ca="1">INDEX(INDIRECT($AF$6),
       MATCH(TRIM($S66), INDIRECT($AF$7), 0),
       MATCH(TRIM(AA$13), INDIRECT($AF$8), 0))</f>
        <v>#N/A</v>
      </c>
      <c r="AB66" s="14" t="e">
        <f t="shared" ca="1" si="0"/>
        <v>#N/A</v>
      </c>
    </row>
    <row r="67" spans="18:29" x14ac:dyDescent="0.2">
      <c r="R67">
        <v>54</v>
      </c>
      <c r="S67" t="s">
        <v>136</v>
      </c>
      <c r="T67" s="14">
        <f ca="1">INDEX(INDIRECT($AF$6),
       MATCH(TRIM($S67), INDIRECT($AF$7), 0),
       MATCH(TRIM(T$13), INDIRECT($AF$8), 0))</f>
        <v>0</v>
      </c>
      <c r="U67" s="14" t="e">
        <f ca="1">INDEX(INDIRECT($AF$6),
       MATCH(TRIM($S67), INDIRECT($AF$7), 0),
       MATCH(TRIM(U$13), INDIRECT($AF$8), 0))</f>
        <v>#N/A</v>
      </c>
      <c r="V67" s="14">
        <f ca="1">INDEX(INDIRECT($AF$6),
       MATCH(TRIM($S67), INDIRECT($AF$7), 0),
       MATCH(TRIM(V$13), INDIRECT($AF$8), 0))</f>
        <v>0</v>
      </c>
      <c r="W67" s="14">
        <f ca="1">INDEX(INDIRECT($AF$6),
       MATCH(TRIM($S67), INDIRECT($AF$7), 0),
       MATCH(TRIM(W$13), INDIRECT($AF$8), 0))</f>
        <v>0</v>
      </c>
      <c r="X67" s="14" t="e">
        <f ca="1">INDEX(INDIRECT($AF$6),
       MATCH(TRIM($S67), INDIRECT($AF$7), 0),
       MATCH(TRIM(X$13), INDIRECT($AF$8), 0))</f>
        <v>#N/A</v>
      </c>
      <c r="Y67" s="14">
        <f ca="1">INDEX(INDIRECT($AF$6),
       MATCH(TRIM($S67), INDIRECT($AF$7), 0),
       MATCH(TRIM(Y$13), INDIRECT($AF$8), 0))</f>
        <v>0</v>
      </c>
      <c r="Z67" s="14">
        <f ca="1">INDEX(INDIRECT($AF$6),
       MATCH(TRIM($S67), INDIRECT($AF$7), 0),
       MATCH(TRIM(Z$13), INDIRECT($AF$8), 0))</f>
        <v>1</v>
      </c>
      <c r="AA67" s="14">
        <f ca="1">INDEX(INDIRECT($AF$6),
       MATCH(TRIM($S67), INDIRECT($AF$7), 0),
       MATCH(TRIM(AA$13), INDIRECT($AF$8), 0))</f>
        <v>0.115132994749075</v>
      </c>
      <c r="AB67" s="14">
        <f t="shared" ca="1" si="0"/>
        <v>0.115132994749075</v>
      </c>
    </row>
    <row r="68" spans="18:29" x14ac:dyDescent="0.2">
      <c r="R68">
        <v>55</v>
      </c>
      <c r="S68" t="s">
        <v>117</v>
      </c>
      <c r="T68" s="14">
        <f ca="1">INDEX(INDIRECT($AF$6),
       MATCH(TRIM($S68), INDIRECT($AF$7), 0),
       MATCH(TRIM(T$13), INDIRECT($AF$8), 0))</f>
        <v>1</v>
      </c>
      <c r="U68" s="14" t="e">
        <f ca="1">INDEX(INDIRECT($AF$6),
       MATCH(TRIM($S68), INDIRECT($AF$7), 0),
       MATCH(TRIM(U$13), INDIRECT($AF$8), 0))</f>
        <v>#N/A</v>
      </c>
      <c r="V68" s="14">
        <f ca="1">INDEX(INDIRECT($AF$6),
       MATCH(TRIM($S68), INDIRECT($AF$7), 0),
       MATCH(TRIM(V$13), INDIRECT($AF$8), 0))</f>
        <v>2.2555999999999998</v>
      </c>
      <c r="W68" s="14">
        <f ca="1">INDEX(INDIRECT($AF$6),
       MATCH(TRIM($S68), INDIRECT($AF$7), 0),
       MATCH(TRIM(W$13), INDIRECT($AF$8), 0))</f>
        <v>0</v>
      </c>
      <c r="X68" s="14" t="e">
        <f ca="1">INDEX(INDIRECT($AF$6),
       MATCH(TRIM($S68), INDIRECT($AF$7), 0),
       MATCH(TRIM(X$13), INDIRECT($AF$8), 0))</f>
        <v>#N/A</v>
      </c>
      <c r="Y68" s="14">
        <f ca="1">INDEX(INDIRECT($AF$6),
       MATCH(TRIM($S68), INDIRECT($AF$7), 0),
       MATCH(TRIM(Y$13), INDIRECT($AF$8), 0))</f>
        <v>0</v>
      </c>
      <c r="Z68" s="14">
        <f ca="1">INDEX(INDIRECT($AF$6),
       MATCH(TRIM($S68), INDIRECT($AF$7), 0),
       MATCH(TRIM(Z$13), INDIRECT($AF$8), 0))</f>
        <v>1</v>
      </c>
      <c r="AA68" s="14">
        <f ca="1">INDEX(INDIRECT($AF$6),
       MATCH(TRIM($S68), INDIRECT($AF$7), 0),
       MATCH(TRIM(AA$13), INDIRECT($AF$8), 0))</f>
        <v>5.3989842472238996</v>
      </c>
      <c r="AB68" s="14">
        <f t="shared" ca="1" si="0"/>
        <v>7.6545842472238999</v>
      </c>
    </row>
    <row r="69" spans="18:29" x14ac:dyDescent="0.2">
      <c r="R69">
        <v>56</v>
      </c>
      <c r="S69" t="s">
        <v>78</v>
      </c>
      <c r="T69" s="14">
        <f ca="1">INDEX(INDIRECT($AF$6),
       MATCH(TRIM($S69), INDIRECT($AF$7), 0),
       MATCH(TRIM(T$13), INDIRECT($AF$8), 0))</f>
        <v>3</v>
      </c>
      <c r="U69" s="14" t="e">
        <f ca="1">INDEX(INDIRECT($AF$6),
       MATCH(TRIM($S69), INDIRECT($AF$7), 0),
       MATCH(TRIM(U$13), INDIRECT($AF$8), 0))</f>
        <v>#N/A</v>
      </c>
      <c r="V69" s="14">
        <f ca="1">INDEX(INDIRECT($AF$6),
       MATCH(TRIM($S69), INDIRECT($AF$7), 0),
       MATCH(TRIM(V$13), INDIRECT($AF$8), 0))</f>
        <v>295.11397299999999</v>
      </c>
      <c r="W69" s="14">
        <f ca="1">INDEX(INDIRECT($AF$6),
       MATCH(TRIM($S69), INDIRECT($AF$7), 0),
       MATCH(TRIM(W$13), INDIRECT($AF$8), 0))</f>
        <v>1</v>
      </c>
      <c r="X69" s="14" t="e">
        <f ca="1">INDEX(INDIRECT($AF$6),
       MATCH(TRIM($S69), INDIRECT($AF$7), 0),
       MATCH(TRIM(X$13), INDIRECT($AF$8), 0))</f>
        <v>#N/A</v>
      </c>
      <c r="Y69" s="14">
        <f ca="1">INDEX(INDIRECT($AF$6),
       MATCH(TRIM($S69), INDIRECT($AF$7), 0),
       MATCH(TRIM(Y$13), INDIRECT($AF$8), 0))</f>
        <v>-10.967000000000001</v>
      </c>
      <c r="Z69" s="14">
        <f ca="1">INDEX(INDIRECT($AF$6),
       MATCH(TRIM($S69), INDIRECT($AF$7), 0),
       MATCH(TRIM(Z$13), INDIRECT($AF$8), 0))</f>
        <v>2</v>
      </c>
      <c r="AA69" s="14">
        <f ca="1">INDEX(INDIRECT($AF$6),
       MATCH(TRIM($S69), INDIRECT($AF$7), 0),
       MATCH(TRIM(AA$13), INDIRECT($AF$8), 0))</f>
        <v>0.11621330808298187</v>
      </c>
      <c r="AB69" s="14">
        <f t="shared" ca="1" si="0"/>
        <v>284.26318630808299</v>
      </c>
    </row>
    <row r="70" spans="18:29" x14ac:dyDescent="0.2">
      <c r="R70">
        <v>57</v>
      </c>
      <c r="S70" t="s">
        <v>118</v>
      </c>
      <c r="T70" s="14" t="e">
        <f ca="1">INDEX(INDIRECT($AF$6),
       MATCH(TRIM($S70), INDIRECT($AF$7), 0),
       MATCH(TRIM(T$13), INDIRECT($AF$8), 0))</f>
        <v>#N/A</v>
      </c>
      <c r="U70" s="14" t="e">
        <f ca="1">INDEX(INDIRECT($AF$6),
       MATCH(TRIM($S70), INDIRECT($AF$7), 0),
       MATCH(TRIM(U$13), INDIRECT($AF$8), 0))</f>
        <v>#N/A</v>
      </c>
      <c r="V70" s="14" t="e">
        <f ca="1">INDEX(INDIRECT($AF$6),
       MATCH(TRIM($S70), INDIRECT($AF$7), 0),
       MATCH(TRIM(V$13), INDIRECT($AF$8), 0))</f>
        <v>#N/A</v>
      </c>
      <c r="W70" s="14" t="e">
        <f ca="1">INDEX(INDIRECT($AF$6),
       MATCH(TRIM($S70), INDIRECT($AF$7), 0),
       MATCH(TRIM(W$13), INDIRECT($AF$8), 0))</f>
        <v>#N/A</v>
      </c>
      <c r="X70" s="14" t="e">
        <f ca="1">INDEX(INDIRECT($AF$6),
       MATCH(TRIM($S70), INDIRECT($AF$7), 0),
       MATCH(TRIM(X$13), INDIRECT($AF$8), 0))</f>
        <v>#N/A</v>
      </c>
      <c r="Y70" s="14" t="e">
        <f ca="1">INDEX(INDIRECT($AF$6),
       MATCH(TRIM($S70), INDIRECT($AF$7), 0),
       MATCH(TRIM(Y$13), INDIRECT($AF$8), 0))</f>
        <v>#N/A</v>
      </c>
      <c r="Z70" s="14" t="e">
        <f ca="1">INDEX(INDIRECT($AF$6),
       MATCH(TRIM($S70), INDIRECT($AF$7), 0),
       MATCH(TRIM(Z$13), INDIRECT($AF$8), 0))</f>
        <v>#N/A</v>
      </c>
      <c r="AA70" s="14" t="e">
        <f ca="1">INDEX(INDIRECT($AF$6),
       MATCH(TRIM($S70), INDIRECT($AF$7), 0),
       MATCH(TRIM(AA$13), INDIRECT($AF$8), 0))</f>
        <v>#N/A</v>
      </c>
      <c r="AB70" s="14" t="e">
        <f t="shared" ca="1" si="0"/>
        <v>#N/A</v>
      </c>
    </row>
    <row r="71" spans="18:29" x14ac:dyDescent="0.2">
      <c r="R71">
        <v>58</v>
      </c>
      <c r="S71" t="s">
        <v>134</v>
      </c>
      <c r="T71" s="14">
        <f ca="1">INDEX(INDIRECT($AF$6),
       MATCH(TRIM($S71), INDIRECT($AF$7), 0),
       MATCH(TRIM(T$13), INDIRECT($AF$8), 0))</f>
        <v>0</v>
      </c>
      <c r="U71" s="14" t="e">
        <f ca="1">INDEX(INDIRECT($AF$6),
       MATCH(TRIM($S71), INDIRECT($AF$7), 0),
       MATCH(TRIM(U$13), INDIRECT($AF$8), 0))</f>
        <v>#N/A</v>
      </c>
      <c r="V71" s="14">
        <f ca="1">INDEX(INDIRECT($AF$6),
       MATCH(TRIM($S71), INDIRECT($AF$7), 0),
       MATCH(TRIM(V$13), INDIRECT($AF$8), 0))</f>
        <v>0</v>
      </c>
      <c r="W71" s="14">
        <f ca="1">INDEX(INDIRECT($AF$6),
       MATCH(TRIM($S71), INDIRECT($AF$7), 0),
       MATCH(TRIM(W$13), INDIRECT($AF$8), 0))</f>
        <v>0</v>
      </c>
      <c r="X71" s="14" t="e">
        <f ca="1">INDEX(INDIRECT($AF$6),
       MATCH(TRIM($S71), INDIRECT($AF$7), 0),
       MATCH(TRIM(X$13), INDIRECT($AF$8), 0))</f>
        <v>#N/A</v>
      </c>
      <c r="Y71" s="14">
        <f ca="1">INDEX(INDIRECT($AF$6),
       MATCH(TRIM($S71), INDIRECT($AF$7), 0),
       MATCH(TRIM(Y$13), INDIRECT($AF$8), 0))</f>
        <v>0</v>
      </c>
      <c r="Z71" s="14">
        <f ca="1">INDEX(INDIRECT($AF$6),
       MATCH(TRIM($S71), INDIRECT($AF$7), 0),
       MATCH(TRIM(Z$13), INDIRECT($AF$8), 0))</f>
        <v>1</v>
      </c>
      <c r="AA71" s="14">
        <f ca="1">INDEX(INDIRECT($AF$6),
       MATCH(TRIM($S71), INDIRECT($AF$7), 0),
       MATCH(TRIM(AA$13), INDIRECT($AF$8), 0))</f>
        <v>0.87892743393302897</v>
      </c>
      <c r="AB71" s="14">
        <f t="shared" ca="1" si="0"/>
        <v>0.87892743393302897</v>
      </c>
    </row>
    <row r="72" spans="18:29" x14ac:dyDescent="0.2">
      <c r="R72">
        <v>59</v>
      </c>
      <c r="S72" t="s">
        <v>121</v>
      </c>
      <c r="T72" s="14">
        <f ca="1">INDEX(INDIRECT($AF$6),
       MATCH(TRIM($S72), INDIRECT($AF$7), 0),
       MATCH(TRIM(T$13), INDIRECT($AF$8), 0))</f>
        <v>4</v>
      </c>
      <c r="U72" s="14" t="e">
        <f t="shared" ref="U72:AB72" ca="1" si="2">INDEX(INDIRECT($AF$6),
       MATCH(TRIM($S72), INDIRECT($AF$7), 0),
       MATCH(TRIM(U$13), INDIRECT($AF$8), 0))</f>
        <v>#N/A</v>
      </c>
      <c r="V72" s="14">
        <f t="shared" ca="1" si="2"/>
        <v>149.622883</v>
      </c>
      <c r="W72" s="14">
        <f t="shared" ca="1" si="2"/>
        <v>0</v>
      </c>
      <c r="X72" s="14" t="e">
        <f t="shared" ca="1" si="2"/>
        <v>#N/A</v>
      </c>
      <c r="Y72" s="14">
        <f t="shared" ca="1" si="2"/>
        <v>0</v>
      </c>
      <c r="Z72" s="14">
        <f t="shared" ca="1" si="2"/>
        <v>1</v>
      </c>
      <c r="AA72" s="14">
        <f t="shared" ca="1" si="2"/>
        <v>0.13584661728501299</v>
      </c>
      <c r="AB72" s="14">
        <f t="shared" ca="1" si="0"/>
        <v>149.75872961728501</v>
      </c>
    </row>
    <row r="73" spans="18:29" x14ac:dyDescent="0.2">
      <c r="R73">
        <v>60</v>
      </c>
      <c r="S73" t="s">
        <v>135</v>
      </c>
      <c r="T73" s="14">
        <f t="shared" ref="T73:AB76" ca="1" si="3">INDEX(INDIRECT($AF$6),
       MATCH(TRIM($S73), INDIRECT($AF$7), 0),
       MATCH(TRIM(T$13), INDIRECT($AF$8), 0))</f>
        <v>0</v>
      </c>
      <c r="U73" s="14" t="e">
        <f t="shared" ca="1" si="3"/>
        <v>#N/A</v>
      </c>
      <c r="V73" s="14">
        <f t="shared" ca="1" si="3"/>
        <v>0</v>
      </c>
      <c r="W73" s="14">
        <f t="shared" ca="1" si="3"/>
        <v>0</v>
      </c>
      <c r="X73" s="14" t="e">
        <f t="shared" ca="1" si="3"/>
        <v>#N/A</v>
      </c>
      <c r="Y73" s="14">
        <f t="shared" ca="1" si="3"/>
        <v>0</v>
      </c>
      <c r="Z73" s="14">
        <f t="shared" ca="1" si="3"/>
        <v>1</v>
      </c>
      <c r="AA73" s="14">
        <f t="shared" ca="1" si="3"/>
        <v>8.4090746061805999E-2</v>
      </c>
      <c r="AB73" s="14">
        <f t="shared" ca="1" si="0"/>
        <v>8.4090746061805999E-2</v>
      </c>
      <c r="AC73" s="91">
        <f t="shared" ref="AC73" si="4">SUM(AC14:AC72)</f>
        <v>0</v>
      </c>
    </row>
    <row r="74" spans="18:29" x14ac:dyDescent="0.2">
      <c r="R74">
        <v>61</v>
      </c>
      <c r="S74" t="s">
        <v>150</v>
      </c>
      <c r="T74" s="14" t="e">
        <f t="shared" ca="1" si="3"/>
        <v>#N/A</v>
      </c>
      <c r="U74" s="14" t="e">
        <f t="shared" ca="1" si="3"/>
        <v>#N/A</v>
      </c>
      <c r="V74" s="14" t="e">
        <f t="shared" ca="1" si="3"/>
        <v>#N/A</v>
      </c>
      <c r="W74" s="14" t="e">
        <f t="shared" ca="1" si="3"/>
        <v>#N/A</v>
      </c>
      <c r="X74" s="14" t="e">
        <f t="shared" ca="1" si="3"/>
        <v>#N/A</v>
      </c>
      <c r="Y74" s="14" t="e">
        <f t="shared" ca="1" si="3"/>
        <v>#N/A</v>
      </c>
      <c r="Z74" s="14" t="e">
        <f t="shared" ca="1" si="3"/>
        <v>#N/A</v>
      </c>
      <c r="AA74" s="14" t="e">
        <f t="shared" ca="1" si="3"/>
        <v>#N/A</v>
      </c>
      <c r="AB74" s="14" t="e">
        <f t="shared" ca="1" si="0"/>
        <v>#N/A</v>
      </c>
    </row>
    <row r="75" spans="18:29" x14ac:dyDescent="0.2">
      <c r="R75">
        <v>62</v>
      </c>
      <c r="S75" t="s">
        <v>86</v>
      </c>
      <c r="T75" s="14">
        <f t="shared" ca="1" si="3"/>
        <v>2</v>
      </c>
      <c r="U75" s="14" t="e">
        <f t="shared" ca="1" si="3"/>
        <v>#N/A</v>
      </c>
      <c r="V75" s="14">
        <f t="shared" ca="1" si="3"/>
        <v>3.58</v>
      </c>
      <c r="W75" s="14">
        <f t="shared" ca="1" si="3"/>
        <v>3</v>
      </c>
      <c r="X75" s="14" t="e">
        <f t="shared" ca="1" si="3"/>
        <v>#N/A</v>
      </c>
      <c r="Y75" s="14">
        <f t="shared" ca="1" si="3"/>
        <v>8.8603579999999997</v>
      </c>
      <c r="Z75" s="14">
        <f t="shared" ca="1" si="3"/>
        <v>9</v>
      </c>
      <c r="AA75" s="14">
        <f t="shared" ca="1" si="3"/>
        <v>11.838211242145142</v>
      </c>
      <c r="AB75" s="14">
        <f t="shared" ca="1" si="0"/>
        <v>24.278569242145142</v>
      </c>
      <c r="AC75" s="91">
        <f>SUM(AC16:AC74)</f>
        <v>0</v>
      </c>
    </row>
    <row r="76" spans="18:29" x14ac:dyDescent="0.2">
      <c r="R76">
        <v>63</v>
      </c>
      <c r="S76" t="s">
        <v>122</v>
      </c>
      <c r="T76" s="14">
        <f t="shared" ca="1" si="3"/>
        <v>1</v>
      </c>
      <c r="U76" s="14" t="e">
        <f t="shared" ca="1" si="3"/>
        <v>#N/A</v>
      </c>
      <c r="V76" s="14">
        <f t="shared" ca="1" si="3"/>
        <v>7</v>
      </c>
      <c r="W76" s="14">
        <f t="shared" ca="1" si="3"/>
        <v>1</v>
      </c>
      <c r="X76" s="14" t="e">
        <f t="shared" ca="1" si="3"/>
        <v>#N/A</v>
      </c>
      <c r="Y76" s="14">
        <f t="shared" ca="1" si="3"/>
        <v>0.43225400000000003</v>
      </c>
      <c r="Z76" s="14">
        <f t="shared" ca="1" si="3"/>
        <v>2</v>
      </c>
      <c r="AA76" s="14">
        <f t="shared" ca="1" si="3"/>
        <v>0.86080743737625842</v>
      </c>
      <c r="AB76" s="14">
        <f t="shared" ref="AB76" ca="1" si="5">V76+Y76+AA76</f>
        <v>8.2930614373762594</v>
      </c>
      <c r="AC76" s="100"/>
    </row>
    <row r="77" spans="18:29" x14ac:dyDescent="0.2">
      <c r="R77" s="87" t="s">
        <v>26</v>
      </c>
      <c r="S77" s="88"/>
      <c r="T77" s="89" cm="1">
        <f t="array" aca="1" ref="T77" ca="1">SUM(IFERROR(T14:T76,0))</f>
        <v>2523</v>
      </c>
      <c r="U77" s="89" cm="1">
        <f t="array" aca="1" ref="U77" ca="1">SUM(IFERROR(U14:U76,0))</f>
        <v>0</v>
      </c>
      <c r="V77" s="89" cm="1">
        <f t="array" aca="1" ref="V77" ca="1">SUM(IFERROR(V14:V76,0))</f>
        <v>14646.417346000006</v>
      </c>
      <c r="W77" s="89" cm="1">
        <f t="array" aca="1" ref="W77" ca="1">SUM(IFERROR(W14:W76,0))</f>
        <v>1140</v>
      </c>
      <c r="X77" s="89" cm="1">
        <f t="array" aca="1" ref="X77" ca="1">SUM(IFERROR(X14:X76,0))</f>
        <v>0</v>
      </c>
      <c r="Y77" s="89" cm="1">
        <f t="array" aca="1" ref="Y77" ca="1">SUM(IFERROR(Y14:Y76,0))</f>
        <v>6414.4856404600023</v>
      </c>
      <c r="Z77" s="89" cm="1">
        <f t="array" aca="1" ref="Z77" ca="1">SUM(IFERROR(Z14:Z76,0))</f>
        <v>6141</v>
      </c>
      <c r="AA77" s="89" cm="1">
        <f t="array" aca="1" ref="AA77" ca="1">SUM(IFERROR(AA14:AA76,0))</f>
        <v>7469.1981319629203</v>
      </c>
      <c r="AB77" s="89" cm="1">
        <f t="array" aca="1" ref="AB77" ca="1">SUM(IFERROR(AB14:AB76,0))</f>
        <v>28530.101118422921</v>
      </c>
    </row>
  </sheetData>
  <mergeCells count="14">
    <mergeCell ref="R77:S77"/>
    <mergeCell ref="AB12:AB13"/>
    <mergeCell ref="A13:A14"/>
    <mergeCell ref="B13:B14"/>
    <mergeCell ref="C13:E13"/>
    <mergeCell ref="F13:H13"/>
    <mergeCell ref="I13:J13"/>
    <mergeCell ref="A3:I3"/>
    <mergeCell ref="R3:Z3"/>
    <mergeCell ref="A4:I4"/>
    <mergeCell ref="R4:Z4"/>
    <mergeCell ref="T12:V12"/>
    <mergeCell ref="W12:Y12"/>
    <mergeCell ref="Z12:AA12"/>
  </mergeCells>
  <conditionalFormatting sqref="S77">
    <cfRule type="duplicateValues" dxfId="19" priority="1" stopIfTrue="1"/>
    <cfRule type="duplicateValues" dxfId="18" priority="2" stopIfTrue="1"/>
  </conditionalFormatting>
  <conditionalFormatting sqref="S77">
    <cfRule type="duplicateValues" dxfId="17" priority="3" stopIfTrue="1"/>
    <cfRule type="duplicateValues" dxfId="16" priority="4" stopIfTrue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BC6AF-D346-DE4F-8D0A-8A817EB4C7CC}">
  <dimension ref="A1:AF77"/>
  <sheetViews>
    <sheetView topLeftCell="V55" zoomScale="106" workbookViewId="0">
      <selection activeCell="AG9" sqref="AG9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163</v>
      </c>
      <c r="N6" t="s">
        <v>164</v>
      </c>
      <c r="O6" t="s">
        <v>165</v>
      </c>
      <c r="P6" t="str">
        <f>_xlfn.CONCAT("'",M6,N6,"'","!",O6)</f>
        <v>'[FDI.2021.xlsx]Thang 12 2021'!$C$9:$I$26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[FDI.2021.xlsx]</v>
      </c>
      <c r="AD6" t="str">
        <f>N6</f>
        <v>Thang 12 2021</v>
      </c>
      <c r="AE6" t="s">
        <v>167</v>
      </c>
      <c r="AF6" t="str">
        <f>_xlfn.CONCAT("'",AC6,AD6,"'","!",AE6)</f>
        <v>'[FDI.2021.xlsx]Thang 12 2021'!$C$147:$I$205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[FDI.2021.xlsx]</v>
      </c>
      <c r="N7" t="str">
        <f>N6</f>
        <v>Thang 12 2021</v>
      </c>
      <c r="O7" t="s">
        <v>166</v>
      </c>
      <c r="P7" t="str">
        <f>_xlfn.CONCAT("'",M7,N7,"'","!",O7)</f>
        <v>'[FDI.2021.xlsx]Thang 12 2021'!$B$9:$B$26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[FDI.2021.xlsx]</v>
      </c>
      <c r="AD7" t="str">
        <f>AD6</f>
        <v>Thang 12 2021</v>
      </c>
      <c r="AE7" t="s">
        <v>168</v>
      </c>
      <c r="AF7" t="str">
        <f>_xlfn.CONCAT("'",AC7,AD7,"'","!",AE7)</f>
        <v>'[FDI.2021.xlsx]Thang 12 2021'!$B$147:$B$205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[FDI.2021.xlsx]</v>
      </c>
      <c r="N8" t="str">
        <f>N6</f>
        <v>Thang 12 2021</v>
      </c>
      <c r="O8" t="s">
        <v>158</v>
      </c>
      <c r="P8" t="str">
        <f>_xlfn.CONCAT("'",M8,N8,"'","!",O8)</f>
        <v>'[FDI.2021.xlsx]Thang 12 2021'!$C$8:$I$8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[FDI.2021.xlsx]</v>
      </c>
      <c r="AD8" t="str">
        <f>AD6</f>
        <v>Thang 12 2021</v>
      </c>
      <c r="AE8" t="s">
        <v>169</v>
      </c>
      <c r="AF8" t="str">
        <f>_xlfn.CONCAT("'",AC8,AD8,"'","!",AE8)</f>
        <v>'[FDI.2021.xlsx]Thang 12 2021'!$C$146:$I$146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80" t="s">
        <v>107</v>
      </c>
      <c r="D13" s="81"/>
      <c r="E13" s="82"/>
      <c r="F13" s="77" t="s">
        <v>108</v>
      </c>
      <c r="G13" s="78"/>
      <c r="H13" s="79"/>
      <c r="I13" s="75" t="s">
        <v>109</v>
      </c>
      <c r="J13" s="76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74" t="s">
        <v>147</v>
      </c>
      <c r="X13" s="72" t="s">
        <v>148</v>
      </c>
      <c r="Y13" s="94" t="s">
        <v>149</v>
      </c>
      <c r="Z13" s="61" t="s">
        <v>126</v>
      </c>
      <c r="AA13" s="73" t="s">
        <v>127</v>
      </c>
      <c r="AB13" s="62"/>
    </row>
    <row r="14" spans="1:32" ht="84" x14ac:dyDescent="0.2">
      <c r="A14" s="56"/>
      <c r="B14" s="56"/>
      <c r="C14" s="72" t="s">
        <v>27</v>
      </c>
      <c r="D14" s="57" t="s">
        <v>28</v>
      </c>
      <c r="E14" s="58" t="s">
        <v>29</v>
      </c>
      <c r="F14" s="74" t="s">
        <v>147</v>
      </c>
      <c r="G14" s="72" t="s">
        <v>148</v>
      </c>
      <c r="H14" s="94" t="s">
        <v>149</v>
      </c>
      <c r="I14" s="61" t="s">
        <v>126</v>
      </c>
      <c r="J14" s="73" t="s">
        <v>127</v>
      </c>
      <c r="K14" s="66" t="s">
        <v>110</v>
      </c>
      <c r="L14" s="49"/>
      <c r="M14" s="49"/>
      <c r="R14">
        <v>1</v>
      </c>
      <c r="S14" t="s">
        <v>42</v>
      </c>
      <c r="T14" s="14">
        <f ca="1">INDEX(INDIRECT($AF$6),
       MATCH(TRIM($S14), INDIRECT($AF$7), 0),
       MATCH(TRIM(T$13), INDIRECT($AF$8), 0))</f>
        <v>362</v>
      </c>
      <c r="U14" s="14" t="e">
        <f ca="1">INDEX(INDIRECT($AF$6),
       MATCH(TRIM($S14), INDIRECT($AF$7), 0),
       MATCH(TRIM(U$13), INDIRECT($AF$8), 0))</f>
        <v>#N/A</v>
      </c>
      <c r="V14" s="14">
        <f ca="1">INDEX(INDIRECT($AF$6),
       MATCH(TRIM($S14), INDIRECT($AF$7), 0),
       MATCH(TRIM(V$13), INDIRECT($AF$8), 0))</f>
        <v>237.54789533000002</v>
      </c>
      <c r="W14" s="14">
        <f ca="1">INDEX(INDIRECT($AF$6),
       MATCH(TRIM($S14), INDIRECT($AF$7), 0),
       MATCH(TRIM(W$13), INDIRECT($AF$8), 0))</f>
        <v>146</v>
      </c>
      <c r="X14" s="14" t="e">
        <f ca="1">INDEX(INDIRECT($AF$6),
       MATCH(TRIM($S14), INDIRECT($AF$7), 0),
       MATCH(TRIM(X$13), INDIRECT($AF$8), 0))</f>
        <v>#N/A</v>
      </c>
      <c r="Y14" s="14">
        <f ca="1">INDEX(INDIRECT($AF$6),
       MATCH(TRIM($S14), INDIRECT($AF$7), 0),
       MATCH(TRIM(Y$13), INDIRECT($AF$8), 0))</f>
        <v>838.76803628906248</v>
      </c>
      <c r="Z14" s="14">
        <f ca="1">INDEX(INDIRECT($AF$6),
       MATCH(TRIM($S14), INDIRECT($AF$7), 0),
       MATCH(TRIM(Z$13), INDIRECT($AF$8), 0))</f>
        <v>462</v>
      </c>
      <c r="AA14" s="14">
        <f ca="1">INDEX(INDIRECT($AF$6),
       MATCH(TRIM($S14), INDIRECT($AF$7), 0),
       MATCH(TRIM(AA$13), INDIRECT($AF$8), 0))</f>
        <v>448.13816358173921</v>
      </c>
      <c r="AB14" s="14">
        <f ca="1">V14+Y14+AA14</f>
        <v>1524.4540952008017</v>
      </c>
    </row>
    <row r="15" spans="1:32" ht="57" x14ac:dyDescent="0.2">
      <c r="A15" s="26">
        <v>1</v>
      </c>
      <c r="B15" s="27" t="s">
        <v>7</v>
      </c>
      <c r="C15" s="28">
        <f ca="1">INDEX(INDIRECT($P$6),
       MATCH(TRIM($B15), INDIRECT($P$7), 0),
       MATCH(TRIM(C$14), INDIRECT($P$8), 0))</f>
        <v>533</v>
      </c>
      <c r="D15" s="28" t="e">
        <f ca="1">INDEX(INDIRECT($P$6),
       MATCH(TRIM($B15), INDIRECT($P$7), 0),
       MATCH(TRIM(D$14), INDIRECT($P$8), 0))</f>
        <v>#N/A</v>
      </c>
      <c r="E15" s="28">
        <f ca="1">INDEX(INDIRECT($P$6),
       MATCH(TRIM($B15), INDIRECT($P$7), 0),
       MATCH(TRIM(E$14), INDIRECT($P$8), 0))</f>
        <v>7251.9829398700003</v>
      </c>
      <c r="F15" s="28">
        <f ca="1">INDEX(INDIRECT($P$6),
       MATCH(TRIM($B15), INDIRECT($P$7), 0),
       MATCH(TRIM(F$14), INDIRECT($P$8), 0))</f>
        <v>612</v>
      </c>
      <c r="G15" s="28" t="e">
        <f ca="1">INDEX(INDIRECT($P$6),
       MATCH(TRIM($B15), INDIRECT($P$7), 0),
       MATCH(TRIM(G$14), INDIRECT($P$8), 0))</f>
        <v>#N/A</v>
      </c>
      <c r="H15" s="28">
        <f ca="1">INDEX(INDIRECT($P$6),
       MATCH(TRIM($B15), INDIRECT($P$7), 0),
       MATCH(TRIM(H$14), INDIRECT($P$8), 0))</f>
        <v>7346.304395578125</v>
      </c>
      <c r="I15" s="28">
        <f ca="1">INDEX(INDIRECT($P$6),
       MATCH(TRIM($B15), INDIRECT($P$7), 0),
       MATCH(TRIM(I$14), INDIRECT($P$8), 0))</f>
        <v>650</v>
      </c>
      <c r="J15" s="28">
        <f ca="1">INDEX(INDIRECT($P$6),
       MATCH(TRIM($B15), INDIRECT($P$7), 0),
       MATCH(TRIM(J$14), INDIRECT($P$8), 0))</f>
        <v>3522.5993973699992</v>
      </c>
      <c r="K15" s="28">
        <f ca="1">E15+H15+J15</f>
        <v>18120.886732818126</v>
      </c>
      <c r="L15" s="46"/>
      <c r="M15" s="46"/>
      <c r="R15">
        <v>2</v>
      </c>
      <c r="S15" t="s">
        <v>37</v>
      </c>
      <c r="T15" s="14">
        <f ca="1">INDEX(INDIRECT($AF$6),
       MATCH(TRIM($S15), INDIRECT($AF$7), 0),
       MATCH(TRIM(T$13), INDIRECT($AF$8), 0))</f>
        <v>633</v>
      </c>
      <c r="U15" s="14" t="e">
        <f ca="1">INDEX(INDIRECT($AF$6),
       MATCH(TRIM($S15), INDIRECT($AF$7), 0),
       MATCH(TRIM(U$13), INDIRECT($AF$8), 0))</f>
        <v>#N/A</v>
      </c>
      <c r="V15" s="14">
        <f ca="1">INDEX(INDIRECT($AF$6),
       MATCH(TRIM($S15), INDIRECT($AF$7), 0),
       MATCH(TRIM(V$13), INDIRECT($AF$8), 0))</f>
        <v>686.63199671000018</v>
      </c>
      <c r="W15" s="14">
        <f ca="1">INDEX(INDIRECT($AF$6),
       MATCH(TRIM($S15), INDIRECT($AF$7), 0),
       MATCH(TRIM(W$13), INDIRECT($AF$8), 0))</f>
        <v>178</v>
      </c>
      <c r="X15" s="14" t="e">
        <f ca="1">INDEX(INDIRECT($AF$6),
       MATCH(TRIM($S15), INDIRECT($AF$7), 0),
       MATCH(TRIM(X$13), INDIRECT($AF$8), 0))</f>
        <v>#N/A</v>
      </c>
      <c r="Y15" s="14">
        <f ca="1">INDEX(INDIRECT($AF$6),
       MATCH(TRIM($S15), INDIRECT($AF$7), 0),
       MATCH(TRIM(Y$13), INDIRECT($AF$8), 0))</f>
        <v>1124.2848928828125</v>
      </c>
      <c r="Z15" s="14">
        <f ca="1">INDEX(INDIRECT($AF$6),
       MATCH(TRIM($S15), INDIRECT($AF$7), 0),
       MATCH(TRIM(Z$13), INDIRECT($AF$8), 0))</f>
        <v>2289</v>
      </c>
      <c r="AA15" s="14">
        <f ca="1">INDEX(INDIRECT($AF$6),
       MATCH(TRIM($S15), INDIRECT($AF$7), 0),
       MATCH(TRIM(AA$13), INDIRECT($AF$8), 0))</f>
        <v>1927.2088600800002</v>
      </c>
      <c r="AB15" s="14">
        <f t="shared" ref="AB15:AB76" ca="1" si="0">V15+Y15+AA15</f>
        <v>3738.1257496728131</v>
      </c>
    </row>
    <row r="16" spans="1:32" ht="71" x14ac:dyDescent="0.2">
      <c r="A16" s="26">
        <v>2</v>
      </c>
      <c r="B16" s="27" t="s">
        <v>8</v>
      </c>
      <c r="C16" s="28">
        <f ca="1">INDEX(INDIRECT($P$6),
       MATCH(TRIM($B16), INDIRECT($P$7), 0),
       MATCH(TRIM(C$14), INDIRECT($P$8), 0))</f>
        <v>23</v>
      </c>
      <c r="D16" s="28" t="e">
        <f ca="1">INDEX(INDIRECT($P$6),
       MATCH(TRIM($B16), INDIRECT($P$7), 0),
       MATCH(TRIM(D$14), INDIRECT($P$8), 0))</f>
        <v>#N/A</v>
      </c>
      <c r="E16" s="28">
        <f ca="1">INDEX(INDIRECT($P$6),
       MATCH(TRIM($B16), INDIRECT($P$7), 0),
       MATCH(TRIM(E$14), INDIRECT($P$8), 0))</f>
        <v>5316.1600820000003</v>
      </c>
      <c r="F16" s="28">
        <f ca="1">INDEX(INDIRECT($P$6),
       MATCH(TRIM($B16), INDIRECT($P$7), 0),
       MATCH(TRIM(F$14), INDIRECT($P$8), 0))</f>
        <v>12</v>
      </c>
      <c r="G16" s="28" t="e">
        <f ca="1">INDEX(INDIRECT($P$6),
       MATCH(TRIM($B16), INDIRECT($P$7), 0),
       MATCH(TRIM(G$14), INDIRECT($P$8), 0))</f>
        <v>#N/A</v>
      </c>
      <c r="H16" s="28">
        <f ca="1">INDEX(INDIRECT($P$6),
       MATCH(TRIM($B16), INDIRECT($P$7), 0),
       MATCH(TRIM(H$14), INDIRECT($P$8), 0))</f>
        <v>260.99575399999998</v>
      </c>
      <c r="I16" s="28">
        <f ca="1">INDEX(INDIRECT($P$6),
       MATCH(TRIM($B16), INDIRECT($P$7), 0),
       MATCH(TRIM(I$14), INDIRECT($P$8), 0))</f>
        <v>29</v>
      </c>
      <c r="J16" s="28">
        <f ca="1">INDEX(INDIRECT($P$6),
       MATCH(TRIM($B16), INDIRECT($P$7), 0),
       MATCH(TRIM(J$14), INDIRECT($P$8), 0))</f>
        <v>134.59673822173914</v>
      </c>
      <c r="K16" s="28">
        <f t="shared" ref="K16:K33" ca="1" si="1">E16+H16+J16</f>
        <v>5711.7525742217395</v>
      </c>
      <c r="L16" s="46"/>
      <c r="M16" s="46"/>
      <c r="R16">
        <v>3</v>
      </c>
      <c r="S16" t="s">
        <v>39</v>
      </c>
      <c r="T16" s="14">
        <f ca="1">INDEX(INDIRECT($AF$6),
       MATCH(TRIM($S16), INDIRECT($AF$7), 0),
       MATCH(TRIM(T$13), INDIRECT($AF$8), 0))</f>
        <v>75</v>
      </c>
      <c r="U16" s="14" t="e">
        <f ca="1">INDEX(INDIRECT($AF$6),
       MATCH(TRIM($S16), INDIRECT($AF$7), 0),
       MATCH(TRIM(U$13), INDIRECT($AF$8), 0))</f>
        <v>#N/A</v>
      </c>
      <c r="V16" s="14">
        <f ca="1">INDEX(INDIRECT($AF$6),
       MATCH(TRIM($S16), INDIRECT($AF$7), 0),
       MATCH(TRIM(V$13), INDIRECT($AF$8), 0))</f>
        <v>629.55720099999996</v>
      </c>
      <c r="W16" s="14">
        <f ca="1">INDEX(INDIRECT($AF$6),
       MATCH(TRIM($S16), INDIRECT($AF$7), 0),
       MATCH(TRIM(W$13), INDIRECT($AF$8), 0))</f>
        <v>26</v>
      </c>
      <c r="X16" s="14" t="e">
        <f ca="1">INDEX(INDIRECT($AF$6),
       MATCH(TRIM($S16), INDIRECT($AF$7), 0),
       MATCH(TRIM(X$13), INDIRECT($AF$8), 0))</f>
        <v>#N/A</v>
      </c>
      <c r="Y16" s="14">
        <f ca="1">INDEX(INDIRECT($AF$6),
       MATCH(TRIM($S16), INDIRECT($AF$7), 0),
       MATCH(TRIM(Y$13), INDIRECT($AF$8), 0))</f>
        <v>669.52313908593749</v>
      </c>
      <c r="Z16" s="14">
        <f ca="1">INDEX(INDIRECT($AF$6),
       MATCH(TRIM($S16), INDIRECT($AF$7), 0),
       MATCH(TRIM(Z$13), INDIRECT($AF$8), 0))</f>
        <v>202</v>
      </c>
      <c r="AA16" s="14">
        <f ca="1">INDEX(INDIRECT($AF$6),
       MATCH(TRIM($S16), INDIRECT($AF$7), 0),
       MATCH(TRIM(AA$13), INDIRECT($AF$8), 0))</f>
        <v>834.04621169000006</v>
      </c>
      <c r="AB16" s="14">
        <f t="shared" ca="1" si="0"/>
        <v>2133.1265517759375</v>
      </c>
    </row>
    <row r="17" spans="1:28" ht="57" x14ac:dyDescent="0.2">
      <c r="A17" s="26">
        <v>3</v>
      </c>
      <c r="B17" s="27" t="s">
        <v>9</v>
      </c>
      <c r="C17" s="28">
        <f ca="1">INDEX(INDIRECT($P$6),
       MATCH(TRIM($B17), INDIRECT($P$7), 0),
       MATCH(TRIM(C$14), INDIRECT($P$8), 0))</f>
        <v>57</v>
      </c>
      <c r="D17" s="28" t="e">
        <f ca="1">INDEX(INDIRECT($P$6),
       MATCH(TRIM($B17), INDIRECT($P$7), 0),
       MATCH(TRIM(D$14), INDIRECT($P$8), 0))</f>
        <v>#N/A</v>
      </c>
      <c r="E17" s="28">
        <f ca="1">INDEX(INDIRECT($P$6),
       MATCH(TRIM($B17), INDIRECT($P$7), 0),
       MATCH(TRIM(E$14), INDIRECT($P$8), 0))</f>
        <v>1390.02722472</v>
      </c>
      <c r="F17" s="28">
        <f ca="1">INDEX(INDIRECT($P$6),
       MATCH(TRIM($B17), INDIRECT($P$7), 0),
       MATCH(TRIM(F$14), INDIRECT($P$8), 0))</f>
        <v>29</v>
      </c>
      <c r="G17" s="28" t="e">
        <f ca="1">INDEX(INDIRECT($P$6),
       MATCH(TRIM($B17), INDIRECT($P$7), 0),
       MATCH(TRIM(G$14), INDIRECT($P$8), 0))</f>
        <v>#N/A</v>
      </c>
      <c r="H17" s="28">
        <f ca="1">INDEX(INDIRECT($P$6),
       MATCH(TRIM($B17), INDIRECT($P$7), 0),
       MATCH(TRIM(H$14), INDIRECT($P$8), 0))</f>
        <v>246.661224</v>
      </c>
      <c r="I17" s="28">
        <f ca="1">INDEX(INDIRECT($P$6),
       MATCH(TRIM($B17), INDIRECT($P$7), 0),
       MATCH(TRIM(I$14), INDIRECT($P$8), 0))</f>
        <v>120</v>
      </c>
      <c r="J17" s="28">
        <f ca="1">INDEX(INDIRECT($P$6),
       MATCH(TRIM($B17), INDIRECT($P$7), 0),
       MATCH(TRIM(J$14), INDIRECT($P$8), 0))</f>
        <v>1000.7277755900005</v>
      </c>
      <c r="K17" s="28">
        <f t="shared" ca="1" si="1"/>
        <v>2637.4162243100004</v>
      </c>
      <c r="L17" s="46"/>
      <c r="M17" s="46"/>
      <c r="R17">
        <v>4</v>
      </c>
      <c r="S17" t="s">
        <v>41</v>
      </c>
      <c r="T17" s="14">
        <f ca="1">INDEX(INDIRECT($AF$6),
       MATCH(TRIM($S17), INDIRECT($AF$7), 0),
       MATCH(TRIM(T$13), INDIRECT($AF$8), 0))</f>
        <v>51</v>
      </c>
      <c r="U17" s="14" t="e">
        <f ca="1">INDEX(INDIRECT($AF$6),
       MATCH(TRIM($S17), INDIRECT($AF$7), 0),
       MATCH(TRIM(U$13), INDIRECT($AF$8), 0))</f>
        <v>#N/A</v>
      </c>
      <c r="V17" s="14">
        <f ca="1">INDEX(INDIRECT($AF$6),
       MATCH(TRIM($S17), INDIRECT($AF$7), 0),
       MATCH(TRIM(V$13), INDIRECT($AF$8), 0))</f>
        <v>295.44167649000002</v>
      </c>
      <c r="W17" s="14">
        <f ca="1">INDEX(INDIRECT($AF$6),
       MATCH(TRIM($S17), INDIRECT($AF$7), 0),
       MATCH(TRIM(W$13), INDIRECT($AF$8), 0))</f>
        <v>49</v>
      </c>
      <c r="X17" s="14" t="e">
        <f ca="1">INDEX(INDIRECT($AF$6),
       MATCH(TRIM($S17), INDIRECT($AF$7), 0),
       MATCH(TRIM(X$13), INDIRECT($AF$8), 0))</f>
        <v>#N/A</v>
      </c>
      <c r="Y17" s="14">
        <f ca="1">INDEX(INDIRECT($AF$6),
       MATCH(TRIM($S17), INDIRECT($AF$7), 0),
       MATCH(TRIM(Y$13), INDIRECT($AF$8), 0))</f>
        <v>466.96800400000001</v>
      </c>
      <c r="Z17" s="14">
        <f ca="1">INDEX(INDIRECT($AF$6),
       MATCH(TRIM($S17), INDIRECT($AF$7), 0),
       MATCH(TRIM(Z$13), INDIRECT($AF$8), 0))</f>
        <v>87</v>
      </c>
      <c r="AA17" s="14">
        <f ca="1">INDEX(INDIRECT($AF$6),
       MATCH(TRIM($S17), INDIRECT($AF$7), 0),
       MATCH(TRIM(AA$13), INDIRECT($AF$8), 0))</f>
        <v>597.27409680000005</v>
      </c>
      <c r="AB17" s="14">
        <f t="shared" ca="1" si="0"/>
        <v>1359.6837772900001</v>
      </c>
    </row>
    <row r="18" spans="1:28" x14ac:dyDescent="0.2">
      <c r="A18" s="26">
        <v>4</v>
      </c>
      <c r="B18" s="27" t="s">
        <v>10</v>
      </c>
      <c r="C18" s="28">
        <f ca="1">INDEX(INDIRECT($P$6),
       MATCH(TRIM($B18), INDIRECT($P$7), 0),
       MATCH(TRIM(C$14), INDIRECT($P$8), 0))</f>
        <v>28</v>
      </c>
      <c r="D18" s="28" t="e">
        <f ca="1">INDEX(INDIRECT($P$6),
       MATCH(TRIM($B18), INDIRECT($P$7), 0),
       MATCH(TRIM(D$14), INDIRECT($P$8), 0))</f>
        <v>#N/A</v>
      </c>
      <c r="E18" s="28">
        <f ca="1">INDEX(INDIRECT($P$6),
       MATCH(TRIM($B18), INDIRECT($P$7), 0),
       MATCH(TRIM(E$14), INDIRECT($P$8), 0))</f>
        <v>58.603878999999999</v>
      </c>
      <c r="F18" s="28">
        <f ca="1">INDEX(INDIRECT($P$6),
       MATCH(TRIM($B18), INDIRECT($P$7), 0),
       MATCH(TRIM(F$14), INDIRECT($P$8), 0))</f>
        <v>12</v>
      </c>
      <c r="G18" s="28" t="e">
        <f ca="1">INDEX(INDIRECT($P$6),
       MATCH(TRIM($B18), INDIRECT($P$7), 0),
       MATCH(TRIM(G$14), INDIRECT($P$8), 0))</f>
        <v>#N/A</v>
      </c>
      <c r="H18" s="28">
        <f ca="1">INDEX(INDIRECT($P$6),
       MATCH(TRIM($B18), INDIRECT($P$7), 0),
       MATCH(TRIM(H$14), INDIRECT($P$8), 0))</f>
        <v>226.59788499999999</v>
      </c>
      <c r="I18" s="28">
        <f ca="1">INDEX(INDIRECT($P$6),
       MATCH(TRIM($B18), INDIRECT($P$7), 0),
       MATCH(TRIM(I$14), INDIRECT($P$8), 0))</f>
        <v>119</v>
      </c>
      <c r="J18" s="28">
        <f ca="1">INDEX(INDIRECT($P$6),
       MATCH(TRIM($B18), INDIRECT($P$7), 0),
       MATCH(TRIM(J$14), INDIRECT($P$8), 0))</f>
        <v>172.07651475999992</v>
      </c>
      <c r="K18" s="28">
        <f t="shared" ca="1" si="1"/>
        <v>457.27827875999992</v>
      </c>
      <c r="L18" s="46"/>
      <c r="M18" s="46"/>
      <c r="R18">
        <v>5</v>
      </c>
      <c r="S18" t="s">
        <v>38</v>
      </c>
      <c r="T18" s="14">
        <f ca="1">INDEX(INDIRECT($AF$6),
       MATCH(TRIM($S18), INDIRECT($AF$7), 0),
       MATCH(TRIM(T$13), INDIRECT($AF$8), 0))</f>
        <v>126</v>
      </c>
      <c r="U18" s="14" t="e">
        <f ca="1">INDEX(INDIRECT($AF$6),
       MATCH(TRIM($S18), INDIRECT($AF$7), 0),
       MATCH(TRIM(U$13), INDIRECT($AF$8), 0))</f>
        <v>#N/A</v>
      </c>
      <c r="V18" s="14">
        <f ca="1">INDEX(INDIRECT($AF$6),
       MATCH(TRIM($S18), INDIRECT($AF$7), 0),
       MATCH(TRIM(V$13), INDIRECT($AF$8), 0))</f>
        <v>1170.5054689999999</v>
      </c>
      <c r="W18" s="14">
        <f ca="1">INDEX(INDIRECT($AF$6),
       MATCH(TRIM($S18), INDIRECT($AF$7), 0),
       MATCH(TRIM(W$13), INDIRECT($AF$8), 0))</f>
        <v>96</v>
      </c>
      <c r="X18" s="14" t="e">
        <f ca="1">INDEX(INDIRECT($AF$6),
       MATCH(TRIM($S18), INDIRECT($AF$7), 0),
       MATCH(TRIM(X$13), INDIRECT($AF$8), 0))</f>
        <v>#N/A</v>
      </c>
      <c r="Y18" s="14">
        <f ca="1">INDEX(INDIRECT($AF$6),
       MATCH(TRIM($S18), INDIRECT($AF$7), 0),
       MATCH(TRIM(Y$13), INDIRECT($AF$8), 0))</f>
        <v>320.56403882812498</v>
      </c>
      <c r="Z18" s="14">
        <f ca="1">INDEX(INDIRECT($AF$6),
       MATCH(TRIM($S18), INDIRECT($AF$7), 0),
       MATCH(TRIM(Z$13), INDIRECT($AF$8), 0))</f>
        <v>113</v>
      </c>
      <c r="AA18" s="14">
        <f ca="1">INDEX(INDIRECT($AF$6),
       MATCH(TRIM($S18), INDIRECT($AF$7), 0),
       MATCH(TRIM(AA$13), INDIRECT($AF$8), 0))</f>
        <v>171.70529670999991</v>
      </c>
      <c r="AB18" s="14">
        <f t="shared" ca="1" si="0"/>
        <v>1662.7748045381247</v>
      </c>
    </row>
    <row r="19" spans="1:28" ht="71" x14ac:dyDescent="0.2">
      <c r="A19" s="26">
        <v>5</v>
      </c>
      <c r="B19" s="27" t="s">
        <v>11</v>
      </c>
      <c r="C19" s="28">
        <f ca="1">INDEX(INDIRECT($P$6),
       MATCH(TRIM($B19), INDIRECT($P$7), 0),
       MATCH(TRIM(C$14), INDIRECT($P$8), 0))</f>
        <v>488</v>
      </c>
      <c r="D19" s="28" t="e">
        <f ca="1">INDEX(INDIRECT($P$6),
       MATCH(TRIM($B19), INDIRECT($P$7), 0),
       MATCH(TRIM(D$14), INDIRECT($P$8), 0))</f>
        <v>#N/A</v>
      </c>
      <c r="E19" s="28">
        <f ca="1">INDEX(INDIRECT($P$6),
       MATCH(TRIM($B19), INDIRECT($P$7), 0),
       MATCH(TRIM(E$14), INDIRECT($P$8), 0))</f>
        <v>293.78942202000002</v>
      </c>
      <c r="F19" s="28">
        <f ca="1">INDEX(INDIRECT($P$6),
       MATCH(TRIM($B19), INDIRECT($P$7), 0),
       MATCH(TRIM(F$14), INDIRECT($P$8), 0))</f>
        <v>130</v>
      </c>
      <c r="G19" s="28" t="e">
        <f ca="1">INDEX(INDIRECT($P$6),
       MATCH(TRIM($B19), INDIRECT($P$7), 0),
       MATCH(TRIM(G$14), INDIRECT($P$8), 0))</f>
        <v>#N/A</v>
      </c>
      <c r="H19" s="28">
        <f ca="1">INDEX(INDIRECT($P$6),
       MATCH(TRIM($B19), INDIRECT($P$7), 0),
       MATCH(TRIM(H$14), INDIRECT($P$8), 0))</f>
        <v>416.58294765624998</v>
      </c>
      <c r="I19" s="28">
        <f ca="1">INDEX(INDIRECT($P$6),
       MATCH(TRIM($B19), INDIRECT($P$7), 0),
       MATCH(TRIM(I$14), INDIRECT($P$8), 0))</f>
        <v>1338</v>
      </c>
      <c r="J19" s="28">
        <f ca="1">INDEX(INDIRECT($P$6),
       MATCH(TRIM($B19), INDIRECT($P$7), 0),
       MATCH(TRIM(J$14), INDIRECT($P$8), 0))</f>
        <v>693.64317853999933</v>
      </c>
      <c r="K19" s="28">
        <f t="shared" ca="1" si="1"/>
        <v>1404.0155482162493</v>
      </c>
      <c r="L19" s="46"/>
      <c r="M19" s="46"/>
      <c r="R19">
        <v>6</v>
      </c>
      <c r="S19" t="s">
        <v>43</v>
      </c>
      <c r="T19" s="14">
        <f ca="1">INDEX(INDIRECT($AF$6),
       MATCH(TRIM($S19), INDIRECT($AF$7), 0),
       MATCH(TRIM(T$13), INDIRECT($AF$8), 0))</f>
        <v>48</v>
      </c>
      <c r="U19" s="14" t="e">
        <f ca="1">INDEX(INDIRECT($AF$6),
       MATCH(TRIM($S19), INDIRECT($AF$7), 0),
       MATCH(TRIM(U$13), INDIRECT($AF$8), 0))</f>
        <v>#N/A</v>
      </c>
      <c r="V19" s="14">
        <f ca="1">INDEX(INDIRECT($AF$6),
       MATCH(TRIM($S19), INDIRECT($AF$7), 0),
       MATCH(TRIM(V$13), INDIRECT($AF$8), 0))</f>
        <v>317.07539567000003</v>
      </c>
      <c r="W19" s="14">
        <f ca="1">INDEX(INDIRECT($AF$6),
       MATCH(TRIM($S19), INDIRECT($AF$7), 0),
       MATCH(TRIM(W$13), INDIRECT($AF$8), 0))</f>
        <v>65</v>
      </c>
      <c r="X19" s="14" t="e">
        <f ca="1">INDEX(INDIRECT($AF$6),
       MATCH(TRIM($S19), INDIRECT($AF$7), 0),
       MATCH(TRIM(X$13), INDIRECT($AF$8), 0))</f>
        <v>#N/A</v>
      </c>
      <c r="Y19" s="14">
        <f ca="1">INDEX(INDIRECT($AF$6),
       MATCH(TRIM($S19), INDIRECT($AF$7), 0),
       MATCH(TRIM(Y$13), INDIRECT($AF$8), 0))</f>
        <v>2727.5902120000001</v>
      </c>
      <c r="Z19" s="14">
        <f ca="1">INDEX(INDIRECT($AF$6),
       MATCH(TRIM($S19), INDIRECT($AF$7), 0),
       MATCH(TRIM(Z$13), INDIRECT($AF$8), 0))</f>
        <v>35</v>
      </c>
      <c r="AA19" s="14">
        <f ca="1">INDEX(INDIRECT($AF$6),
       MATCH(TRIM($S19), INDIRECT($AF$7), 0),
       MATCH(TRIM(AA$13), INDIRECT($AF$8), 0))</f>
        <v>2217.5751832699998</v>
      </c>
      <c r="AB19" s="14">
        <f t="shared" ca="1" si="0"/>
        <v>5262.2407909399999</v>
      </c>
    </row>
    <row r="20" spans="1:28" ht="57" x14ac:dyDescent="0.2">
      <c r="A20" s="26">
        <v>6</v>
      </c>
      <c r="B20" s="27" t="s">
        <v>12</v>
      </c>
      <c r="C20" s="28">
        <f ca="1">INDEX(INDIRECT($P$6),
       MATCH(TRIM($B20), INDIRECT($P$7), 0),
       MATCH(TRIM(C$14), INDIRECT($P$8), 0))</f>
        <v>15</v>
      </c>
      <c r="D20" s="28" t="e">
        <f ca="1">INDEX(INDIRECT($P$6),
       MATCH(TRIM($B20), INDIRECT($P$7), 0),
       MATCH(TRIM(D$14), INDIRECT($P$8), 0))</f>
        <v>#N/A</v>
      </c>
      <c r="E20" s="28">
        <f ca="1">INDEX(INDIRECT($P$6),
       MATCH(TRIM($B20), INDIRECT($P$7), 0),
       MATCH(TRIM(E$14), INDIRECT($P$8), 0))</f>
        <v>59.96841178999999</v>
      </c>
      <c r="F20" s="28">
        <f ca="1">INDEX(INDIRECT($P$6),
       MATCH(TRIM($B20), INDIRECT($P$7), 0),
       MATCH(TRIM(F$14), INDIRECT($P$8), 0))</f>
        <v>13</v>
      </c>
      <c r="G20" s="28" t="e">
        <f ca="1">INDEX(INDIRECT($P$6),
       MATCH(TRIM($B20), INDIRECT($P$7), 0),
       MATCH(TRIM(G$14), INDIRECT($P$8), 0))</f>
        <v>#N/A</v>
      </c>
      <c r="H20" s="28">
        <f ca="1">INDEX(INDIRECT($P$6),
       MATCH(TRIM($B20), INDIRECT($P$7), 0),
       MATCH(TRIM(H$14), INDIRECT($P$8), 0))</f>
        <v>61.383062187500002</v>
      </c>
      <c r="I20" s="28">
        <f ca="1">INDEX(INDIRECT($P$6),
       MATCH(TRIM($B20), INDIRECT($P$7), 0),
       MATCH(TRIM(I$14), INDIRECT($P$8), 0))</f>
        <v>30</v>
      </c>
      <c r="J20" s="28">
        <f ca="1">INDEX(INDIRECT($P$6),
       MATCH(TRIM($B20), INDIRECT($P$7), 0),
       MATCH(TRIM(J$14), INDIRECT($P$8), 0))</f>
        <v>35.433114339999989</v>
      </c>
      <c r="K20" s="28">
        <f t="shared" ca="1" si="1"/>
        <v>156.78458831749998</v>
      </c>
      <c r="L20" s="46"/>
      <c r="M20" s="46"/>
      <c r="R20">
        <v>7</v>
      </c>
      <c r="S20" t="s">
        <v>46</v>
      </c>
      <c r="T20" s="14">
        <f ca="1">INDEX(INDIRECT($AF$6),
       MATCH(TRIM($S20), INDIRECT($AF$7), 0),
       MATCH(TRIM(T$13), INDIRECT($AF$8), 0))</f>
        <v>16</v>
      </c>
      <c r="U20" s="14" t="e">
        <f ca="1">INDEX(INDIRECT($AF$6),
       MATCH(TRIM($S20), INDIRECT($AF$7), 0),
       MATCH(TRIM(U$13), INDIRECT($AF$8), 0))</f>
        <v>#N/A</v>
      </c>
      <c r="V20" s="14">
        <f ca="1">INDEX(INDIRECT($AF$6),
       MATCH(TRIM($S20), INDIRECT($AF$7), 0),
       MATCH(TRIM(V$13), INDIRECT($AF$8), 0))</f>
        <v>247.89869100000001</v>
      </c>
      <c r="W20" s="14">
        <f ca="1">INDEX(INDIRECT($AF$6),
       MATCH(TRIM($S20), INDIRECT($AF$7), 0),
       MATCH(TRIM(W$13), INDIRECT($AF$8), 0))</f>
        <v>26</v>
      </c>
      <c r="X20" s="14" t="e">
        <f ca="1">INDEX(INDIRECT($AF$6),
       MATCH(TRIM($S20), INDIRECT($AF$7), 0),
       MATCH(TRIM(X$13), INDIRECT($AF$8), 0))</f>
        <v>#N/A</v>
      </c>
      <c r="Y20" s="14">
        <f ca="1">INDEX(INDIRECT($AF$6),
       MATCH(TRIM($S20), INDIRECT($AF$7), 0),
       MATCH(TRIM(Y$13), INDIRECT($AF$8), 0))</f>
        <v>573.88736900000004</v>
      </c>
      <c r="Z20" s="14">
        <f ca="1">INDEX(INDIRECT($AF$6),
       MATCH(TRIM($S20), INDIRECT($AF$7), 0),
       MATCH(TRIM(Z$13), INDIRECT($AF$8), 0))</f>
        <v>8</v>
      </c>
      <c r="AA20" s="14">
        <f ca="1">INDEX(INDIRECT($AF$6),
       MATCH(TRIM($S20), INDIRECT($AF$7), 0),
       MATCH(TRIM(AA$13), INDIRECT($AF$8), 0))</f>
        <v>1.6897235800000003</v>
      </c>
      <c r="AB20" s="14">
        <f t="shared" ca="1" si="0"/>
        <v>823.47578357999998</v>
      </c>
    </row>
    <row r="21" spans="1:28" ht="71" x14ac:dyDescent="0.2">
      <c r="A21" s="26">
        <v>7</v>
      </c>
      <c r="B21" s="27" t="s">
        <v>13</v>
      </c>
      <c r="C21" s="28">
        <f ca="1">INDEX(INDIRECT($P$6),
       MATCH(TRIM($B21), INDIRECT($P$7), 0),
       MATCH(TRIM(C$14), INDIRECT($P$8), 0))</f>
        <v>291</v>
      </c>
      <c r="D21" s="28" t="e">
        <f ca="1">INDEX(INDIRECT($P$6),
       MATCH(TRIM($B21), INDIRECT($P$7), 0),
       MATCH(TRIM(D$14), INDIRECT($P$8), 0))</f>
        <v>#N/A</v>
      </c>
      <c r="E21" s="28">
        <f ca="1">INDEX(INDIRECT($P$6),
       MATCH(TRIM($B21), INDIRECT($P$7), 0),
       MATCH(TRIM(E$14), INDIRECT($P$8), 0))</f>
        <v>143.30586036</v>
      </c>
      <c r="F21" s="28">
        <f ca="1">INDEX(INDIRECT($P$6),
       MATCH(TRIM($B21), INDIRECT($P$7), 0),
       MATCH(TRIM(F$14), INDIRECT($P$8), 0))</f>
        <v>87</v>
      </c>
      <c r="G21" s="28" t="e">
        <f ca="1">INDEX(INDIRECT($P$6),
       MATCH(TRIM($B21), INDIRECT($P$7), 0),
       MATCH(TRIM(G$14), INDIRECT($P$8), 0))</f>
        <v>#N/A</v>
      </c>
      <c r="H21" s="28">
        <f ca="1">INDEX(INDIRECT($P$6),
       MATCH(TRIM($B21), INDIRECT($P$7), 0),
       MATCH(TRIM(H$14), INDIRECT($P$8), 0))</f>
        <v>276.55125506249999</v>
      </c>
      <c r="I21" s="28">
        <f ca="1">INDEX(INDIRECT($P$6),
       MATCH(TRIM($B21), INDIRECT($P$7), 0),
       MATCH(TRIM(I$14), INDIRECT($P$8), 0))</f>
        <v>620</v>
      </c>
      <c r="J21" s="28">
        <f ca="1">INDEX(INDIRECT($P$6),
       MATCH(TRIM($B21), INDIRECT($P$7), 0),
       MATCH(TRIM(J$14), INDIRECT($P$8), 0))</f>
        <v>604.12148473999912</v>
      </c>
      <c r="K21" s="28">
        <f t="shared" ca="1" si="1"/>
        <v>1023.9786001624991</v>
      </c>
      <c r="L21" s="46"/>
      <c r="M21" s="46"/>
      <c r="R21">
        <v>8</v>
      </c>
      <c r="S21" t="s">
        <v>47</v>
      </c>
      <c r="T21" s="14">
        <f ca="1">INDEX(INDIRECT($AF$6),
       MATCH(TRIM($S21), INDIRECT($AF$7), 0),
       MATCH(TRIM(T$13), INDIRECT($AF$8), 0))</f>
        <v>21</v>
      </c>
      <c r="U21" s="14" t="e">
        <f ca="1">INDEX(INDIRECT($AF$6),
       MATCH(TRIM($S21), INDIRECT($AF$7), 0),
       MATCH(TRIM(U$13), INDIRECT($AF$8), 0))</f>
        <v>#N/A</v>
      </c>
      <c r="V21" s="14">
        <f ca="1">INDEX(INDIRECT($AF$6),
       MATCH(TRIM($S21), INDIRECT($AF$7), 0),
       MATCH(TRIM(V$13), INDIRECT($AF$8), 0))</f>
        <v>621.83869600000003</v>
      </c>
      <c r="W21" s="14">
        <f ca="1">INDEX(INDIRECT($AF$6),
       MATCH(TRIM($S21), INDIRECT($AF$7), 0),
       MATCH(TRIM(W$13), INDIRECT($AF$8), 0))</f>
        <v>45</v>
      </c>
      <c r="X21" s="14" t="e">
        <f ca="1">INDEX(INDIRECT($AF$6),
       MATCH(TRIM($S21), INDIRECT($AF$7), 0),
       MATCH(TRIM(X$13), INDIRECT($AF$8), 0))</f>
        <v>#N/A</v>
      </c>
      <c r="Y21" s="14">
        <f ca="1">INDEX(INDIRECT($AF$6),
       MATCH(TRIM($S21), INDIRECT($AF$7), 0),
       MATCH(TRIM(Y$13), INDIRECT($AF$8), 0))</f>
        <v>652.70822699999997</v>
      </c>
      <c r="Z21" s="14">
        <f ca="1">INDEX(INDIRECT($AF$6),
       MATCH(TRIM($S21), INDIRECT($AF$7), 0),
       MATCH(TRIM(Z$13), INDIRECT($AF$8), 0))</f>
        <v>40</v>
      </c>
      <c r="AA21" s="14">
        <f ca="1">INDEX(INDIRECT($AF$6),
       MATCH(TRIM($S21), INDIRECT($AF$7), 0),
       MATCH(TRIM(AA$13), INDIRECT($AF$8), 0))</f>
        <v>39.597620599999999</v>
      </c>
      <c r="AB21" s="14">
        <f t="shared" ca="1" si="0"/>
        <v>1314.1445435999999</v>
      </c>
    </row>
    <row r="22" spans="1:28" ht="29" x14ac:dyDescent="0.2">
      <c r="A22" s="26">
        <v>8</v>
      </c>
      <c r="B22" s="27" t="s">
        <v>14</v>
      </c>
      <c r="C22" s="28">
        <f ca="1">INDEX(INDIRECT($P$6),
       MATCH(TRIM($B22), INDIRECT($P$7), 0),
       MATCH(TRIM(C$14), INDIRECT($P$8), 0))</f>
        <v>53</v>
      </c>
      <c r="D22" s="28" t="e">
        <f ca="1">INDEX(INDIRECT($P$6),
       MATCH(TRIM($B22), INDIRECT($P$7), 0),
       MATCH(TRIM(D$14), INDIRECT($P$8), 0))</f>
        <v>#N/A</v>
      </c>
      <c r="E22" s="28">
        <f ca="1">INDEX(INDIRECT($P$6),
       MATCH(TRIM($B22), INDIRECT($P$7), 0),
       MATCH(TRIM(E$14), INDIRECT($P$8), 0))</f>
        <v>426.36790500000001</v>
      </c>
      <c r="F22" s="28">
        <f ca="1">INDEX(INDIRECT($P$6),
       MATCH(TRIM($B22), INDIRECT($P$7), 0),
       MATCH(TRIM(F$14), INDIRECT($P$8), 0))</f>
        <v>14</v>
      </c>
      <c r="G22" s="28" t="e">
        <f ca="1">INDEX(INDIRECT($P$6),
       MATCH(TRIM($B22), INDIRECT($P$7), 0),
       MATCH(TRIM(G$14), INDIRECT($P$8), 0))</f>
        <v>#N/A</v>
      </c>
      <c r="H22" s="28">
        <f ca="1">INDEX(INDIRECT($P$6),
       MATCH(TRIM($B22), INDIRECT($P$7), 0),
       MATCH(TRIM(H$14), INDIRECT($P$8), 0))</f>
        <v>40.469126000000003</v>
      </c>
      <c r="I22" s="28">
        <f ca="1">INDEX(INDIRECT($P$6),
       MATCH(TRIM($B22), INDIRECT($P$7), 0),
       MATCH(TRIM(I$14), INDIRECT($P$8), 0))</f>
        <v>118</v>
      </c>
      <c r="J22" s="28">
        <f ca="1">INDEX(INDIRECT($P$6),
       MATCH(TRIM($B22), INDIRECT($P$7), 0),
       MATCH(TRIM(J$14), INDIRECT($P$8), 0))</f>
        <v>316.95538807999998</v>
      </c>
      <c r="K22" s="28">
        <f t="shared" ca="1" si="1"/>
        <v>783.79241907999995</v>
      </c>
      <c r="L22" s="46"/>
      <c r="M22" s="46"/>
      <c r="R22">
        <v>9</v>
      </c>
      <c r="S22" t="s">
        <v>44</v>
      </c>
      <c r="T22" s="14">
        <f ca="1">INDEX(INDIRECT($AF$6),
       MATCH(TRIM($S22), INDIRECT($AF$7), 0),
       MATCH(TRIM(T$13), INDIRECT($AF$8), 0))</f>
        <v>21</v>
      </c>
      <c r="U22" s="14" t="e">
        <f ca="1">INDEX(INDIRECT($AF$6),
       MATCH(TRIM($S22), INDIRECT($AF$7), 0),
       MATCH(TRIM(U$13), INDIRECT($AF$8), 0))</f>
        <v>#N/A</v>
      </c>
      <c r="V22" s="14">
        <f ca="1">INDEX(INDIRECT($AF$6),
       MATCH(TRIM($S22), INDIRECT($AF$7), 0),
       MATCH(TRIM(V$13), INDIRECT($AF$8), 0))</f>
        <v>345.0847</v>
      </c>
      <c r="W22" s="14">
        <f ca="1">INDEX(INDIRECT($AF$6),
       MATCH(TRIM($S22), INDIRECT($AF$7), 0),
       MATCH(TRIM(W$13), INDIRECT($AF$8), 0))</f>
        <v>10</v>
      </c>
      <c r="X22" s="14" t="e">
        <f ca="1">INDEX(INDIRECT($AF$6),
       MATCH(TRIM($S22), INDIRECT($AF$7), 0),
       MATCH(TRIM(X$13), INDIRECT($AF$8), 0))</f>
        <v>#N/A</v>
      </c>
      <c r="Y22" s="14">
        <f ca="1">INDEX(INDIRECT($AF$6),
       MATCH(TRIM($S22), INDIRECT($AF$7), 0),
       MATCH(TRIM(Y$13), INDIRECT($AF$8), 0))</f>
        <v>10.424977</v>
      </c>
      <c r="Z22" s="14">
        <f ca="1">INDEX(INDIRECT($AF$6),
       MATCH(TRIM($S22), INDIRECT($AF$7), 0),
       MATCH(TRIM(Z$13), INDIRECT($AF$8), 0))</f>
        <v>23</v>
      </c>
      <c r="AA22" s="14">
        <f ca="1">INDEX(INDIRECT($AF$6),
       MATCH(TRIM($S22), INDIRECT($AF$7), 0),
       MATCH(TRIM(AA$13), INDIRECT($AF$8), 0))</f>
        <v>42.655211960000003</v>
      </c>
      <c r="AB22" s="14">
        <f t="shared" ca="1" si="0"/>
        <v>398.16488895999998</v>
      </c>
    </row>
    <row r="23" spans="1:28" ht="43" x14ac:dyDescent="0.2">
      <c r="A23" s="26">
        <v>9</v>
      </c>
      <c r="B23" s="27" t="s">
        <v>15</v>
      </c>
      <c r="C23" s="28">
        <f ca="1">INDEX(INDIRECT($P$6),
       MATCH(TRIM($B23), INDIRECT($P$7), 0),
       MATCH(TRIM(C$14), INDIRECT($P$8), 0))</f>
        <v>23</v>
      </c>
      <c r="D23" s="28" t="e">
        <f ca="1">INDEX(INDIRECT($P$6),
       MATCH(TRIM($B23), INDIRECT($P$7), 0),
       MATCH(TRIM(D$14), INDIRECT($P$8), 0))</f>
        <v>#N/A</v>
      </c>
      <c r="E23" s="28">
        <f ca="1">INDEX(INDIRECT($P$6),
       MATCH(TRIM($B23), INDIRECT($P$7), 0),
       MATCH(TRIM(E$14), INDIRECT($P$8), 0))</f>
        <v>41.591233090000003</v>
      </c>
      <c r="F23" s="28">
        <f ca="1">INDEX(INDIRECT($P$6),
       MATCH(TRIM($B23), INDIRECT($P$7), 0),
       MATCH(TRIM(F$14), INDIRECT($P$8), 0))</f>
        <v>15</v>
      </c>
      <c r="G23" s="28" t="e">
        <f ca="1">INDEX(INDIRECT($P$6),
       MATCH(TRIM($B23), INDIRECT($P$7), 0),
       MATCH(TRIM(G$14), INDIRECT($P$8), 0))</f>
        <v>#N/A</v>
      </c>
      <c r="H23" s="28">
        <f ca="1">INDEX(INDIRECT($P$6),
       MATCH(TRIM($B23), INDIRECT($P$7), 0),
       MATCH(TRIM(H$14), INDIRECT($P$8), 0))</f>
        <v>21.438310000000001</v>
      </c>
      <c r="I23" s="28">
        <f ca="1">INDEX(INDIRECT($P$6),
       MATCH(TRIM($B23), INDIRECT($P$7), 0),
       MATCH(TRIM(I$14), INDIRECT($P$8), 0))</f>
        <v>322</v>
      </c>
      <c r="J23" s="28">
        <f ca="1">INDEX(INDIRECT($P$6),
       MATCH(TRIM($B23), INDIRECT($P$7), 0),
       MATCH(TRIM(J$14), INDIRECT($P$8), 0))</f>
        <v>104.57391995000003</v>
      </c>
      <c r="K23" s="28">
        <f t="shared" ca="1" si="1"/>
        <v>167.60346304000004</v>
      </c>
      <c r="L23" s="46"/>
      <c r="M23" s="46"/>
      <c r="R23">
        <v>10</v>
      </c>
      <c r="S23" t="s">
        <v>51</v>
      </c>
      <c r="T23" s="14">
        <f ca="1">INDEX(INDIRECT($AF$6),
       MATCH(TRIM($S23), INDIRECT($AF$7), 0),
       MATCH(TRIM(T$13), INDIRECT($AF$8), 0))</f>
        <v>20</v>
      </c>
      <c r="U23" s="14" t="e">
        <f ca="1">INDEX(INDIRECT($AF$6),
       MATCH(TRIM($S23), INDIRECT($AF$7), 0),
       MATCH(TRIM(U$13), INDIRECT($AF$8), 0))</f>
        <v>#N/A</v>
      </c>
      <c r="V23" s="14">
        <f ca="1">INDEX(INDIRECT($AF$6),
       MATCH(TRIM($S23), INDIRECT($AF$7), 0),
       MATCH(TRIM(V$13), INDIRECT($AF$8), 0))</f>
        <v>237.24661399999999</v>
      </c>
      <c r="W23" s="14">
        <f ca="1">INDEX(INDIRECT($AF$6),
       MATCH(TRIM($S23), INDIRECT($AF$7), 0),
       MATCH(TRIM(W$13), INDIRECT($AF$8), 0))</f>
        <v>28</v>
      </c>
      <c r="X23" s="14" t="e">
        <f ca="1">INDEX(INDIRECT($AF$6),
       MATCH(TRIM($S23), INDIRECT($AF$7), 0),
       MATCH(TRIM(X$13), INDIRECT($AF$8), 0))</f>
        <v>#N/A</v>
      </c>
      <c r="Y23" s="14">
        <f ca="1">INDEX(INDIRECT($AF$6),
       MATCH(TRIM($S23), INDIRECT($AF$7), 0),
       MATCH(TRIM(Y$13), INDIRECT($AF$8), 0))</f>
        <v>68.639651000000001</v>
      </c>
      <c r="Z23" s="14">
        <f ca="1">INDEX(INDIRECT($AF$6),
       MATCH(TRIM($S23), INDIRECT($AF$7), 0),
       MATCH(TRIM(Z$13), INDIRECT($AF$8), 0))</f>
        <v>3</v>
      </c>
      <c r="AA23" s="14">
        <f ca="1">INDEX(INDIRECT($AF$6),
       MATCH(TRIM($S23), INDIRECT($AF$7), 0),
       MATCH(TRIM(AA$13), INDIRECT($AF$8), 0))</f>
        <v>1.9909113300000001</v>
      </c>
      <c r="AB23" s="14">
        <f t="shared" ca="1" si="0"/>
        <v>307.87717633</v>
      </c>
    </row>
    <row r="24" spans="1:28" ht="43" x14ac:dyDescent="0.2">
      <c r="A24" s="26">
        <v>10</v>
      </c>
      <c r="B24" s="27" t="s">
        <v>16</v>
      </c>
      <c r="C24" s="28">
        <f ca="1">INDEX(INDIRECT($P$6),
       MATCH(TRIM($B24), INDIRECT($P$7), 0),
       MATCH(TRIM(C$14), INDIRECT($P$8), 0))</f>
        <v>156</v>
      </c>
      <c r="D24" s="28" t="e">
        <f ca="1">INDEX(INDIRECT($P$6),
       MATCH(TRIM($B24), INDIRECT($P$7), 0),
       MATCH(TRIM(D$14), INDIRECT($P$8), 0))</f>
        <v>#N/A</v>
      </c>
      <c r="E24" s="28">
        <f ca="1">INDEX(INDIRECT($P$6),
       MATCH(TRIM($B24), INDIRECT($P$7), 0),
       MATCH(TRIM(E$14), INDIRECT($P$8), 0))</f>
        <v>226.05259894</v>
      </c>
      <c r="F24" s="28">
        <f ca="1">INDEX(INDIRECT($P$6),
       MATCH(TRIM($B24), INDIRECT($P$7), 0),
       MATCH(TRIM(F$14), INDIRECT($P$8), 0))</f>
        <v>25</v>
      </c>
      <c r="G24" s="28" t="e">
        <f ca="1">INDEX(INDIRECT($P$6),
       MATCH(TRIM($B24), INDIRECT($P$7), 0),
       MATCH(TRIM(G$14), INDIRECT($P$8), 0))</f>
        <v>#N/A</v>
      </c>
      <c r="H24" s="28">
        <f ca="1">INDEX(INDIRECT($P$6),
       MATCH(TRIM($B24), INDIRECT($P$7), 0),
       MATCH(TRIM(H$14), INDIRECT($P$8), 0))</f>
        <v>52.435763000000001</v>
      </c>
      <c r="I24" s="28">
        <f ca="1">INDEX(INDIRECT($P$6),
       MATCH(TRIM($B24), INDIRECT($P$7), 0),
       MATCH(TRIM(I$14), INDIRECT($P$8), 0))</f>
        <v>268</v>
      </c>
      <c r="J24" s="28">
        <f ca="1">INDEX(INDIRECT($P$6),
       MATCH(TRIM($B24), INDIRECT($P$7), 0),
       MATCH(TRIM(J$14), INDIRECT($P$8), 0))</f>
        <v>125.90001697999996</v>
      </c>
      <c r="K24" s="28">
        <f t="shared" ca="1" si="1"/>
        <v>404.38837891999998</v>
      </c>
      <c r="L24" s="46"/>
      <c r="M24" s="46"/>
      <c r="R24">
        <v>11</v>
      </c>
      <c r="S24" t="s">
        <v>45</v>
      </c>
      <c r="T24" s="14">
        <f ca="1">INDEX(INDIRECT($AF$6),
       MATCH(TRIM($S24), INDIRECT($AF$7), 0),
       MATCH(TRIM(T$13), INDIRECT($AF$8), 0))</f>
        <v>54</v>
      </c>
      <c r="U24" s="14" t="e">
        <f ca="1">INDEX(INDIRECT($AF$6),
       MATCH(TRIM($S24), INDIRECT($AF$7), 0),
       MATCH(TRIM(U$13), INDIRECT($AF$8), 0))</f>
        <v>#N/A</v>
      </c>
      <c r="V24" s="14">
        <f ca="1">INDEX(INDIRECT($AF$6),
       MATCH(TRIM($S24), INDIRECT($AF$7), 0),
       MATCH(TRIM(V$13), INDIRECT($AF$8), 0))</f>
        <v>3518.84488904</v>
      </c>
      <c r="W24" s="14">
        <f ca="1">INDEX(INDIRECT($AF$6),
       MATCH(TRIM($S24), INDIRECT($AF$7), 0),
       MATCH(TRIM(W$13), INDIRECT($AF$8), 0))</f>
        <v>65</v>
      </c>
      <c r="X24" s="14" t="e">
        <f ca="1">INDEX(INDIRECT($AF$6),
       MATCH(TRIM($S24), INDIRECT($AF$7), 0),
       MATCH(TRIM(X$13), INDIRECT($AF$8), 0))</f>
        <v>#N/A</v>
      </c>
      <c r="Y24" s="14">
        <f ca="1">INDEX(INDIRECT($AF$6),
       MATCH(TRIM($S24), INDIRECT($AF$7), 0),
       MATCH(TRIM(Y$13), INDIRECT($AF$8), 0))</f>
        <v>255.24365950000001</v>
      </c>
      <c r="Z24" s="14">
        <f ca="1">INDEX(INDIRECT($AF$6),
       MATCH(TRIM($S24), INDIRECT($AF$7), 0),
       MATCH(TRIM(Z$13), INDIRECT($AF$8), 0))</f>
        <v>43</v>
      </c>
      <c r="AA24" s="14">
        <f ca="1">INDEX(INDIRECT($AF$6),
       MATCH(TRIM($S24), INDIRECT($AF$7), 0),
       MATCH(TRIM(AA$13), INDIRECT($AF$8), 0))</f>
        <v>68.8906499</v>
      </c>
      <c r="AB24" s="14">
        <f t="shared" ca="1" si="0"/>
        <v>3842.9791984399999</v>
      </c>
    </row>
    <row r="25" spans="1:28" ht="57" x14ac:dyDescent="0.2">
      <c r="A25" s="26">
        <v>11</v>
      </c>
      <c r="B25" s="27" t="s">
        <v>17</v>
      </c>
      <c r="C25" s="28">
        <f ca="1">INDEX(INDIRECT($P$6),
       MATCH(TRIM($B25), INDIRECT($P$7), 0),
       MATCH(TRIM(C$14), INDIRECT($P$8), 0))</f>
        <v>38</v>
      </c>
      <c r="D25" s="28" t="e">
        <f ca="1">INDEX(INDIRECT($P$6),
       MATCH(TRIM($B25), INDIRECT($P$7), 0),
       MATCH(TRIM(D$14), INDIRECT($P$8), 0))</f>
        <v>#N/A</v>
      </c>
      <c r="E25" s="28">
        <f ca="1">INDEX(INDIRECT($P$6),
       MATCH(TRIM($B25), INDIRECT($P$7), 0),
       MATCH(TRIM(E$14), INDIRECT($P$8), 0))</f>
        <v>11.827855</v>
      </c>
      <c r="F25" s="28">
        <f ca="1">INDEX(INDIRECT($P$6),
       MATCH(TRIM($B25), INDIRECT($P$7), 0),
       MATCH(TRIM(F$14), INDIRECT($P$8), 0))</f>
        <v>14</v>
      </c>
      <c r="G25" s="28" t="e">
        <f ca="1">INDEX(INDIRECT($P$6),
       MATCH(TRIM($B25), INDIRECT($P$7), 0),
       MATCH(TRIM(G$14), INDIRECT($P$8), 0))</f>
        <v>#N/A</v>
      </c>
      <c r="H25" s="28">
        <f ca="1">INDEX(INDIRECT($P$6),
       MATCH(TRIM($B25), INDIRECT($P$7), 0),
       MATCH(TRIM(H$14), INDIRECT($P$8), 0))</f>
        <v>11.71899</v>
      </c>
      <c r="I25" s="28">
        <f ca="1">INDEX(INDIRECT($P$6),
       MATCH(TRIM($B25), INDIRECT($P$7), 0),
       MATCH(TRIM(I$14), INDIRECT($P$8), 0))</f>
        <v>66</v>
      </c>
      <c r="J25" s="28">
        <f ca="1">INDEX(INDIRECT($P$6),
       MATCH(TRIM($B25), INDIRECT($P$7), 0),
       MATCH(TRIM(J$14), INDIRECT($P$8), 0))</f>
        <v>22.977832159999998</v>
      </c>
      <c r="K25" s="28">
        <f t="shared" ca="1" si="1"/>
        <v>46.524677159999996</v>
      </c>
      <c r="L25" s="46"/>
      <c r="M25" s="46"/>
      <c r="R25">
        <v>12</v>
      </c>
      <c r="S25" t="s">
        <v>49</v>
      </c>
      <c r="T25" s="14">
        <f ca="1">INDEX(INDIRECT($AF$6),
       MATCH(TRIM($S25), INDIRECT($AF$7), 0),
       MATCH(TRIM(T$13), INDIRECT($AF$8), 0))</f>
        <v>17</v>
      </c>
      <c r="U25" s="14" t="e">
        <f ca="1">INDEX(INDIRECT($AF$6),
       MATCH(TRIM($S25), INDIRECT($AF$7), 0),
       MATCH(TRIM(U$13), INDIRECT($AF$8), 0))</f>
        <v>#N/A</v>
      </c>
      <c r="V25" s="14">
        <f ca="1">INDEX(INDIRECT($AF$6),
       MATCH(TRIM($S25), INDIRECT($AF$7), 0),
       MATCH(TRIM(V$13), INDIRECT($AF$8), 0))</f>
        <v>110.24533099999999</v>
      </c>
      <c r="W25" s="14">
        <f ca="1">INDEX(INDIRECT($AF$6),
       MATCH(TRIM($S25), INDIRECT($AF$7), 0),
       MATCH(TRIM(W$13), INDIRECT($AF$8), 0))</f>
        <v>43</v>
      </c>
      <c r="X25" s="14" t="e">
        <f ca="1">INDEX(INDIRECT($AF$6),
       MATCH(TRIM($S25), INDIRECT($AF$7), 0),
       MATCH(TRIM(X$13), INDIRECT($AF$8), 0))</f>
        <v>#N/A</v>
      </c>
      <c r="Y25" s="14">
        <f ca="1">INDEX(INDIRECT($AF$6),
       MATCH(TRIM($S25), INDIRECT($AF$7), 0),
       MATCH(TRIM(Y$13), INDIRECT($AF$8), 0))</f>
        <v>195.04966400000001</v>
      </c>
      <c r="Z25" s="14">
        <f ca="1">INDEX(INDIRECT($AF$6),
       MATCH(TRIM($S25), INDIRECT($AF$7), 0),
       MATCH(TRIM(Z$13), INDIRECT($AF$8), 0))</f>
        <v>50</v>
      </c>
      <c r="AA25" s="14">
        <f ca="1">INDEX(INDIRECT($AF$6),
       MATCH(TRIM($S25), INDIRECT($AF$7), 0),
       MATCH(TRIM(AA$13), INDIRECT($AF$8), 0))</f>
        <v>26.306645830000001</v>
      </c>
      <c r="AB25" s="14">
        <f t="shared" ca="1" si="0"/>
        <v>331.60164082999995</v>
      </c>
    </row>
    <row r="26" spans="1:28" ht="29" x14ac:dyDescent="0.2">
      <c r="A26" s="26">
        <v>12</v>
      </c>
      <c r="B26" s="27" t="s">
        <v>18</v>
      </c>
      <c r="C26" s="28">
        <f ca="1">INDEX(INDIRECT($P$6),
       MATCH(TRIM($B26), INDIRECT($P$7), 0),
       MATCH(TRIM(C$14), INDIRECT($P$8), 0))</f>
        <v>1</v>
      </c>
      <c r="D26" s="28" t="e">
        <f ca="1">INDEX(INDIRECT($P$6),
       MATCH(TRIM($B26), INDIRECT($P$7), 0),
       MATCH(TRIM(D$14), INDIRECT($P$8), 0))</f>
        <v>#N/A</v>
      </c>
      <c r="E26" s="28">
        <f ca="1">INDEX(INDIRECT($P$6),
       MATCH(TRIM($B26), INDIRECT($P$7), 0),
       MATCH(TRIM(E$14), INDIRECT($P$8), 0))</f>
        <v>0.15</v>
      </c>
      <c r="F26" s="28">
        <f ca="1">INDEX(INDIRECT($P$6),
       MATCH(TRIM($B26), INDIRECT($P$7), 0),
       MATCH(TRIM(F$14), INDIRECT($P$8), 0))</f>
        <v>2</v>
      </c>
      <c r="G26" s="28" t="e">
        <f ca="1">INDEX(INDIRECT($P$6),
       MATCH(TRIM($B26), INDIRECT($P$7), 0),
       MATCH(TRIM(G$14), INDIRECT($P$8), 0))</f>
        <v>#N/A</v>
      </c>
      <c r="H26" s="28">
        <f ca="1">INDEX(INDIRECT($P$6),
       MATCH(TRIM($B26), INDIRECT($P$7), 0),
       MATCH(TRIM(H$14), INDIRECT($P$8), 0))</f>
        <v>0.4</v>
      </c>
      <c r="I26" s="28">
        <f ca="1">INDEX(INDIRECT($P$6),
       MATCH(TRIM($B26), INDIRECT($P$7), 0),
       MATCH(TRIM(I$14), INDIRECT($P$8), 0))</f>
        <v>9</v>
      </c>
      <c r="J26" s="28">
        <f ca="1">INDEX(INDIRECT($P$6),
       MATCH(TRIM($B26), INDIRECT($P$7), 0),
       MATCH(TRIM(J$14), INDIRECT($P$8), 0))</f>
        <v>3.0490673399999997</v>
      </c>
      <c r="K26" s="28">
        <f t="shared" ca="1" si="1"/>
        <v>3.5990673399999995</v>
      </c>
      <c r="L26" s="46"/>
      <c r="M26" s="46"/>
      <c r="R26">
        <v>13</v>
      </c>
      <c r="S26" t="s">
        <v>55</v>
      </c>
      <c r="T26" s="14">
        <f ca="1">INDEX(INDIRECT($AF$6),
       MATCH(TRIM($S26), INDIRECT($AF$7), 0),
       MATCH(TRIM(T$13), INDIRECT($AF$8), 0))</f>
        <v>15</v>
      </c>
      <c r="U26" s="14" t="e">
        <f ca="1">INDEX(INDIRECT($AF$6),
       MATCH(TRIM($S26), INDIRECT($AF$7), 0),
       MATCH(TRIM(U$13), INDIRECT($AF$8), 0))</f>
        <v>#N/A</v>
      </c>
      <c r="V26" s="14">
        <f ca="1">INDEX(INDIRECT($AF$6),
       MATCH(TRIM($S26), INDIRECT($AF$7), 0),
       MATCH(TRIM(V$13), INDIRECT($AF$8), 0))</f>
        <v>111.33557999999999</v>
      </c>
      <c r="W26" s="14">
        <f ca="1">INDEX(INDIRECT($AF$6),
       MATCH(TRIM($S26), INDIRECT($AF$7), 0),
       MATCH(TRIM(W$13), INDIRECT($AF$8), 0))</f>
        <v>15</v>
      </c>
      <c r="X26" s="14" t="e">
        <f ca="1">INDEX(INDIRECT($AF$6),
       MATCH(TRIM($S26), INDIRECT($AF$7), 0),
       MATCH(TRIM(X$13), INDIRECT($AF$8), 0))</f>
        <v>#N/A</v>
      </c>
      <c r="Y26" s="14">
        <f ca="1">INDEX(INDIRECT($AF$6),
       MATCH(TRIM($S26), INDIRECT($AF$7), 0),
       MATCH(TRIM(Y$13), INDIRECT($AF$8), 0))</f>
        <v>104.63102600000001</v>
      </c>
      <c r="Z26" s="14">
        <f ca="1">INDEX(INDIRECT($AF$6),
       MATCH(TRIM($S26), INDIRECT($AF$7), 0),
       MATCH(TRIM(Z$13), INDIRECT($AF$8), 0))</f>
        <v>8</v>
      </c>
      <c r="AA26" s="14">
        <f ca="1">INDEX(INDIRECT($AF$6),
       MATCH(TRIM($S26), INDIRECT($AF$7), 0),
       MATCH(TRIM(AA$13), INDIRECT($AF$8), 0))</f>
        <v>4.3320767199999999</v>
      </c>
      <c r="AB26" s="14">
        <f t="shared" ca="1" si="0"/>
        <v>220.29868272000002</v>
      </c>
    </row>
    <row r="27" spans="1:28" ht="29" x14ac:dyDescent="0.2">
      <c r="A27" s="26">
        <v>13</v>
      </c>
      <c r="B27" s="27" t="s">
        <v>19</v>
      </c>
      <c r="C27" s="28">
        <f ca="1">INDEX(INDIRECT($P$6),
       MATCH(TRIM($B27), INDIRECT($P$7), 0),
       MATCH(TRIM(C$14), INDIRECT($P$8), 0))</f>
        <v>27</v>
      </c>
      <c r="D27" s="28" t="e">
        <f ca="1">INDEX(INDIRECT($P$6),
       MATCH(TRIM($B27), INDIRECT($P$7), 0),
       MATCH(TRIM(D$14), INDIRECT($P$8), 0))</f>
        <v>#N/A</v>
      </c>
      <c r="E27" s="28">
        <f ca="1">INDEX(INDIRECT($P$6),
       MATCH(TRIM($B27), INDIRECT($P$7), 0),
       MATCH(TRIM(E$14), INDIRECT($P$8), 0))</f>
        <v>12.643249000000001</v>
      </c>
      <c r="F27" s="28">
        <f ca="1">INDEX(INDIRECT($P$6),
       MATCH(TRIM($B27), INDIRECT($P$7), 0),
       MATCH(TRIM(F$14), INDIRECT($P$8), 0))</f>
        <v>14</v>
      </c>
      <c r="G27" s="28" t="e">
        <f ca="1">INDEX(INDIRECT($P$6),
       MATCH(TRIM($B27), INDIRECT($P$7), 0),
       MATCH(TRIM(G$14), INDIRECT($P$8), 0))</f>
        <v>#N/A</v>
      </c>
      <c r="H27" s="28">
        <f ca="1">INDEX(INDIRECT($P$6),
       MATCH(TRIM($B27), INDIRECT($P$7), 0),
       MATCH(TRIM(H$14), INDIRECT($P$8), 0))</f>
        <v>17.296975</v>
      </c>
      <c r="I27" s="28">
        <f ca="1">INDEX(INDIRECT($P$6),
       MATCH(TRIM($B27), INDIRECT($P$7), 0),
       MATCH(TRIM(I$14), INDIRECT($P$8), 0))</f>
        <v>55</v>
      </c>
      <c r="J27" s="28">
        <f ca="1">INDEX(INDIRECT($P$6),
       MATCH(TRIM($B27), INDIRECT($P$7), 0),
       MATCH(TRIM(J$14), INDIRECT($P$8), 0))</f>
        <v>21.144640550000005</v>
      </c>
      <c r="K27" s="28">
        <f t="shared" ca="1" si="1"/>
        <v>51.084864550000006</v>
      </c>
      <c r="L27" s="46"/>
      <c r="M27" s="46"/>
      <c r="R27">
        <v>14</v>
      </c>
      <c r="S27" t="s">
        <v>50</v>
      </c>
      <c r="T27" s="14">
        <f ca="1">INDEX(INDIRECT($AF$6),
       MATCH(TRIM($S27), INDIRECT($AF$7), 0),
       MATCH(TRIM(T$13), INDIRECT($AF$8), 0))</f>
        <v>27</v>
      </c>
      <c r="U27" s="14" t="e">
        <f ca="1">INDEX(INDIRECT($AF$6),
       MATCH(TRIM($S27), INDIRECT($AF$7), 0),
       MATCH(TRIM(U$13), INDIRECT($AF$8), 0))</f>
        <v>#N/A</v>
      </c>
      <c r="V27" s="14">
        <f ca="1">INDEX(INDIRECT($AF$6),
       MATCH(TRIM($S27), INDIRECT($AF$7), 0),
       MATCH(TRIM(V$13), INDIRECT($AF$8), 0))</f>
        <v>703.14290400000004</v>
      </c>
      <c r="W27" s="14">
        <f ca="1">INDEX(INDIRECT($AF$6),
       MATCH(TRIM($S27), INDIRECT($AF$7), 0),
       MATCH(TRIM(W$13), INDIRECT($AF$8), 0))</f>
        <v>8</v>
      </c>
      <c r="X27" s="14" t="e">
        <f ca="1">INDEX(INDIRECT($AF$6),
       MATCH(TRIM($S27), INDIRECT($AF$7), 0),
       MATCH(TRIM(X$13), INDIRECT($AF$8), 0))</f>
        <v>#N/A</v>
      </c>
      <c r="Y27" s="14">
        <f ca="1">INDEX(INDIRECT($AF$6),
       MATCH(TRIM($S27), INDIRECT($AF$7), 0),
       MATCH(TRIM(Y$13), INDIRECT($AF$8), 0))</f>
        <v>33.209524999999999</v>
      </c>
      <c r="Z27" s="14">
        <f ca="1">INDEX(INDIRECT($AF$6),
       MATCH(TRIM($S27), INDIRECT($AF$7), 0),
       MATCH(TRIM(Z$13), INDIRECT($AF$8), 0))</f>
        <v>13</v>
      </c>
      <c r="AA27" s="14">
        <f ca="1">INDEX(INDIRECT($AF$6),
       MATCH(TRIM($S27), INDIRECT($AF$7), 0),
       MATCH(TRIM(AA$13), INDIRECT($AF$8), 0))</f>
        <v>7.6776238799999996</v>
      </c>
      <c r="AB27" s="14">
        <f t="shared" ca="1" si="0"/>
        <v>744.03005288000008</v>
      </c>
    </row>
    <row r="28" spans="1:28" ht="43" x14ac:dyDescent="0.2">
      <c r="A28" s="26">
        <v>14</v>
      </c>
      <c r="B28" s="27" t="s">
        <v>20</v>
      </c>
      <c r="C28" s="28">
        <f ca="1">INDEX(INDIRECT($P$6),
       MATCH(TRIM($B28), INDIRECT($P$7), 0),
       MATCH(TRIM(C$14), INDIRECT($P$8), 0))</f>
        <v>2</v>
      </c>
      <c r="D28" s="28" t="e">
        <f ca="1">INDEX(INDIRECT($P$6),
       MATCH(TRIM($B28), INDIRECT($P$7), 0),
       MATCH(TRIM(D$14), INDIRECT($P$8), 0))</f>
        <v>#N/A</v>
      </c>
      <c r="E28" s="28">
        <f ca="1">INDEX(INDIRECT($P$6),
       MATCH(TRIM($B28), INDIRECT($P$7), 0),
       MATCH(TRIM(E$14), INDIRECT($P$8), 0))</f>
        <v>7.202</v>
      </c>
      <c r="F28" s="28">
        <f ca="1">INDEX(INDIRECT($P$6),
       MATCH(TRIM($B28), INDIRECT($P$7), 0),
       MATCH(TRIM(F$14), INDIRECT($P$8), 0))</f>
        <v>1</v>
      </c>
      <c r="G28" s="28" t="e">
        <f ca="1">INDEX(INDIRECT($P$6),
       MATCH(TRIM($B28), INDIRECT($P$7), 0),
       MATCH(TRIM(G$14), INDIRECT($P$8), 0))</f>
        <v>#N/A</v>
      </c>
      <c r="H28" s="28">
        <f ca="1">INDEX(INDIRECT($P$6),
       MATCH(TRIM($B28), INDIRECT($P$7), 0),
       MATCH(TRIM(H$14), INDIRECT($P$8), 0))</f>
        <v>4.7149400000000004</v>
      </c>
      <c r="I28" s="28">
        <f ca="1">INDEX(INDIRECT($P$6),
       MATCH(TRIM($B28), INDIRECT($P$7), 0),
       MATCH(TRIM(I$14), INDIRECT($P$8), 0))</f>
        <v>10</v>
      </c>
      <c r="J28" s="28">
        <f ca="1">INDEX(INDIRECT($P$6),
       MATCH(TRIM($B28), INDIRECT($P$7), 0),
       MATCH(TRIM(J$14), INDIRECT($P$8), 0))</f>
        <v>105.01985169</v>
      </c>
      <c r="K28" s="28">
        <f t="shared" ca="1" si="1"/>
        <v>116.93679168999999</v>
      </c>
      <c r="L28" s="46"/>
      <c r="M28" s="46"/>
      <c r="R28">
        <v>15</v>
      </c>
      <c r="S28" t="s">
        <v>69</v>
      </c>
      <c r="T28" s="14">
        <f ca="1">INDEX(INDIRECT($AF$6),
       MATCH(TRIM($S28), INDIRECT($AF$7), 0),
       MATCH(TRIM(T$13), INDIRECT($AF$8), 0))</f>
        <v>40</v>
      </c>
      <c r="U28" s="14" t="e">
        <f ca="1">INDEX(INDIRECT($AF$6),
       MATCH(TRIM($S28), INDIRECT($AF$7), 0),
       MATCH(TRIM(U$13), INDIRECT($AF$8), 0))</f>
        <v>#N/A</v>
      </c>
      <c r="V28" s="14">
        <f ca="1">INDEX(INDIRECT($AF$6),
       MATCH(TRIM($S28), INDIRECT($AF$7), 0),
       MATCH(TRIM(V$13), INDIRECT($AF$8), 0))</f>
        <v>150.00195500000001</v>
      </c>
      <c r="W28" s="14">
        <f ca="1">INDEX(INDIRECT($AF$6),
       MATCH(TRIM($S28), INDIRECT($AF$7), 0),
       MATCH(TRIM(W$13), INDIRECT($AF$8), 0))</f>
        <v>19</v>
      </c>
      <c r="X28" s="14" t="e">
        <f ca="1">INDEX(INDIRECT($AF$6),
       MATCH(TRIM($S28), INDIRECT($AF$7), 0),
       MATCH(TRIM(X$13), INDIRECT($AF$8), 0))</f>
        <v>#N/A</v>
      </c>
      <c r="Y28" s="14">
        <f ca="1">INDEX(INDIRECT($AF$6),
       MATCH(TRIM($S28), INDIRECT($AF$7), 0),
       MATCH(TRIM(Y$13), INDIRECT($AF$8), 0))</f>
        <v>10.606971937499999</v>
      </c>
      <c r="Z28" s="14">
        <f ca="1">INDEX(INDIRECT($AF$6),
       MATCH(TRIM($S28), INDIRECT($AF$7), 0),
       MATCH(TRIM(Z$13), INDIRECT($AF$8), 0))</f>
        <v>51</v>
      </c>
      <c r="AA28" s="14">
        <f ca="1">INDEX(INDIRECT($AF$6),
       MATCH(TRIM($S28), INDIRECT($AF$7), 0),
       MATCH(TRIM(AA$13), INDIRECT($AF$8), 0))</f>
        <v>11.732700099999999</v>
      </c>
      <c r="AB28" s="14">
        <f t="shared" ca="1" si="0"/>
        <v>172.34162703749999</v>
      </c>
    </row>
    <row r="29" spans="1:28" ht="43" x14ac:dyDescent="0.2">
      <c r="A29" s="26">
        <v>15</v>
      </c>
      <c r="B29" s="27" t="s">
        <v>21</v>
      </c>
      <c r="C29" s="28">
        <f ca="1">INDEX(INDIRECT($P$6),
       MATCH(TRIM($B29), INDIRECT($P$7), 0),
       MATCH(TRIM(C$14), INDIRECT($P$8), 0))</f>
        <v>1</v>
      </c>
      <c r="D29" s="28" t="e">
        <f ca="1">INDEX(INDIRECT($P$6),
       MATCH(TRIM($B29), INDIRECT($P$7), 0),
       MATCH(TRIM(D$14), INDIRECT($P$8), 0))</f>
        <v>#N/A</v>
      </c>
      <c r="E29" s="28">
        <f ca="1">INDEX(INDIRECT($P$6),
       MATCH(TRIM($B29), INDIRECT($P$7), 0),
       MATCH(TRIM(E$14), INDIRECT($P$8), 0))</f>
        <v>1.1000000000000001</v>
      </c>
      <c r="F29" s="28">
        <f ca="1">INDEX(INDIRECT($P$6),
       MATCH(TRIM($B29), INDIRECT($P$7), 0),
       MATCH(TRIM(F$14), INDIRECT($P$8), 0))</f>
        <v>3</v>
      </c>
      <c r="G29" s="28" t="e">
        <f ca="1">INDEX(INDIRECT($P$6),
       MATCH(TRIM($B29), INDIRECT($P$7), 0),
       MATCH(TRIM(G$14), INDIRECT($P$8), 0))</f>
        <v>#N/A</v>
      </c>
      <c r="H29" s="28">
        <f ca="1">INDEX(INDIRECT($P$6),
       MATCH(TRIM($B29), INDIRECT($P$7), 0),
       MATCH(TRIM(H$14), INDIRECT($P$8), 0))</f>
        <v>0.616791125</v>
      </c>
      <c r="I29" s="28">
        <f ca="1">INDEX(INDIRECT($P$6),
       MATCH(TRIM($B29), INDIRECT($P$7), 0),
       MATCH(TRIM(I$14), INDIRECT($P$8), 0))</f>
        <v>11</v>
      </c>
      <c r="J29" s="28">
        <f ca="1">INDEX(INDIRECT($P$6),
       MATCH(TRIM($B29), INDIRECT($P$7), 0),
       MATCH(TRIM(J$14), INDIRECT($P$8), 0))</f>
        <v>2.8011978200000005</v>
      </c>
      <c r="K29" s="28">
        <f t="shared" ca="1" si="1"/>
        <v>4.5179889450000008</v>
      </c>
      <c r="L29" s="46"/>
      <c r="M29" s="46"/>
      <c r="R29">
        <v>16</v>
      </c>
      <c r="S29" t="s">
        <v>52</v>
      </c>
      <c r="T29" s="14">
        <f ca="1">INDEX(INDIRECT($AF$6),
       MATCH(TRIM($S29), INDIRECT($AF$7), 0),
       MATCH(TRIM(T$13), INDIRECT($AF$8), 0))</f>
        <v>28</v>
      </c>
      <c r="U29" s="14" t="e">
        <f ca="1">INDEX(INDIRECT($AF$6),
       MATCH(TRIM($S29), INDIRECT($AF$7), 0),
       MATCH(TRIM(U$13), INDIRECT($AF$8), 0))</f>
        <v>#N/A</v>
      </c>
      <c r="V29" s="14">
        <f ca="1">INDEX(INDIRECT($AF$6),
       MATCH(TRIM($S29), INDIRECT($AF$7), 0),
       MATCH(TRIM(V$13), INDIRECT($AF$8), 0))</f>
        <v>393.80410999999998</v>
      </c>
      <c r="W29" s="14">
        <f ca="1">INDEX(INDIRECT($AF$6),
       MATCH(TRIM($S29), INDIRECT($AF$7), 0),
       MATCH(TRIM(W$13), INDIRECT($AF$8), 0))</f>
        <v>38</v>
      </c>
      <c r="X29" s="14" t="e">
        <f ca="1">INDEX(INDIRECT($AF$6),
       MATCH(TRIM($S29), INDIRECT($AF$7), 0),
       MATCH(TRIM(X$13), INDIRECT($AF$8), 0))</f>
        <v>#N/A</v>
      </c>
      <c r="Y29" s="14">
        <f ca="1">INDEX(INDIRECT($AF$6),
       MATCH(TRIM($S29), INDIRECT($AF$7), 0),
       MATCH(TRIM(Y$13), INDIRECT($AF$8), 0))</f>
        <v>272.59077217968752</v>
      </c>
      <c r="Z29" s="14">
        <f ca="1">INDEX(INDIRECT($AF$6),
       MATCH(TRIM($S29), INDIRECT($AF$7), 0),
       MATCH(TRIM(Z$13), INDIRECT($AF$8), 0))</f>
        <v>34</v>
      </c>
      <c r="AA29" s="14">
        <f ca="1">INDEX(INDIRECT($AF$6),
       MATCH(TRIM($S29), INDIRECT($AF$7), 0),
       MATCH(TRIM(AA$13), INDIRECT($AF$8), 0))</f>
        <v>45.737235890000001</v>
      </c>
      <c r="AB29" s="14">
        <f t="shared" ca="1" si="0"/>
        <v>712.13211806968752</v>
      </c>
    </row>
    <row r="30" spans="1:28" ht="29" x14ac:dyDescent="0.2">
      <c r="A30" s="26">
        <v>16</v>
      </c>
      <c r="B30" s="27" t="s">
        <v>22</v>
      </c>
      <c r="C30" s="28">
        <f ca="1">INDEX(INDIRECT($P$6),
       MATCH(TRIM($B30), INDIRECT($P$7), 0),
       MATCH(TRIM(C$14), INDIRECT($P$8), 0))</f>
        <v>0</v>
      </c>
      <c r="D30" s="28" t="e">
        <f ca="1">INDEX(INDIRECT($P$6),
       MATCH(TRIM($B30), INDIRECT($P$7), 0),
       MATCH(TRIM(D$14), INDIRECT($P$8), 0))</f>
        <v>#N/A</v>
      </c>
      <c r="E30" s="28">
        <f ca="1">INDEX(INDIRECT($P$6),
       MATCH(TRIM($B30), INDIRECT($P$7), 0),
       MATCH(TRIM(E$14), INDIRECT($P$8), 0))</f>
        <v>0</v>
      </c>
      <c r="F30" s="28">
        <f ca="1">INDEX(INDIRECT($P$6),
       MATCH(TRIM($B30), INDIRECT($P$7), 0),
       MATCH(TRIM(F$14), INDIRECT($P$8), 0))</f>
        <v>1</v>
      </c>
      <c r="G30" s="28" t="e">
        <f ca="1">INDEX(INDIRECT($P$6),
       MATCH(TRIM($B30), INDIRECT($P$7), 0),
       MATCH(TRIM(G$14), INDIRECT($P$8), 0))</f>
        <v>#N/A</v>
      </c>
      <c r="H30" s="28">
        <f ca="1">INDEX(INDIRECT($P$6),
       MATCH(TRIM($B30), INDIRECT($P$7), 0),
       MATCH(TRIM(H$14), INDIRECT($P$8), 0))</f>
        <v>0.13500000000000001</v>
      </c>
      <c r="I30" s="28">
        <f ca="1">INDEX(INDIRECT($P$6),
       MATCH(TRIM($B30), INDIRECT($P$7), 0),
       MATCH(TRIM(I$14), INDIRECT($P$8), 0))</f>
        <v>4</v>
      </c>
      <c r="J30" s="28">
        <f ca="1">INDEX(INDIRECT($P$6),
       MATCH(TRIM($B30), INDIRECT($P$7), 0),
       MATCH(TRIM(J$14), INDIRECT($P$8), 0))</f>
        <v>1.3364363099999998</v>
      </c>
      <c r="K30" s="28">
        <f t="shared" ca="1" si="1"/>
        <v>1.4714363099999999</v>
      </c>
      <c r="L30" s="46"/>
      <c r="M30" s="46"/>
      <c r="R30">
        <v>17</v>
      </c>
      <c r="S30" t="s">
        <v>53</v>
      </c>
      <c r="T30" s="14">
        <f ca="1">INDEX(INDIRECT($AF$6),
       MATCH(TRIM($S30), INDIRECT($AF$7), 0),
       MATCH(TRIM(T$13), INDIRECT($AF$8), 0))</f>
        <v>49</v>
      </c>
      <c r="U30" s="14" t="e">
        <f ca="1">INDEX(INDIRECT($AF$6),
       MATCH(TRIM($S30), INDIRECT($AF$7), 0),
       MATCH(TRIM(U$13), INDIRECT($AF$8), 0))</f>
        <v>#N/A</v>
      </c>
      <c r="V30" s="14">
        <f ca="1">INDEX(INDIRECT($AF$6),
       MATCH(TRIM($S30), INDIRECT($AF$7), 0),
       MATCH(TRIM(V$13), INDIRECT($AF$8), 0))</f>
        <v>327.52064354999999</v>
      </c>
      <c r="W30" s="14">
        <f ca="1">INDEX(INDIRECT($AF$6),
       MATCH(TRIM($S30), INDIRECT($AF$7), 0),
       MATCH(TRIM(W$13), INDIRECT($AF$8), 0))</f>
        <v>32</v>
      </c>
      <c r="X30" s="14" t="e">
        <f ca="1">INDEX(INDIRECT($AF$6),
       MATCH(TRIM($S30), INDIRECT($AF$7), 0),
       MATCH(TRIM(X$13), INDIRECT($AF$8), 0))</f>
        <v>#N/A</v>
      </c>
      <c r="Y30" s="14">
        <f ca="1">INDEX(INDIRECT($AF$6),
       MATCH(TRIM($S30), INDIRECT($AF$7), 0),
       MATCH(TRIM(Y$13), INDIRECT($AF$8), 0))</f>
        <v>109.371286</v>
      </c>
      <c r="Z30" s="14">
        <f ca="1">INDEX(INDIRECT($AF$6),
       MATCH(TRIM($S30), INDIRECT($AF$7), 0),
       MATCH(TRIM(Z$13), INDIRECT($AF$8), 0))</f>
        <v>13</v>
      </c>
      <c r="AA30" s="14">
        <f ca="1">INDEX(INDIRECT($AF$6),
       MATCH(TRIM($S30), INDIRECT($AF$7), 0),
       MATCH(TRIM(AA$13), INDIRECT($AF$8), 0))</f>
        <v>13.479669229999999</v>
      </c>
      <c r="AB30" s="14">
        <f t="shared" ca="1" si="0"/>
        <v>450.37159878</v>
      </c>
    </row>
    <row r="31" spans="1:28" ht="43" x14ac:dyDescent="0.2">
      <c r="A31" s="26">
        <v>17</v>
      </c>
      <c r="B31" s="27" t="s">
        <v>23</v>
      </c>
      <c r="C31" s="28">
        <f ca="1">INDEX(INDIRECT($P$6),
       MATCH(TRIM($B31), INDIRECT($P$7), 0),
       MATCH(TRIM(C$14), INDIRECT($P$8), 0))</f>
        <v>1</v>
      </c>
      <c r="D31" s="28" t="e">
        <f ca="1">INDEX(INDIRECT($P$6),
       MATCH(TRIM($B31), INDIRECT($P$7), 0),
       MATCH(TRIM(D$14), INDIRECT($P$8), 0))</f>
        <v>#N/A</v>
      </c>
      <c r="E31" s="28">
        <f ca="1">INDEX(INDIRECT($P$6),
       MATCH(TRIM($B31), INDIRECT($P$7), 0),
       MATCH(TRIM(E$14), INDIRECT($P$8), 0))</f>
        <v>0.13052</v>
      </c>
      <c r="F31" s="28">
        <f ca="1">INDEX(INDIRECT($P$6),
       MATCH(TRIM($B31), INDIRECT($P$7), 0),
       MATCH(TRIM(F$14), INDIRECT($P$8), 0))</f>
        <v>0</v>
      </c>
      <c r="G31" s="28" t="e">
        <f ca="1">INDEX(INDIRECT($P$6),
       MATCH(TRIM($B31), INDIRECT($P$7), 0),
       MATCH(TRIM(G$14), INDIRECT($P$8), 0))</f>
        <v>#N/A</v>
      </c>
      <c r="H31" s="28">
        <f ca="1">INDEX(INDIRECT($P$6),
       MATCH(TRIM($B31), INDIRECT($P$7), 0),
       MATCH(TRIM(H$14), INDIRECT($P$8), 0))</f>
        <v>0</v>
      </c>
      <c r="I31" s="28">
        <f ca="1">INDEX(INDIRECT($P$6),
       MATCH(TRIM($B31), INDIRECT($P$7), 0),
       MATCH(TRIM(I$14), INDIRECT($P$8), 0))</f>
        <v>7</v>
      </c>
      <c r="J31" s="28">
        <f ca="1">INDEX(INDIRECT($P$6),
       MATCH(TRIM($B31), INDIRECT($P$7), 0),
       MATCH(TRIM(J$14), INDIRECT($P$8), 0))</f>
        <v>1.5510378600000001</v>
      </c>
      <c r="K31" s="28">
        <f t="shared" ca="1" si="1"/>
        <v>1.6815578600000001</v>
      </c>
      <c r="L31" s="46"/>
      <c r="M31" s="46"/>
      <c r="R31">
        <v>18</v>
      </c>
      <c r="S31" t="s">
        <v>63</v>
      </c>
      <c r="T31" s="14">
        <f ca="1">INDEX(INDIRECT($AF$6),
       MATCH(TRIM($S31), INDIRECT($AF$7), 0),
       MATCH(TRIM(T$13), INDIRECT($AF$8), 0))</f>
        <v>2</v>
      </c>
      <c r="U31" s="14" t="e">
        <f ca="1">INDEX(INDIRECT($AF$6),
       MATCH(TRIM($S31), INDIRECT($AF$7), 0),
       MATCH(TRIM(U$13), INDIRECT($AF$8), 0))</f>
        <v>#N/A</v>
      </c>
      <c r="V31" s="14">
        <f ca="1">INDEX(INDIRECT($AF$6),
       MATCH(TRIM($S31), INDIRECT($AF$7), 0),
       MATCH(TRIM(V$13), INDIRECT($AF$8), 0))</f>
        <v>2.0590000000000002</v>
      </c>
      <c r="W31" s="14">
        <f ca="1">INDEX(INDIRECT($AF$6),
       MATCH(TRIM($S31), INDIRECT($AF$7), 0),
       MATCH(TRIM(W$13), INDIRECT($AF$8), 0))</f>
        <v>4</v>
      </c>
      <c r="X31" s="14" t="e">
        <f ca="1">INDEX(INDIRECT($AF$6),
       MATCH(TRIM($S31), INDIRECT($AF$7), 0),
       MATCH(TRIM(X$13), INDIRECT($AF$8), 0))</f>
        <v>#N/A</v>
      </c>
      <c r="Y31" s="14">
        <f ca="1">INDEX(INDIRECT($AF$6),
       MATCH(TRIM($S31), INDIRECT($AF$7), 0),
       MATCH(TRIM(Y$13), INDIRECT($AF$8), 0))</f>
        <v>134.4</v>
      </c>
      <c r="Z31" s="14">
        <f ca="1">INDEX(INDIRECT($AF$6),
       MATCH(TRIM($S31), INDIRECT($AF$7), 0),
       MATCH(TRIM(Z$13), INDIRECT($AF$8), 0))</f>
        <v>3</v>
      </c>
      <c r="AA31" s="14">
        <f ca="1">INDEX(INDIRECT($AF$6),
       MATCH(TRIM($S31), INDIRECT($AF$7), 0),
       MATCH(TRIM(AA$13), INDIRECT($AF$8), 0))</f>
        <v>1.4653288899999999</v>
      </c>
      <c r="AB31" s="14">
        <f t="shared" ca="1" si="0"/>
        <v>137.92432889</v>
      </c>
    </row>
    <row r="32" spans="1:28" ht="57" x14ac:dyDescent="0.2">
      <c r="A32" s="26">
        <v>18</v>
      </c>
      <c r="B32" s="27" t="s">
        <v>24</v>
      </c>
      <c r="C32" s="28">
        <f ca="1">INDEX(INDIRECT($P$6),
       MATCH(TRIM($B32), INDIRECT($P$7), 0),
       MATCH(TRIM(C$14), INDIRECT($P$8), 0))</f>
        <v>1</v>
      </c>
      <c r="D32" s="28" t="e">
        <f ca="1">INDEX(INDIRECT($P$6),
       MATCH(TRIM($B32), INDIRECT($P$7), 0),
       MATCH(TRIM(D$14), INDIRECT($P$8), 0))</f>
        <v>#N/A</v>
      </c>
      <c r="E32" s="28">
        <f ca="1">INDEX(INDIRECT($P$6),
       MATCH(TRIM($B32), INDIRECT($P$7), 0),
       MATCH(TRIM(E$14), INDIRECT($P$8), 0))</f>
        <v>4.5</v>
      </c>
      <c r="F32" s="28">
        <f ca="1">INDEX(INDIRECT($P$6),
       MATCH(TRIM($B32), INDIRECT($P$7), 0),
       MATCH(TRIM(F$14), INDIRECT($P$8), 0))</f>
        <v>1</v>
      </c>
      <c r="G32" s="28" t="e">
        <f ca="1">INDEX(INDIRECT($P$6),
       MATCH(TRIM($B32), INDIRECT($P$7), 0),
       MATCH(TRIM(G$14), INDIRECT($P$8), 0))</f>
        <v>#N/A</v>
      </c>
      <c r="H32" s="28">
        <f ca="1">INDEX(INDIRECT($P$6),
       MATCH(TRIM($B32), INDIRECT($P$7), 0),
       MATCH(TRIM(H$14), INDIRECT($P$8), 0))</f>
        <v>30.47</v>
      </c>
      <c r="I32" s="28">
        <f ca="1">INDEX(INDIRECT($P$6),
       MATCH(TRIM($B32), INDIRECT($P$7), 0),
       MATCH(TRIM(I$14), INDIRECT($P$8), 0))</f>
        <v>21</v>
      </c>
      <c r="J32" s="28">
        <f ca="1">INDEX(INDIRECT($P$6),
       MATCH(TRIM($B32), INDIRECT($P$7), 0),
       MATCH(TRIM(J$14), INDIRECT($P$8), 0))</f>
        <v>24.655916169999998</v>
      </c>
      <c r="K32" s="28">
        <f t="shared" ca="1" si="1"/>
        <v>59.625916169999996</v>
      </c>
      <c r="L32" s="46"/>
      <c r="M32" s="46"/>
      <c r="R32">
        <v>19</v>
      </c>
      <c r="S32" t="s">
        <v>70</v>
      </c>
      <c r="T32" s="14">
        <f ca="1">INDEX(INDIRECT($AF$6),
       MATCH(TRIM($S32), INDIRECT($AF$7), 0),
       MATCH(TRIM(T$13), INDIRECT($AF$8), 0))</f>
        <v>11</v>
      </c>
      <c r="U32" s="14" t="e">
        <f ca="1">INDEX(INDIRECT($AF$6),
       MATCH(TRIM($S32), INDIRECT($AF$7), 0),
       MATCH(TRIM(U$13), INDIRECT($AF$8), 0))</f>
        <v>#N/A</v>
      </c>
      <c r="V32" s="14">
        <f ca="1">INDEX(INDIRECT($AF$6),
       MATCH(TRIM($S32), INDIRECT($AF$7), 0),
       MATCH(TRIM(V$13), INDIRECT($AF$8), 0))</f>
        <v>137.44114099999999</v>
      </c>
      <c r="W32" s="14">
        <f ca="1">INDEX(INDIRECT($AF$6),
       MATCH(TRIM($S32), INDIRECT($AF$7), 0),
       MATCH(TRIM(W$13), INDIRECT($AF$8), 0))</f>
        <v>8</v>
      </c>
      <c r="X32" s="14" t="e">
        <f ca="1">INDEX(INDIRECT($AF$6),
       MATCH(TRIM($S32), INDIRECT($AF$7), 0),
       MATCH(TRIM(X$13), INDIRECT($AF$8), 0))</f>
        <v>#N/A</v>
      </c>
      <c r="Y32" s="14">
        <f ca="1">INDEX(INDIRECT($AF$6),
       MATCH(TRIM($S32), INDIRECT($AF$7), 0),
       MATCH(TRIM(Y$13), INDIRECT($AF$8), 0))</f>
        <v>42.432305999999997</v>
      </c>
      <c r="Z32" s="14">
        <f ca="1">INDEX(INDIRECT($AF$6),
       MATCH(TRIM($S32), INDIRECT($AF$7), 0),
       MATCH(TRIM(Z$13), INDIRECT($AF$8), 0))</f>
        <v>7</v>
      </c>
      <c r="AA32" s="14">
        <f ca="1">INDEX(INDIRECT($AF$6),
       MATCH(TRIM($S32), INDIRECT($AF$7), 0),
       MATCH(TRIM(AA$13), INDIRECT($AF$8), 0))</f>
        <v>12.963728080000003</v>
      </c>
      <c r="AB32" s="14">
        <f t="shared" ca="1" si="0"/>
        <v>192.83717508000001</v>
      </c>
    </row>
    <row r="33" spans="1:28" ht="85" x14ac:dyDescent="0.2">
      <c r="A33" s="26">
        <v>19</v>
      </c>
      <c r="B33" s="27" t="s">
        <v>25</v>
      </c>
      <c r="C33" s="28" t="e">
        <f ca="1">INDEX(INDIRECT($P$6),
       MATCH(TRIM($B33), INDIRECT($P$7), 0),
       MATCH(TRIM(C$14), INDIRECT($P$8), 0))</f>
        <v>#N/A</v>
      </c>
      <c r="D33" s="28" t="e">
        <f ca="1">INDEX(INDIRECT($P$6),
       MATCH(TRIM($B33), INDIRECT($P$7), 0),
       MATCH(TRIM(D$14), INDIRECT($P$8), 0))</f>
        <v>#N/A</v>
      </c>
      <c r="E33" s="28" t="e">
        <f ca="1">INDEX(INDIRECT($P$6),
       MATCH(TRIM($B33), INDIRECT($P$7), 0),
       MATCH(TRIM(E$14), INDIRECT($P$8), 0))</f>
        <v>#N/A</v>
      </c>
      <c r="F33" s="28" t="e">
        <f ca="1">INDEX(INDIRECT($P$6),
       MATCH(TRIM($B33), INDIRECT($P$7), 0),
       MATCH(TRIM(F$14), INDIRECT($P$8), 0))</f>
        <v>#N/A</v>
      </c>
      <c r="G33" s="28" t="e">
        <f ca="1">INDEX(INDIRECT($P$6),
       MATCH(TRIM($B33), INDIRECT($P$7), 0),
       MATCH(TRIM(G$14), INDIRECT($P$8), 0))</f>
        <v>#N/A</v>
      </c>
      <c r="H33" s="28" t="e">
        <f ca="1">INDEX(INDIRECT($P$6),
       MATCH(TRIM($B33), INDIRECT($P$7), 0),
       MATCH(TRIM(H$14), INDIRECT($P$8), 0))</f>
        <v>#N/A</v>
      </c>
      <c r="I33" s="28" t="e">
        <f ca="1">INDEX(INDIRECT($P$6),
       MATCH(TRIM($B33), INDIRECT($P$7), 0),
       MATCH(TRIM(I$14), INDIRECT($P$8), 0))</f>
        <v>#N/A</v>
      </c>
      <c r="J33" s="28" t="e">
        <f ca="1">INDEX(INDIRECT($P$6),
       MATCH(TRIM($B33), INDIRECT($P$7), 0),
       MATCH(TRIM(J$14), INDIRECT($P$8), 0))</f>
        <v>#N/A</v>
      </c>
      <c r="K33" s="28" t="e">
        <f t="shared" ca="1" si="1"/>
        <v>#N/A</v>
      </c>
      <c r="L33" s="47"/>
      <c r="M33" s="47"/>
      <c r="R33">
        <v>20</v>
      </c>
      <c r="S33" t="s">
        <v>61</v>
      </c>
      <c r="T33" s="14">
        <f ca="1">INDEX(INDIRECT($AF$6),
       MATCH(TRIM($S33), INDIRECT($AF$7), 0),
       MATCH(TRIM(T$13), INDIRECT($AF$8), 0))</f>
        <v>15</v>
      </c>
      <c r="U33" s="14" t="e">
        <f ca="1">INDEX(INDIRECT($AF$6),
       MATCH(TRIM($S33), INDIRECT($AF$7), 0),
       MATCH(TRIM(U$13), INDIRECT($AF$8), 0))</f>
        <v>#N/A</v>
      </c>
      <c r="V33" s="14">
        <f ca="1">INDEX(INDIRECT($AF$6),
       MATCH(TRIM($S33), INDIRECT($AF$7), 0),
       MATCH(TRIM(V$13), INDIRECT($AF$8), 0))</f>
        <v>434.23673300000002</v>
      </c>
      <c r="W33" s="14">
        <f ca="1">INDEX(INDIRECT($AF$6),
       MATCH(TRIM($S33), INDIRECT($AF$7), 0),
       MATCH(TRIM(W$13), INDIRECT($AF$8), 0))</f>
        <v>16</v>
      </c>
      <c r="X33" s="14" t="e">
        <f ca="1">INDEX(INDIRECT($AF$6),
       MATCH(TRIM($S33), INDIRECT($AF$7), 0),
       MATCH(TRIM(X$13), INDIRECT($AF$8), 0))</f>
        <v>#N/A</v>
      </c>
      <c r="Y33" s="14">
        <f ca="1">INDEX(INDIRECT($AF$6),
       MATCH(TRIM($S33), INDIRECT($AF$7), 0),
       MATCH(TRIM(Y$13), INDIRECT($AF$8), 0))</f>
        <v>133.54902899999999</v>
      </c>
      <c r="Z33" s="14">
        <f ca="1">INDEX(INDIRECT($AF$6),
       MATCH(TRIM($S33), INDIRECT($AF$7), 0),
       MATCH(TRIM(Z$13), INDIRECT($AF$8), 0))</f>
        <v>7</v>
      </c>
      <c r="AA33" s="14">
        <f ca="1">INDEX(INDIRECT($AF$6),
       MATCH(TRIM($S33), INDIRECT($AF$7), 0),
       MATCH(TRIM(AA$13), INDIRECT($AF$8), 0))</f>
        <v>9.5981577500000004</v>
      </c>
      <c r="AB33" s="14">
        <f t="shared" ca="1" si="0"/>
        <v>577.38391975000002</v>
      </c>
    </row>
    <row r="34" spans="1:28" ht="17" thickBot="1" x14ac:dyDescent="0.25">
      <c r="A34" s="34" t="s">
        <v>26</v>
      </c>
      <c r="B34" s="35"/>
      <c r="C34" s="31" cm="1">
        <f t="array" aca="1" ref="C34" ca="1">SUM(IFERROR(C15:C33,0))</f>
        <v>1738</v>
      </c>
      <c r="D34" s="31" cm="1">
        <f t="array" aca="1" ref="D34" ca="1">SUM(IFERROR(D15:D33,0))</f>
        <v>0</v>
      </c>
      <c r="E34" s="31" cm="1">
        <f t="array" aca="1" ref="E34" ca="1">SUM(IFERROR(E15:E33,0))</f>
        <v>15245.403180789999</v>
      </c>
      <c r="F34" s="31" cm="1">
        <f t="array" aca="1" ref="F34" ca="1">SUM(IFERROR(F15:F33,0))</f>
        <v>985</v>
      </c>
      <c r="G34" s="31" cm="1">
        <f t="array" aca="1" ref="G34" ca="1">SUM(IFERROR(G15:G33,0))</f>
        <v>0</v>
      </c>
      <c r="H34" s="31" cm="1">
        <f t="array" aca="1" ref="H34" ca="1">SUM(IFERROR(H15:H33,0))</f>
        <v>9014.7724186093728</v>
      </c>
      <c r="I34" s="31" cm="1">
        <f t="array" aca="1" ref="I34" ca="1">SUM(IFERROR(I15:I33,0))</f>
        <v>3797</v>
      </c>
      <c r="J34" s="31" cm="1">
        <f t="array" aca="1" ref="J34" ca="1">SUM(IFERROR(J15:J33,0))</f>
        <v>6893.1635084717373</v>
      </c>
      <c r="K34" s="31" cm="1">
        <f t="array" aca="1" ref="K34" ca="1">SUM(IFERROR(K15:K33,0))</f>
        <v>31153.339107871117</v>
      </c>
      <c r="R34">
        <v>21</v>
      </c>
      <c r="S34" t="s">
        <v>59</v>
      </c>
      <c r="T34" s="14">
        <f ca="1">INDEX(INDIRECT($AF$6),
       MATCH(TRIM($S34), INDIRECT($AF$7), 0),
       MATCH(TRIM(T$13), INDIRECT($AF$8), 0))</f>
        <v>3</v>
      </c>
      <c r="U34" s="14" t="e">
        <f ca="1">INDEX(INDIRECT($AF$6),
       MATCH(TRIM($S34), INDIRECT($AF$7), 0),
       MATCH(TRIM(U$13), INDIRECT($AF$8), 0))</f>
        <v>#N/A</v>
      </c>
      <c r="V34" s="14">
        <f ca="1">INDEX(INDIRECT($AF$6),
       MATCH(TRIM($S34), INDIRECT($AF$7), 0),
       MATCH(TRIM(V$13), INDIRECT($AF$8), 0))</f>
        <v>165.55836600000001</v>
      </c>
      <c r="W34" s="14">
        <f ca="1">INDEX(INDIRECT($AF$6),
       MATCH(TRIM($S34), INDIRECT($AF$7), 0),
       MATCH(TRIM(W$13), INDIRECT($AF$8), 0))</f>
        <v>2</v>
      </c>
      <c r="X34" s="14" t="e">
        <f ca="1">INDEX(INDIRECT($AF$6),
       MATCH(TRIM($S34), INDIRECT($AF$7), 0),
       MATCH(TRIM(X$13), INDIRECT($AF$8), 0))</f>
        <v>#N/A</v>
      </c>
      <c r="Y34" s="14">
        <f ca="1">INDEX(INDIRECT($AF$6),
       MATCH(TRIM($S34), INDIRECT($AF$7), 0),
       MATCH(TRIM(Y$13), INDIRECT($AF$8), 0))</f>
        <v>16.3</v>
      </c>
      <c r="Z34" s="14">
        <f ca="1">INDEX(INDIRECT($AF$6),
       MATCH(TRIM($S34), INDIRECT($AF$7), 0),
       MATCH(TRIM(Z$13), INDIRECT($AF$8), 0))</f>
        <v>11</v>
      </c>
      <c r="AA34" s="14">
        <f ca="1">INDEX(INDIRECT($AF$6),
       MATCH(TRIM($S34), INDIRECT($AF$7), 0),
       MATCH(TRIM(AA$13), INDIRECT($AF$8), 0))</f>
        <v>1.62469497</v>
      </c>
      <c r="AB34" s="14">
        <f t="shared" ca="1" si="0"/>
        <v>183.48306097000003</v>
      </c>
    </row>
    <row r="35" spans="1:28" ht="17" thickTop="1" x14ac:dyDescent="0.2">
      <c r="R35">
        <v>22</v>
      </c>
      <c r="S35" t="s">
        <v>56</v>
      </c>
      <c r="T35" s="14">
        <f ca="1">INDEX(INDIRECT($AF$6),
       MATCH(TRIM($S35), INDIRECT($AF$7), 0),
       MATCH(TRIM(T$13), INDIRECT($AF$8), 0))</f>
        <v>9</v>
      </c>
      <c r="U35" s="14" t="e">
        <f ca="1">INDEX(INDIRECT($AF$6),
       MATCH(TRIM($S35), INDIRECT($AF$7), 0),
       MATCH(TRIM(U$13), INDIRECT($AF$8), 0))</f>
        <v>#N/A</v>
      </c>
      <c r="V35" s="14">
        <f ca="1">INDEX(INDIRECT($AF$6),
       MATCH(TRIM($S35), INDIRECT($AF$7), 0),
       MATCH(TRIM(V$13), INDIRECT($AF$8), 0))</f>
        <v>283.18470200000002</v>
      </c>
      <c r="W35" s="14">
        <f ca="1">INDEX(INDIRECT($AF$6),
       MATCH(TRIM($S35), INDIRECT($AF$7), 0),
       MATCH(TRIM(W$13), INDIRECT($AF$8), 0))</f>
        <v>6</v>
      </c>
      <c r="X35" s="14" t="e">
        <f ca="1">INDEX(INDIRECT($AF$6),
       MATCH(TRIM($S35), INDIRECT($AF$7), 0),
       MATCH(TRIM(X$13), INDIRECT($AF$8), 0))</f>
        <v>#N/A</v>
      </c>
      <c r="Y35" s="14">
        <f ca="1">INDEX(INDIRECT($AF$6),
       MATCH(TRIM($S35), INDIRECT($AF$7), 0),
       MATCH(TRIM(Y$13), INDIRECT($AF$8), 0))</f>
        <v>34.673844750000001</v>
      </c>
      <c r="Z35" s="14">
        <f ca="1">INDEX(INDIRECT($AF$6),
       MATCH(TRIM($S35), INDIRECT($AF$7), 0),
       MATCH(TRIM(Z$13), INDIRECT($AF$8), 0))</f>
        <v>3</v>
      </c>
      <c r="AA35" s="14">
        <f ca="1">INDEX(INDIRECT($AF$6),
       MATCH(TRIM($S35), INDIRECT($AF$7), 0),
       MATCH(TRIM(AA$13), INDIRECT($AF$8), 0))</f>
        <v>0.66425630000000002</v>
      </c>
      <c r="AB35" s="14">
        <f t="shared" ca="1" si="0"/>
        <v>318.52280304999999</v>
      </c>
    </row>
    <row r="36" spans="1:28" x14ac:dyDescent="0.2">
      <c r="R36">
        <v>23</v>
      </c>
      <c r="S36" t="s">
        <v>48</v>
      </c>
      <c r="T36" s="14">
        <f ca="1">INDEX(INDIRECT($AF$6),
       MATCH(TRIM($S36), INDIRECT($AF$7), 0),
       MATCH(TRIM(T$13), INDIRECT($AF$8), 0))</f>
        <v>10</v>
      </c>
      <c r="U36" s="14" t="e">
        <f ca="1">INDEX(INDIRECT($AF$6),
       MATCH(TRIM($S36), INDIRECT($AF$7), 0),
       MATCH(TRIM(U$13), INDIRECT($AF$8), 0))</f>
        <v>#N/A</v>
      </c>
      <c r="V36" s="14">
        <f ca="1">INDEX(INDIRECT($AF$6),
       MATCH(TRIM($S36), INDIRECT($AF$7), 0),
       MATCH(TRIM(V$13), INDIRECT($AF$8), 0))</f>
        <v>1011.547296</v>
      </c>
      <c r="W36" s="14">
        <f ca="1">INDEX(INDIRECT($AF$6),
       MATCH(TRIM($S36), INDIRECT($AF$7), 0),
       MATCH(TRIM(W$13), INDIRECT($AF$8), 0))</f>
        <v>4</v>
      </c>
      <c r="X36" s="14" t="e">
        <f ca="1">INDEX(INDIRECT($AF$6),
       MATCH(TRIM($S36), INDIRECT($AF$7), 0),
       MATCH(TRIM(X$13), INDIRECT($AF$8), 0))</f>
        <v>#N/A</v>
      </c>
      <c r="Y36" s="14">
        <f ca="1">INDEX(INDIRECT($AF$6),
       MATCH(TRIM($S36), INDIRECT($AF$7), 0),
       MATCH(TRIM(Y$13), INDIRECT($AF$8), 0))</f>
        <v>113.95092200000001</v>
      </c>
      <c r="Z36" s="14">
        <f ca="1">INDEX(INDIRECT($AF$6),
       MATCH(TRIM($S36), INDIRECT($AF$7), 0),
       MATCH(TRIM(Z$13), INDIRECT($AF$8), 0))</f>
        <v>11</v>
      </c>
      <c r="AA36" s="14">
        <f ca="1">INDEX(INDIRECT($AF$6),
       MATCH(TRIM($S36), INDIRECT($AF$7), 0),
       MATCH(TRIM(AA$13), INDIRECT($AF$8), 0))</f>
        <v>31.165627689999994</v>
      </c>
      <c r="AB36" s="14">
        <f t="shared" ca="1" si="0"/>
        <v>1156.66384569</v>
      </c>
    </row>
    <row r="37" spans="1:28" x14ac:dyDescent="0.2">
      <c r="R37">
        <v>24</v>
      </c>
      <c r="S37" t="s">
        <v>72</v>
      </c>
      <c r="T37" s="14">
        <f ca="1">INDEX(INDIRECT($AF$6),
       MATCH(TRIM($S37), INDIRECT($AF$7), 0),
       MATCH(TRIM(T$13), INDIRECT($AF$8), 0))</f>
        <v>1</v>
      </c>
      <c r="U37" s="14" t="e">
        <f ca="1">INDEX(INDIRECT($AF$6),
       MATCH(TRIM($S37), INDIRECT($AF$7), 0),
       MATCH(TRIM(U$13), INDIRECT($AF$8), 0))</f>
        <v>#N/A</v>
      </c>
      <c r="V37" s="14">
        <f ca="1">INDEX(INDIRECT($AF$6),
       MATCH(TRIM($S37), INDIRECT($AF$7), 0),
       MATCH(TRIM(V$13), INDIRECT($AF$8), 0))</f>
        <v>1.1093189999999999</v>
      </c>
      <c r="W37" s="14">
        <f ca="1">INDEX(INDIRECT($AF$6),
       MATCH(TRIM($S37), INDIRECT($AF$7), 0),
       MATCH(TRIM(W$13), INDIRECT($AF$8), 0))</f>
        <v>0</v>
      </c>
      <c r="X37" s="14" t="e">
        <f ca="1">INDEX(INDIRECT($AF$6),
       MATCH(TRIM($S37), INDIRECT($AF$7), 0),
       MATCH(TRIM(X$13), INDIRECT($AF$8), 0))</f>
        <v>#N/A</v>
      </c>
      <c r="Y37" s="14">
        <f ca="1">INDEX(INDIRECT($AF$6),
       MATCH(TRIM($S37), INDIRECT($AF$7), 0),
       MATCH(TRIM(Y$13), INDIRECT($AF$8), 0))</f>
        <v>0</v>
      </c>
      <c r="Z37" s="14">
        <f ca="1">INDEX(INDIRECT($AF$6),
       MATCH(TRIM($S37), INDIRECT($AF$7), 0),
       MATCH(TRIM(Z$13), INDIRECT($AF$8), 0))</f>
        <v>0</v>
      </c>
      <c r="AA37" s="14">
        <f ca="1">INDEX(INDIRECT($AF$6),
       MATCH(TRIM($S37), INDIRECT($AF$7), 0),
       MATCH(TRIM(AA$13), INDIRECT($AF$8), 0))</f>
        <v>0</v>
      </c>
      <c r="AB37" s="14">
        <f t="shared" ca="1" si="0"/>
        <v>1.1093189999999999</v>
      </c>
    </row>
    <row r="38" spans="1:28" x14ac:dyDescent="0.2">
      <c r="R38">
        <v>25</v>
      </c>
      <c r="S38" t="s">
        <v>67</v>
      </c>
      <c r="T38" s="14">
        <f ca="1">INDEX(INDIRECT($AF$6),
       MATCH(TRIM($S38), INDIRECT($AF$7), 0),
       MATCH(TRIM(T$13), INDIRECT($AF$8), 0))</f>
        <v>1</v>
      </c>
      <c r="U38" s="14" t="e">
        <f ca="1">INDEX(INDIRECT($AF$6),
       MATCH(TRIM($S38), INDIRECT($AF$7), 0),
       MATCH(TRIM(U$13), INDIRECT($AF$8), 0))</f>
        <v>#N/A</v>
      </c>
      <c r="V38" s="14">
        <f ca="1">INDEX(INDIRECT($AF$6),
       MATCH(TRIM($S38), INDIRECT($AF$7), 0),
       MATCH(TRIM(V$13), INDIRECT($AF$8), 0))</f>
        <v>6.75</v>
      </c>
      <c r="W38" s="14">
        <f ca="1">INDEX(INDIRECT($AF$6),
       MATCH(TRIM($S38), INDIRECT($AF$7), 0),
       MATCH(TRIM(W$13), INDIRECT($AF$8), 0))</f>
        <v>5</v>
      </c>
      <c r="X38" s="14" t="e">
        <f ca="1">INDEX(INDIRECT($AF$6),
       MATCH(TRIM($S38), INDIRECT($AF$7), 0),
       MATCH(TRIM(X$13), INDIRECT($AF$8), 0))</f>
        <v>#N/A</v>
      </c>
      <c r="Y38" s="14">
        <f ca="1">INDEX(INDIRECT($AF$6),
       MATCH(TRIM($S38), INDIRECT($AF$7), 0),
       MATCH(TRIM(Y$13), INDIRECT($AF$8), 0))</f>
        <v>25.139393999999999</v>
      </c>
      <c r="Z38" s="14">
        <f ca="1">INDEX(INDIRECT($AF$6),
       MATCH(TRIM($S38), INDIRECT($AF$7), 0),
       MATCH(TRIM(Z$13), INDIRECT($AF$8), 0))</f>
        <v>63</v>
      </c>
      <c r="AA38" s="14">
        <f ca="1">INDEX(INDIRECT($AF$6),
       MATCH(TRIM($S38), INDIRECT($AF$7), 0),
       MATCH(TRIM(AA$13), INDIRECT($AF$8), 0))</f>
        <v>5.8932420599999968</v>
      </c>
      <c r="AB38" s="14">
        <f t="shared" ca="1" si="0"/>
        <v>37.782636059999994</v>
      </c>
    </row>
    <row r="39" spans="1:28" x14ac:dyDescent="0.2">
      <c r="R39">
        <v>26</v>
      </c>
      <c r="S39" t="s">
        <v>54</v>
      </c>
      <c r="T39" s="14">
        <f ca="1">INDEX(INDIRECT($AF$6),
       MATCH(TRIM($S39), INDIRECT($AF$7), 0),
       MATCH(TRIM(T$13), INDIRECT($AF$8), 0))</f>
        <v>7</v>
      </c>
      <c r="U39" s="14" t="e">
        <f ca="1">INDEX(INDIRECT($AF$6),
       MATCH(TRIM($S39), INDIRECT($AF$7), 0),
       MATCH(TRIM(U$13), INDIRECT($AF$8), 0))</f>
        <v>#N/A</v>
      </c>
      <c r="V39" s="14">
        <f ca="1">INDEX(INDIRECT($AF$6),
       MATCH(TRIM($S39), INDIRECT($AF$7), 0),
       MATCH(TRIM(V$13), INDIRECT($AF$8), 0))</f>
        <v>15.207852000000001</v>
      </c>
      <c r="W39" s="14">
        <f ca="1">INDEX(INDIRECT($AF$6),
       MATCH(TRIM($S39), INDIRECT($AF$7), 0),
       MATCH(TRIM(W$13), INDIRECT($AF$8), 0))</f>
        <v>6</v>
      </c>
      <c r="X39" s="14" t="e">
        <f ca="1">INDEX(INDIRECT($AF$6),
       MATCH(TRIM($S39), INDIRECT($AF$7), 0),
       MATCH(TRIM(X$13), INDIRECT($AF$8), 0))</f>
        <v>#N/A</v>
      </c>
      <c r="Y39" s="14">
        <f ca="1">INDEX(INDIRECT($AF$6),
       MATCH(TRIM($S39), INDIRECT($AF$7), 0),
       MATCH(TRIM(Y$13), INDIRECT($AF$8), 0))</f>
        <v>13.092245</v>
      </c>
      <c r="Z39" s="14">
        <f ca="1">INDEX(INDIRECT($AF$6),
       MATCH(TRIM($S39), INDIRECT($AF$7), 0),
       MATCH(TRIM(Z$13), INDIRECT($AF$8), 0))</f>
        <v>40</v>
      </c>
      <c r="AA39" s="14">
        <f ca="1">INDEX(INDIRECT($AF$6),
       MATCH(TRIM($S39), INDIRECT($AF$7), 0),
       MATCH(TRIM(AA$13), INDIRECT($AF$8), 0))</f>
        <v>11.655130590000001</v>
      </c>
      <c r="AB39" s="14">
        <f t="shared" ca="1" si="0"/>
        <v>39.95522759</v>
      </c>
    </row>
    <row r="40" spans="1:28" x14ac:dyDescent="0.2">
      <c r="R40">
        <v>27</v>
      </c>
      <c r="S40" t="s">
        <v>64</v>
      </c>
      <c r="T40" s="14">
        <f ca="1">INDEX(INDIRECT($AF$6),
       MATCH(TRIM($S40), INDIRECT($AF$7), 0),
       MATCH(TRIM(T$13), INDIRECT($AF$8), 0))</f>
        <v>2</v>
      </c>
      <c r="U40" s="14" t="e">
        <f ca="1">INDEX(INDIRECT($AF$6),
       MATCH(TRIM($S40), INDIRECT($AF$7), 0),
       MATCH(TRIM(U$13), INDIRECT($AF$8), 0))</f>
        <v>#N/A</v>
      </c>
      <c r="V40" s="14">
        <f ca="1">INDEX(INDIRECT($AF$6),
       MATCH(TRIM($S40), INDIRECT($AF$7), 0),
       MATCH(TRIM(V$13), INDIRECT($AF$8), 0))</f>
        <v>12.348070999999999</v>
      </c>
      <c r="W40" s="14">
        <f ca="1">INDEX(INDIRECT($AF$6),
       MATCH(TRIM($S40), INDIRECT($AF$7), 0),
       MATCH(TRIM(W$13), INDIRECT($AF$8), 0))</f>
        <v>0</v>
      </c>
      <c r="X40" s="14" t="e">
        <f ca="1">INDEX(INDIRECT($AF$6),
       MATCH(TRIM($S40), INDIRECT($AF$7), 0),
       MATCH(TRIM(X$13), INDIRECT($AF$8), 0))</f>
        <v>#N/A</v>
      </c>
      <c r="Y40" s="14">
        <f ca="1">INDEX(INDIRECT($AF$6),
       MATCH(TRIM($S40), INDIRECT($AF$7), 0),
       MATCH(TRIM(Y$13), INDIRECT($AF$8), 0))</f>
        <v>0</v>
      </c>
      <c r="Z40" s="14">
        <f ca="1">INDEX(INDIRECT($AF$6),
       MATCH(TRIM($S40), INDIRECT($AF$7), 0),
       MATCH(TRIM(Z$13), INDIRECT($AF$8), 0))</f>
        <v>10</v>
      </c>
      <c r="AA40" s="14">
        <f ca="1">INDEX(INDIRECT($AF$6),
       MATCH(TRIM($S40), INDIRECT($AF$7), 0),
       MATCH(TRIM(AA$13), INDIRECT($AF$8), 0))</f>
        <v>2.1022177099999997</v>
      </c>
      <c r="AB40" s="14">
        <f t="shared" ca="1" si="0"/>
        <v>14.450288709999999</v>
      </c>
    </row>
    <row r="41" spans="1:28" x14ac:dyDescent="0.2">
      <c r="R41">
        <v>28</v>
      </c>
      <c r="S41" t="s">
        <v>81</v>
      </c>
      <c r="T41" s="14">
        <f ca="1">INDEX(INDIRECT($AF$6),
       MATCH(TRIM($S41), INDIRECT($AF$7), 0),
       MATCH(TRIM(T$13), INDIRECT($AF$8), 0))</f>
        <v>6</v>
      </c>
      <c r="U41" s="14" t="e">
        <f ca="1">INDEX(INDIRECT($AF$6),
       MATCH(TRIM($S41), INDIRECT($AF$7), 0),
       MATCH(TRIM(U$13), INDIRECT($AF$8), 0))</f>
        <v>#N/A</v>
      </c>
      <c r="V41" s="14">
        <f ca="1">INDEX(INDIRECT($AF$6),
       MATCH(TRIM($S41), INDIRECT($AF$7), 0),
       MATCH(TRIM(V$13), INDIRECT($AF$8), 0))</f>
        <v>13.742829</v>
      </c>
      <c r="W41" s="14">
        <f ca="1">INDEX(INDIRECT($AF$6),
       MATCH(TRIM($S41), INDIRECT($AF$7), 0),
       MATCH(TRIM(W$13), INDIRECT($AF$8), 0))</f>
        <v>6</v>
      </c>
      <c r="X41" s="14" t="e">
        <f ca="1">INDEX(INDIRECT($AF$6),
       MATCH(TRIM($S41), INDIRECT($AF$7), 0),
       MATCH(TRIM(X$13), INDIRECT($AF$8), 0))</f>
        <v>#N/A</v>
      </c>
      <c r="Y41" s="14">
        <f ca="1">INDEX(INDIRECT($AF$6),
       MATCH(TRIM($S41), INDIRECT($AF$7), 0),
       MATCH(TRIM(Y$13), INDIRECT($AF$8), 0))</f>
        <v>33.688794156249998</v>
      </c>
      <c r="Z41" s="14">
        <f ca="1">INDEX(INDIRECT($AF$6),
       MATCH(TRIM($S41), INDIRECT($AF$7), 0),
       MATCH(TRIM(Z$13), INDIRECT($AF$8), 0))</f>
        <v>3</v>
      </c>
      <c r="AA41" s="14">
        <f ca="1">INDEX(INDIRECT($AF$6),
       MATCH(TRIM($S41), INDIRECT($AF$7), 0),
       MATCH(TRIM(AA$13), INDIRECT($AF$8), 0))</f>
        <v>2.8769030099999999</v>
      </c>
      <c r="AB41" s="14">
        <f t="shared" ca="1" si="0"/>
        <v>50.308526166249997</v>
      </c>
    </row>
    <row r="42" spans="1:28" x14ac:dyDescent="0.2">
      <c r="R42">
        <v>29</v>
      </c>
      <c r="S42" t="s">
        <v>71</v>
      </c>
      <c r="T42" s="14">
        <f ca="1">INDEX(INDIRECT($AF$6),
       MATCH(TRIM($S42), INDIRECT($AF$7), 0),
       MATCH(TRIM(T$13), INDIRECT($AF$8), 0))</f>
        <v>7</v>
      </c>
      <c r="U42" s="14" t="e">
        <f ca="1">INDEX(INDIRECT($AF$6),
       MATCH(TRIM($S42), INDIRECT($AF$7), 0),
       MATCH(TRIM(U$13), INDIRECT($AF$8), 0))</f>
        <v>#N/A</v>
      </c>
      <c r="V42" s="14">
        <f ca="1">INDEX(INDIRECT($AF$6),
       MATCH(TRIM($S42), INDIRECT($AF$7), 0),
       MATCH(TRIM(V$13), INDIRECT($AF$8), 0))</f>
        <v>83.759541999999996</v>
      </c>
      <c r="W42" s="14">
        <f ca="1">INDEX(INDIRECT($AF$6),
       MATCH(TRIM($S42), INDIRECT($AF$7), 0),
       MATCH(TRIM(W$13), INDIRECT($AF$8), 0))</f>
        <v>2</v>
      </c>
      <c r="X42" s="14" t="e">
        <f ca="1">INDEX(INDIRECT($AF$6),
       MATCH(TRIM($S42), INDIRECT($AF$7), 0),
       MATCH(TRIM(X$13), INDIRECT($AF$8), 0))</f>
        <v>#N/A</v>
      </c>
      <c r="Y42" s="14">
        <f ca="1">INDEX(INDIRECT($AF$6),
       MATCH(TRIM($S42), INDIRECT($AF$7), 0),
       MATCH(TRIM(Y$13), INDIRECT($AF$8), 0))</f>
        <v>22</v>
      </c>
      <c r="Z42" s="14">
        <f ca="1">INDEX(INDIRECT($AF$6),
       MATCH(TRIM($S42), INDIRECT($AF$7), 0),
       MATCH(TRIM(Z$13), INDIRECT($AF$8), 0))</f>
        <v>11</v>
      </c>
      <c r="AA42" s="14">
        <f ca="1">INDEX(INDIRECT($AF$6),
       MATCH(TRIM($S42), INDIRECT($AF$7), 0),
       MATCH(TRIM(AA$13), INDIRECT($AF$8), 0))</f>
        <v>51.084819010000004</v>
      </c>
      <c r="AB42" s="14">
        <f t="shared" ca="1" si="0"/>
        <v>156.84436101</v>
      </c>
    </row>
    <row r="43" spans="1:28" x14ac:dyDescent="0.2">
      <c r="R43">
        <v>30</v>
      </c>
      <c r="S43" t="s">
        <v>76</v>
      </c>
      <c r="T43" s="14">
        <f ca="1">INDEX(INDIRECT($AF$6),
       MATCH(TRIM($S43), INDIRECT($AF$7), 0),
       MATCH(TRIM(T$13), INDIRECT($AF$8), 0))</f>
        <v>2</v>
      </c>
      <c r="U43" s="14" t="e">
        <f ca="1">INDEX(INDIRECT($AF$6),
       MATCH(TRIM($S43), INDIRECT($AF$7), 0),
       MATCH(TRIM(U$13), INDIRECT($AF$8), 0))</f>
        <v>#N/A</v>
      </c>
      <c r="V43" s="14">
        <f ca="1">INDEX(INDIRECT($AF$6),
       MATCH(TRIM($S43), INDIRECT($AF$7), 0),
       MATCH(TRIM(V$13), INDIRECT($AF$8), 0))</f>
        <v>24.95</v>
      </c>
      <c r="W43" s="14">
        <f ca="1">INDEX(INDIRECT($AF$6),
       MATCH(TRIM($S43), INDIRECT($AF$7), 0),
       MATCH(TRIM(W$13), INDIRECT($AF$8), 0))</f>
        <v>2</v>
      </c>
      <c r="X43" s="14" t="e">
        <f ca="1">INDEX(INDIRECT($AF$6),
       MATCH(TRIM($S43), INDIRECT($AF$7), 0),
       MATCH(TRIM(X$13), INDIRECT($AF$8), 0))</f>
        <v>#N/A</v>
      </c>
      <c r="Y43" s="14">
        <f ca="1">INDEX(INDIRECT($AF$6),
       MATCH(TRIM($S43), INDIRECT($AF$7), 0),
       MATCH(TRIM(Y$13), INDIRECT($AF$8), 0))</f>
        <v>17.059999999999999</v>
      </c>
      <c r="Z43" s="14">
        <f ca="1">INDEX(INDIRECT($AF$6),
       MATCH(TRIM($S43), INDIRECT($AF$7), 0),
       MATCH(TRIM(Z$13), INDIRECT($AF$8), 0))</f>
        <v>0</v>
      </c>
      <c r="AA43" s="14">
        <f ca="1">INDEX(INDIRECT($AF$6),
       MATCH(TRIM($S43), INDIRECT($AF$7), 0),
       MATCH(TRIM(AA$13), INDIRECT($AF$8), 0))</f>
        <v>0</v>
      </c>
      <c r="AB43" s="14">
        <f t="shared" ca="1" si="0"/>
        <v>42.01</v>
      </c>
    </row>
    <row r="44" spans="1:28" x14ac:dyDescent="0.2">
      <c r="R44">
        <v>31</v>
      </c>
      <c r="S44" t="s">
        <v>88</v>
      </c>
      <c r="T44" s="14">
        <f ca="1">INDEX(INDIRECT($AF$6),
       MATCH(TRIM($S44), INDIRECT($AF$7), 0),
       MATCH(TRIM(T$13), INDIRECT($AF$8), 0))</f>
        <v>1</v>
      </c>
      <c r="U44" s="14" t="e">
        <f ca="1">INDEX(INDIRECT($AF$6),
       MATCH(TRIM($S44), INDIRECT($AF$7), 0),
       MATCH(TRIM(U$13), INDIRECT($AF$8), 0))</f>
        <v>#N/A</v>
      </c>
      <c r="V44" s="14">
        <f ca="1">INDEX(INDIRECT($AF$6),
       MATCH(TRIM($S44), INDIRECT($AF$7), 0),
       MATCH(TRIM(V$13), INDIRECT($AF$8), 0))</f>
        <v>4</v>
      </c>
      <c r="W44" s="14">
        <f ca="1">INDEX(INDIRECT($AF$6),
       MATCH(TRIM($S44), INDIRECT($AF$7), 0),
       MATCH(TRIM(W$13), INDIRECT($AF$8), 0))</f>
        <v>0</v>
      </c>
      <c r="X44" s="14" t="e">
        <f ca="1">INDEX(INDIRECT($AF$6),
       MATCH(TRIM($S44), INDIRECT($AF$7), 0),
       MATCH(TRIM(X$13), INDIRECT($AF$8), 0))</f>
        <v>#N/A</v>
      </c>
      <c r="Y44" s="14">
        <f ca="1">INDEX(INDIRECT($AF$6),
       MATCH(TRIM($S44), INDIRECT($AF$7), 0),
       MATCH(TRIM(Y$13), INDIRECT($AF$8), 0))</f>
        <v>0</v>
      </c>
      <c r="Z44" s="14">
        <f ca="1">INDEX(INDIRECT($AF$6),
       MATCH(TRIM($S44), INDIRECT($AF$7), 0),
       MATCH(TRIM(Z$13), INDIRECT($AF$8), 0))</f>
        <v>12</v>
      </c>
      <c r="AA44" s="14">
        <f ca="1">INDEX(INDIRECT($AF$6),
       MATCH(TRIM($S44), INDIRECT($AF$7), 0),
       MATCH(TRIM(AA$13), INDIRECT($AF$8), 0))</f>
        <v>74.757006029999999</v>
      </c>
      <c r="AB44" s="14">
        <f t="shared" ca="1" si="0"/>
        <v>78.757006029999999</v>
      </c>
    </row>
    <row r="45" spans="1:28" x14ac:dyDescent="0.2">
      <c r="R45">
        <v>32</v>
      </c>
      <c r="S45" t="s">
        <v>84</v>
      </c>
      <c r="T45" s="14">
        <f ca="1">INDEX(INDIRECT($AF$6),
       MATCH(TRIM($S45), INDIRECT($AF$7), 0),
       MATCH(TRIM(T$13), INDIRECT($AF$8), 0))</f>
        <v>1</v>
      </c>
      <c r="U45" s="14" t="e">
        <f ca="1">INDEX(INDIRECT($AF$6),
       MATCH(TRIM($S45), INDIRECT($AF$7), 0),
       MATCH(TRIM(U$13), INDIRECT($AF$8), 0))</f>
        <v>#N/A</v>
      </c>
      <c r="V45" s="14">
        <f ca="1">INDEX(INDIRECT($AF$6),
       MATCH(TRIM($S45), INDIRECT($AF$7), 0),
       MATCH(TRIM(V$13), INDIRECT($AF$8), 0))</f>
        <v>4.3160000000000004E-3</v>
      </c>
      <c r="W45" s="14">
        <f ca="1">INDEX(INDIRECT($AF$6),
       MATCH(TRIM($S45), INDIRECT($AF$7), 0),
       MATCH(TRIM(W$13), INDIRECT($AF$8), 0))</f>
        <v>0</v>
      </c>
      <c r="X45" s="14" t="e">
        <f ca="1">INDEX(INDIRECT($AF$6),
       MATCH(TRIM($S45), INDIRECT($AF$7), 0),
       MATCH(TRIM(X$13), INDIRECT($AF$8), 0))</f>
        <v>#N/A</v>
      </c>
      <c r="Y45" s="14">
        <f ca="1">INDEX(INDIRECT($AF$6),
       MATCH(TRIM($S45), INDIRECT($AF$7), 0),
       MATCH(TRIM(Y$13), INDIRECT($AF$8), 0))</f>
        <v>0</v>
      </c>
      <c r="Z45" s="14">
        <f ca="1">INDEX(INDIRECT($AF$6),
       MATCH(TRIM($S45), INDIRECT($AF$7), 0),
       MATCH(TRIM(Z$13), INDIRECT($AF$8), 0))</f>
        <v>1</v>
      </c>
      <c r="AA45" s="14">
        <f ca="1">INDEX(INDIRECT($AF$6),
       MATCH(TRIM($S45), INDIRECT($AF$7), 0),
       MATCH(TRIM(AA$13), INDIRECT($AF$8), 0))</f>
        <v>0.20077720000000002</v>
      </c>
      <c r="AB45" s="14">
        <f t="shared" ca="1" si="0"/>
        <v>0.20509320000000003</v>
      </c>
    </row>
    <row r="46" spans="1:28" x14ac:dyDescent="0.2">
      <c r="R46">
        <v>33</v>
      </c>
      <c r="S46" t="s">
        <v>80</v>
      </c>
      <c r="T46" s="14">
        <f ca="1">INDEX(INDIRECT($AF$6),
       MATCH(TRIM($S46), INDIRECT($AF$7), 0),
       MATCH(TRIM(T$13), INDIRECT($AF$8), 0))</f>
        <v>0</v>
      </c>
      <c r="U46" s="14" t="e">
        <f ca="1">INDEX(INDIRECT($AF$6),
       MATCH(TRIM($S46), INDIRECT($AF$7), 0),
       MATCH(TRIM(U$13), INDIRECT($AF$8), 0))</f>
        <v>#N/A</v>
      </c>
      <c r="V46" s="14">
        <f ca="1">INDEX(INDIRECT($AF$6),
       MATCH(TRIM($S46), INDIRECT($AF$7), 0),
       MATCH(TRIM(V$13), INDIRECT($AF$8), 0))</f>
        <v>0</v>
      </c>
      <c r="W46" s="14">
        <f ca="1">INDEX(INDIRECT($AF$6),
       MATCH(TRIM($S46), INDIRECT($AF$7), 0),
       MATCH(TRIM(W$13), INDIRECT($AF$8), 0))</f>
        <v>1</v>
      </c>
      <c r="X46" s="14" t="e">
        <f ca="1">INDEX(INDIRECT($AF$6),
       MATCH(TRIM($S46), INDIRECT($AF$7), 0),
       MATCH(TRIM(X$13), INDIRECT($AF$8), 0))</f>
        <v>#N/A</v>
      </c>
      <c r="Y46" s="14">
        <f ca="1">INDEX(INDIRECT($AF$6),
       MATCH(TRIM($S46), INDIRECT($AF$7), 0),
       MATCH(TRIM(Y$13), INDIRECT($AF$8), 0))</f>
        <v>0.5</v>
      </c>
      <c r="Z46" s="14">
        <f ca="1">INDEX(INDIRECT($AF$6),
       MATCH(TRIM($S46), INDIRECT($AF$7), 0),
       MATCH(TRIM(Z$13), INDIRECT($AF$8), 0))</f>
        <v>0</v>
      </c>
      <c r="AA46" s="14">
        <f ca="1">INDEX(INDIRECT($AF$6),
       MATCH(TRIM($S46), INDIRECT($AF$7), 0),
       MATCH(TRIM(AA$13), INDIRECT($AF$8), 0))</f>
        <v>0</v>
      </c>
      <c r="AB46" s="14">
        <f t="shared" ca="1" si="0"/>
        <v>0.5</v>
      </c>
    </row>
    <row r="47" spans="1:28" x14ac:dyDescent="0.2">
      <c r="R47">
        <v>34</v>
      </c>
      <c r="S47" t="s">
        <v>40</v>
      </c>
      <c r="T47" s="14">
        <f ca="1">INDEX(INDIRECT($AF$6),
       MATCH(TRIM($S47), INDIRECT($AF$7), 0),
       MATCH(TRIM(T$13), INDIRECT($AF$8), 0))</f>
        <v>1</v>
      </c>
      <c r="U47" s="14" t="e">
        <f ca="1">INDEX(INDIRECT($AF$6),
       MATCH(TRIM($S47), INDIRECT($AF$7), 0),
       MATCH(TRIM(U$13), INDIRECT($AF$8), 0))</f>
        <v>#N/A</v>
      </c>
      <c r="V47" s="14">
        <f ca="1">INDEX(INDIRECT($AF$6),
       MATCH(TRIM($S47), INDIRECT($AF$7), 0),
       MATCH(TRIM(V$13), INDIRECT($AF$8), 0))</f>
        <v>0.25</v>
      </c>
      <c r="W47" s="14">
        <f ca="1">INDEX(INDIRECT($AF$6),
       MATCH(TRIM($S47), INDIRECT($AF$7), 0),
       MATCH(TRIM(W$13), INDIRECT($AF$8), 0))</f>
        <v>2</v>
      </c>
      <c r="X47" s="14" t="e">
        <f ca="1">INDEX(INDIRECT($AF$6),
       MATCH(TRIM($S47), INDIRECT($AF$7), 0),
       MATCH(TRIM(X$13), INDIRECT($AF$8), 0))</f>
        <v>#N/A</v>
      </c>
      <c r="Y47" s="14">
        <f ca="1">INDEX(INDIRECT($AF$6),
       MATCH(TRIM($S47), INDIRECT($AF$7), 0),
       MATCH(TRIM(Y$13), INDIRECT($AF$8), 0))</f>
        <v>8.7071380000000005</v>
      </c>
      <c r="Z47" s="14">
        <f ca="1">INDEX(INDIRECT($AF$6),
       MATCH(TRIM($S47), INDIRECT($AF$7), 0),
       MATCH(TRIM(Z$13), INDIRECT($AF$8), 0))</f>
        <v>4</v>
      </c>
      <c r="AA47" s="14">
        <f ca="1">INDEX(INDIRECT($AF$6),
       MATCH(TRIM($S47), INDIRECT($AF$7), 0),
       MATCH(TRIM(AA$13), INDIRECT($AF$8), 0))</f>
        <v>3.0942691899999999</v>
      </c>
      <c r="AB47" s="14">
        <f t="shared" ca="1" si="0"/>
        <v>12.051407190000001</v>
      </c>
    </row>
    <row r="48" spans="1:28" x14ac:dyDescent="0.2">
      <c r="R48">
        <v>35</v>
      </c>
      <c r="S48" t="s">
        <v>66</v>
      </c>
      <c r="T48" s="14">
        <f ca="1">INDEX(INDIRECT($AF$6),
       MATCH(TRIM($S48), INDIRECT($AF$7), 0),
       MATCH(TRIM(T$13), INDIRECT($AF$8), 0))</f>
        <v>4</v>
      </c>
      <c r="U48" s="14" t="e">
        <f ca="1">INDEX(INDIRECT($AF$6),
       MATCH(TRIM($S48), INDIRECT($AF$7), 0),
       MATCH(TRIM(U$13), INDIRECT($AF$8), 0))</f>
        <v>#N/A</v>
      </c>
      <c r="V48" s="14">
        <f ca="1">INDEX(INDIRECT($AF$6),
       MATCH(TRIM($S48), INDIRECT($AF$7), 0),
       MATCH(TRIM(V$13), INDIRECT($AF$8), 0))</f>
        <v>80.341999999999999</v>
      </c>
      <c r="W48" s="14">
        <f ca="1">INDEX(INDIRECT($AF$6),
       MATCH(TRIM($S48), INDIRECT($AF$7), 0),
       MATCH(TRIM(W$13), INDIRECT($AF$8), 0))</f>
        <v>3</v>
      </c>
      <c r="X48" s="14" t="e">
        <f ca="1">INDEX(INDIRECT($AF$6),
       MATCH(TRIM($S48), INDIRECT($AF$7), 0),
       MATCH(TRIM(X$13), INDIRECT($AF$8), 0))</f>
        <v>#N/A</v>
      </c>
      <c r="Y48" s="14">
        <f ca="1">INDEX(INDIRECT($AF$6),
       MATCH(TRIM($S48), INDIRECT($AF$7), 0),
       MATCH(TRIM(Y$13), INDIRECT($AF$8), 0))</f>
        <v>12.401764</v>
      </c>
      <c r="Z48" s="14">
        <f ca="1">INDEX(INDIRECT($AF$6),
       MATCH(TRIM($S48), INDIRECT($AF$7), 0),
       MATCH(TRIM(Z$13), INDIRECT($AF$8), 0))</f>
        <v>12</v>
      </c>
      <c r="AA48" s="14">
        <f ca="1">INDEX(INDIRECT($AF$6),
       MATCH(TRIM($S48), INDIRECT($AF$7), 0),
       MATCH(TRIM(AA$13), INDIRECT($AF$8), 0))</f>
        <v>21.14896388</v>
      </c>
      <c r="AB48" s="14">
        <f t="shared" ca="1" si="0"/>
        <v>113.89272788</v>
      </c>
    </row>
    <row r="49" spans="18:28" x14ac:dyDescent="0.2">
      <c r="R49">
        <v>36</v>
      </c>
      <c r="S49" t="s">
        <v>133</v>
      </c>
      <c r="T49" s="14">
        <f ca="1">INDEX(INDIRECT($AF$6),
       MATCH(TRIM($S49), INDIRECT($AF$7), 0),
       MATCH(TRIM(T$13), INDIRECT($AF$8), 0))</f>
        <v>1</v>
      </c>
      <c r="U49" s="14" t="e">
        <f ca="1">INDEX(INDIRECT($AF$6),
       MATCH(TRIM($S49), INDIRECT($AF$7), 0),
       MATCH(TRIM(U$13), INDIRECT($AF$8), 0))</f>
        <v>#N/A</v>
      </c>
      <c r="V49" s="14">
        <f ca="1">INDEX(INDIRECT($AF$6),
       MATCH(TRIM($S49), INDIRECT($AF$7), 0),
       MATCH(TRIM(V$13), INDIRECT($AF$8), 0))</f>
        <v>4.3099829999999999</v>
      </c>
      <c r="W49" s="14">
        <f ca="1">INDEX(INDIRECT($AF$6),
       MATCH(TRIM($S49), INDIRECT($AF$7), 0),
       MATCH(TRIM(W$13), INDIRECT($AF$8), 0))</f>
        <v>1</v>
      </c>
      <c r="X49" s="14" t="e">
        <f ca="1">INDEX(INDIRECT($AF$6),
       MATCH(TRIM($S49), INDIRECT($AF$7), 0),
       MATCH(TRIM(X$13), INDIRECT($AF$8), 0))</f>
        <v>#N/A</v>
      </c>
      <c r="Y49" s="14">
        <f ca="1">INDEX(INDIRECT($AF$6),
       MATCH(TRIM($S49), INDIRECT($AF$7), 0),
       MATCH(TRIM(Y$13), INDIRECT($AF$8), 0))</f>
        <v>0.87886900000000001</v>
      </c>
      <c r="Z49" s="14">
        <f ca="1">INDEX(INDIRECT($AF$6),
       MATCH(TRIM($S49), INDIRECT($AF$7), 0),
       MATCH(TRIM(Z$13), INDIRECT($AF$8), 0))</f>
        <v>2</v>
      </c>
      <c r="AA49" s="14">
        <f ca="1">INDEX(INDIRECT($AF$6),
       MATCH(TRIM($S49), INDIRECT($AF$7), 0),
       MATCH(TRIM(AA$13), INDIRECT($AF$8), 0))</f>
        <v>30.149335630000003</v>
      </c>
      <c r="AB49" s="14">
        <f t="shared" ca="1" si="0"/>
        <v>35.33818763</v>
      </c>
    </row>
    <row r="50" spans="18:28" x14ac:dyDescent="0.2">
      <c r="R50">
        <v>37</v>
      </c>
      <c r="S50" t="s">
        <v>75</v>
      </c>
      <c r="T50" s="14">
        <f ca="1">INDEX(INDIRECT($AF$6),
       MATCH(TRIM($S50), INDIRECT($AF$7), 0),
       MATCH(TRIM(T$13), INDIRECT($AF$8), 0))</f>
        <v>6</v>
      </c>
      <c r="U50" s="14" t="e">
        <f ca="1">INDEX(INDIRECT($AF$6),
       MATCH(TRIM($S50), INDIRECT($AF$7), 0),
       MATCH(TRIM(U$13), INDIRECT($AF$8), 0))</f>
        <v>#N/A</v>
      </c>
      <c r="V50" s="14">
        <f ca="1">INDEX(INDIRECT($AF$6),
       MATCH(TRIM($S50), INDIRECT($AF$7), 0),
       MATCH(TRIM(V$13), INDIRECT($AF$8), 0))</f>
        <v>145.537834</v>
      </c>
      <c r="W50" s="14">
        <f ca="1">INDEX(INDIRECT($AF$6),
       MATCH(TRIM($S50), INDIRECT($AF$7), 0),
       MATCH(TRIM(W$13), INDIRECT($AF$8), 0))</f>
        <v>2</v>
      </c>
      <c r="X50" s="14" t="e">
        <f ca="1">INDEX(INDIRECT($AF$6),
       MATCH(TRIM($S50), INDIRECT($AF$7), 0),
       MATCH(TRIM(X$13), INDIRECT($AF$8), 0))</f>
        <v>#N/A</v>
      </c>
      <c r="Y50" s="14">
        <f ca="1">INDEX(INDIRECT($AF$6),
       MATCH(TRIM($S50), INDIRECT($AF$7), 0),
       MATCH(TRIM(Y$13), INDIRECT($AF$8), 0))</f>
        <v>8</v>
      </c>
      <c r="Z50" s="14">
        <f ca="1">INDEX(INDIRECT($AF$6),
       MATCH(TRIM($S50), INDIRECT($AF$7), 0),
       MATCH(TRIM(Z$13), INDIRECT($AF$8), 0))</f>
        <v>3</v>
      </c>
      <c r="AA50" s="14">
        <f ca="1">INDEX(INDIRECT($AF$6),
       MATCH(TRIM($S50), INDIRECT($AF$7), 0),
       MATCH(TRIM(AA$13), INDIRECT($AF$8), 0))</f>
        <v>0.50049957</v>
      </c>
      <c r="AB50" s="14">
        <f t="shared" ca="1" si="0"/>
        <v>154.03833356999999</v>
      </c>
    </row>
    <row r="51" spans="18:28" x14ac:dyDescent="0.2">
      <c r="R51">
        <v>38</v>
      </c>
      <c r="S51" t="s">
        <v>77</v>
      </c>
      <c r="T51" s="14">
        <f ca="1">INDEX(INDIRECT($AF$6),
       MATCH(TRIM($S51), INDIRECT($AF$7), 0),
       MATCH(TRIM(T$13), INDIRECT($AF$8), 0))</f>
        <v>5</v>
      </c>
      <c r="U51" s="14" t="e">
        <f ca="1">INDEX(INDIRECT($AF$6),
       MATCH(TRIM($S51), INDIRECT($AF$7), 0),
       MATCH(TRIM(U$13), INDIRECT($AF$8), 0))</f>
        <v>#N/A</v>
      </c>
      <c r="V51" s="14">
        <f ca="1">INDEX(INDIRECT($AF$6),
       MATCH(TRIM($S51), INDIRECT($AF$7), 0),
       MATCH(TRIM(V$13), INDIRECT($AF$8), 0))</f>
        <v>1316.8167840000001</v>
      </c>
      <c r="W51" s="14">
        <f ca="1">INDEX(INDIRECT($AF$6),
       MATCH(TRIM($S51), INDIRECT($AF$7), 0),
       MATCH(TRIM(W$13), INDIRECT($AF$8), 0))</f>
        <v>1</v>
      </c>
      <c r="X51" s="14" t="e">
        <f ca="1">INDEX(INDIRECT($AF$6),
       MATCH(TRIM($S51), INDIRECT($AF$7), 0),
       MATCH(TRIM(X$13), INDIRECT($AF$8), 0))</f>
        <v>#N/A</v>
      </c>
      <c r="Y51" s="14">
        <f ca="1">INDEX(INDIRECT($AF$6),
       MATCH(TRIM($S51), INDIRECT($AF$7), 0),
       MATCH(TRIM(Y$13), INDIRECT($AF$8), 0))</f>
        <v>9</v>
      </c>
      <c r="Z51" s="14">
        <f ca="1">INDEX(INDIRECT($AF$6),
       MATCH(TRIM($S51), INDIRECT($AF$7), 0),
       MATCH(TRIM(Z$13), INDIRECT($AF$8), 0))</f>
        <v>7</v>
      </c>
      <c r="AA51" s="14">
        <f ca="1">INDEX(INDIRECT($AF$6),
       MATCH(TRIM($S51), INDIRECT($AF$7), 0),
       MATCH(TRIM(AA$13), INDIRECT($AF$8), 0))</f>
        <v>1.4568211200000001</v>
      </c>
      <c r="AB51" s="14">
        <f t="shared" ca="1" si="0"/>
        <v>1327.2736051200002</v>
      </c>
    </row>
    <row r="52" spans="18:28" x14ac:dyDescent="0.2">
      <c r="R52">
        <v>39</v>
      </c>
      <c r="S52" t="s">
        <v>68</v>
      </c>
      <c r="T52" s="14">
        <f ca="1">INDEX(INDIRECT($AF$6),
       MATCH(TRIM($S52), INDIRECT($AF$7), 0),
       MATCH(TRIM(T$13), INDIRECT($AF$8), 0))</f>
        <v>6</v>
      </c>
      <c r="U52" s="14" t="e">
        <f ca="1">INDEX(INDIRECT($AF$6),
       MATCH(TRIM($S52), INDIRECT($AF$7), 0),
       MATCH(TRIM(U$13), INDIRECT($AF$8), 0))</f>
        <v>#N/A</v>
      </c>
      <c r="V52" s="14">
        <f ca="1">INDEX(INDIRECT($AF$6),
       MATCH(TRIM($S52), INDIRECT($AF$7), 0),
       MATCH(TRIM(V$13), INDIRECT($AF$8), 0))</f>
        <v>459.85197499999998</v>
      </c>
      <c r="W52" s="14">
        <f ca="1">INDEX(INDIRECT($AF$6),
       MATCH(TRIM($S52), INDIRECT($AF$7), 0),
       MATCH(TRIM(W$13), INDIRECT($AF$8), 0))</f>
        <v>1</v>
      </c>
      <c r="X52" s="14" t="e">
        <f ca="1">INDEX(INDIRECT($AF$6),
       MATCH(TRIM($S52), INDIRECT($AF$7), 0),
       MATCH(TRIM(X$13), INDIRECT($AF$8), 0))</f>
        <v>#N/A</v>
      </c>
      <c r="Y52" s="14">
        <f ca="1">INDEX(INDIRECT($AF$6),
       MATCH(TRIM($S52), INDIRECT($AF$7), 0),
       MATCH(TRIM(Y$13), INDIRECT($AF$8), 0))</f>
        <v>1.4355770000000001</v>
      </c>
      <c r="Z52" s="14">
        <f ca="1">INDEX(INDIRECT($AF$6),
       MATCH(TRIM($S52), INDIRECT($AF$7), 0),
       MATCH(TRIM(Z$13), INDIRECT($AF$8), 0))</f>
        <v>3</v>
      </c>
      <c r="AA52" s="14">
        <f ca="1">INDEX(INDIRECT($AF$6),
       MATCH(TRIM($S52), INDIRECT($AF$7), 0),
       MATCH(TRIM(AA$13), INDIRECT($AF$8), 0))</f>
        <v>1.35180393</v>
      </c>
      <c r="AB52" s="14">
        <f t="shared" ca="1" si="0"/>
        <v>462.63935593000002</v>
      </c>
    </row>
    <row r="53" spans="18:28" x14ac:dyDescent="0.2">
      <c r="R53">
        <v>40</v>
      </c>
      <c r="S53" t="s">
        <v>62</v>
      </c>
      <c r="T53" s="14">
        <f ca="1">INDEX(INDIRECT($AF$6),
       MATCH(TRIM($S53), INDIRECT($AF$7), 0),
       MATCH(TRIM(T$13), INDIRECT($AF$8), 0))</f>
        <v>1</v>
      </c>
      <c r="U53" s="14" t="e">
        <f ca="1">INDEX(INDIRECT($AF$6),
       MATCH(TRIM($S53), INDIRECT($AF$7), 0),
       MATCH(TRIM(U$13), INDIRECT($AF$8), 0))</f>
        <v>#N/A</v>
      </c>
      <c r="V53" s="14">
        <f ca="1">INDEX(INDIRECT($AF$6),
       MATCH(TRIM($S53), INDIRECT($AF$7), 0),
       MATCH(TRIM(V$13), INDIRECT($AF$8), 0))</f>
        <v>11</v>
      </c>
      <c r="W53" s="14">
        <f ca="1">INDEX(INDIRECT($AF$6),
       MATCH(TRIM($S53), INDIRECT($AF$7), 0),
       MATCH(TRIM(W$13), INDIRECT($AF$8), 0))</f>
        <v>0</v>
      </c>
      <c r="X53" s="14" t="e">
        <f ca="1">INDEX(INDIRECT($AF$6),
       MATCH(TRIM($S53), INDIRECT($AF$7), 0),
       MATCH(TRIM(X$13), INDIRECT($AF$8), 0))</f>
        <v>#N/A</v>
      </c>
      <c r="Y53" s="14">
        <f ca="1">INDEX(INDIRECT($AF$6),
       MATCH(TRIM($S53), INDIRECT($AF$7), 0),
       MATCH(TRIM(Y$13), INDIRECT($AF$8), 0))</f>
        <v>0</v>
      </c>
      <c r="Z53" s="14">
        <f ca="1">INDEX(INDIRECT($AF$6),
       MATCH(TRIM($S53), INDIRECT($AF$7), 0),
       MATCH(TRIM(Z$13), INDIRECT($AF$8), 0))</f>
        <v>3</v>
      </c>
      <c r="AA53" s="14">
        <f ca="1">INDEX(INDIRECT($AF$6),
       MATCH(TRIM($S53), INDIRECT($AF$7), 0),
       MATCH(TRIM(AA$13), INDIRECT($AF$8), 0))</f>
        <v>0.93827000000000005</v>
      </c>
      <c r="AB53" s="14">
        <f t="shared" ca="1" si="0"/>
        <v>11.938269999999999</v>
      </c>
    </row>
    <row r="54" spans="18:28" x14ac:dyDescent="0.2">
      <c r="R54">
        <v>41</v>
      </c>
      <c r="S54" t="s">
        <v>60</v>
      </c>
      <c r="T54" s="14">
        <f ca="1">INDEX(INDIRECT($AF$6),
       MATCH(TRIM($S54), INDIRECT($AF$7), 0),
       MATCH(TRIM(T$13), INDIRECT($AF$8), 0))</f>
        <v>3</v>
      </c>
      <c r="U54" s="14" t="e">
        <f ca="1">INDEX(INDIRECT($AF$6),
       MATCH(TRIM($S54), INDIRECT($AF$7), 0),
       MATCH(TRIM(U$13), INDIRECT($AF$8), 0))</f>
        <v>#N/A</v>
      </c>
      <c r="V54" s="14">
        <f ca="1">INDEX(INDIRECT($AF$6),
       MATCH(TRIM($S54), INDIRECT($AF$7), 0),
       MATCH(TRIM(V$13), INDIRECT($AF$8), 0))</f>
        <v>3.6</v>
      </c>
      <c r="W54" s="14">
        <f ca="1">INDEX(INDIRECT($AF$6),
       MATCH(TRIM($S54), INDIRECT($AF$7), 0),
       MATCH(TRIM(W$13), INDIRECT($AF$8), 0))</f>
        <v>15</v>
      </c>
      <c r="X54" s="14" t="e">
        <f ca="1">INDEX(INDIRECT($AF$6),
       MATCH(TRIM($S54), INDIRECT($AF$7), 0),
       MATCH(TRIM(X$13), INDIRECT($AF$8), 0))</f>
        <v>#N/A</v>
      </c>
      <c r="Y54" s="14">
        <f ca="1">INDEX(INDIRECT($AF$6),
       MATCH(TRIM($S54), INDIRECT($AF$7), 0),
       MATCH(TRIM(Y$13), INDIRECT($AF$8), 0))</f>
        <v>55.76708</v>
      </c>
      <c r="Z54" s="14">
        <f ca="1">INDEX(INDIRECT($AF$6),
       MATCH(TRIM($S54), INDIRECT($AF$7), 0),
       MATCH(TRIM(Z$13), INDIRECT($AF$8), 0))</f>
        <v>7</v>
      </c>
      <c r="AA54" s="14">
        <f ca="1">INDEX(INDIRECT($AF$6),
       MATCH(TRIM($S54), INDIRECT($AF$7), 0),
       MATCH(TRIM(AA$13), INDIRECT($AF$8), 0))</f>
        <v>89.708235039999991</v>
      </c>
      <c r="AB54" s="14">
        <f t="shared" ca="1" si="0"/>
        <v>149.07531503999999</v>
      </c>
    </row>
    <row r="55" spans="18:28" x14ac:dyDescent="0.2">
      <c r="R55">
        <v>42</v>
      </c>
      <c r="S55" t="s">
        <v>57</v>
      </c>
      <c r="T55" s="14">
        <f ca="1">INDEX(INDIRECT($AF$6),
       MATCH(TRIM($S55), INDIRECT($AF$7), 0),
       MATCH(TRIM(T$13), INDIRECT($AF$8), 0))</f>
        <v>3</v>
      </c>
      <c r="U55" s="14" t="e">
        <f ca="1">INDEX(INDIRECT($AF$6),
       MATCH(TRIM($S55), INDIRECT($AF$7), 0),
       MATCH(TRIM(U$13), INDIRECT($AF$8), 0))</f>
        <v>#N/A</v>
      </c>
      <c r="V55" s="14">
        <f ca="1">INDEX(INDIRECT($AF$6),
       MATCH(TRIM($S55), INDIRECT($AF$7), 0),
       MATCH(TRIM(V$13), INDIRECT($AF$8), 0))</f>
        <v>63.132354999999997</v>
      </c>
      <c r="W55" s="14">
        <f ca="1">INDEX(INDIRECT($AF$6),
       MATCH(TRIM($S55), INDIRECT($AF$7), 0),
       MATCH(TRIM(W$13), INDIRECT($AF$8), 0))</f>
        <v>5</v>
      </c>
      <c r="X55" s="14" t="e">
        <f ca="1">INDEX(INDIRECT($AF$6),
       MATCH(TRIM($S55), INDIRECT($AF$7), 0),
       MATCH(TRIM(X$13), INDIRECT($AF$8), 0))</f>
        <v>#N/A</v>
      </c>
      <c r="Y55" s="14">
        <f ca="1">INDEX(INDIRECT($AF$6),
       MATCH(TRIM($S55), INDIRECT($AF$7), 0),
       MATCH(TRIM(Y$13), INDIRECT($AF$8), 0))</f>
        <v>-91.759601000000004</v>
      </c>
      <c r="Z55" s="14">
        <f ca="1">INDEX(INDIRECT($AF$6),
       MATCH(TRIM($S55), INDIRECT($AF$7), 0),
       MATCH(TRIM(Z$13), INDIRECT($AF$8), 0))</f>
        <v>6</v>
      </c>
      <c r="AA55" s="14">
        <f ca="1">INDEX(INDIRECT($AF$6),
       MATCH(TRIM($S55), INDIRECT($AF$7), 0),
       MATCH(TRIM(AA$13), INDIRECT($AF$8), 0))</f>
        <v>12.52597263</v>
      </c>
      <c r="AB55" s="14">
        <f t="shared" ca="1" si="0"/>
        <v>-16.101273370000008</v>
      </c>
    </row>
    <row r="56" spans="18:28" x14ac:dyDescent="0.2">
      <c r="R56">
        <v>43</v>
      </c>
      <c r="S56" t="s">
        <v>58</v>
      </c>
      <c r="T56" s="14">
        <f ca="1">INDEX(INDIRECT($AF$6),
       MATCH(TRIM($S56), INDIRECT($AF$7), 0),
       MATCH(TRIM(T$13), INDIRECT($AF$8), 0))</f>
        <v>0</v>
      </c>
      <c r="U56" s="14" t="e">
        <f ca="1">INDEX(INDIRECT($AF$6),
       MATCH(TRIM($S56), INDIRECT($AF$7), 0),
       MATCH(TRIM(U$13), INDIRECT($AF$8), 0))</f>
        <v>#N/A</v>
      </c>
      <c r="V56" s="14">
        <f ca="1">INDEX(INDIRECT($AF$6),
       MATCH(TRIM($S56), INDIRECT($AF$7), 0),
       MATCH(TRIM(V$13), INDIRECT($AF$8), 0))</f>
        <v>0</v>
      </c>
      <c r="W56" s="14">
        <f ca="1">INDEX(INDIRECT($AF$6),
       MATCH(TRIM($S56), INDIRECT($AF$7), 0),
       MATCH(TRIM(W$13), INDIRECT($AF$8), 0))</f>
        <v>0</v>
      </c>
      <c r="X56" s="14" t="e">
        <f ca="1">INDEX(INDIRECT($AF$6),
       MATCH(TRIM($S56), INDIRECT($AF$7), 0),
       MATCH(TRIM(X$13), INDIRECT($AF$8), 0))</f>
        <v>#N/A</v>
      </c>
      <c r="Y56" s="14">
        <f ca="1">INDEX(INDIRECT($AF$6),
       MATCH(TRIM($S56), INDIRECT($AF$7), 0),
       MATCH(TRIM(Y$13), INDIRECT($AF$8), 0))</f>
        <v>0</v>
      </c>
      <c r="Z56" s="14">
        <f ca="1">INDEX(INDIRECT($AF$6),
       MATCH(TRIM($S56), INDIRECT($AF$7), 0),
       MATCH(TRIM(Z$13), INDIRECT($AF$8), 0))</f>
        <v>13</v>
      </c>
      <c r="AA56" s="14">
        <f ca="1">INDEX(INDIRECT($AF$6),
       MATCH(TRIM($S56), INDIRECT($AF$7), 0),
       MATCH(TRIM(AA$13), INDIRECT($AF$8), 0))</f>
        <v>11.751142189999999</v>
      </c>
      <c r="AB56" s="14">
        <f t="shared" ca="1" si="0"/>
        <v>11.751142189999999</v>
      </c>
    </row>
    <row r="57" spans="18:28" x14ac:dyDescent="0.2">
      <c r="R57">
        <v>44</v>
      </c>
      <c r="S57" t="s">
        <v>83</v>
      </c>
      <c r="T57" s="14">
        <f ca="1">INDEX(INDIRECT($AF$6),
       MATCH(TRIM($S57), INDIRECT($AF$7), 0),
       MATCH(TRIM(T$13), INDIRECT($AF$8), 0))</f>
        <v>1</v>
      </c>
      <c r="U57" s="14" t="e">
        <f ca="1">INDEX(INDIRECT($AF$6),
       MATCH(TRIM($S57), INDIRECT($AF$7), 0),
       MATCH(TRIM(U$13), INDIRECT($AF$8), 0))</f>
        <v>#N/A</v>
      </c>
      <c r="V57" s="14">
        <f ca="1">INDEX(INDIRECT($AF$6),
       MATCH(TRIM($S57), INDIRECT($AF$7), 0),
       MATCH(TRIM(V$13), INDIRECT($AF$8), 0))</f>
        <v>2</v>
      </c>
      <c r="W57" s="14">
        <f ca="1">INDEX(INDIRECT($AF$6),
       MATCH(TRIM($S57), INDIRECT($AF$7), 0),
       MATCH(TRIM(W$13), INDIRECT($AF$8), 0))</f>
        <v>2</v>
      </c>
      <c r="X57" s="14" t="e">
        <f ca="1">INDEX(INDIRECT($AF$6),
       MATCH(TRIM($S57), INDIRECT($AF$7), 0),
       MATCH(TRIM(X$13), INDIRECT($AF$8), 0))</f>
        <v>#N/A</v>
      </c>
      <c r="Y57" s="14">
        <f ca="1">INDEX(INDIRECT($AF$6),
       MATCH(TRIM($S57), INDIRECT($AF$7), 0),
       MATCH(TRIM(Y$13), INDIRECT($AF$8), 0))</f>
        <v>3.3673579999999999</v>
      </c>
      <c r="Z57" s="14">
        <f ca="1">INDEX(INDIRECT($AF$6),
       MATCH(TRIM($S57), INDIRECT($AF$7), 0),
       MATCH(TRIM(Z$13), INDIRECT($AF$8), 0))</f>
        <v>31</v>
      </c>
      <c r="AA57" s="14">
        <f ca="1">INDEX(INDIRECT($AF$6),
       MATCH(TRIM($S57), INDIRECT($AF$7), 0),
       MATCH(TRIM(AA$13), INDIRECT($AF$8), 0))</f>
        <v>7.2195085700000003</v>
      </c>
      <c r="AB57" s="14">
        <f t="shared" ca="1" si="0"/>
        <v>12.58686657</v>
      </c>
    </row>
    <row r="58" spans="18:28" x14ac:dyDescent="0.2">
      <c r="R58">
        <v>45</v>
      </c>
      <c r="S58" t="s">
        <v>73</v>
      </c>
      <c r="T58" s="14">
        <f ca="1">INDEX(INDIRECT($AF$6),
       MATCH(TRIM($S58), INDIRECT($AF$7), 0),
       MATCH(TRIM(T$13), INDIRECT($AF$8), 0))</f>
        <v>0</v>
      </c>
      <c r="U58" s="14" t="e">
        <f ca="1">INDEX(INDIRECT($AF$6),
       MATCH(TRIM($S58), INDIRECT($AF$7), 0),
       MATCH(TRIM(U$13), INDIRECT($AF$8), 0))</f>
        <v>#N/A</v>
      </c>
      <c r="V58" s="14">
        <f ca="1">INDEX(INDIRECT($AF$6),
       MATCH(TRIM($S58), INDIRECT($AF$7), 0),
       MATCH(TRIM(V$13), INDIRECT($AF$8), 0))</f>
        <v>0</v>
      </c>
      <c r="W58" s="14">
        <f ca="1">INDEX(INDIRECT($AF$6),
       MATCH(TRIM($S58), INDIRECT($AF$7), 0),
       MATCH(TRIM(W$13), INDIRECT($AF$8), 0))</f>
        <v>0</v>
      </c>
      <c r="X58" s="14" t="e">
        <f ca="1">INDEX(INDIRECT($AF$6),
       MATCH(TRIM($S58), INDIRECT($AF$7), 0),
       MATCH(TRIM(X$13), INDIRECT($AF$8), 0))</f>
        <v>#N/A</v>
      </c>
      <c r="Y58" s="14">
        <f ca="1">INDEX(INDIRECT($AF$6),
       MATCH(TRIM($S58), INDIRECT($AF$7), 0),
       MATCH(TRIM(Y$13), INDIRECT($AF$8), 0))</f>
        <v>0</v>
      </c>
      <c r="Z58" s="14">
        <f ca="1">INDEX(INDIRECT($AF$6),
       MATCH(TRIM($S58), INDIRECT($AF$7), 0),
       MATCH(TRIM(Z$13), INDIRECT($AF$8), 0))</f>
        <v>22</v>
      </c>
      <c r="AA58" s="14">
        <f ca="1">INDEX(INDIRECT($AF$6),
       MATCH(TRIM($S58), INDIRECT($AF$7), 0),
       MATCH(TRIM(AA$13), INDIRECT($AF$8), 0))</f>
        <v>6.3872894300000009</v>
      </c>
      <c r="AB58" s="14">
        <f t="shared" ca="1" si="0"/>
        <v>6.3872894300000009</v>
      </c>
    </row>
    <row r="59" spans="18:28" x14ac:dyDescent="0.2">
      <c r="R59">
        <v>46</v>
      </c>
      <c r="S59" t="s">
        <v>87</v>
      </c>
      <c r="T59" s="14">
        <f ca="1">INDEX(INDIRECT($AF$6),
       MATCH(TRIM($S59), INDIRECT($AF$7), 0),
       MATCH(TRIM(T$13), INDIRECT($AF$8), 0))</f>
        <v>2</v>
      </c>
      <c r="U59" s="14" t="e">
        <f ca="1">INDEX(INDIRECT($AF$6),
       MATCH(TRIM($S59), INDIRECT($AF$7), 0),
       MATCH(TRIM(U$13), INDIRECT($AF$8), 0))</f>
        <v>#N/A</v>
      </c>
      <c r="V59" s="14">
        <f ca="1">INDEX(INDIRECT($AF$6),
       MATCH(TRIM($S59), INDIRECT($AF$7), 0),
       MATCH(TRIM(V$13), INDIRECT($AF$8), 0))</f>
        <v>91.756730000000005</v>
      </c>
      <c r="W59" s="14">
        <f ca="1">INDEX(INDIRECT($AF$6),
       MATCH(TRIM($S59), INDIRECT($AF$7), 0),
       MATCH(TRIM(W$13), INDIRECT($AF$8), 0))</f>
        <v>0</v>
      </c>
      <c r="X59" s="14" t="e">
        <f ca="1">INDEX(INDIRECT($AF$6),
       MATCH(TRIM($S59), INDIRECT($AF$7), 0),
       MATCH(TRIM(X$13), INDIRECT($AF$8), 0))</f>
        <v>#N/A</v>
      </c>
      <c r="Y59" s="14">
        <f ca="1">INDEX(INDIRECT($AF$6),
       MATCH(TRIM($S59), INDIRECT($AF$7), 0),
       MATCH(TRIM(Y$13), INDIRECT($AF$8), 0))</f>
        <v>0</v>
      </c>
      <c r="Z59" s="14">
        <f ca="1">INDEX(INDIRECT($AF$6),
       MATCH(TRIM($S59), INDIRECT($AF$7), 0),
       MATCH(TRIM(Z$13), INDIRECT($AF$8), 0))</f>
        <v>2</v>
      </c>
      <c r="AA59" s="14">
        <f ca="1">INDEX(INDIRECT($AF$6),
       MATCH(TRIM($S59), INDIRECT($AF$7), 0),
       MATCH(TRIM(AA$13), INDIRECT($AF$8), 0))</f>
        <v>11.02604199</v>
      </c>
      <c r="AB59" s="14">
        <f t="shared" ca="1" si="0"/>
        <v>102.78277199</v>
      </c>
    </row>
    <row r="60" spans="18:28" x14ac:dyDescent="0.2">
      <c r="R60">
        <v>47</v>
      </c>
      <c r="S60" t="s">
        <v>85</v>
      </c>
      <c r="T60" s="14">
        <f ca="1">INDEX(INDIRECT($AF$6),
       MATCH(TRIM($S60), INDIRECT($AF$7), 0),
       MATCH(TRIM(T$13), INDIRECT($AF$8), 0))</f>
        <v>1</v>
      </c>
      <c r="U60" s="14" t="e">
        <f ca="1">INDEX(INDIRECT($AF$6),
       MATCH(TRIM($S60), INDIRECT($AF$7), 0),
       MATCH(TRIM(U$13), INDIRECT($AF$8), 0))</f>
        <v>#N/A</v>
      </c>
      <c r="V60" s="14">
        <f ca="1">INDEX(INDIRECT($AF$6),
       MATCH(TRIM($S60), INDIRECT($AF$7), 0),
       MATCH(TRIM(V$13), INDIRECT($AF$8), 0))</f>
        <v>2</v>
      </c>
      <c r="W60" s="14">
        <f ca="1">INDEX(INDIRECT($AF$6),
       MATCH(TRIM($S60), INDIRECT($AF$7), 0),
       MATCH(TRIM(W$13), INDIRECT($AF$8), 0))</f>
        <v>1</v>
      </c>
      <c r="X60" s="14" t="e">
        <f ca="1">INDEX(INDIRECT($AF$6),
       MATCH(TRIM($S60), INDIRECT($AF$7), 0),
       MATCH(TRIM(X$13), INDIRECT($AF$8), 0))</f>
        <v>#N/A</v>
      </c>
      <c r="Y60" s="14">
        <f ca="1">INDEX(INDIRECT($AF$6),
       MATCH(TRIM($S60), INDIRECT($AF$7), 0),
       MATCH(TRIM(Y$13), INDIRECT($AF$8), 0))</f>
        <v>-15.073753</v>
      </c>
      <c r="Z60" s="14">
        <f ca="1">INDEX(INDIRECT($AF$6),
       MATCH(TRIM($S60), INDIRECT($AF$7), 0),
       MATCH(TRIM(Z$13), INDIRECT($AF$8), 0))</f>
        <v>1</v>
      </c>
      <c r="AA60" s="14">
        <f ca="1">INDEX(INDIRECT($AF$6),
       MATCH(TRIM($S60), INDIRECT($AF$7), 0),
       MATCH(TRIM(AA$13), INDIRECT($AF$8), 0))</f>
        <v>0.36755784999999996</v>
      </c>
      <c r="AB60" s="14">
        <f t="shared" ca="1" si="0"/>
        <v>-12.706195149999999</v>
      </c>
    </row>
    <row r="61" spans="18:28" x14ac:dyDescent="0.2">
      <c r="R61">
        <v>48</v>
      </c>
      <c r="S61" t="s">
        <v>82</v>
      </c>
      <c r="T61" s="14">
        <f ca="1">INDEX(INDIRECT($AF$6),
       MATCH(TRIM($S61), INDIRECT($AF$7), 0),
       MATCH(TRIM(T$13), INDIRECT($AF$8), 0))</f>
        <v>4</v>
      </c>
      <c r="U61" s="14" t="e">
        <f ca="1">INDEX(INDIRECT($AF$6),
       MATCH(TRIM($S61), INDIRECT($AF$7), 0),
       MATCH(TRIM(U$13), INDIRECT($AF$8), 0))</f>
        <v>#N/A</v>
      </c>
      <c r="V61" s="14">
        <f ca="1">INDEX(INDIRECT($AF$6),
       MATCH(TRIM($S61), INDIRECT($AF$7), 0),
       MATCH(TRIM(V$13), INDIRECT($AF$8), 0))</f>
        <v>42.757703999999997</v>
      </c>
      <c r="W61" s="14">
        <f ca="1">INDEX(INDIRECT($AF$6),
       MATCH(TRIM($S61), INDIRECT($AF$7), 0),
       MATCH(TRIM(W$13), INDIRECT($AF$8), 0))</f>
        <v>0</v>
      </c>
      <c r="X61" s="14" t="e">
        <f ca="1">INDEX(INDIRECT($AF$6),
       MATCH(TRIM($S61), INDIRECT($AF$7), 0),
       MATCH(TRIM(X$13), INDIRECT($AF$8), 0))</f>
        <v>#N/A</v>
      </c>
      <c r="Y61" s="14">
        <f ca="1">INDEX(INDIRECT($AF$6),
       MATCH(TRIM($S61), INDIRECT($AF$7), 0),
       MATCH(TRIM(Y$13), INDIRECT($AF$8), 0))</f>
        <v>0</v>
      </c>
      <c r="Z61" s="14">
        <f ca="1">INDEX(INDIRECT($AF$6),
       MATCH(TRIM($S61), INDIRECT($AF$7), 0),
       MATCH(TRIM(Z$13), INDIRECT($AF$8), 0))</f>
        <v>4</v>
      </c>
      <c r="AA61" s="14">
        <f ca="1">INDEX(INDIRECT($AF$6),
       MATCH(TRIM($S61), INDIRECT($AF$7), 0),
       MATCH(TRIM(AA$13), INDIRECT($AF$8), 0))</f>
        <v>4.9546165799999997</v>
      </c>
      <c r="AB61" s="14">
        <f t="shared" ca="1" si="0"/>
        <v>47.712320579999997</v>
      </c>
    </row>
    <row r="62" spans="18:28" x14ac:dyDescent="0.2">
      <c r="R62">
        <v>49</v>
      </c>
      <c r="S62" t="s">
        <v>65</v>
      </c>
      <c r="T62" s="14">
        <f ca="1">INDEX(INDIRECT($AF$6),
       MATCH(TRIM($S62), INDIRECT($AF$7), 0),
       MATCH(TRIM(T$13), INDIRECT($AF$8), 0))</f>
        <v>7</v>
      </c>
      <c r="U62" s="14" t="e">
        <f ca="1">INDEX(INDIRECT($AF$6),
       MATCH(TRIM($S62), INDIRECT($AF$7), 0),
       MATCH(TRIM(U$13), INDIRECT($AF$8), 0))</f>
        <v>#N/A</v>
      </c>
      <c r="V62" s="14">
        <f ca="1">INDEX(INDIRECT($AF$6),
       MATCH(TRIM($S62), INDIRECT($AF$7), 0),
       MATCH(TRIM(V$13), INDIRECT($AF$8), 0))</f>
        <v>48.501919000000001</v>
      </c>
      <c r="W62" s="14">
        <f ca="1">INDEX(INDIRECT($AF$6),
       MATCH(TRIM($S62), INDIRECT($AF$7), 0),
       MATCH(TRIM(W$13), INDIRECT($AF$8), 0))</f>
        <v>0</v>
      </c>
      <c r="X62" s="14" t="e">
        <f ca="1">INDEX(INDIRECT($AF$6),
       MATCH(TRIM($S62), INDIRECT($AF$7), 0),
       MATCH(TRIM(X$13), INDIRECT($AF$8), 0))</f>
        <v>#N/A</v>
      </c>
      <c r="Y62" s="14">
        <f ca="1">INDEX(INDIRECT($AF$6),
       MATCH(TRIM($S62), INDIRECT($AF$7), 0),
       MATCH(TRIM(Y$13), INDIRECT($AF$8), 0))</f>
        <v>0</v>
      </c>
      <c r="Z62" s="14">
        <f ca="1">INDEX(INDIRECT($AF$6),
       MATCH(TRIM($S62), INDIRECT($AF$7), 0),
       MATCH(TRIM(Z$13), INDIRECT($AF$8), 0))</f>
        <v>7</v>
      </c>
      <c r="AA62" s="14">
        <f ca="1">INDEX(INDIRECT($AF$6),
       MATCH(TRIM($S62), INDIRECT($AF$7), 0),
       MATCH(TRIM(AA$13), INDIRECT($AF$8), 0))</f>
        <v>6.7657854000000004</v>
      </c>
      <c r="AB62" s="14">
        <f t="shared" ca="1" si="0"/>
        <v>55.2677044</v>
      </c>
    </row>
    <row r="63" spans="18:28" x14ac:dyDescent="0.2">
      <c r="R63">
        <v>50</v>
      </c>
      <c r="S63" t="s">
        <v>120</v>
      </c>
      <c r="T63" s="14">
        <f ca="1">INDEX(INDIRECT($AF$6),
       MATCH(TRIM($S63), INDIRECT($AF$7), 0),
       MATCH(TRIM(T$13), INDIRECT($AF$8), 0))</f>
        <v>1</v>
      </c>
      <c r="U63" s="14" t="e">
        <f ca="1">INDEX(INDIRECT($AF$6),
       MATCH(TRIM($S63), INDIRECT($AF$7), 0),
       MATCH(TRIM(U$13), INDIRECT($AF$8), 0))</f>
        <v>#N/A</v>
      </c>
      <c r="V63" s="14">
        <f ca="1">INDEX(INDIRECT($AF$6),
       MATCH(TRIM($S63), INDIRECT($AF$7), 0),
       MATCH(TRIM(V$13), INDIRECT($AF$8), 0))</f>
        <v>152.865802</v>
      </c>
      <c r="W63" s="14">
        <f ca="1">INDEX(INDIRECT($AF$6),
       MATCH(TRIM($S63), INDIRECT($AF$7), 0),
       MATCH(TRIM(W$13), INDIRECT($AF$8), 0))</f>
        <v>0</v>
      </c>
      <c r="X63" s="14" t="e">
        <f ca="1">INDEX(INDIRECT($AF$6),
       MATCH(TRIM($S63), INDIRECT($AF$7), 0),
       MATCH(TRIM(X$13), INDIRECT($AF$8), 0))</f>
        <v>#N/A</v>
      </c>
      <c r="Y63" s="14">
        <f ca="1">INDEX(INDIRECT($AF$6),
       MATCH(TRIM($S63), INDIRECT($AF$7), 0),
       MATCH(TRIM(Y$13), INDIRECT($AF$8), 0))</f>
        <v>0</v>
      </c>
      <c r="Z63" s="14">
        <f ca="1">INDEX(INDIRECT($AF$6),
       MATCH(TRIM($S63), INDIRECT($AF$7), 0),
       MATCH(TRIM(Z$13), INDIRECT($AF$8), 0))</f>
        <v>1</v>
      </c>
      <c r="AA63" s="14">
        <f ca="1">INDEX(INDIRECT($AF$6),
       MATCH(TRIM($S63), INDIRECT($AF$7), 0),
       MATCH(TRIM(AA$13), INDIRECT($AF$8), 0))</f>
        <v>0.52840443000000004</v>
      </c>
      <c r="AB63" s="14">
        <f t="shared" ca="1" si="0"/>
        <v>153.39420643</v>
      </c>
    </row>
    <row r="64" spans="18:28" x14ac:dyDescent="0.2">
      <c r="R64">
        <v>51</v>
      </c>
      <c r="S64" t="s">
        <v>89</v>
      </c>
      <c r="T64" s="14" t="e">
        <f ca="1">INDEX(INDIRECT($AF$6),
       MATCH(TRIM($S64), INDIRECT($AF$7), 0),
       MATCH(TRIM(T$13), INDIRECT($AF$8), 0))</f>
        <v>#N/A</v>
      </c>
      <c r="U64" s="14" t="e">
        <f ca="1">INDEX(INDIRECT($AF$6),
       MATCH(TRIM($S64), INDIRECT($AF$7), 0),
       MATCH(TRIM(U$13), INDIRECT($AF$8), 0))</f>
        <v>#N/A</v>
      </c>
      <c r="V64" s="14" t="e">
        <f ca="1">INDEX(INDIRECT($AF$6),
       MATCH(TRIM($S64), INDIRECT($AF$7), 0),
       MATCH(TRIM(V$13), INDIRECT($AF$8), 0))</f>
        <v>#N/A</v>
      </c>
      <c r="W64" s="14" t="e">
        <f ca="1">INDEX(INDIRECT($AF$6),
       MATCH(TRIM($S64), INDIRECT($AF$7), 0),
       MATCH(TRIM(W$13), INDIRECT($AF$8), 0))</f>
        <v>#N/A</v>
      </c>
      <c r="X64" s="14" t="e">
        <f ca="1">INDEX(INDIRECT($AF$6),
       MATCH(TRIM($S64), INDIRECT($AF$7), 0),
       MATCH(TRIM(X$13), INDIRECT($AF$8), 0))</f>
        <v>#N/A</v>
      </c>
      <c r="Y64" s="14" t="e">
        <f ca="1">INDEX(INDIRECT($AF$6),
       MATCH(TRIM($S64), INDIRECT($AF$7), 0),
       MATCH(TRIM(Y$13), INDIRECT($AF$8), 0))</f>
        <v>#N/A</v>
      </c>
      <c r="Z64" s="14" t="e">
        <f ca="1">INDEX(INDIRECT($AF$6),
       MATCH(TRIM($S64), INDIRECT($AF$7), 0),
       MATCH(TRIM(Z$13), INDIRECT($AF$8), 0))</f>
        <v>#N/A</v>
      </c>
      <c r="AA64" s="14" t="e">
        <f ca="1">INDEX(INDIRECT($AF$6),
       MATCH(TRIM($S64), INDIRECT($AF$7), 0),
       MATCH(TRIM(AA$13), INDIRECT($AF$8), 0))</f>
        <v>#N/A</v>
      </c>
      <c r="AB64" s="14" t="e">
        <f t="shared" ca="1" si="0"/>
        <v>#N/A</v>
      </c>
    </row>
    <row r="65" spans="18:29" x14ac:dyDescent="0.2">
      <c r="R65">
        <v>52</v>
      </c>
      <c r="S65" t="s">
        <v>74</v>
      </c>
      <c r="T65" s="14">
        <f ca="1">INDEX(INDIRECT($AF$6),
       MATCH(TRIM($S65), INDIRECT($AF$7), 0),
       MATCH(TRIM(T$13), INDIRECT($AF$8), 0))</f>
        <v>8</v>
      </c>
      <c r="U65" s="14" t="e">
        <f ca="1">INDEX(INDIRECT($AF$6),
       MATCH(TRIM($S65), INDIRECT($AF$7), 0),
       MATCH(TRIM(U$13), INDIRECT($AF$8), 0))</f>
        <v>#N/A</v>
      </c>
      <c r="V65" s="14">
        <f ca="1">INDEX(INDIRECT($AF$6),
       MATCH(TRIM($S65), INDIRECT($AF$7), 0),
       MATCH(TRIM(V$13), INDIRECT($AF$8), 0))</f>
        <v>454.88170000000002</v>
      </c>
      <c r="W65" s="14">
        <f ca="1">INDEX(INDIRECT($AF$6),
       MATCH(TRIM($S65), INDIRECT($AF$7), 0),
       MATCH(TRIM(W$13), INDIRECT($AF$8), 0))</f>
        <v>0</v>
      </c>
      <c r="X65" s="14" t="e">
        <f ca="1">INDEX(INDIRECT($AF$6),
       MATCH(TRIM($S65), INDIRECT($AF$7), 0),
       MATCH(TRIM(X$13), INDIRECT($AF$8), 0))</f>
        <v>#N/A</v>
      </c>
      <c r="Y65" s="14">
        <f ca="1">INDEX(INDIRECT($AF$6),
       MATCH(TRIM($S65), INDIRECT($AF$7), 0),
       MATCH(TRIM(Y$13), INDIRECT($AF$8), 0))</f>
        <v>0</v>
      </c>
      <c r="Z65" s="14">
        <f ca="1">INDEX(INDIRECT($AF$6),
       MATCH(TRIM($S65), INDIRECT($AF$7), 0),
       MATCH(TRIM(Z$13), INDIRECT($AF$8), 0))</f>
        <v>2</v>
      </c>
      <c r="AA65" s="14">
        <f ca="1">INDEX(INDIRECT($AF$6),
       MATCH(TRIM($S65), INDIRECT($AF$7), 0),
       MATCH(TRIM(AA$13), INDIRECT($AF$8), 0))</f>
        <v>0.21798200000000001</v>
      </c>
      <c r="AB65" s="14">
        <f t="shared" ca="1" si="0"/>
        <v>455.09968200000003</v>
      </c>
    </row>
    <row r="66" spans="18:29" x14ac:dyDescent="0.2">
      <c r="R66">
        <v>53</v>
      </c>
      <c r="S66" t="s">
        <v>119</v>
      </c>
      <c r="T66" s="14">
        <f ca="1">INDEX(INDIRECT($AF$6),
       MATCH(TRIM($S66), INDIRECT($AF$7), 0),
       MATCH(TRIM(T$13), INDIRECT($AF$8), 0))</f>
        <v>0</v>
      </c>
      <c r="U66" s="14" t="e">
        <f ca="1">INDEX(INDIRECT($AF$6),
       MATCH(TRIM($S66), INDIRECT($AF$7), 0),
       MATCH(TRIM(U$13), INDIRECT($AF$8), 0))</f>
        <v>#N/A</v>
      </c>
      <c r="V66" s="14">
        <f ca="1">INDEX(INDIRECT($AF$6),
       MATCH(TRIM($S66), INDIRECT($AF$7), 0),
       MATCH(TRIM(V$13), INDIRECT($AF$8), 0))</f>
        <v>0</v>
      </c>
      <c r="W66" s="14">
        <f ca="1">INDEX(INDIRECT($AF$6),
       MATCH(TRIM($S66), INDIRECT($AF$7), 0),
       MATCH(TRIM(W$13), INDIRECT($AF$8), 0))</f>
        <v>0</v>
      </c>
      <c r="X66" s="14" t="e">
        <f ca="1">INDEX(INDIRECT($AF$6),
       MATCH(TRIM($S66), INDIRECT($AF$7), 0),
       MATCH(TRIM(X$13), INDIRECT($AF$8), 0))</f>
        <v>#N/A</v>
      </c>
      <c r="Y66" s="14">
        <f ca="1">INDEX(INDIRECT($AF$6),
       MATCH(TRIM($S66), INDIRECT($AF$7), 0),
       MATCH(TRIM(Y$13), INDIRECT($AF$8), 0))</f>
        <v>0</v>
      </c>
      <c r="Z66" s="14">
        <f ca="1">INDEX(INDIRECT($AF$6),
       MATCH(TRIM($S66), INDIRECT($AF$7), 0),
       MATCH(TRIM(Z$13), INDIRECT($AF$8), 0))</f>
        <v>1</v>
      </c>
      <c r="AA66" s="14">
        <f ca="1">INDEX(INDIRECT($AF$6),
       MATCH(TRIM($S66), INDIRECT($AF$7), 0),
       MATCH(TRIM(AA$13), INDIRECT($AF$8), 0))</f>
        <v>5.9961869800000001</v>
      </c>
      <c r="AB66" s="14">
        <f t="shared" ca="1" si="0"/>
        <v>5.9961869800000001</v>
      </c>
    </row>
    <row r="67" spans="18:29" x14ac:dyDescent="0.2">
      <c r="R67">
        <v>54</v>
      </c>
      <c r="S67" t="s">
        <v>136</v>
      </c>
      <c r="T67" s="14" t="e">
        <f ca="1">INDEX(INDIRECT($AF$6),
       MATCH(TRIM($S67), INDIRECT($AF$7), 0),
       MATCH(TRIM(T$13), INDIRECT($AF$8), 0))</f>
        <v>#N/A</v>
      </c>
      <c r="U67" s="14" t="e">
        <f ca="1">INDEX(INDIRECT($AF$6),
       MATCH(TRIM($S67), INDIRECT($AF$7), 0),
       MATCH(TRIM(U$13), INDIRECT($AF$8), 0))</f>
        <v>#N/A</v>
      </c>
      <c r="V67" s="14" t="e">
        <f ca="1">INDEX(INDIRECT($AF$6),
       MATCH(TRIM($S67), INDIRECT($AF$7), 0),
       MATCH(TRIM(V$13), INDIRECT($AF$8), 0))</f>
        <v>#N/A</v>
      </c>
      <c r="W67" s="14" t="e">
        <f ca="1">INDEX(INDIRECT($AF$6),
       MATCH(TRIM($S67), INDIRECT($AF$7), 0),
       MATCH(TRIM(W$13), INDIRECT($AF$8), 0))</f>
        <v>#N/A</v>
      </c>
      <c r="X67" s="14" t="e">
        <f ca="1">INDEX(INDIRECT($AF$6),
       MATCH(TRIM($S67), INDIRECT($AF$7), 0),
       MATCH(TRIM(X$13), INDIRECT($AF$8), 0))</f>
        <v>#N/A</v>
      </c>
      <c r="Y67" s="14" t="e">
        <f ca="1">INDEX(INDIRECT($AF$6),
       MATCH(TRIM($S67), INDIRECT($AF$7), 0),
       MATCH(TRIM(Y$13), INDIRECT($AF$8), 0))</f>
        <v>#N/A</v>
      </c>
      <c r="Z67" s="14" t="e">
        <f ca="1">INDEX(INDIRECT($AF$6),
       MATCH(TRIM($S67), INDIRECT($AF$7), 0),
       MATCH(TRIM(Z$13), INDIRECT($AF$8), 0))</f>
        <v>#N/A</v>
      </c>
      <c r="AA67" s="14" t="e">
        <f ca="1">INDEX(INDIRECT($AF$6),
       MATCH(TRIM($S67), INDIRECT($AF$7), 0),
       MATCH(TRIM(AA$13), INDIRECT($AF$8), 0))</f>
        <v>#N/A</v>
      </c>
      <c r="AB67" s="14" t="e">
        <f t="shared" ca="1" si="0"/>
        <v>#N/A</v>
      </c>
    </row>
    <row r="68" spans="18:29" x14ac:dyDescent="0.2">
      <c r="R68">
        <v>55</v>
      </c>
      <c r="S68" t="s">
        <v>117</v>
      </c>
      <c r="T68" s="14">
        <f ca="1">INDEX(INDIRECT($AF$6),
       MATCH(TRIM($S68), INDIRECT($AF$7), 0),
       MATCH(TRIM(T$13), INDIRECT($AF$8), 0))</f>
        <v>1</v>
      </c>
      <c r="U68" s="14" t="e">
        <f ca="1">INDEX(INDIRECT($AF$6),
       MATCH(TRIM($S68), INDIRECT($AF$7), 0),
       MATCH(TRIM(U$13), INDIRECT($AF$8), 0))</f>
        <v>#N/A</v>
      </c>
      <c r="V68" s="14">
        <f ca="1">INDEX(INDIRECT($AF$6),
       MATCH(TRIM($S68), INDIRECT($AF$7), 0),
       MATCH(TRIM(V$13), INDIRECT($AF$8), 0))</f>
        <v>3.93</v>
      </c>
      <c r="W68" s="14">
        <f ca="1">INDEX(INDIRECT($AF$6),
       MATCH(TRIM($S68), INDIRECT($AF$7), 0),
       MATCH(TRIM(W$13), INDIRECT($AF$8), 0))</f>
        <v>0</v>
      </c>
      <c r="X68" s="14" t="e">
        <f ca="1">INDEX(INDIRECT($AF$6),
       MATCH(TRIM($S68), INDIRECT($AF$7), 0),
       MATCH(TRIM(X$13), INDIRECT($AF$8), 0))</f>
        <v>#N/A</v>
      </c>
      <c r="Y68" s="14">
        <f ca="1">INDEX(INDIRECT($AF$6),
       MATCH(TRIM($S68), INDIRECT($AF$7), 0),
       MATCH(TRIM(Y$13), INDIRECT($AF$8), 0))</f>
        <v>0</v>
      </c>
      <c r="Z68" s="14">
        <f ca="1">INDEX(INDIRECT($AF$6),
       MATCH(TRIM($S68), INDIRECT($AF$7), 0),
       MATCH(TRIM(Z$13), INDIRECT($AF$8), 0))</f>
        <v>1</v>
      </c>
      <c r="AA68" s="14">
        <f ca="1">INDEX(INDIRECT($AF$6),
       MATCH(TRIM($S68), INDIRECT($AF$7), 0),
       MATCH(TRIM(AA$13), INDIRECT($AF$8), 0))</f>
        <v>7.5666534099999998</v>
      </c>
      <c r="AB68" s="14">
        <f t="shared" ca="1" si="0"/>
        <v>11.49665341</v>
      </c>
    </row>
    <row r="69" spans="18:29" x14ac:dyDescent="0.2">
      <c r="R69">
        <v>56</v>
      </c>
      <c r="S69" t="s">
        <v>78</v>
      </c>
      <c r="T69" s="14">
        <f ca="1">INDEX(INDIRECT($AF$6),
       MATCH(TRIM($S69), INDIRECT($AF$7), 0),
       MATCH(TRIM(T$13), INDIRECT($AF$8), 0))</f>
        <v>1</v>
      </c>
      <c r="U69" s="14" t="e">
        <f ca="1">INDEX(INDIRECT($AF$6),
       MATCH(TRIM($S69), INDIRECT($AF$7), 0),
       MATCH(TRIM(U$13), INDIRECT($AF$8), 0))</f>
        <v>#N/A</v>
      </c>
      <c r="V69" s="14">
        <f ca="1">INDEX(INDIRECT($AF$6),
       MATCH(TRIM($S69), INDIRECT($AF$7), 0),
       MATCH(TRIM(V$13), INDIRECT($AF$8), 0))</f>
        <v>54.6</v>
      </c>
      <c r="W69" s="14">
        <f ca="1">INDEX(INDIRECT($AF$6),
       MATCH(TRIM($S69), INDIRECT($AF$7), 0),
       MATCH(TRIM(W$13), INDIRECT($AF$8), 0))</f>
        <v>0</v>
      </c>
      <c r="X69" s="14" t="e">
        <f ca="1">INDEX(INDIRECT($AF$6),
       MATCH(TRIM($S69), INDIRECT($AF$7), 0),
       MATCH(TRIM(X$13), INDIRECT($AF$8), 0))</f>
        <v>#N/A</v>
      </c>
      <c r="Y69" s="14">
        <f ca="1">INDEX(INDIRECT($AF$6),
       MATCH(TRIM($S69), INDIRECT($AF$7), 0),
       MATCH(TRIM(Y$13), INDIRECT($AF$8), 0))</f>
        <v>0</v>
      </c>
      <c r="Z69" s="14">
        <f ca="1">INDEX(INDIRECT($AF$6),
       MATCH(TRIM($S69), INDIRECT($AF$7), 0),
       MATCH(TRIM(Z$13), INDIRECT($AF$8), 0))</f>
        <v>3</v>
      </c>
      <c r="AA69" s="14">
        <f ca="1">INDEX(INDIRECT($AF$6),
       MATCH(TRIM($S69), INDIRECT($AF$7), 0),
       MATCH(TRIM(AA$13), INDIRECT($AF$8), 0))</f>
        <v>1.47991867</v>
      </c>
      <c r="AB69" s="14">
        <f t="shared" ca="1" si="0"/>
        <v>56.079918669999998</v>
      </c>
    </row>
    <row r="70" spans="18:29" x14ac:dyDescent="0.2">
      <c r="R70">
        <v>57</v>
      </c>
      <c r="S70" t="s">
        <v>118</v>
      </c>
      <c r="T70" s="14" t="e">
        <f ca="1">INDEX(INDIRECT($AF$6),
       MATCH(TRIM($S70), INDIRECT($AF$7), 0),
       MATCH(TRIM(T$13), INDIRECT($AF$8), 0))</f>
        <v>#N/A</v>
      </c>
      <c r="U70" s="14" t="e">
        <f ca="1">INDEX(INDIRECT($AF$6),
       MATCH(TRIM($S70), INDIRECT($AF$7), 0),
       MATCH(TRIM(U$13), INDIRECT($AF$8), 0))</f>
        <v>#N/A</v>
      </c>
      <c r="V70" s="14" t="e">
        <f ca="1">INDEX(INDIRECT($AF$6),
       MATCH(TRIM($S70), INDIRECT($AF$7), 0),
       MATCH(TRIM(V$13), INDIRECT($AF$8), 0))</f>
        <v>#N/A</v>
      </c>
      <c r="W70" s="14" t="e">
        <f ca="1">INDEX(INDIRECT($AF$6),
       MATCH(TRIM($S70), INDIRECT($AF$7), 0),
       MATCH(TRIM(W$13), INDIRECT($AF$8), 0))</f>
        <v>#N/A</v>
      </c>
      <c r="X70" s="14" t="e">
        <f ca="1">INDEX(INDIRECT($AF$6),
       MATCH(TRIM($S70), INDIRECT($AF$7), 0),
       MATCH(TRIM(X$13), INDIRECT($AF$8), 0))</f>
        <v>#N/A</v>
      </c>
      <c r="Y70" s="14" t="e">
        <f ca="1">INDEX(INDIRECT($AF$6),
       MATCH(TRIM($S70), INDIRECT($AF$7), 0),
       MATCH(TRIM(Y$13), INDIRECT($AF$8), 0))</f>
        <v>#N/A</v>
      </c>
      <c r="Z70" s="14" t="e">
        <f ca="1">INDEX(INDIRECT($AF$6),
       MATCH(TRIM($S70), INDIRECT($AF$7), 0),
       MATCH(TRIM(Z$13), INDIRECT($AF$8), 0))</f>
        <v>#N/A</v>
      </c>
      <c r="AA70" s="14" t="e">
        <f ca="1">INDEX(INDIRECT($AF$6),
       MATCH(TRIM($S70), INDIRECT($AF$7), 0),
       MATCH(TRIM(AA$13), INDIRECT($AF$8), 0))</f>
        <v>#N/A</v>
      </c>
      <c r="AB70" s="14" t="e">
        <f t="shared" ca="1" si="0"/>
        <v>#N/A</v>
      </c>
    </row>
    <row r="71" spans="18:29" x14ac:dyDescent="0.2">
      <c r="R71">
        <v>58</v>
      </c>
      <c r="S71" t="s">
        <v>134</v>
      </c>
      <c r="T71" s="14" t="e">
        <f ca="1">INDEX(INDIRECT($AF$6),
       MATCH(TRIM($S71), INDIRECT($AF$7), 0),
       MATCH(TRIM(T$13), INDIRECT($AF$8), 0))</f>
        <v>#N/A</v>
      </c>
      <c r="U71" s="14" t="e">
        <f ca="1">INDEX(INDIRECT($AF$6),
       MATCH(TRIM($S71), INDIRECT($AF$7), 0),
       MATCH(TRIM(U$13), INDIRECT($AF$8), 0))</f>
        <v>#N/A</v>
      </c>
      <c r="V71" s="14" t="e">
        <f ca="1">INDEX(INDIRECT($AF$6),
       MATCH(TRIM($S71), INDIRECT($AF$7), 0),
       MATCH(TRIM(V$13), INDIRECT($AF$8), 0))</f>
        <v>#N/A</v>
      </c>
      <c r="W71" s="14" t="e">
        <f ca="1">INDEX(INDIRECT($AF$6),
       MATCH(TRIM($S71), INDIRECT($AF$7), 0),
       MATCH(TRIM(W$13), INDIRECT($AF$8), 0))</f>
        <v>#N/A</v>
      </c>
      <c r="X71" s="14" t="e">
        <f ca="1">INDEX(INDIRECT($AF$6),
       MATCH(TRIM($S71), INDIRECT($AF$7), 0),
       MATCH(TRIM(X$13), INDIRECT($AF$8), 0))</f>
        <v>#N/A</v>
      </c>
      <c r="Y71" s="14" t="e">
        <f ca="1">INDEX(INDIRECT($AF$6),
       MATCH(TRIM($S71), INDIRECT($AF$7), 0),
       MATCH(TRIM(Y$13), INDIRECT($AF$8), 0))</f>
        <v>#N/A</v>
      </c>
      <c r="Z71" s="14" t="e">
        <f ca="1">INDEX(INDIRECT($AF$6),
       MATCH(TRIM($S71), INDIRECT($AF$7), 0),
       MATCH(TRIM(Z$13), INDIRECT($AF$8), 0))</f>
        <v>#N/A</v>
      </c>
      <c r="AA71" s="14" t="e">
        <f ca="1">INDEX(INDIRECT($AF$6),
       MATCH(TRIM($S71), INDIRECT($AF$7), 0),
       MATCH(TRIM(AA$13), INDIRECT($AF$8), 0))</f>
        <v>#N/A</v>
      </c>
      <c r="AB71" s="14" t="e">
        <f t="shared" ca="1" si="0"/>
        <v>#N/A</v>
      </c>
    </row>
    <row r="72" spans="18:29" x14ac:dyDescent="0.2">
      <c r="R72">
        <v>59</v>
      </c>
      <c r="S72" t="s">
        <v>121</v>
      </c>
      <c r="T72" s="14">
        <f ca="1">INDEX(INDIRECT($AF$6),
       MATCH(TRIM($S72), INDIRECT($AF$7), 0),
       MATCH(TRIM(T$13), INDIRECT($AF$8), 0))</f>
        <v>1</v>
      </c>
      <c r="U72" s="14" t="e">
        <f t="shared" ref="U72:AB72" ca="1" si="2">INDEX(INDIRECT($AF$6),
       MATCH(TRIM($S72), INDIRECT($AF$7), 0),
       MATCH(TRIM(U$13), INDIRECT($AF$8), 0))</f>
        <v>#N/A</v>
      </c>
      <c r="V72" s="14">
        <f t="shared" ca="1" si="2"/>
        <v>7.6454800000000001</v>
      </c>
      <c r="W72" s="14">
        <f t="shared" ca="1" si="2"/>
        <v>0</v>
      </c>
      <c r="X72" s="14" t="e">
        <f t="shared" ca="1" si="2"/>
        <v>#N/A</v>
      </c>
      <c r="Y72" s="14">
        <f t="shared" ca="1" si="2"/>
        <v>0</v>
      </c>
      <c r="Z72" s="14">
        <f t="shared" ca="1" si="2"/>
        <v>0</v>
      </c>
      <c r="AA72" s="14">
        <f t="shared" ca="1" si="2"/>
        <v>0</v>
      </c>
      <c r="AB72" s="14">
        <f t="shared" ca="1" si="0"/>
        <v>7.6454800000000001</v>
      </c>
    </row>
    <row r="73" spans="18:29" x14ac:dyDescent="0.2">
      <c r="R73">
        <v>60</v>
      </c>
      <c r="S73" t="s">
        <v>135</v>
      </c>
      <c r="T73" s="14">
        <f t="shared" ref="T73:AB76" ca="1" si="3">INDEX(INDIRECT($AF$6),
       MATCH(TRIM($S73), INDIRECT($AF$7), 0),
       MATCH(TRIM(T$13), INDIRECT($AF$8), 0))</f>
        <v>0</v>
      </c>
      <c r="U73" s="14" t="e">
        <f t="shared" ca="1" si="3"/>
        <v>#N/A</v>
      </c>
      <c r="V73" s="14">
        <f t="shared" ca="1" si="3"/>
        <v>0</v>
      </c>
      <c r="W73" s="14">
        <f t="shared" ca="1" si="3"/>
        <v>0</v>
      </c>
      <c r="X73" s="14" t="e">
        <f t="shared" ca="1" si="3"/>
        <v>#N/A</v>
      </c>
      <c r="Y73" s="14">
        <f t="shared" ca="1" si="3"/>
        <v>0</v>
      </c>
      <c r="Z73" s="14">
        <f t="shared" ca="1" si="3"/>
        <v>1</v>
      </c>
      <c r="AA73" s="14">
        <f t="shared" ca="1" si="3"/>
        <v>0.86333419999999994</v>
      </c>
      <c r="AB73" s="14">
        <f t="shared" ca="1" si="0"/>
        <v>0.86333419999999994</v>
      </c>
      <c r="AC73" s="91">
        <f t="shared" ref="AC73" si="4">SUM(AC14:AC72)</f>
        <v>0</v>
      </c>
    </row>
    <row r="74" spans="18:29" x14ac:dyDescent="0.2">
      <c r="R74">
        <v>61</v>
      </c>
      <c r="S74" t="s">
        <v>150</v>
      </c>
      <c r="T74" s="14">
        <f t="shared" ca="1" si="3"/>
        <v>0</v>
      </c>
      <c r="U74" s="14" t="e">
        <f t="shared" ca="1" si="3"/>
        <v>#N/A</v>
      </c>
      <c r="V74" s="14">
        <f t="shared" ca="1" si="3"/>
        <v>0</v>
      </c>
      <c r="W74" s="14">
        <f t="shared" ca="1" si="3"/>
        <v>0</v>
      </c>
      <c r="X74" s="14" t="e">
        <f t="shared" ca="1" si="3"/>
        <v>#N/A</v>
      </c>
      <c r="Y74" s="14">
        <f t="shared" ca="1" si="3"/>
        <v>0</v>
      </c>
      <c r="Z74" s="14">
        <f t="shared" ca="1" si="3"/>
        <v>2</v>
      </c>
      <c r="AA74" s="14">
        <f t="shared" ca="1" si="3"/>
        <v>0.54577154000000005</v>
      </c>
      <c r="AB74" s="14">
        <f t="shared" ca="1" si="0"/>
        <v>0.54577154000000005</v>
      </c>
    </row>
    <row r="75" spans="18:29" x14ac:dyDescent="0.2">
      <c r="R75">
        <v>62</v>
      </c>
      <c r="S75" t="s">
        <v>86</v>
      </c>
      <c r="T75" s="14">
        <f t="shared" ca="1" si="3"/>
        <v>0</v>
      </c>
      <c r="U75" s="14" t="e">
        <f t="shared" ca="1" si="3"/>
        <v>#N/A</v>
      </c>
      <c r="V75" s="14">
        <f t="shared" ca="1" si="3"/>
        <v>0</v>
      </c>
      <c r="W75" s="14">
        <f t="shared" ca="1" si="3"/>
        <v>0</v>
      </c>
      <c r="X75" s="14" t="e">
        <f t="shared" ca="1" si="3"/>
        <v>#N/A</v>
      </c>
      <c r="Y75" s="14">
        <f t="shared" ca="1" si="3"/>
        <v>0</v>
      </c>
      <c r="Z75" s="14">
        <f t="shared" ca="1" si="3"/>
        <v>2</v>
      </c>
      <c r="AA75" s="14">
        <f t="shared" ca="1" si="3"/>
        <v>0.12017741</v>
      </c>
      <c r="AB75" s="14">
        <f t="shared" ca="1" si="0"/>
        <v>0.12017741</v>
      </c>
      <c r="AC75" s="91">
        <f>SUM(AC16:AC74)</f>
        <v>0</v>
      </c>
    </row>
    <row r="76" spans="18:29" x14ac:dyDescent="0.2">
      <c r="R76">
        <v>63</v>
      </c>
      <c r="S76" t="s">
        <v>122</v>
      </c>
      <c r="T76" s="14">
        <f t="shared" ca="1" si="3"/>
        <v>0</v>
      </c>
      <c r="U76" s="14" t="e">
        <f t="shared" ca="1" si="3"/>
        <v>#N/A</v>
      </c>
      <c r="V76" s="14">
        <f t="shared" ca="1" si="3"/>
        <v>0</v>
      </c>
      <c r="W76" s="14">
        <f t="shared" ca="1" si="3"/>
        <v>1</v>
      </c>
      <c r="X76" s="14" t="e">
        <f t="shared" ca="1" si="3"/>
        <v>#N/A</v>
      </c>
      <c r="Y76" s="14">
        <f t="shared" ca="1" si="3"/>
        <v>1.2</v>
      </c>
      <c r="Z76" s="14">
        <f t="shared" ca="1" si="3"/>
        <v>1</v>
      </c>
      <c r="AA76" s="14">
        <f t="shared" ca="1" si="3"/>
        <v>0.40919639000000002</v>
      </c>
      <c r="AB76" s="14">
        <f t="shared" ca="1" si="0"/>
        <v>1.6091963899999999</v>
      </c>
      <c r="AC76" s="100"/>
    </row>
    <row r="77" spans="18:29" x14ac:dyDescent="0.2">
      <c r="R77" s="87" t="s">
        <v>26</v>
      </c>
      <c r="S77" s="88"/>
      <c r="T77" s="89" cm="1">
        <f t="array" aca="1" ref="T77" ca="1">SUM(IFERROR(T14:T76,0))</f>
        <v>1738</v>
      </c>
      <c r="U77" s="89" cm="1">
        <f t="array" aca="1" ref="U77" ca="1">SUM(IFERROR(U14:U76,0))</f>
        <v>0</v>
      </c>
      <c r="V77" s="89" cm="1">
        <f t="array" aca="1" ref="V77" ca="1">SUM(IFERROR(V14:V76,0))</f>
        <v>15245.403180789999</v>
      </c>
      <c r="W77" s="89" cm="1">
        <f t="array" aca="1" ref="W77" ca="1">SUM(IFERROR(W14:W76,0))</f>
        <v>985</v>
      </c>
      <c r="X77" s="89" cm="1">
        <f t="array" aca="1" ref="X77" ca="1">SUM(IFERROR(X14:X76,0))</f>
        <v>0</v>
      </c>
      <c r="Y77" s="89" cm="1">
        <f t="array" aca="1" ref="Y77" ca="1">SUM(IFERROR(Y14:Y76,0))</f>
        <v>9014.7724186093728</v>
      </c>
      <c r="Z77" s="89" cm="1">
        <f t="array" aca="1" ref="Z77" ca="1">SUM(IFERROR(Z14:Z76,0))</f>
        <v>3797</v>
      </c>
      <c r="AA77" s="89" cm="1">
        <f t="array" aca="1" ref="AA77" ca="1">SUM(IFERROR(AA14:AA76,0))</f>
        <v>6893.1635084717382</v>
      </c>
      <c r="AB77" s="89" cm="1">
        <f t="array" aca="1" ref="AB77" ca="1">SUM(IFERROR(AB14:AB76,0))</f>
        <v>31153.339107871103</v>
      </c>
    </row>
  </sheetData>
  <mergeCells count="14">
    <mergeCell ref="R77:S77"/>
    <mergeCell ref="AB12:AB13"/>
    <mergeCell ref="A13:A14"/>
    <mergeCell ref="B13:B14"/>
    <mergeCell ref="C13:E13"/>
    <mergeCell ref="F13:H13"/>
    <mergeCell ref="I13:J13"/>
    <mergeCell ref="A3:I3"/>
    <mergeCell ref="R3:Z3"/>
    <mergeCell ref="A4:I4"/>
    <mergeCell ref="R4:Z4"/>
    <mergeCell ref="T12:V12"/>
    <mergeCell ref="W12:Y12"/>
    <mergeCell ref="Z12:AA12"/>
  </mergeCells>
  <conditionalFormatting sqref="S77">
    <cfRule type="duplicateValues" dxfId="15" priority="1" stopIfTrue="1"/>
    <cfRule type="duplicateValues" dxfId="14" priority="2" stopIfTrue="1"/>
  </conditionalFormatting>
  <conditionalFormatting sqref="S77">
    <cfRule type="duplicateValues" dxfId="13" priority="3" stopIfTrue="1"/>
    <cfRule type="duplicateValues" dxfId="12" priority="4" stopIfTrue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3EF41-78C9-3441-9F68-9A9F41DA2394}">
  <dimension ref="A1:AF77"/>
  <sheetViews>
    <sheetView topLeftCell="W58" zoomScale="106" workbookViewId="0">
      <selection activeCell="AD13" sqref="AD13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170</v>
      </c>
      <c r="N6" t="s">
        <v>171</v>
      </c>
      <c r="O6" t="s">
        <v>156</v>
      </c>
      <c r="P6" t="str">
        <f>_xlfn.CONCAT("'",M6,N6,"'","!",O6)</f>
        <v>'[FDI.2022.xlsx]Thang 12 2022'!$C$9:$I$27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[FDI.2022.xlsx]</v>
      </c>
      <c r="AD6" t="str">
        <f>N6</f>
        <v>Thang 12 2022</v>
      </c>
      <c r="AE6" t="s">
        <v>172</v>
      </c>
      <c r="AF6" t="str">
        <f>_xlfn.CONCAT("'",AC6,AD6,"'","!",AE6)</f>
        <v>'[FDI.2022.xlsx]Thang 12 2022'!$C$150:$I$203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[FDI.2022.xlsx]</v>
      </c>
      <c r="N7" t="str">
        <f>N6</f>
        <v>Thang 12 2022</v>
      </c>
      <c r="O7" t="s">
        <v>157</v>
      </c>
      <c r="P7" t="str">
        <f>_xlfn.CONCAT("'",M7,N7,"'","!",O7)</f>
        <v>'[FDI.2022.xlsx]Thang 12 2022'!$B$9:$B$27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[FDI.2022.xlsx]</v>
      </c>
      <c r="AD7" t="str">
        <f>AD6</f>
        <v>Thang 12 2022</v>
      </c>
      <c r="AE7" t="s">
        <v>173</v>
      </c>
      <c r="AF7" t="str">
        <f>_xlfn.CONCAT("'",AC7,AD7,"'","!",AE7)</f>
        <v>'[FDI.2022.xlsx]Thang 12 2022'!$B$150:$B$203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[FDI.2022.xlsx]</v>
      </c>
      <c r="N8" t="str">
        <f>N6</f>
        <v>Thang 12 2022</v>
      </c>
      <c r="O8" t="s">
        <v>158</v>
      </c>
      <c r="P8" t="str">
        <f>_xlfn.CONCAT("'",M8,N8,"'","!",O8)</f>
        <v>'[FDI.2022.xlsx]Thang 12 2022'!$C$8:$I$8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[FDI.2022.xlsx]</v>
      </c>
      <c r="AD8" t="str">
        <f>AD6</f>
        <v>Thang 12 2022</v>
      </c>
      <c r="AE8" t="s">
        <v>174</v>
      </c>
      <c r="AF8" t="str">
        <f>_xlfn.CONCAT("'",AC8,AD8,"'","!",AE8)</f>
        <v>'[FDI.2022.xlsx]Thang 12 2022'!$C$149:$I$149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80" t="s">
        <v>107</v>
      </c>
      <c r="D13" s="81"/>
      <c r="E13" s="82"/>
      <c r="F13" s="77" t="s">
        <v>108</v>
      </c>
      <c r="G13" s="78"/>
      <c r="H13" s="79"/>
      <c r="I13" s="75" t="s">
        <v>109</v>
      </c>
      <c r="J13" s="76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74" t="s">
        <v>147</v>
      </c>
      <c r="X13" s="72" t="s">
        <v>148</v>
      </c>
      <c r="Y13" s="94" t="s">
        <v>149</v>
      </c>
      <c r="Z13" s="61" t="s">
        <v>126</v>
      </c>
      <c r="AA13" s="73" t="s">
        <v>127</v>
      </c>
      <c r="AB13" s="62"/>
    </row>
    <row r="14" spans="1:32" ht="84" x14ac:dyDescent="0.2">
      <c r="A14" s="56"/>
      <c r="B14" s="56"/>
      <c r="C14" s="72" t="s">
        <v>27</v>
      </c>
      <c r="D14" s="57" t="s">
        <v>28</v>
      </c>
      <c r="E14" s="58" t="s">
        <v>29</v>
      </c>
      <c r="F14" s="74" t="s">
        <v>147</v>
      </c>
      <c r="G14" s="72" t="s">
        <v>148</v>
      </c>
      <c r="H14" s="94" t="s">
        <v>149</v>
      </c>
      <c r="I14" s="61" t="s">
        <v>126</v>
      </c>
      <c r="J14" s="73" t="s">
        <v>127</v>
      </c>
      <c r="K14" s="66" t="s">
        <v>110</v>
      </c>
      <c r="L14" s="49"/>
      <c r="M14" s="49"/>
      <c r="R14">
        <v>1</v>
      </c>
      <c r="S14" t="s">
        <v>42</v>
      </c>
      <c r="T14" s="14">
        <f ca="1">INDEX(INDIRECT($AF$6),
       MATCH(TRIM($S14), INDIRECT($AF$7), 0),
       MATCH(TRIM(T$13), INDIRECT($AF$8), 0))</f>
        <v>365</v>
      </c>
      <c r="U14" s="14" t="e">
        <f ca="1">INDEX(INDIRECT($AF$6),
       MATCH(TRIM($S14), INDIRECT($AF$7), 0),
       MATCH(TRIM(U$13), INDIRECT($AF$8), 0))</f>
        <v>#N/A</v>
      </c>
      <c r="V14" s="14">
        <f ca="1">INDEX(INDIRECT($AF$6),
       MATCH(TRIM($S14), INDIRECT($AF$7), 0),
       MATCH(TRIM(V$13), INDIRECT($AF$8), 0))</f>
        <v>233.27274274000001</v>
      </c>
      <c r="W14" s="14">
        <f ca="1">INDEX(INDIRECT($AF$6),
       MATCH(TRIM($S14), INDIRECT($AF$7), 0),
       MATCH(TRIM(W$13), INDIRECT($AF$8), 0))</f>
        <v>206</v>
      </c>
      <c r="X14" s="14" t="e">
        <f ca="1">INDEX(INDIRECT($AF$6),
       MATCH(TRIM($S14), INDIRECT($AF$7), 0),
       MATCH(TRIM(X$13), INDIRECT($AF$8), 0))</f>
        <v>#N/A</v>
      </c>
      <c r="Y14" s="14">
        <f ca="1">INDEX(INDIRECT($AF$6),
       MATCH(TRIM($S14), INDIRECT($AF$7), 0),
       MATCH(TRIM(Y$13), INDIRECT($AF$8), 0))</f>
        <v>842.53101072882816</v>
      </c>
      <c r="Z14" s="14">
        <f ca="1">INDEX(INDIRECT($AF$6),
       MATCH(TRIM($S14), INDIRECT($AF$7), 0),
       MATCH(TRIM(Z$13), INDIRECT($AF$8), 0))</f>
        <v>387</v>
      </c>
      <c r="AA14" s="14">
        <f ca="1">INDEX(INDIRECT($AF$6),
       MATCH(TRIM($S14), INDIRECT($AF$7), 0),
       MATCH(TRIM(AA$13), INDIRECT($AF$8), 0))</f>
        <v>630.03199014000018</v>
      </c>
      <c r="AB14" s="14">
        <f ca="1">V14+Y14+AA14</f>
        <v>1705.8357436088286</v>
      </c>
    </row>
    <row r="15" spans="1:32" ht="57" x14ac:dyDescent="0.2">
      <c r="A15" s="26">
        <v>1</v>
      </c>
      <c r="B15" s="27" t="s">
        <v>7</v>
      </c>
      <c r="C15" s="28">
        <f ca="1">INDEX(INDIRECT($P$6),
       MATCH(TRIM($B15), INDIRECT($P$7), 0),
       MATCH(TRIM(C$14), INDIRECT($P$8), 0))</f>
        <v>511</v>
      </c>
      <c r="D15" s="28" t="e">
        <f ca="1">INDEX(INDIRECT($P$6),
       MATCH(TRIM($B15), INDIRECT($P$7), 0),
       MATCH(TRIM(D$14), INDIRECT($P$8), 0))</f>
        <v>#N/A</v>
      </c>
      <c r="E15" s="28">
        <f ca="1">INDEX(INDIRECT($P$6),
       MATCH(TRIM($B15), INDIRECT($P$7), 0),
       MATCH(TRIM(E$14), INDIRECT($P$8), 0))</f>
        <v>7212.568197669998</v>
      </c>
      <c r="F15" s="28">
        <f ca="1">INDEX(INDIRECT($P$6),
       MATCH(TRIM($B15), INDIRECT($P$7), 0),
       MATCH(TRIM(F$14), INDIRECT($P$8), 0))</f>
        <v>644</v>
      </c>
      <c r="G15" s="28" t="e">
        <f ca="1">INDEX(INDIRECT($P$6),
       MATCH(TRIM($B15), INDIRECT($P$7), 0),
       MATCH(TRIM(G$14), INDIRECT($P$8), 0))</f>
        <v>#N/A</v>
      </c>
      <c r="H15" s="28">
        <f ca="1">INDEX(INDIRECT($P$6),
       MATCH(TRIM($B15), INDIRECT($P$7), 0),
       MATCH(TRIM(H$14), INDIRECT($P$8), 0))</f>
        <v>7977.9001339247689</v>
      </c>
      <c r="I15" s="28">
        <f ca="1">INDEX(INDIRECT($P$6),
       MATCH(TRIM($B15), INDIRECT($P$7), 0),
       MATCH(TRIM(I$14), INDIRECT($P$8), 0))</f>
        <v>471</v>
      </c>
      <c r="J15" s="28">
        <f ca="1">INDEX(INDIRECT($P$6),
       MATCH(TRIM($B15), INDIRECT($P$7), 0),
       MATCH(TRIM(J$14), INDIRECT($P$8), 0))</f>
        <v>1611.0596202899997</v>
      </c>
      <c r="K15" s="28">
        <f ca="1">E15+H15+J15</f>
        <v>16801.527951884767</v>
      </c>
      <c r="L15" s="46"/>
      <c r="M15" s="46"/>
      <c r="R15">
        <v>2</v>
      </c>
      <c r="S15" t="s">
        <v>37</v>
      </c>
      <c r="T15" s="14">
        <f ca="1">INDEX(INDIRECT($AF$6),
       MATCH(TRIM($S15), INDIRECT($AF$7), 0),
       MATCH(TRIM(T$13), INDIRECT($AF$8), 0))</f>
        <v>893</v>
      </c>
      <c r="U15" s="14" t="e">
        <f ca="1">INDEX(INDIRECT($AF$6),
       MATCH(TRIM($S15), INDIRECT($AF$7), 0),
       MATCH(TRIM(U$13), INDIRECT($AF$8), 0))</f>
        <v>#N/A</v>
      </c>
      <c r="V15" s="14">
        <f ca="1">INDEX(INDIRECT($AF$6),
       MATCH(TRIM($S15), INDIRECT($AF$7), 0),
       MATCH(TRIM(V$13), INDIRECT($AF$8), 0))</f>
        <v>601.07350723000002</v>
      </c>
      <c r="W15" s="14">
        <f ca="1">INDEX(INDIRECT($AF$6),
       MATCH(TRIM($S15), INDIRECT($AF$7), 0),
       MATCH(TRIM(W$13), INDIRECT($AF$8), 0))</f>
        <v>192</v>
      </c>
      <c r="X15" s="14" t="e">
        <f ca="1">INDEX(INDIRECT($AF$6),
       MATCH(TRIM($S15), INDIRECT($AF$7), 0),
       MATCH(TRIM(X$13), INDIRECT($AF$8), 0))</f>
        <v>#N/A</v>
      </c>
      <c r="Y15" s="14">
        <f ca="1">INDEX(INDIRECT($AF$6),
       MATCH(TRIM($S15), INDIRECT($AF$7), 0),
       MATCH(TRIM(Y$13), INDIRECT($AF$8), 0))</f>
        <v>1600.7169918457032</v>
      </c>
      <c r="Z15" s="14">
        <f ca="1">INDEX(INDIRECT($AF$6),
       MATCH(TRIM($S15), INDIRECT($AF$7), 0),
       MATCH(TRIM(Z$13), INDIRECT($AF$8), 0))</f>
        <v>2411</v>
      </c>
      <c r="AA15" s="14">
        <f ca="1">INDEX(INDIRECT($AF$6),
       MATCH(TRIM($S15), INDIRECT($AF$7), 0),
       MATCH(TRIM(AA$13), INDIRECT($AF$8), 0))</f>
        <v>1738.6137775100003</v>
      </c>
      <c r="AB15" s="14">
        <f t="shared" ref="AB15:AB76" ca="1" si="0">V15+Y15+AA15</f>
        <v>3940.4042765857039</v>
      </c>
    </row>
    <row r="16" spans="1:32" ht="71" x14ac:dyDescent="0.2">
      <c r="A16" s="26">
        <v>2</v>
      </c>
      <c r="B16" s="27" t="s">
        <v>8</v>
      </c>
      <c r="C16" s="28">
        <f ca="1">INDEX(INDIRECT($P$6),
       MATCH(TRIM($B16), INDIRECT($P$7), 0),
       MATCH(TRIM(C$14), INDIRECT($P$8), 0))</f>
        <v>11</v>
      </c>
      <c r="D16" s="28" t="e">
        <f ca="1">INDEX(INDIRECT($P$6),
       MATCH(TRIM($B16), INDIRECT($P$7), 0),
       MATCH(TRIM(D$14), INDIRECT($P$8), 0))</f>
        <v>#N/A</v>
      </c>
      <c r="E16" s="28">
        <f ca="1">INDEX(INDIRECT($P$6),
       MATCH(TRIM($B16), INDIRECT($P$7), 0),
       MATCH(TRIM(E$14), INDIRECT($P$8), 0))</f>
        <v>2100.8025670000002</v>
      </c>
      <c r="F16" s="28">
        <f ca="1">INDEX(INDIRECT($P$6),
       MATCH(TRIM($B16), INDIRECT($P$7), 0),
       MATCH(TRIM(F$14), INDIRECT($P$8), 0))</f>
        <v>6</v>
      </c>
      <c r="G16" s="28" t="e">
        <f ca="1">INDEX(INDIRECT($P$6),
       MATCH(TRIM($B16), INDIRECT($P$7), 0),
       MATCH(TRIM(G$14), INDIRECT($P$8), 0))</f>
        <v>#N/A</v>
      </c>
      <c r="H16" s="28">
        <f ca="1">INDEX(INDIRECT($P$6),
       MATCH(TRIM($B16), INDIRECT($P$7), 0),
       MATCH(TRIM(H$14), INDIRECT($P$8), 0))</f>
        <v>70.738839999999996</v>
      </c>
      <c r="I16" s="28">
        <f ca="1">INDEX(INDIRECT($P$6),
       MATCH(TRIM($B16), INDIRECT($P$7), 0),
       MATCH(TRIM(I$14), INDIRECT($P$8), 0))</f>
        <v>17</v>
      </c>
      <c r="J16" s="28">
        <f ca="1">INDEX(INDIRECT($P$6),
       MATCH(TRIM($B16), INDIRECT($P$7), 0),
       MATCH(TRIM(J$14), INDIRECT($P$8), 0))</f>
        <v>89.973263079999995</v>
      </c>
      <c r="K16" s="28">
        <f t="shared" ref="K16:K33" ca="1" si="1">E16+H16+J16</f>
        <v>2261.5146700800001</v>
      </c>
      <c r="L16" s="46"/>
      <c r="M16" s="46"/>
      <c r="R16">
        <v>3</v>
      </c>
      <c r="S16" t="s">
        <v>39</v>
      </c>
      <c r="T16" s="14">
        <f ca="1">INDEX(INDIRECT($AF$6),
       MATCH(TRIM($S16), INDIRECT($AF$7), 0),
       MATCH(TRIM(T$13), INDIRECT($AF$8), 0))</f>
        <v>68</v>
      </c>
      <c r="U16" s="14" t="e">
        <f ca="1">INDEX(INDIRECT($AF$6),
       MATCH(TRIM($S16), INDIRECT($AF$7), 0),
       MATCH(TRIM(U$13), INDIRECT($AF$8), 0))</f>
        <v>#N/A</v>
      </c>
      <c r="V16" s="14">
        <f ca="1">INDEX(INDIRECT($AF$6),
       MATCH(TRIM($S16), INDIRECT($AF$7), 0),
       MATCH(TRIM(V$13), INDIRECT($AF$8), 0))</f>
        <v>1909.081449</v>
      </c>
      <c r="W16" s="14">
        <f ca="1">INDEX(INDIRECT($AF$6),
       MATCH(TRIM($S16), INDIRECT($AF$7), 0),
       MATCH(TRIM(W$13), INDIRECT($AF$8), 0))</f>
        <v>26</v>
      </c>
      <c r="X16" s="14" t="e">
        <f ca="1">INDEX(INDIRECT($AF$6),
       MATCH(TRIM($S16), INDIRECT($AF$7), 0),
       MATCH(TRIM(X$13), INDIRECT($AF$8), 0))</f>
        <v>#N/A</v>
      </c>
      <c r="Y16" s="14">
        <f ca="1">INDEX(INDIRECT($AF$6),
       MATCH(TRIM($S16), INDIRECT($AF$7), 0),
       MATCH(TRIM(Y$13), INDIRECT($AF$8), 0))</f>
        <v>37.106929999999998</v>
      </c>
      <c r="Z16" s="14">
        <f ca="1">INDEX(INDIRECT($AF$6),
       MATCH(TRIM($S16), INDIRECT($AF$7), 0),
       MATCH(TRIM(Z$13), INDIRECT($AF$8), 0))</f>
        <v>186</v>
      </c>
      <c r="AA16" s="14">
        <f ca="1">INDEX(INDIRECT($AF$6),
       MATCH(TRIM($S16), INDIRECT($AF$7), 0),
       MATCH(TRIM(AA$13), INDIRECT($AF$8), 0))</f>
        <v>1196.4831572700007</v>
      </c>
      <c r="AB16" s="14">
        <f t="shared" ca="1" si="0"/>
        <v>3142.6715362700006</v>
      </c>
    </row>
    <row r="17" spans="1:28" ht="57" x14ac:dyDescent="0.2">
      <c r="A17" s="26">
        <v>3</v>
      </c>
      <c r="B17" s="27" t="s">
        <v>9</v>
      </c>
      <c r="C17" s="28">
        <f ca="1">INDEX(INDIRECT($P$6),
       MATCH(TRIM($B17), INDIRECT($P$7), 0),
       MATCH(TRIM(C$14), INDIRECT($P$8), 0))</f>
        <v>75</v>
      </c>
      <c r="D17" s="28" t="e">
        <f ca="1">INDEX(INDIRECT($P$6),
       MATCH(TRIM($B17), INDIRECT($P$7), 0),
       MATCH(TRIM(D$14), INDIRECT($P$8), 0))</f>
        <v>#N/A</v>
      </c>
      <c r="E17" s="28">
        <f ca="1">INDEX(INDIRECT($P$6),
       MATCH(TRIM($B17), INDIRECT($P$7), 0),
       MATCH(TRIM(E$14), INDIRECT($P$8), 0))</f>
        <v>1815.61165716</v>
      </c>
      <c r="F17" s="28">
        <f ca="1">INDEX(INDIRECT($P$6),
       MATCH(TRIM($B17), INDIRECT($P$7), 0),
       MATCH(TRIM(F$14), INDIRECT($P$8), 0))</f>
        <v>37</v>
      </c>
      <c r="G17" s="28" t="e">
        <f ca="1">INDEX(INDIRECT($P$6),
       MATCH(TRIM($B17), INDIRECT($P$7), 0),
       MATCH(TRIM(G$14), INDIRECT($P$8), 0))</f>
        <v>#N/A</v>
      </c>
      <c r="H17" s="28">
        <f ca="1">INDEX(INDIRECT($P$6),
       MATCH(TRIM($B17), INDIRECT($P$7), 0),
       MATCH(TRIM(H$14), INDIRECT($P$8), 0))</f>
        <v>1059.2755239999999</v>
      </c>
      <c r="I17" s="28">
        <f ca="1">INDEX(INDIRECT($P$6),
       MATCH(TRIM($B17), INDIRECT($P$7), 0),
       MATCH(TRIM(I$14), INDIRECT($P$8), 0))</f>
        <v>103</v>
      </c>
      <c r="J17" s="28">
        <f ca="1">INDEX(INDIRECT($P$6),
       MATCH(TRIM($B17), INDIRECT($P$7), 0),
       MATCH(TRIM(J$14), INDIRECT($P$8), 0))</f>
        <v>1576.5493293699999</v>
      </c>
      <c r="K17" s="28">
        <f t="shared" ca="1" si="1"/>
        <v>4451.4365105300003</v>
      </c>
      <c r="L17" s="46"/>
      <c r="M17" s="46"/>
      <c r="R17">
        <v>4</v>
      </c>
      <c r="S17" t="s">
        <v>41</v>
      </c>
      <c r="T17" s="14">
        <f ca="1">INDEX(INDIRECT($AF$6),
       MATCH(TRIM($S17), INDIRECT($AF$7), 0),
       MATCH(TRIM(T$13), INDIRECT($AF$8), 0))</f>
        <v>51</v>
      </c>
      <c r="U17" s="14" t="e">
        <f ca="1">INDEX(INDIRECT($AF$6),
       MATCH(TRIM($S17), INDIRECT($AF$7), 0),
       MATCH(TRIM(U$13), INDIRECT($AF$8), 0))</f>
        <v>#N/A</v>
      </c>
      <c r="V17" s="14">
        <f ca="1">INDEX(INDIRECT($AF$6),
       MATCH(TRIM($S17), INDIRECT($AF$7), 0),
       MATCH(TRIM(V$13), INDIRECT($AF$8), 0))</f>
        <v>485.188061</v>
      </c>
      <c r="W17" s="14">
        <f ca="1">INDEX(INDIRECT($AF$6),
       MATCH(TRIM($S17), INDIRECT($AF$7), 0),
       MATCH(TRIM(W$13), INDIRECT($AF$8), 0))</f>
        <v>90</v>
      </c>
      <c r="X17" s="14" t="e">
        <f ca="1">INDEX(INDIRECT($AF$6),
       MATCH(TRIM($S17), INDIRECT($AF$7), 0),
       MATCH(TRIM(X$13), INDIRECT($AF$8), 0))</f>
        <v>#N/A</v>
      </c>
      <c r="Y17" s="14">
        <f ca="1">INDEX(INDIRECT($AF$6),
       MATCH(TRIM($S17), INDIRECT($AF$7), 0),
       MATCH(TRIM(Y$13), INDIRECT($AF$8), 0))</f>
        <v>593.53859133374999</v>
      </c>
      <c r="Z17" s="14">
        <f ca="1">INDEX(INDIRECT($AF$6),
       MATCH(TRIM($S17), INDIRECT($AF$7), 0),
       MATCH(TRIM(Z$13), INDIRECT($AF$8), 0))</f>
        <v>66</v>
      </c>
      <c r="AA17" s="14">
        <f ca="1">INDEX(INDIRECT($AF$6),
       MATCH(TRIM($S17), INDIRECT($AF$7), 0),
       MATCH(TRIM(AA$13), INDIRECT($AF$8), 0))</f>
        <v>173.36632086999998</v>
      </c>
      <c r="AB17" s="14">
        <f t="shared" ca="1" si="0"/>
        <v>1252.09297320375</v>
      </c>
    </row>
    <row r="18" spans="1:28" x14ac:dyDescent="0.2">
      <c r="A18" s="26">
        <v>4</v>
      </c>
      <c r="B18" s="27" t="s">
        <v>10</v>
      </c>
      <c r="C18" s="28">
        <f ca="1">INDEX(INDIRECT($P$6),
       MATCH(TRIM($B18), INDIRECT($P$7), 0),
       MATCH(TRIM(C$14), INDIRECT($P$8), 0))</f>
        <v>32</v>
      </c>
      <c r="D18" s="28" t="e">
        <f ca="1">INDEX(INDIRECT($P$6),
       MATCH(TRIM($B18), INDIRECT($P$7), 0),
       MATCH(TRIM(D$14), INDIRECT($P$8), 0))</f>
        <v>#N/A</v>
      </c>
      <c r="E18" s="28">
        <f ca="1">INDEX(INDIRECT($P$6),
       MATCH(TRIM($B18), INDIRECT($P$7), 0),
       MATCH(TRIM(E$14), INDIRECT($P$8), 0))</f>
        <v>94.041567090000001</v>
      </c>
      <c r="F18" s="28">
        <f ca="1">INDEX(INDIRECT($P$6),
       MATCH(TRIM($B18), INDIRECT($P$7), 0),
       MATCH(TRIM(F$14), INDIRECT($P$8), 0))</f>
        <v>23</v>
      </c>
      <c r="G18" s="28" t="e">
        <f ca="1">INDEX(INDIRECT($P$6),
       MATCH(TRIM($B18), INDIRECT($P$7), 0),
       MATCH(TRIM(G$14), INDIRECT($P$8), 0))</f>
        <v>#N/A</v>
      </c>
      <c r="H18" s="28">
        <f ca="1">INDEX(INDIRECT($P$6),
       MATCH(TRIM($B18), INDIRECT($P$7), 0),
       MATCH(TRIM(H$14), INDIRECT($P$8), 0))</f>
        <v>35.539262363281253</v>
      </c>
      <c r="I18" s="28">
        <f ca="1">INDEX(INDIRECT($P$6),
       MATCH(TRIM($B18), INDIRECT($P$7), 0),
       MATCH(TRIM(I$14), INDIRECT($P$8), 0))</f>
        <v>77</v>
      </c>
      <c r="J18" s="28">
        <f ca="1">INDEX(INDIRECT($P$6),
       MATCH(TRIM($B18), INDIRECT($P$7), 0),
       MATCH(TRIM(J$14), INDIRECT($P$8), 0))</f>
        <v>117.90348286</v>
      </c>
      <c r="K18" s="28">
        <f t="shared" ca="1" si="1"/>
        <v>247.48431231328124</v>
      </c>
      <c r="L18" s="46"/>
      <c r="M18" s="46"/>
      <c r="R18">
        <v>5</v>
      </c>
      <c r="S18" t="s">
        <v>38</v>
      </c>
      <c r="T18" s="14">
        <f ca="1">INDEX(INDIRECT($AF$6),
       MATCH(TRIM($S18), INDIRECT($AF$7), 0),
       MATCH(TRIM(T$13), INDIRECT($AF$8), 0))</f>
        <v>147</v>
      </c>
      <c r="U18" s="14" t="e">
        <f ca="1">INDEX(INDIRECT($AF$6),
       MATCH(TRIM($S18), INDIRECT($AF$7), 0),
       MATCH(TRIM(U$13), INDIRECT($AF$8), 0))</f>
        <v>#N/A</v>
      </c>
      <c r="V18" s="14">
        <f ca="1">INDEX(INDIRECT($AF$6),
       MATCH(TRIM($S18), INDIRECT($AF$7), 0),
       MATCH(TRIM(V$13), INDIRECT($AF$8), 0))</f>
        <v>503.08780029000002</v>
      </c>
      <c r="W18" s="14">
        <f ca="1">INDEX(INDIRECT($AF$6),
       MATCH(TRIM($S18), INDIRECT($AF$7), 0),
       MATCH(TRIM(W$13), INDIRECT($AF$8), 0))</f>
        <v>123</v>
      </c>
      <c r="X18" s="14" t="e">
        <f ca="1">INDEX(INDIRECT($AF$6),
       MATCH(TRIM($S18), INDIRECT($AF$7), 0),
       MATCH(TRIM(X$13), INDIRECT($AF$8), 0))</f>
        <v>#N/A</v>
      </c>
      <c r="Y18" s="14">
        <f ca="1">INDEX(INDIRECT($AF$6),
       MATCH(TRIM($S18), INDIRECT($AF$7), 0),
       MATCH(TRIM(Y$13), INDIRECT($AF$8), 0))</f>
        <v>1685.6250685375062</v>
      </c>
      <c r="Z18" s="14">
        <f ca="1">INDEX(INDIRECT($AF$6),
       MATCH(TRIM($S18), INDIRECT($AF$7), 0),
       MATCH(TRIM(Z$13), INDIRECT($AF$8), 0))</f>
        <v>60</v>
      </c>
      <c r="AA18" s="14">
        <f ca="1">INDEX(INDIRECT($AF$6),
       MATCH(TRIM($S18), INDIRECT($AF$7), 0),
       MATCH(TRIM(AA$13), INDIRECT($AF$8), 0))</f>
        <v>55.18678786000001</v>
      </c>
      <c r="AB18" s="14">
        <f t="shared" ca="1" si="0"/>
        <v>2243.8996566875062</v>
      </c>
    </row>
    <row r="19" spans="1:28" ht="71" x14ac:dyDescent="0.2">
      <c r="A19" s="26">
        <v>5</v>
      </c>
      <c r="B19" s="27" t="s">
        <v>11</v>
      </c>
      <c r="C19" s="28">
        <f ca="1">INDEX(INDIRECT($P$6),
       MATCH(TRIM($B19), INDIRECT($P$7), 0),
       MATCH(TRIM(C$14), INDIRECT($P$8), 0))</f>
        <v>611</v>
      </c>
      <c r="D19" s="28" t="e">
        <f ca="1">INDEX(INDIRECT($P$6),
       MATCH(TRIM($B19), INDIRECT($P$7), 0),
       MATCH(TRIM(D$14), INDIRECT($P$8), 0))</f>
        <v>#N/A</v>
      </c>
      <c r="E19" s="28">
        <f ca="1">INDEX(INDIRECT($P$6),
       MATCH(TRIM($B19), INDIRECT($P$7), 0),
       MATCH(TRIM(E$14), INDIRECT($P$8), 0))</f>
        <v>318.48201896000006</v>
      </c>
      <c r="F19" s="28">
        <f ca="1">INDEX(INDIRECT($P$6),
       MATCH(TRIM($B19), INDIRECT($P$7), 0),
       MATCH(TRIM(F$14), INDIRECT($P$8), 0))</f>
        <v>151</v>
      </c>
      <c r="G19" s="28" t="e">
        <f ca="1">INDEX(INDIRECT($P$6),
       MATCH(TRIM($B19), INDIRECT($P$7), 0),
       MATCH(TRIM(G$14), INDIRECT($P$8), 0))</f>
        <v>#N/A</v>
      </c>
      <c r="H19" s="28">
        <f ca="1">INDEX(INDIRECT($P$6),
       MATCH(TRIM($B19), INDIRECT($P$7), 0),
       MATCH(TRIM(H$14), INDIRECT($P$8), 0))</f>
        <v>297.36366116578125</v>
      </c>
      <c r="I19" s="28">
        <f ca="1">INDEX(INDIRECT($P$6),
       MATCH(TRIM($B19), INDIRECT($P$7), 0),
       MATCH(TRIM(I$14), INDIRECT($P$8), 0))</f>
        <v>1417</v>
      </c>
      <c r="J19" s="28">
        <f ca="1">INDEX(INDIRECT($P$6),
       MATCH(TRIM($B19), INDIRECT($P$7), 0),
       MATCH(TRIM(J$14), INDIRECT($P$8), 0))</f>
        <v>394.84804215999952</v>
      </c>
      <c r="K19" s="28">
        <f t="shared" ca="1" si="1"/>
        <v>1010.6937222857808</v>
      </c>
      <c r="L19" s="46"/>
      <c r="M19" s="46"/>
      <c r="R19">
        <v>6</v>
      </c>
      <c r="S19" t="s">
        <v>43</v>
      </c>
      <c r="T19" s="14">
        <f ca="1">INDEX(INDIRECT($AF$6),
       MATCH(TRIM($S19), INDIRECT($AF$7), 0),
       MATCH(TRIM(T$13), INDIRECT($AF$8), 0))</f>
        <v>91</v>
      </c>
      <c r="U19" s="14" t="e">
        <f ca="1">INDEX(INDIRECT($AF$6),
       MATCH(TRIM($S19), INDIRECT($AF$7), 0),
       MATCH(TRIM(U$13), INDIRECT($AF$8), 0))</f>
        <v>#N/A</v>
      </c>
      <c r="V19" s="14">
        <f ca="1">INDEX(INDIRECT($AF$6),
       MATCH(TRIM($S19), INDIRECT($AF$7), 0),
       MATCH(TRIM(V$13), INDIRECT($AF$8), 0))</f>
        <v>1139.0042105</v>
      </c>
      <c r="W19" s="14">
        <f ca="1">INDEX(INDIRECT($AF$6),
       MATCH(TRIM($S19), INDIRECT($AF$7), 0),
       MATCH(TRIM(W$13), INDIRECT($AF$8), 0))</f>
        <v>41</v>
      </c>
      <c r="X19" s="14" t="e">
        <f ca="1">INDEX(INDIRECT($AF$6),
       MATCH(TRIM($S19), INDIRECT($AF$7), 0),
       MATCH(TRIM(X$13), INDIRECT($AF$8), 0))</f>
        <v>#N/A</v>
      </c>
      <c r="Y19" s="14">
        <f ca="1">INDEX(INDIRECT($AF$6),
       MATCH(TRIM($S19), INDIRECT($AF$7), 0),
       MATCH(TRIM(Y$13), INDIRECT($AF$8), 0))</f>
        <v>792.73843621875005</v>
      </c>
      <c r="Z19" s="14">
        <f ca="1">INDEX(INDIRECT($AF$6),
       MATCH(TRIM($S19), INDIRECT($AF$7), 0),
       MATCH(TRIM(Z$13), INDIRECT($AF$8), 0))</f>
        <v>26</v>
      </c>
      <c r="AA19" s="14">
        <f ca="1">INDEX(INDIRECT($AF$6),
       MATCH(TRIM($S19), INDIRECT($AF$7), 0),
       MATCH(TRIM(AA$13), INDIRECT($AF$8), 0))</f>
        <v>31.483740909999998</v>
      </c>
      <c r="AB19" s="14">
        <f t="shared" ca="1" si="0"/>
        <v>1963.2263876287502</v>
      </c>
    </row>
    <row r="20" spans="1:28" ht="57" x14ac:dyDescent="0.2">
      <c r="A20" s="26">
        <v>6</v>
      </c>
      <c r="B20" s="27" t="s">
        <v>12</v>
      </c>
      <c r="C20" s="28">
        <f ca="1">INDEX(INDIRECT($P$6),
       MATCH(TRIM($B20), INDIRECT($P$7), 0),
       MATCH(TRIM(C$14), INDIRECT($P$8), 0))</f>
        <v>12</v>
      </c>
      <c r="D20" s="28" t="e">
        <f ca="1">INDEX(INDIRECT($P$6),
       MATCH(TRIM($B20), INDIRECT($P$7), 0),
       MATCH(TRIM(D$14), INDIRECT($P$8), 0))</f>
        <v>#N/A</v>
      </c>
      <c r="E20" s="28">
        <f ca="1">INDEX(INDIRECT($P$6),
       MATCH(TRIM($B20), INDIRECT($P$7), 0),
       MATCH(TRIM(E$14), INDIRECT($P$8), 0))</f>
        <v>29.595246900000003</v>
      </c>
      <c r="F20" s="28">
        <f ca="1">INDEX(INDIRECT($P$6),
       MATCH(TRIM($B20), INDIRECT($P$7), 0),
       MATCH(TRIM(F$14), INDIRECT($P$8), 0))</f>
        <v>5</v>
      </c>
      <c r="G20" s="28" t="e">
        <f ca="1">INDEX(INDIRECT($P$6),
       MATCH(TRIM($B20), INDIRECT($P$7), 0),
       MATCH(TRIM(G$14), INDIRECT($P$8), 0))</f>
        <v>#N/A</v>
      </c>
      <c r="H20" s="28">
        <f ca="1">INDEX(INDIRECT($P$6),
       MATCH(TRIM($B20), INDIRECT($P$7), 0),
       MATCH(TRIM(H$14), INDIRECT($P$8), 0))</f>
        <v>11.665354687500001</v>
      </c>
      <c r="I20" s="28">
        <f ca="1">INDEX(INDIRECT($P$6),
       MATCH(TRIM($B20), INDIRECT($P$7), 0),
       MATCH(TRIM(I$14), INDIRECT($P$8), 0))</f>
        <v>16</v>
      </c>
      <c r="J20" s="28">
        <f ca="1">INDEX(INDIRECT($P$6),
       MATCH(TRIM($B20), INDIRECT($P$7), 0),
       MATCH(TRIM(J$14), INDIRECT($P$8), 0))</f>
        <v>26.698707900000006</v>
      </c>
      <c r="K20" s="28">
        <f t="shared" ca="1" si="1"/>
        <v>67.959309487500008</v>
      </c>
      <c r="L20" s="46"/>
      <c r="M20" s="46"/>
      <c r="R20">
        <v>7</v>
      </c>
      <c r="S20" t="s">
        <v>46</v>
      </c>
      <c r="T20" s="14">
        <f ca="1">INDEX(INDIRECT($AF$6),
       MATCH(TRIM($S20), INDIRECT($AF$7), 0),
       MATCH(TRIM(T$13), INDIRECT($AF$8), 0))</f>
        <v>18</v>
      </c>
      <c r="U20" s="14" t="e">
        <f ca="1">INDEX(INDIRECT($AF$6),
       MATCH(TRIM($S20), INDIRECT($AF$7), 0),
       MATCH(TRIM(U$13), INDIRECT($AF$8), 0))</f>
        <v>#N/A</v>
      </c>
      <c r="V20" s="14">
        <f ca="1">INDEX(INDIRECT($AF$6),
       MATCH(TRIM($S20), INDIRECT($AF$7), 0),
       MATCH(TRIM(V$13), INDIRECT($AF$8), 0))</f>
        <v>537.80097499999999</v>
      </c>
      <c r="W20" s="14">
        <f ca="1">INDEX(INDIRECT($AF$6),
       MATCH(TRIM($S20), INDIRECT($AF$7), 0),
       MATCH(TRIM(W$13), INDIRECT($AF$8), 0))</f>
        <v>19</v>
      </c>
      <c r="X20" s="14" t="e">
        <f ca="1">INDEX(INDIRECT($AF$6),
       MATCH(TRIM($S20), INDIRECT($AF$7), 0),
       MATCH(TRIM(X$13), INDIRECT($AF$8), 0))</f>
        <v>#N/A</v>
      </c>
      <c r="Y20" s="14">
        <f ca="1">INDEX(INDIRECT($AF$6),
       MATCH(TRIM($S20), INDIRECT($AF$7), 0),
       MATCH(TRIM(Y$13), INDIRECT($AF$8), 0))</f>
        <v>155.03333268750001</v>
      </c>
      <c r="Z20" s="14">
        <f ca="1">INDEX(INDIRECT($AF$6),
       MATCH(TRIM($S20), INDIRECT($AF$7), 0),
       MATCH(TRIM(Z$13), INDIRECT($AF$8), 0))</f>
        <v>7</v>
      </c>
      <c r="AA20" s="14">
        <f ca="1">INDEX(INDIRECT($AF$6),
       MATCH(TRIM($S20), INDIRECT($AF$7), 0),
       MATCH(TRIM(AA$13), INDIRECT($AF$8), 0))</f>
        <v>5.4872517599999995</v>
      </c>
      <c r="AB20" s="14">
        <f t="shared" ca="1" si="0"/>
        <v>698.32155944750002</v>
      </c>
    </row>
    <row r="21" spans="1:28" ht="71" x14ac:dyDescent="0.2">
      <c r="A21" s="26">
        <v>7</v>
      </c>
      <c r="B21" s="27" t="s">
        <v>13</v>
      </c>
      <c r="C21" s="28">
        <f ca="1">INDEX(INDIRECT($P$6),
       MATCH(TRIM($B21), INDIRECT($P$7), 0),
       MATCH(TRIM(C$14), INDIRECT($P$8), 0))</f>
        <v>331</v>
      </c>
      <c r="D21" s="28" t="e">
        <f ca="1">INDEX(INDIRECT($P$6),
       MATCH(TRIM($B21), INDIRECT($P$7), 0),
       MATCH(TRIM(D$14), INDIRECT($P$8), 0))</f>
        <v>#N/A</v>
      </c>
      <c r="E21" s="28">
        <f ca="1">INDEX(INDIRECT($P$6),
       MATCH(TRIM($B21), INDIRECT($P$7), 0),
       MATCH(TRIM(E$14), INDIRECT($P$8), 0))</f>
        <v>248.97973805999996</v>
      </c>
      <c r="F21" s="28">
        <f ca="1">INDEX(INDIRECT($P$6),
       MATCH(TRIM($B21), INDIRECT($P$7), 0),
       MATCH(TRIM(F$14), INDIRECT($P$8), 0))</f>
        <v>106</v>
      </c>
      <c r="G21" s="28" t="e">
        <f ca="1">INDEX(INDIRECT($P$6),
       MATCH(TRIM($B21), INDIRECT($P$7), 0),
       MATCH(TRIM(G$14), INDIRECT($P$8), 0))</f>
        <v>#N/A</v>
      </c>
      <c r="H21" s="28">
        <f ca="1">INDEX(INDIRECT($P$6),
       MATCH(TRIM($B21), INDIRECT($P$7), 0),
       MATCH(TRIM(H$14), INDIRECT($P$8), 0))</f>
        <v>172.43471217500002</v>
      </c>
      <c r="I21" s="28">
        <f ca="1">INDEX(INDIRECT($P$6),
       MATCH(TRIM($B21), INDIRECT($P$7), 0),
       MATCH(TRIM(I$14), INDIRECT($P$8), 0))</f>
        <v>603</v>
      </c>
      <c r="J21" s="28">
        <f ca="1">INDEX(INDIRECT($P$6),
       MATCH(TRIM($B21), INDIRECT($P$7), 0),
       MATCH(TRIM(J$14), INDIRECT($P$8), 0))</f>
        <v>867.89743933</v>
      </c>
      <c r="K21" s="28">
        <f t="shared" ca="1" si="1"/>
        <v>1289.311889565</v>
      </c>
      <c r="L21" s="46"/>
      <c r="M21" s="46"/>
      <c r="R21">
        <v>8</v>
      </c>
      <c r="S21" t="s">
        <v>47</v>
      </c>
      <c r="T21" s="14">
        <f ca="1">INDEX(INDIRECT($AF$6),
       MATCH(TRIM($S21), INDIRECT($AF$7), 0),
       MATCH(TRIM(T$13), INDIRECT($AF$8), 0))</f>
        <v>36</v>
      </c>
      <c r="U21" s="14" t="e">
        <f ca="1">INDEX(INDIRECT($AF$6),
       MATCH(TRIM($S21), INDIRECT($AF$7), 0),
       MATCH(TRIM(U$13), INDIRECT($AF$8), 0))</f>
        <v>#N/A</v>
      </c>
      <c r="V21" s="14">
        <f ca="1">INDEX(INDIRECT($AF$6),
       MATCH(TRIM($S21), INDIRECT($AF$7), 0),
       MATCH(TRIM(V$13), INDIRECT($AF$8), 0))</f>
        <v>438.96041700000001</v>
      </c>
      <c r="W21" s="14">
        <f ca="1">INDEX(INDIRECT($AF$6),
       MATCH(TRIM($S21), INDIRECT($AF$7), 0),
       MATCH(TRIM(W$13), INDIRECT($AF$8), 0))</f>
        <v>45</v>
      </c>
      <c r="X21" s="14" t="e">
        <f ca="1">INDEX(INDIRECT($AF$6),
       MATCH(TRIM($S21), INDIRECT($AF$7), 0),
       MATCH(TRIM(X$13), INDIRECT($AF$8), 0))</f>
        <v>#N/A</v>
      </c>
      <c r="Y21" s="14">
        <f ca="1">INDEX(INDIRECT($AF$6),
       MATCH(TRIM($S21), INDIRECT($AF$7), 0),
       MATCH(TRIM(Y$13), INDIRECT($AF$8), 0))</f>
        <v>678.16328099999998</v>
      </c>
      <c r="Z21" s="14">
        <f ca="1">INDEX(INDIRECT($AF$6),
       MATCH(TRIM($S21), INDIRECT($AF$7), 0),
       MATCH(TRIM(Z$13), INDIRECT($AF$8), 0))</f>
        <v>30</v>
      </c>
      <c r="AA21" s="14">
        <f ca="1">INDEX(INDIRECT($AF$6),
       MATCH(TRIM($S21), INDIRECT($AF$7), 0),
       MATCH(TRIM(AA$13), INDIRECT($AF$8), 0))</f>
        <v>97.50466775999999</v>
      </c>
      <c r="AB21" s="14">
        <f t="shared" ca="1" si="0"/>
        <v>1214.62836576</v>
      </c>
    </row>
    <row r="22" spans="1:28" ht="29" x14ac:dyDescent="0.2">
      <c r="A22" s="26">
        <v>8</v>
      </c>
      <c r="B22" s="27" t="s">
        <v>14</v>
      </c>
      <c r="C22" s="28">
        <f ca="1">INDEX(INDIRECT($P$6),
       MATCH(TRIM($B22), INDIRECT($P$7), 0),
       MATCH(TRIM(C$14), INDIRECT($P$8), 0))</f>
        <v>72</v>
      </c>
      <c r="D22" s="28" t="e">
        <f ca="1">INDEX(INDIRECT($P$6),
       MATCH(TRIM($B22), INDIRECT($P$7), 0),
       MATCH(TRIM(D$14), INDIRECT($P$8), 0))</f>
        <v>#N/A</v>
      </c>
      <c r="E22" s="28">
        <f ca="1">INDEX(INDIRECT($P$6),
       MATCH(TRIM($B22), INDIRECT($P$7), 0),
       MATCH(TRIM(E$14), INDIRECT($P$8), 0))</f>
        <v>356.32394249999999</v>
      </c>
      <c r="F22" s="28">
        <f ca="1">INDEX(INDIRECT($P$6),
       MATCH(TRIM($B22), INDIRECT($P$7), 0),
       MATCH(TRIM(F$14), INDIRECT($P$8), 0))</f>
        <v>16</v>
      </c>
      <c r="G22" s="28" t="e">
        <f ca="1">INDEX(INDIRECT($P$6),
       MATCH(TRIM($B22), INDIRECT($P$7), 0),
       MATCH(TRIM(G$14), INDIRECT($P$8), 0))</f>
        <v>#N/A</v>
      </c>
      <c r="H22" s="28">
        <f ca="1">INDEX(INDIRECT($P$6),
       MATCH(TRIM($B22), INDIRECT($P$7), 0),
       MATCH(TRIM(H$14), INDIRECT($P$8), 0))</f>
        <v>46.775494000000002</v>
      </c>
      <c r="I22" s="28">
        <f ca="1">INDEX(INDIRECT($P$6),
       MATCH(TRIM($B22), INDIRECT($P$7), 0),
       MATCH(TRIM(I$14), INDIRECT($P$8), 0))</f>
        <v>133</v>
      </c>
      <c r="J22" s="28">
        <f ca="1">INDEX(INDIRECT($P$6),
       MATCH(TRIM($B22), INDIRECT($P$7), 0),
       MATCH(TRIM(J$14), INDIRECT($P$8), 0))</f>
        <v>35.809356149999992</v>
      </c>
      <c r="K22" s="28">
        <f t="shared" ca="1" si="1"/>
        <v>438.90879264999995</v>
      </c>
      <c r="L22" s="46"/>
      <c r="M22" s="46"/>
      <c r="R22">
        <v>9</v>
      </c>
      <c r="S22" t="s">
        <v>44</v>
      </c>
      <c r="T22" s="14">
        <f ca="1">INDEX(INDIRECT($AF$6),
       MATCH(TRIM($S22), INDIRECT($AF$7), 0),
       MATCH(TRIM(T$13), INDIRECT($AF$8), 0))</f>
        <v>17</v>
      </c>
      <c r="U22" s="14" t="e">
        <f ca="1">INDEX(INDIRECT($AF$6),
       MATCH(TRIM($S22), INDIRECT($AF$7), 0),
       MATCH(TRIM(U$13), INDIRECT($AF$8), 0))</f>
        <v>#N/A</v>
      </c>
      <c r="V22" s="14">
        <f ca="1">INDEX(INDIRECT($AF$6),
       MATCH(TRIM($S22), INDIRECT($AF$7), 0),
       MATCH(TRIM(V$13), INDIRECT($AF$8), 0))</f>
        <v>282.13172500000002</v>
      </c>
      <c r="W22" s="14">
        <f ca="1">INDEX(INDIRECT($AF$6),
       MATCH(TRIM($S22), INDIRECT($AF$7), 0),
       MATCH(TRIM(W$13), INDIRECT($AF$8), 0))</f>
        <v>7</v>
      </c>
      <c r="X22" s="14" t="e">
        <f ca="1">INDEX(INDIRECT($AF$6),
       MATCH(TRIM($S22), INDIRECT($AF$7), 0),
       MATCH(TRIM(X$13), INDIRECT($AF$8), 0))</f>
        <v>#N/A</v>
      </c>
      <c r="Y22" s="14">
        <f ca="1">INDEX(INDIRECT($AF$6),
       MATCH(TRIM($S22), INDIRECT($AF$7), 0),
       MATCH(TRIM(Y$13), INDIRECT($AF$8), 0))</f>
        <v>50.223269837890626</v>
      </c>
      <c r="Z22" s="14">
        <f ca="1">INDEX(INDIRECT($AF$6),
       MATCH(TRIM($S22), INDIRECT($AF$7), 0),
       MATCH(TRIM(Z$13), INDIRECT($AF$8), 0))</f>
        <v>22</v>
      </c>
      <c r="AA22" s="14">
        <f ca="1">INDEX(INDIRECT($AF$6),
       MATCH(TRIM($S22), INDIRECT($AF$7), 0),
       MATCH(TRIM(AA$13), INDIRECT($AF$8), 0))</f>
        <v>621.87116701000002</v>
      </c>
      <c r="AB22" s="14">
        <f t="shared" ca="1" si="0"/>
        <v>954.22616184789069</v>
      </c>
    </row>
    <row r="23" spans="1:28" ht="43" x14ac:dyDescent="0.2">
      <c r="A23" s="26">
        <v>9</v>
      </c>
      <c r="B23" s="27" t="s">
        <v>15</v>
      </c>
      <c r="C23" s="28">
        <f ca="1">INDEX(INDIRECT($P$6),
       MATCH(TRIM($B23), INDIRECT($P$7), 0),
       MATCH(TRIM(C$14), INDIRECT($P$8), 0))</f>
        <v>33</v>
      </c>
      <c r="D23" s="28" t="e">
        <f ca="1">INDEX(INDIRECT($P$6),
       MATCH(TRIM($B23), INDIRECT($P$7), 0),
       MATCH(TRIM(D$14), INDIRECT($P$8), 0))</f>
        <v>#N/A</v>
      </c>
      <c r="E23" s="28">
        <f ca="1">INDEX(INDIRECT($P$6),
       MATCH(TRIM($B23), INDIRECT($P$7), 0),
       MATCH(TRIM(E$14), INDIRECT($P$8), 0))</f>
        <v>7.5486475400000002</v>
      </c>
      <c r="F23" s="28">
        <f ca="1">INDEX(INDIRECT($P$6),
       MATCH(TRIM($B23), INDIRECT($P$7), 0),
       MATCH(TRIM(F$14), INDIRECT($P$8), 0))</f>
        <v>18</v>
      </c>
      <c r="G23" s="28" t="e">
        <f ca="1">INDEX(INDIRECT($P$6),
       MATCH(TRIM($B23), INDIRECT($P$7), 0),
       MATCH(TRIM(G$14), INDIRECT($P$8), 0))</f>
        <v>#N/A</v>
      </c>
      <c r="H23" s="28">
        <f ca="1">INDEX(INDIRECT($P$6),
       MATCH(TRIM($B23), INDIRECT($P$7), 0),
       MATCH(TRIM(H$14), INDIRECT($P$8), 0))</f>
        <v>-59.818035000000002</v>
      </c>
      <c r="I23" s="28">
        <f ca="1">INDEX(INDIRECT($P$6),
       MATCH(TRIM($B23), INDIRECT($P$7), 0),
       MATCH(TRIM(I$14), INDIRECT($P$8), 0))</f>
        <v>240</v>
      </c>
      <c r="J23" s="28">
        <f ca="1">INDEX(INDIRECT($P$6),
       MATCH(TRIM($B23), INDIRECT($P$7), 0),
       MATCH(TRIM(J$14), INDIRECT($P$8), 0))</f>
        <v>63.71167543</v>
      </c>
      <c r="K23" s="28">
        <f t="shared" ca="1" si="1"/>
        <v>11.442287969999995</v>
      </c>
      <c r="L23" s="46"/>
      <c r="M23" s="46"/>
      <c r="R23">
        <v>10</v>
      </c>
      <c r="S23" t="s">
        <v>51</v>
      </c>
      <c r="T23" s="14">
        <f ca="1">INDEX(INDIRECT($AF$6),
       MATCH(TRIM($S23), INDIRECT($AF$7), 0),
       MATCH(TRIM(T$13), INDIRECT($AF$8), 0))</f>
        <v>19</v>
      </c>
      <c r="U23" s="14" t="e">
        <f ca="1">INDEX(INDIRECT($AF$6),
       MATCH(TRIM($S23), INDIRECT($AF$7), 0),
       MATCH(TRIM(U$13), INDIRECT($AF$8), 0))</f>
        <v>#N/A</v>
      </c>
      <c r="V23" s="14">
        <f ca="1">INDEX(INDIRECT($AF$6),
       MATCH(TRIM($S23), INDIRECT($AF$7), 0),
       MATCH(TRIM(V$13), INDIRECT($AF$8), 0))</f>
        <v>176.86115599999999</v>
      </c>
      <c r="W23" s="14">
        <f ca="1">INDEX(INDIRECT($AF$6),
       MATCH(TRIM($S23), INDIRECT($AF$7), 0),
       MATCH(TRIM(W$13), INDIRECT($AF$8), 0))</f>
        <v>38</v>
      </c>
      <c r="X23" s="14" t="e">
        <f ca="1">INDEX(INDIRECT($AF$6),
       MATCH(TRIM($S23), INDIRECT($AF$7), 0),
       MATCH(TRIM(X$13), INDIRECT($AF$8), 0))</f>
        <v>#N/A</v>
      </c>
      <c r="Y23" s="14">
        <f ca="1">INDEX(INDIRECT($AF$6),
       MATCH(TRIM($S23), INDIRECT($AF$7), 0),
       MATCH(TRIM(Y$13), INDIRECT($AF$8), 0))</f>
        <v>350.59159262499998</v>
      </c>
      <c r="Z23" s="14">
        <f ca="1">INDEX(INDIRECT($AF$6),
       MATCH(TRIM($S23), INDIRECT($AF$7), 0),
       MATCH(TRIM(Z$13), INDIRECT($AF$8), 0))</f>
        <v>3</v>
      </c>
      <c r="AA23" s="14">
        <f ca="1">INDEX(INDIRECT($AF$6),
       MATCH(TRIM($S23), INDIRECT($AF$7), 0),
       MATCH(TRIM(AA$13), INDIRECT($AF$8), 0))</f>
        <v>0.75803962999999985</v>
      </c>
      <c r="AB23" s="14">
        <f t="shared" ca="1" si="0"/>
        <v>528.2107882549999</v>
      </c>
    </row>
    <row r="24" spans="1:28" ht="43" x14ac:dyDescent="0.2">
      <c r="A24" s="26">
        <v>10</v>
      </c>
      <c r="B24" s="27" t="s">
        <v>16</v>
      </c>
      <c r="C24" s="28">
        <f ca="1">INDEX(INDIRECT($P$6),
       MATCH(TRIM($B24), INDIRECT($P$7), 0),
       MATCH(TRIM(C$14), INDIRECT($P$8), 0))</f>
        <v>241</v>
      </c>
      <c r="D24" s="28" t="e">
        <f ca="1">INDEX(INDIRECT($P$6),
       MATCH(TRIM($B24), INDIRECT($P$7), 0),
       MATCH(TRIM(D$14), INDIRECT($P$8), 0))</f>
        <v>#N/A</v>
      </c>
      <c r="E24" s="28">
        <f ca="1">INDEX(INDIRECT($P$6),
       MATCH(TRIM($B24), INDIRECT($P$7), 0),
       MATCH(TRIM(E$14), INDIRECT($P$8), 0))</f>
        <v>182.85791655</v>
      </c>
      <c r="F24" s="28">
        <f ca="1">INDEX(INDIRECT($P$6),
       MATCH(TRIM($B24), INDIRECT($P$7), 0),
       MATCH(TRIM(F$14), INDIRECT($P$8), 0))</f>
        <v>52</v>
      </c>
      <c r="G24" s="28" t="e">
        <f ca="1">INDEX(INDIRECT($P$6),
       MATCH(TRIM($B24), INDIRECT($P$7), 0),
       MATCH(TRIM(G$14), INDIRECT($P$8), 0))</f>
        <v>#N/A</v>
      </c>
      <c r="H24" s="28">
        <f ca="1">INDEX(INDIRECT($P$6),
       MATCH(TRIM($B24), INDIRECT($P$7), 0),
       MATCH(TRIM(H$14), INDIRECT($P$8), 0))</f>
        <v>310.73379878906252</v>
      </c>
      <c r="I24" s="28">
        <f ca="1">INDEX(INDIRECT($P$6),
       MATCH(TRIM($B24), INDIRECT($P$7), 0),
       MATCH(TRIM(I$14), INDIRECT($P$8), 0))</f>
        <v>305</v>
      </c>
      <c r="J24" s="28">
        <f ca="1">INDEX(INDIRECT($P$6),
       MATCH(TRIM($B24), INDIRECT($P$7), 0),
       MATCH(TRIM(J$14), INDIRECT($P$8), 0))</f>
        <v>161.63767391000005</v>
      </c>
      <c r="K24" s="28">
        <f t="shared" ca="1" si="1"/>
        <v>655.22938924906248</v>
      </c>
      <c r="L24" s="46"/>
      <c r="M24" s="46"/>
      <c r="R24">
        <v>11</v>
      </c>
      <c r="S24" t="s">
        <v>45</v>
      </c>
      <c r="T24" s="14">
        <f ca="1">INDEX(INDIRECT($AF$6),
       MATCH(TRIM($S24), INDIRECT($AF$7), 0),
       MATCH(TRIM(T$13), INDIRECT($AF$8), 0))</f>
        <v>61</v>
      </c>
      <c r="U24" s="14" t="e">
        <f ca="1">INDEX(INDIRECT($AF$6),
       MATCH(TRIM($S24), INDIRECT($AF$7), 0),
       MATCH(TRIM(U$13), INDIRECT($AF$8), 0))</f>
        <v>#N/A</v>
      </c>
      <c r="V24" s="14">
        <f ca="1">INDEX(INDIRECT($AF$6),
       MATCH(TRIM($S24), INDIRECT($AF$7), 0),
       MATCH(TRIM(V$13), INDIRECT($AF$8), 0))</f>
        <v>468.88969850000001</v>
      </c>
      <c r="W24" s="14">
        <f ca="1">INDEX(INDIRECT($AF$6),
       MATCH(TRIM($S24), INDIRECT($AF$7), 0),
       MATCH(TRIM(W$13), INDIRECT($AF$8), 0))</f>
        <v>83</v>
      </c>
      <c r="X24" s="14" t="e">
        <f ca="1">INDEX(INDIRECT($AF$6),
       MATCH(TRIM($S24), INDIRECT($AF$7), 0),
       MATCH(TRIM(X$13), INDIRECT($AF$8), 0))</f>
        <v>#N/A</v>
      </c>
      <c r="Y24" s="14">
        <f ca="1">INDEX(INDIRECT($AF$6),
       MATCH(TRIM($S24), INDIRECT($AF$7), 0),
       MATCH(TRIM(Y$13), INDIRECT($AF$8), 0))</f>
        <v>315.14766142578122</v>
      </c>
      <c r="Z24" s="14">
        <f ca="1">INDEX(INDIRECT($AF$6),
       MATCH(TRIM($S24), INDIRECT($AF$7), 0),
       MATCH(TRIM(Z$13), INDIRECT($AF$8), 0))</f>
        <v>58</v>
      </c>
      <c r="AA24" s="14">
        <f ca="1">INDEX(INDIRECT($AF$6),
       MATCH(TRIM($S24), INDIRECT($AF$7), 0),
       MATCH(TRIM(AA$13), INDIRECT($AF$8), 0))</f>
        <v>62.341596810000013</v>
      </c>
      <c r="AB24" s="14">
        <f t="shared" ca="1" si="0"/>
        <v>846.37895673578123</v>
      </c>
    </row>
    <row r="25" spans="1:28" ht="57" x14ac:dyDescent="0.2">
      <c r="A25" s="26">
        <v>11</v>
      </c>
      <c r="B25" s="27" t="s">
        <v>17</v>
      </c>
      <c r="C25" s="28">
        <f ca="1">INDEX(INDIRECT($P$6),
       MATCH(TRIM($B25), INDIRECT($P$7), 0),
       MATCH(TRIM(C$14), INDIRECT($P$8), 0))</f>
        <v>54</v>
      </c>
      <c r="D25" s="28" t="e">
        <f ca="1">INDEX(INDIRECT($P$6),
       MATCH(TRIM($B25), INDIRECT($P$7), 0),
       MATCH(TRIM(D$14), INDIRECT($P$8), 0))</f>
        <v>#N/A</v>
      </c>
      <c r="E25" s="28">
        <f ca="1">INDEX(INDIRECT($P$6),
       MATCH(TRIM($B25), INDIRECT($P$7), 0),
       MATCH(TRIM(E$14), INDIRECT($P$8), 0))</f>
        <v>23.515754999999999</v>
      </c>
      <c r="F25" s="28">
        <f ca="1">INDEX(INDIRECT($P$6),
       MATCH(TRIM($B25), INDIRECT($P$7), 0),
       MATCH(TRIM(F$14), INDIRECT($P$8), 0))</f>
        <v>22</v>
      </c>
      <c r="G25" s="28" t="e">
        <f ca="1">INDEX(INDIRECT($P$6),
       MATCH(TRIM($B25), INDIRECT($P$7), 0),
       MATCH(TRIM(G$14), INDIRECT($P$8), 0))</f>
        <v>#N/A</v>
      </c>
      <c r="H25" s="28">
        <f ca="1">INDEX(INDIRECT($P$6),
       MATCH(TRIM($B25), INDIRECT($P$7), 0),
       MATCH(TRIM(H$14), INDIRECT($P$8), 0))</f>
        <v>12.501142140000001</v>
      </c>
      <c r="I25" s="28">
        <f ca="1">INDEX(INDIRECT($P$6),
       MATCH(TRIM($B25), INDIRECT($P$7), 0),
       MATCH(TRIM(I$14), INDIRECT($P$8), 0))</f>
        <v>70</v>
      </c>
      <c r="J25" s="28">
        <f ca="1">INDEX(INDIRECT($P$6),
       MATCH(TRIM($B25), INDIRECT($P$7), 0),
       MATCH(TRIM(J$14), INDIRECT($P$8), 0))</f>
        <v>27.652751050000006</v>
      </c>
      <c r="K25" s="28">
        <f t="shared" ca="1" si="1"/>
        <v>63.669648190000004</v>
      </c>
      <c r="L25" s="46"/>
      <c r="M25" s="46"/>
      <c r="R25">
        <v>12</v>
      </c>
      <c r="S25" t="s">
        <v>49</v>
      </c>
      <c r="T25" s="14">
        <f ca="1">INDEX(INDIRECT($AF$6),
       MATCH(TRIM($S25), INDIRECT($AF$7), 0),
       MATCH(TRIM(T$13), INDIRECT($AF$8), 0))</f>
        <v>17</v>
      </c>
      <c r="U25" s="14" t="e">
        <f ca="1">INDEX(INDIRECT($AF$6),
       MATCH(TRIM($S25), INDIRECT($AF$7), 0),
       MATCH(TRIM(U$13), INDIRECT($AF$8), 0))</f>
        <v>#N/A</v>
      </c>
      <c r="V25" s="14">
        <f ca="1">INDEX(INDIRECT($AF$6),
       MATCH(TRIM($S25), INDIRECT($AF$7), 0),
       MATCH(TRIM(V$13), INDIRECT($AF$8), 0))</f>
        <v>59.436506999999999</v>
      </c>
      <c r="W25" s="14">
        <f ca="1">INDEX(INDIRECT($AF$6),
       MATCH(TRIM($S25), INDIRECT($AF$7), 0),
       MATCH(TRIM(W$13), INDIRECT($AF$8), 0))</f>
        <v>33</v>
      </c>
      <c r="X25" s="14" t="e">
        <f ca="1">INDEX(INDIRECT($AF$6),
       MATCH(TRIM($S25), INDIRECT($AF$7), 0),
       MATCH(TRIM(X$13), INDIRECT($AF$8), 0))</f>
        <v>#N/A</v>
      </c>
      <c r="Y25" s="14">
        <f ca="1">INDEX(INDIRECT($AF$6),
       MATCH(TRIM($S25), INDIRECT($AF$7), 0),
       MATCH(TRIM(Y$13), INDIRECT($AF$8), 0))</f>
        <v>306.00791696875001</v>
      </c>
      <c r="Z25" s="14">
        <f ca="1">INDEX(INDIRECT($AF$6),
       MATCH(TRIM($S25), INDIRECT($AF$7), 0),
       MATCH(TRIM(Z$13), INDIRECT($AF$8), 0))</f>
        <v>21</v>
      </c>
      <c r="AA25" s="14">
        <f ca="1">INDEX(INDIRECT($AF$6),
       MATCH(TRIM($S25), INDIRECT($AF$7), 0),
       MATCH(TRIM(AA$13), INDIRECT($AF$8), 0))</f>
        <v>5.1632977999999996</v>
      </c>
      <c r="AB25" s="14">
        <f t="shared" ca="1" si="0"/>
        <v>370.60772176875003</v>
      </c>
    </row>
    <row r="26" spans="1:28" ht="29" x14ac:dyDescent="0.2">
      <c r="A26" s="26">
        <v>12</v>
      </c>
      <c r="B26" s="27" t="s">
        <v>18</v>
      </c>
      <c r="C26" s="28">
        <f ca="1">INDEX(INDIRECT($P$6),
       MATCH(TRIM($B26), INDIRECT($P$7), 0),
       MATCH(TRIM(C$14), INDIRECT($P$8), 0))</f>
        <v>2</v>
      </c>
      <c r="D26" s="28" t="e">
        <f ca="1">INDEX(INDIRECT($P$6),
       MATCH(TRIM($B26), INDIRECT($P$7), 0),
       MATCH(TRIM(D$14), INDIRECT($P$8), 0))</f>
        <v>#N/A</v>
      </c>
      <c r="E26" s="28">
        <f ca="1">INDEX(INDIRECT($P$6),
       MATCH(TRIM($B26), INDIRECT($P$7), 0),
       MATCH(TRIM(E$14), INDIRECT($P$8), 0))</f>
        <v>0.3</v>
      </c>
      <c r="F26" s="28">
        <f ca="1">INDEX(INDIRECT($P$6),
       MATCH(TRIM($B26), INDIRECT($P$7), 0),
       MATCH(TRIM(F$14), INDIRECT($P$8), 0))</f>
        <v>4</v>
      </c>
      <c r="G26" s="28" t="e">
        <f ca="1">INDEX(INDIRECT($P$6),
       MATCH(TRIM($B26), INDIRECT($P$7), 0),
       MATCH(TRIM(G$14), INDIRECT($P$8), 0))</f>
        <v>#N/A</v>
      </c>
      <c r="H26" s="28">
        <f ca="1">INDEX(INDIRECT($P$6),
       MATCH(TRIM($B26), INDIRECT($P$7), 0),
       MATCH(TRIM(H$14), INDIRECT($P$8), 0))</f>
        <v>3.3714050000000002</v>
      </c>
      <c r="I26" s="28">
        <f ca="1">INDEX(INDIRECT($P$6),
       MATCH(TRIM($B26), INDIRECT($P$7), 0),
       MATCH(TRIM(I$14), INDIRECT($P$8), 0))</f>
        <v>17</v>
      </c>
      <c r="J26" s="28">
        <f ca="1">INDEX(INDIRECT($P$6),
       MATCH(TRIM($B26), INDIRECT($P$7), 0),
       MATCH(TRIM(J$14), INDIRECT($P$8), 0))</f>
        <v>2.2449920099999998</v>
      </c>
      <c r="K26" s="28">
        <f t="shared" ca="1" si="1"/>
        <v>5.9163970099999998</v>
      </c>
      <c r="L26" s="46"/>
      <c r="M26" s="46"/>
      <c r="R26">
        <v>13</v>
      </c>
      <c r="S26" t="s">
        <v>55</v>
      </c>
      <c r="T26" s="14">
        <f ca="1">INDEX(INDIRECT($AF$6),
       MATCH(TRIM($S26), INDIRECT($AF$7), 0),
       MATCH(TRIM(T$13), INDIRECT($AF$8), 0))</f>
        <v>5</v>
      </c>
      <c r="U26" s="14" t="e">
        <f ca="1">INDEX(INDIRECT($AF$6),
       MATCH(TRIM($S26), INDIRECT($AF$7), 0),
       MATCH(TRIM(U$13), INDIRECT($AF$8), 0))</f>
        <v>#N/A</v>
      </c>
      <c r="V26" s="14">
        <f ca="1">INDEX(INDIRECT($AF$6),
       MATCH(TRIM($S26), INDIRECT($AF$7), 0),
       MATCH(TRIM(V$13), INDIRECT($AF$8), 0))</f>
        <v>323</v>
      </c>
      <c r="W26" s="14">
        <f ca="1">INDEX(INDIRECT($AF$6),
       MATCH(TRIM($S26), INDIRECT($AF$7), 0),
       MATCH(TRIM(W$13), INDIRECT($AF$8), 0))</f>
        <v>11</v>
      </c>
      <c r="X26" s="14" t="e">
        <f ca="1">INDEX(INDIRECT($AF$6),
       MATCH(TRIM($S26), INDIRECT($AF$7), 0),
       MATCH(TRIM(X$13), INDIRECT($AF$8), 0))</f>
        <v>#N/A</v>
      </c>
      <c r="Y26" s="14">
        <f ca="1">INDEX(INDIRECT($AF$6),
       MATCH(TRIM($S26), INDIRECT($AF$7), 0),
       MATCH(TRIM(Y$13), INDIRECT($AF$8), 0))</f>
        <v>1212.1587360000001</v>
      </c>
      <c r="Z26" s="14">
        <f ca="1">INDEX(INDIRECT($AF$6),
       MATCH(TRIM($S26), INDIRECT($AF$7), 0),
       MATCH(TRIM(Z$13), INDIRECT($AF$8), 0))</f>
        <v>7</v>
      </c>
      <c r="AA26" s="14">
        <f ca="1">INDEX(INDIRECT($AF$6),
       MATCH(TRIM($S26), INDIRECT($AF$7), 0),
       MATCH(TRIM(AA$13), INDIRECT($AF$8), 0))</f>
        <v>10.465306</v>
      </c>
      <c r="AB26" s="14">
        <f t="shared" ca="1" si="0"/>
        <v>1545.6240420000001</v>
      </c>
    </row>
    <row r="27" spans="1:28" ht="29" x14ac:dyDescent="0.2">
      <c r="A27" s="26">
        <v>13</v>
      </c>
      <c r="B27" s="27" t="s">
        <v>19</v>
      </c>
      <c r="C27" s="28">
        <f ca="1">INDEX(INDIRECT($P$6),
       MATCH(TRIM($B27), INDIRECT($P$7), 0),
       MATCH(TRIM(C$14), INDIRECT($P$8), 0))</f>
        <v>36</v>
      </c>
      <c r="D27" s="28" t="e">
        <f ca="1">INDEX(INDIRECT($P$6),
       MATCH(TRIM($B27), INDIRECT($P$7), 0),
       MATCH(TRIM(D$14), INDIRECT($P$8), 0))</f>
        <v>#N/A</v>
      </c>
      <c r="E27" s="28">
        <f ca="1">INDEX(INDIRECT($P$6),
       MATCH(TRIM($B27), INDIRECT($P$7), 0),
       MATCH(TRIM(E$14), INDIRECT($P$8), 0))</f>
        <v>11.92994532</v>
      </c>
      <c r="F27" s="28">
        <f ca="1">INDEX(INDIRECT($P$6),
       MATCH(TRIM($B27), INDIRECT($P$7), 0),
       MATCH(TRIM(F$14), INDIRECT($P$8), 0))</f>
        <v>16</v>
      </c>
      <c r="G27" s="28" t="e">
        <f ca="1">INDEX(INDIRECT($P$6),
       MATCH(TRIM($B27), INDIRECT($P$7), 0),
       MATCH(TRIM(G$14), INDIRECT($P$8), 0))</f>
        <v>#N/A</v>
      </c>
      <c r="H27" s="28">
        <f ca="1">INDEX(INDIRECT($P$6),
       MATCH(TRIM($B27), INDIRECT($P$7), 0),
       MATCH(TRIM(H$14), INDIRECT($P$8), 0))</f>
        <v>136.78070360546874</v>
      </c>
      <c r="I27" s="28">
        <f ca="1">INDEX(INDIRECT($P$6),
       MATCH(TRIM($B27), INDIRECT($P$7), 0),
       MATCH(TRIM(I$14), INDIRECT($P$8), 0))</f>
        <v>51</v>
      </c>
      <c r="J27" s="28">
        <f ca="1">INDEX(INDIRECT($P$6),
       MATCH(TRIM($B27), INDIRECT($P$7), 0),
       MATCH(TRIM(J$14), INDIRECT($P$8), 0))</f>
        <v>104.70366788999999</v>
      </c>
      <c r="K27" s="28">
        <f t="shared" ca="1" si="1"/>
        <v>253.41431681546874</v>
      </c>
      <c r="L27" s="46"/>
      <c r="M27" s="46"/>
      <c r="R27">
        <v>14</v>
      </c>
      <c r="S27" t="s">
        <v>50</v>
      </c>
      <c r="T27" s="14">
        <f ca="1">INDEX(INDIRECT($AF$6),
       MATCH(TRIM($S27), INDIRECT($AF$7), 0),
       MATCH(TRIM(T$13), INDIRECT($AF$8), 0))</f>
        <v>28</v>
      </c>
      <c r="U27" s="14" t="e">
        <f ca="1">INDEX(INDIRECT($AF$6),
       MATCH(TRIM($S27), INDIRECT($AF$7), 0),
       MATCH(TRIM(U$13), INDIRECT($AF$8), 0))</f>
        <v>#N/A</v>
      </c>
      <c r="V27" s="14">
        <f ca="1">INDEX(INDIRECT($AF$6),
       MATCH(TRIM($S27), INDIRECT($AF$7), 0),
       MATCH(TRIM(V$13), INDIRECT($AF$8), 0))</f>
        <v>225.47303500000001</v>
      </c>
      <c r="W27" s="14">
        <f ca="1">INDEX(INDIRECT($AF$6),
       MATCH(TRIM($S27), INDIRECT($AF$7), 0),
       MATCH(TRIM(W$13), INDIRECT($AF$8), 0))</f>
        <v>3</v>
      </c>
      <c r="X27" s="14" t="e">
        <f ca="1">INDEX(INDIRECT($AF$6),
       MATCH(TRIM($S27), INDIRECT($AF$7), 0),
       MATCH(TRIM(X$13), INDIRECT($AF$8), 0))</f>
        <v>#N/A</v>
      </c>
      <c r="Y27" s="14">
        <f ca="1">INDEX(INDIRECT($AF$6),
       MATCH(TRIM($S27), INDIRECT($AF$7), 0),
       MATCH(TRIM(Y$13), INDIRECT($AF$8), 0))</f>
        <v>18.444907000000001</v>
      </c>
      <c r="Z27" s="14">
        <f ca="1">INDEX(INDIRECT($AF$6),
       MATCH(TRIM($S27), INDIRECT($AF$7), 0),
       MATCH(TRIM(Z$13), INDIRECT($AF$8), 0))</f>
        <v>4</v>
      </c>
      <c r="AA27" s="14">
        <f ca="1">INDEX(INDIRECT($AF$6),
       MATCH(TRIM($S27), INDIRECT($AF$7), 0),
       MATCH(TRIM(AA$13), INDIRECT($AF$8), 0))</f>
        <v>0.60570908000000001</v>
      </c>
      <c r="AB27" s="14">
        <f t="shared" ca="1" si="0"/>
        <v>244.52365108000001</v>
      </c>
    </row>
    <row r="28" spans="1:28" ht="43" x14ac:dyDescent="0.2">
      <c r="A28" s="26">
        <v>14</v>
      </c>
      <c r="B28" s="27" t="s">
        <v>20</v>
      </c>
      <c r="C28" s="28">
        <f ca="1">INDEX(INDIRECT($P$6),
       MATCH(TRIM($B28), INDIRECT($P$7), 0),
       MATCH(TRIM(C$14), INDIRECT($P$8), 0))</f>
        <v>3</v>
      </c>
      <c r="D28" s="28" t="e">
        <f ca="1">INDEX(INDIRECT($P$6),
       MATCH(TRIM($B28), INDIRECT($P$7), 0),
       MATCH(TRIM(D$14), INDIRECT($P$8), 0))</f>
        <v>#N/A</v>
      </c>
      <c r="E28" s="28">
        <f ca="1">INDEX(INDIRECT($P$6),
       MATCH(TRIM($B28), INDIRECT($P$7), 0),
       MATCH(TRIM(E$14), INDIRECT($P$8), 0))</f>
        <v>1.8524929999999999</v>
      </c>
      <c r="F28" s="28">
        <f ca="1">INDEX(INDIRECT($P$6),
       MATCH(TRIM($B28), INDIRECT($P$7), 0),
       MATCH(TRIM(F$14), INDIRECT($P$8), 0))</f>
        <v>1</v>
      </c>
      <c r="G28" s="28" t="e">
        <f ca="1">INDEX(INDIRECT($P$6),
       MATCH(TRIM($B28), INDIRECT($P$7), 0),
       MATCH(TRIM(G$14), INDIRECT($P$8), 0))</f>
        <v>#N/A</v>
      </c>
      <c r="H28" s="28">
        <f ca="1">INDEX(INDIRECT($P$6),
       MATCH(TRIM($B28), INDIRECT($P$7), 0),
       MATCH(TRIM(H$14), INDIRECT($P$8), 0))</f>
        <v>16</v>
      </c>
      <c r="I28" s="28">
        <f ca="1">INDEX(INDIRECT($P$6),
       MATCH(TRIM($B28), INDIRECT($P$7), 0),
       MATCH(TRIM(I$14), INDIRECT($P$8), 0))</f>
        <v>7</v>
      </c>
      <c r="J28" s="28">
        <f ca="1">INDEX(INDIRECT($P$6),
       MATCH(TRIM($B28), INDIRECT($P$7), 0),
       MATCH(TRIM(J$14), INDIRECT($P$8), 0))</f>
        <v>39.44372611</v>
      </c>
      <c r="K28" s="28">
        <f t="shared" ca="1" si="1"/>
        <v>57.296219109999996</v>
      </c>
      <c r="L28" s="46"/>
      <c r="M28" s="46"/>
      <c r="R28">
        <v>15</v>
      </c>
      <c r="S28" t="s">
        <v>69</v>
      </c>
      <c r="T28" s="14">
        <f ca="1">INDEX(INDIRECT($AF$6),
       MATCH(TRIM($S28), INDIRECT($AF$7), 0),
       MATCH(TRIM(T$13), INDIRECT($AF$8), 0))</f>
        <v>47</v>
      </c>
      <c r="U28" s="14" t="e">
        <f ca="1">INDEX(INDIRECT($AF$6),
       MATCH(TRIM($S28), INDIRECT($AF$7), 0),
       MATCH(TRIM(U$13), INDIRECT($AF$8), 0))</f>
        <v>#N/A</v>
      </c>
      <c r="V28" s="14">
        <f ca="1">INDEX(INDIRECT($AF$6),
       MATCH(TRIM($S28), INDIRECT($AF$7), 0),
       MATCH(TRIM(V$13), INDIRECT($AF$8), 0))</f>
        <v>69.87921953</v>
      </c>
      <c r="W28" s="14">
        <f ca="1">INDEX(INDIRECT($AF$6),
       MATCH(TRIM($S28), INDIRECT($AF$7), 0),
       MATCH(TRIM(W$13), INDIRECT($AF$8), 0))</f>
        <v>35</v>
      </c>
      <c r="X28" s="14" t="e">
        <f ca="1">INDEX(INDIRECT($AF$6),
       MATCH(TRIM($S28), INDIRECT($AF$7), 0),
       MATCH(TRIM(X$13), INDIRECT($AF$8), 0))</f>
        <v>#N/A</v>
      </c>
      <c r="Y28" s="14">
        <f ca="1">INDEX(INDIRECT($AF$6),
       MATCH(TRIM($S28), INDIRECT($AF$7), 0),
       MATCH(TRIM(Y$13), INDIRECT($AF$8), 0))</f>
        <v>5.7854757890624997</v>
      </c>
      <c r="Z28" s="14">
        <f ca="1">INDEX(INDIRECT($AF$6),
       MATCH(TRIM($S28), INDIRECT($AF$7), 0),
       MATCH(TRIM(Z$13), INDIRECT($AF$8), 0))</f>
        <v>49</v>
      </c>
      <c r="AA28" s="14">
        <f ca="1">INDEX(INDIRECT($AF$6),
       MATCH(TRIM($S28), INDIRECT($AF$7), 0),
       MATCH(TRIM(AA$13), INDIRECT($AF$8), 0))</f>
        <v>58.329016939999995</v>
      </c>
      <c r="AB28" s="14">
        <f t="shared" ca="1" si="0"/>
        <v>133.99371225906251</v>
      </c>
    </row>
    <row r="29" spans="1:28" ht="43" x14ac:dyDescent="0.2">
      <c r="A29" s="26">
        <v>15</v>
      </c>
      <c r="B29" s="27" t="s">
        <v>21</v>
      </c>
      <c r="C29" s="28">
        <f ca="1">INDEX(INDIRECT($P$6),
       MATCH(TRIM($B29), INDIRECT($P$7), 0),
       MATCH(TRIM(C$14), INDIRECT($P$8), 0))</f>
        <v>2</v>
      </c>
      <c r="D29" s="28" t="e">
        <f ca="1">INDEX(INDIRECT($P$6),
       MATCH(TRIM($B29), INDIRECT($P$7), 0),
       MATCH(TRIM(D$14), INDIRECT($P$8), 0))</f>
        <v>#N/A</v>
      </c>
      <c r="E29" s="28">
        <f ca="1">INDEX(INDIRECT($P$6),
       MATCH(TRIM($B29), INDIRECT($P$7), 0),
       MATCH(TRIM(E$14), INDIRECT($P$8), 0))</f>
        <v>10.432</v>
      </c>
      <c r="F29" s="28">
        <f ca="1">INDEX(INDIRECT($P$6),
       MATCH(TRIM($B29), INDIRECT($P$7), 0),
       MATCH(TRIM(F$14), INDIRECT($P$8), 0))</f>
        <v>4</v>
      </c>
      <c r="G29" s="28" t="e">
        <f ca="1">INDEX(INDIRECT($P$6),
       MATCH(TRIM($B29), INDIRECT($P$7), 0),
       MATCH(TRIM(G$14), INDIRECT($P$8), 0))</f>
        <v>#N/A</v>
      </c>
      <c r="H29" s="28">
        <f ca="1">INDEX(INDIRECT($P$6),
       MATCH(TRIM($B29), INDIRECT($P$7), 0),
       MATCH(TRIM(H$14), INDIRECT($P$8), 0))</f>
        <v>1.713338</v>
      </c>
      <c r="I29" s="28">
        <f ca="1">INDEX(INDIRECT($P$6),
       MATCH(TRIM($B29), INDIRECT($P$7), 0),
       MATCH(TRIM(I$14), INDIRECT($P$8), 0))</f>
        <v>11</v>
      </c>
      <c r="J29" s="28">
        <f ca="1">INDEX(INDIRECT($P$6),
       MATCH(TRIM($B29), INDIRECT($P$7), 0),
       MATCH(TRIM(J$14), INDIRECT($P$8), 0))</f>
        <v>9.0160011299999994</v>
      </c>
      <c r="K29" s="28">
        <f t="shared" ca="1" si="1"/>
        <v>21.161339130000002</v>
      </c>
      <c r="L29" s="46"/>
      <c r="M29" s="46"/>
      <c r="R29">
        <v>16</v>
      </c>
      <c r="S29" t="s">
        <v>52</v>
      </c>
      <c r="T29" s="14">
        <f ca="1">INDEX(INDIRECT($AF$6),
       MATCH(TRIM($S29), INDIRECT($AF$7), 0),
       MATCH(TRIM(T$13), INDIRECT($AF$8), 0))</f>
        <v>21</v>
      </c>
      <c r="U29" s="14" t="e">
        <f ca="1">INDEX(INDIRECT($AF$6),
       MATCH(TRIM($S29), INDIRECT($AF$7), 0),
       MATCH(TRIM(U$13), INDIRECT($AF$8), 0))</f>
        <v>#N/A</v>
      </c>
      <c r="V29" s="14">
        <f ca="1">INDEX(INDIRECT($AF$6),
       MATCH(TRIM($S29), INDIRECT($AF$7), 0),
       MATCH(TRIM(V$13), INDIRECT($AF$8), 0))</f>
        <v>316.76547399999998</v>
      </c>
      <c r="W29" s="14">
        <f ca="1">INDEX(INDIRECT($AF$6),
       MATCH(TRIM($S29), INDIRECT($AF$7), 0),
       MATCH(TRIM(W$13), INDIRECT($AF$8), 0))</f>
        <v>58</v>
      </c>
      <c r="X29" s="14" t="e">
        <f ca="1">INDEX(INDIRECT($AF$6),
       MATCH(TRIM($S29), INDIRECT($AF$7), 0),
       MATCH(TRIM(X$13), INDIRECT($AF$8), 0))</f>
        <v>#N/A</v>
      </c>
      <c r="Y29" s="14">
        <f ca="1">INDEX(INDIRECT($AF$6),
       MATCH(TRIM($S29), INDIRECT($AF$7), 0),
       MATCH(TRIM(Y$13), INDIRECT($AF$8), 0))</f>
        <v>387.34681565624999</v>
      </c>
      <c r="Z29" s="14">
        <f ca="1">INDEX(INDIRECT($AF$6),
       MATCH(TRIM($S29), INDIRECT($AF$7), 0),
       MATCH(TRIM(Z$13), INDIRECT($AF$8), 0))</f>
        <v>19</v>
      </c>
      <c r="AA29" s="14">
        <f ca="1">INDEX(INDIRECT($AF$6),
       MATCH(TRIM($S29), INDIRECT($AF$7), 0),
       MATCH(TRIM(AA$13), INDIRECT($AF$8), 0))</f>
        <v>41.98736971000001</v>
      </c>
      <c r="AB29" s="14">
        <f t="shared" ca="1" si="0"/>
        <v>746.09965936624997</v>
      </c>
    </row>
    <row r="30" spans="1:28" ht="29" x14ac:dyDescent="0.2">
      <c r="A30" s="26">
        <v>16</v>
      </c>
      <c r="B30" s="27" t="s">
        <v>22</v>
      </c>
      <c r="C30" s="28">
        <f ca="1">INDEX(INDIRECT($P$6),
       MATCH(TRIM($B30), INDIRECT($P$7), 0),
       MATCH(TRIM(C$14), INDIRECT($P$8), 0))</f>
        <v>1</v>
      </c>
      <c r="D30" s="28" t="e">
        <f ca="1">INDEX(INDIRECT($P$6),
       MATCH(TRIM($B30), INDIRECT($P$7), 0),
       MATCH(TRIM(D$14), INDIRECT($P$8), 0))</f>
        <v>#N/A</v>
      </c>
      <c r="E30" s="28">
        <f ca="1">INDEX(INDIRECT($P$6),
       MATCH(TRIM($B30), INDIRECT($P$7), 0),
       MATCH(TRIM(E$14), INDIRECT($P$8), 0))</f>
        <v>1.9771529999999999</v>
      </c>
      <c r="F30" s="28">
        <f ca="1">INDEX(INDIRECT($P$6),
       MATCH(TRIM($B30), INDIRECT($P$7), 0),
       MATCH(TRIM(F$14), INDIRECT($P$8), 0))</f>
        <v>0</v>
      </c>
      <c r="G30" s="28" t="e">
        <f ca="1">INDEX(INDIRECT($P$6),
       MATCH(TRIM($B30), INDIRECT($P$7), 0),
       MATCH(TRIM(G$14), INDIRECT($P$8), 0))</f>
        <v>#N/A</v>
      </c>
      <c r="H30" s="28">
        <f ca="1">INDEX(INDIRECT($P$6),
       MATCH(TRIM($B30), INDIRECT($P$7), 0),
       MATCH(TRIM(H$14), INDIRECT($P$8), 0))</f>
        <v>0</v>
      </c>
      <c r="I30" s="28">
        <f ca="1">INDEX(INDIRECT($P$6),
       MATCH(TRIM($B30), INDIRECT($P$7), 0),
       MATCH(TRIM(I$14), INDIRECT($P$8), 0))</f>
        <v>3</v>
      </c>
      <c r="J30" s="28">
        <f ca="1">INDEX(INDIRECT($P$6),
       MATCH(TRIM($B30), INDIRECT($P$7), 0),
       MATCH(TRIM(J$14), INDIRECT($P$8), 0))</f>
        <v>17.08691194</v>
      </c>
      <c r="K30" s="28">
        <f t="shared" ca="1" si="1"/>
        <v>19.064064940000002</v>
      </c>
      <c r="L30" s="46"/>
      <c r="M30" s="46"/>
      <c r="R30">
        <v>17</v>
      </c>
      <c r="S30" t="s">
        <v>53</v>
      </c>
      <c r="T30" s="14">
        <f ca="1">INDEX(INDIRECT($AF$6),
       MATCH(TRIM($S30), INDIRECT($AF$7), 0),
       MATCH(TRIM(T$13), INDIRECT($AF$8), 0))</f>
        <v>33</v>
      </c>
      <c r="U30" s="14" t="e">
        <f ca="1">INDEX(INDIRECT($AF$6),
       MATCH(TRIM($S30), INDIRECT($AF$7), 0),
       MATCH(TRIM(U$13), INDIRECT($AF$8), 0))</f>
        <v>#N/A</v>
      </c>
      <c r="V30" s="14">
        <f ca="1">INDEX(INDIRECT($AF$6),
       MATCH(TRIM($S30), INDIRECT($AF$7), 0),
       MATCH(TRIM(V$13), INDIRECT($AF$8), 0))</f>
        <v>121.02974389999999</v>
      </c>
      <c r="W30" s="14">
        <f ca="1">INDEX(INDIRECT($AF$6),
       MATCH(TRIM($S30), INDIRECT($AF$7), 0),
       MATCH(TRIM(W$13), INDIRECT($AF$8), 0))</f>
        <v>21</v>
      </c>
      <c r="X30" s="14" t="e">
        <f ca="1">INDEX(INDIRECT($AF$6),
       MATCH(TRIM($S30), INDIRECT($AF$7), 0),
       MATCH(TRIM(X$13), INDIRECT($AF$8), 0))</f>
        <v>#N/A</v>
      </c>
      <c r="Y30" s="14">
        <f ca="1">INDEX(INDIRECT($AF$6),
       MATCH(TRIM($S30), INDIRECT($AF$7), 0),
       MATCH(TRIM(Y$13), INDIRECT($AF$8), 0))</f>
        <v>93.194827949996949</v>
      </c>
      <c r="Z30" s="14">
        <f ca="1">INDEX(INDIRECT($AF$6),
       MATCH(TRIM($S30), INDIRECT($AF$7), 0),
       MATCH(TRIM(Z$13), INDIRECT($AF$8), 0))</f>
        <v>4</v>
      </c>
      <c r="AA30" s="14">
        <f ca="1">INDEX(INDIRECT($AF$6),
       MATCH(TRIM($S30), INDIRECT($AF$7), 0),
       MATCH(TRIM(AA$13), INDIRECT($AF$8), 0))</f>
        <v>11.668916629999998</v>
      </c>
      <c r="AB30" s="14">
        <f t="shared" ca="1" si="0"/>
        <v>225.89348847999696</v>
      </c>
    </row>
    <row r="31" spans="1:28" ht="43" x14ac:dyDescent="0.2">
      <c r="A31" s="26">
        <v>17</v>
      </c>
      <c r="B31" s="27" t="s">
        <v>23</v>
      </c>
      <c r="C31" s="28">
        <f ca="1">INDEX(INDIRECT($P$6),
       MATCH(TRIM($B31), INDIRECT($P$7), 0),
       MATCH(TRIM(C$14), INDIRECT($P$8), 0))</f>
        <v>1</v>
      </c>
      <c r="D31" s="28" t="e">
        <f ca="1">INDEX(INDIRECT($P$6),
       MATCH(TRIM($B31), INDIRECT($P$7), 0),
       MATCH(TRIM(D$14), INDIRECT($P$8), 0))</f>
        <v>#N/A</v>
      </c>
      <c r="E31" s="28">
        <f ca="1">INDEX(INDIRECT($P$6),
       MATCH(TRIM($B31), INDIRECT($P$7), 0),
       MATCH(TRIM(E$14), INDIRECT($P$8), 0))</f>
        <v>0.2</v>
      </c>
      <c r="F31" s="28">
        <f ca="1">INDEX(INDIRECT($P$6),
       MATCH(TRIM($B31), INDIRECT($P$7), 0),
       MATCH(TRIM(F$14), INDIRECT($P$8), 0))</f>
        <v>1</v>
      </c>
      <c r="G31" s="28" t="e">
        <f ca="1">INDEX(INDIRECT($P$6),
       MATCH(TRIM($B31), INDIRECT($P$7), 0),
       MATCH(TRIM(G$14), INDIRECT($P$8), 0))</f>
        <v>#N/A</v>
      </c>
      <c r="H31" s="28">
        <f ca="1">INDEX(INDIRECT($P$6),
       MATCH(TRIM($B31), INDIRECT($P$7), 0),
       MATCH(TRIM(H$14), INDIRECT($P$8), 0))</f>
        <v>0.15</v>
      </c>
      <c r="I31" s="28">
        <f ca="1">INDEX(INDIRECT($P$6),
       MATCH(TRIM($B31), INDIRECT($P$7), 0),
       MATCH(TRIM(I$14), INDIRECT($P$8), 0))</f>
        <v>11</v>
      </c>
      <c r="J31" s="28">
        <f ca="1">INDEX(INDIRECT($P$6),
       MATCH(TRIM($B31), INDIRECT($P$7), 0),
       MATCH(TRIM(J$14), INDIRECT($P$8), 0))</f>
        <v>3.4996262300000001</v>
      </c>
      <c r="K31" s="28">
        <f t="shared" ca="1" si="1"/>
        <v>3.8496262300000001</v>
      </c>
      <c r="L31" s="46"/>
      <c r="M31" s="46"/>
      <c r="R31">
        <v>18</v>
      </c>
      <c r="S31" t="s">
        <v>63</v>
      </c>
      <c r="T31" s="14">
        <f ca="1">INDEX(INDIRECT($AF$6),
       MATCH(TRIM($S31), INDIRECT($AF$7), 0),
       MATCH(TRIM(T$13), INDIRECT($AF$8), 0))</f>
        <v>9</v>
      </c>
      <c r="U31" s="14" t="e">
        <f ca="1">INDEX(INDIRECT($AF$6),
       MATCH(TRIM($S31), INDIRECT($AF$7), 0),
       MATCH(TRIM(U$13), INDIRECT($AF$8), 0))</f>
        <v>#N/A</v>
      </c>
      <c r="V31" s="14">
        <f ca="1">INDEX(INDIRECT($AF$6),
       MATCH(TRIM($S31), INDIRECT($AF$7), 0),
       MATCH(TRIM(V$13), INDIRECT($AF$8), 0))</f>
        <v>40.677</v>
      </c>
      <c r="W31" s="14">
        <f ca="1">INDEX(INDIRECT($AF$6),
       MATCH(TRIM($S31), INDIRECT($AF$7), 0),
       MATCH(TRIM(W$13), INDIRECT($AF$8), 0))</f>
        <v>4</v>
      </c>
      <c r="X31" s="14" t="e">
        <f ca="1">INDEX(INDIRECT($AF$6),
       MATCH(TRIM($S31), INDIRECT($AF$7), 0),
       MATCH(TRIM(X$13), INDIRECT($AF$8), 0))</f>
        <v>#N/A</v>
      </c>
      <c r="Y31" s="14">
        <f ca="1">INDEX(INDIRECT($AF$6),
       MATCH(TRIM($S31), INDIRECT($AF$7), 0),
       MATCH(TRIM(Y$13), INDIRECT($AF$8), 0))</f>
        <v>181.04540900000001</v>
      </c>
      <c r="Z31" s="14">
        <f ca="1">INDEX(INDIRECT($AF$6),
       MATCH(TRIM($S31), INDIRECT($AF$7), 0),
       MATCH(TRIM(Z$13), INDIRECT($AF$8), 0))</f>
        <v>1</v>
      </c>
      <c r="AA31" s="14">
        <f ca="1">INDEX(INDIRECT($AF$6),
       MATCH(TRIM($S31), INDIRECT($AF$7), 0),
       MATCH(TRIM(AA$13), INDIRECT($AF$8), 0))</f>
        <v>3.8094000000000003E-2</v>
      </c>
      <c r="AB31" s="14">
        <f t="shared" ca="1" si="0"/>
        <v>221.760503</v>
      </c>
    </row>
    <row r="32" spans="1:28" ht="57" x14ac:dyDescent="0.2">
      <c r="A32" s="26">
        <v>18</v>
      </c>
      <c r="B32" s="27" t="s">
        <v>24</v>
      </c>
      <c r="C32" s="28">
        <f ca="1">INDEX(INDIRECT($P$6),
       MATCH(TRIM($B32), INDIRECT($P$7), 0),
       MATCH(TRIM(C$14), INDIRECT($P$8), 0))</f>
        <v>8</v>
      </c>
      <c r="D32" s="28" t="e">
        <f ca="1">INDEX(INDIRECT($P$6),
       MATCH(TRIM($B32), INDIRECT($P$7), 0),
       MATCH(TRIM(D$14), INDIRECT($P$8), 0))</f>
        <v>#N/A</v>
      </c>
      <c r="E32" s="28">
        <f ca="1">INDEX(INDIRECT($P$6),
       MATCH(TRIM($B32), INDIRECT($P$7), 0),
       MATCH(TRIM(E$14), INDIRECT($P$8), 0))</f>
        <v>29.199856</v>
      </c>
      <c r="F32" s="28">
        <f ca="1">INDEX(INDIRECT($P$6),
       MATCH(TRIM($B32), INDIRECT($P$7), 0),
       MATCH(TRIM(F$14), INDIRECT($P$8), 0))</f>
        <v>1</v>
      </c>
      <c r="G32" s="28" t="e">
        <f ca="1">INDEX(INDIRECT($P$6),
       MATCH(TRIM($B32), INDIRECT($P$7), 0),
       MATCH(TRIM(G$14), INDIRECT($P$8), 0))</f>
        <v>#N/A</v>
      </c>
      <c r="H32" s="28">
        <f ca="1">INDEX(INDIRECT($P$6),
       MATCH(TRIM($B32), INDIRECT($P$7), 0),
       MATCH(TRIM(H$14), INDIRECT($P$8), 0))</f>
        <v>24.687760000000001</v>
      </c>
      <c r="I32" s="28">
        <f ca="1">INDEX(INDIRECT($P$6),
       MATCH(TRIM($B32), INDIRECT($P$7), 0),
       MATCH(TRIM(I$14), INDIRECT($P$8), 0))</f>
        <v>13</v>
      </c>
      <c r="J32" s="28">
        <f ca="1">INDEX(INDIRECT($P$6),
       MATCH(TRIM($B32), INDIRECT($P$7), 0),
       MATCH(TRIM(J$14), INDIRECT($P$8), 0))</f>
        <v>3.8131179499999996</v>
      </c>
      <c r="K32" s="28">
        <f t="shared" ca="1" si="1"/>
        <v>57.70073395</v>
      </c>
      <c r="L32" s="46"/>
      <c r="M32" s="46"/>
      <c r="R32">
        <v>19</v>
      </c>
      <c r="S32" t="s">
        <v>70</v>
      </c>
      <c r="T32" s="14">
        <f ca="1">INDEX(INDIRECT($AF$6),
       MATCH(TRIM($S32), INDIRECT($AF$7), 0),
       MATCH(TRIM(T$13), INDIRECT($AF$8), 0))</f>
        <v>7</v>
      </c>
      <c r="U32" s="14" t="e">
        <f ca="1">INDEX(INDIRECT($AF$6),
       MATCH(TRIM($S32), INDIRECT($AF$7), 0),
       MATCH(TRIM(U$13), INDIRECT($AF$8), 0))</f>
        <v>#N/A</v>
      </c>
      <c r="V32" s="14">
        <f ca="1">INDEX(INDIRECT($AF$6),
       MATCH(TRIM($S32), INDIRECT($AF$7), 0),
       MATCH(TRIM(V$13), INDIRECT($AF$8), 0))</f>
        <v>69.328000000000003</v>
      </c>
      <c r="W32" s="14">
        <f ca="1">INDEX(INDIRECT($AF$6),
       MATCH(TRIM($S32), INDIRECT($AF$7), 0),
       MATCH(TRIM(W$13), INDIRECT($AF$8), 0))</f>
        <v>5</v>
      </c>
      <c r="X32" s="14" t="e">
        <f ca="1">INDEX(INDIRECT($AF$6),
       MATCH(TRIM($S32), INDIRECT($AF$7), 0),
       MATCH(TRIM(X$13), INDIRECT($AF$8), 0))</f>
        <v>#N/A</v>
      </c>
      <c r="Y32" s="14">
        <f ca="1">INDEX(INDIRECT($AF$6),
       MATCH(TRIM($S32), INDIRECT($AF$7), 0),
       MATCH(TRIM(Y$13), INDIRECT($AF$8), 0))</f>
        <v>27.400683999999998</v>
      </c>
      <c r="Z32" s="14">
        <f ca="1">INDEX(INDIRECT($AF$6),
       MATCH(TRIM($S32), INDIRECT($AF$7), 0),
       MATCH(TRIM(Z$13), INDIRECT($AF$8), 0))</f>
        <v>4</v>
      </c>
      <c r="AA32" s="14">
        <f ca="1">INDEX(INDIRECT($AF$6),
       MATCH(TRIM($S32), INDIRECT($AF$7), 0),
       MATCH(TRIM(AA$13), INDIRECT($AF$8), 0))</f>
        <v>0.77907537999999998</v>
      </c>
      <c r="AB32" s="14">
        <f t="shared" ca="1" si="0"/>
        <v>97.507759379999996</v>
      </c>
    </row>
    <row r="33" spans="1:28" ht="85" x14ac:dyDescent="0.2">
      <c r="A33" s="26">
        <v>19</v>
      </c>
      <c r="B33" s="27" t="s">
        <v>25</v>
      </c>
      <c r="C33" s="28">
        <f ca="1">INDEX(INDIRECT($P$6),
       MATCH(TRIM($B33), INDIRECT($P$7), 0),
       MATCH(TRIM(C$14), INDIRECT($P$8), 0))</f>
        <v>0</v>
      </c>
      <c r="D33" s="28" t="e">
        <f ca="1">INDEX(INDIRECT($P$6),
       MATCH(TRIM($B33), INDIRECT($P$7), 0),
       MATCH(TRIM(D$14), INDIRECT($P$8), 0))</f>
        <v>#N/A</v>
      </c>
      <c r="E33" s="28">
        <f ca="1">INDEX(INDIRECT($P$6),
       MATCH(TRIM($B33), INDIRECT($P$7), 0),
       MATCH(TRIM(E$14), INDIRECT($P$8), 0))</f>
        <v>0</v>
      </c>
      <c r="F33" s="28">
        <f ca="1">INDEX(INDIRECT($P$6),
       MATCH(TRIM($B33), INDIRECT($P$7), 0),
       MATCH(TRIM(F$14), INDIRECT($P$8), 0))</f>
        <v>0</v>
      </c>
      <c r="G33" s="28" t="e">
        <f ca="1">INDEX(INDIRECT($P$6),
       MATCH(TRIM($B33), INDIRECT($P$7), 0),
       MATCH(TRIM(G$14), INDIRECT($P$8), 0))</f>
        <v>#N/A</v>
      </c>
      <c r="H33" s="28">
        <f ca="1">INDEX(INDIRECT($P$6),
       MATCH(TRIM($B33), INDIRECT($P$7), 0),
       MATCH(TRIM(H$14), INDIRECT($P$8), 0))</f>
        <v>0</v>
      </c>
      <c r="I33" s="28">
        <f ca="1">INDEX(INDIRECT($P$6),
       MATCH(TRIM($B33), INDIRECT($P$7), 0),
       MATCH(TRIM(I$14), INDIRECT($P$8), 0))</f>
        <v>1</v>
      </c>
      <c r="J33" s="28">
        <f ca="1">INDEX(INDIRECT($P$6),
       MATCH(TRIM($B33), INDIRECT($P$7), 0),
       MATCH(TRIM(J$14), INDIRECT($P$8), 0))</f>
        <v>0.54912561999999998</v>
      </c>
      <c r="K33" s="28">
        <f t="shared" ca="1" si="1"/>
        <v>0.54912561999999998</v>
      </c>
      <c r="L33" s="47"/>
      <c r="M33" s="47"/>
      <c r="R33">
        <v>20</v>
      </c>
      <c r="S33" t="s">
        <v>61</v>
      </c>
      <c r="T33" s="14">
        <f ca="1">INDEX(INDIRECT($AF$6),
       MATCH(TRIM($S33), INDIRECT($AF$7), 0),
       MATCH(TRIM(T$13), INDIRECT($AF$8), 0))</f>
        <v>8</v>
      </c>
      <c r="U33" s="14" t="e">
        <f ca="1">INDEX(INDIRECT($AF$6),
       MATCH(TRIM($S33), INDIRECT($AF$7), 0),
       MATCH(TRIM(U$13), INDIRECT($AF$8), 0))</f>
        <v>#N/A</v>
      </c>
      <c r="V33" s="14">
        <f ca="1">INDEX(INDIRECT($AF$6),
       MATCH(TRIM($S33), INDIRECT($AF$7), 0),
       MATCH(TRIM(V$13), INDIRECT($AF$8), 0))</f>
        <v>406.87009699999999</v>
      </c>
      <c r="W33" s="14">
        <f ca="1">INDEX(INDIRECT($AF$6),
       MATCH(TRIM($S33), INDIRECT($AF$7), 0),
       MATCH(TRIM(W$13), INDIRECT($AF$8), 0))</f>
        <v>20</v>
      </c>
      <c r="X33" s="14" t="e">
        <f ca="1">INDEX(INDIRECT($AF$6),
       MATCH(TRIM($S33), INDIRECT($AF$7), 0),
       MATCH(TRIM(X$13), INDIRECT($AF$8), 0))</f>
        <v>#N/A</v>
      </c>
      <c r="Y33" s="14">
        <f ca="1">INDEX(INDIRECT($AF$6),
       MATCH(TRIM($S33), INDIRECT($AF$7), 0),
       MATCH(TRIM(Y$13), INDIRECT($AF$8), 0))</f>
        <v>288.58700700000003</v>
      </c>
      <c r="Z33" s="14">
        <f ca="1">INDEX(INDIRECT($AF$6),
       MATCH(TRIM($S33), INDIRECT($AF$7), 0),
       MATCH(TRIM(Z$13), INDIRECT($AF$8), 0))</f>
        <v>3</v>
      </c>
      <c r="AA33" s="14">
        <f ca="1">INDEX(INDIRECT($AF$6),
       MATCH(TRIM($S33), INDIRECT($AF$7), 0),
       MATCH(TRIM(AA$13), INDIRECT($AF$8), 0))</f>
        <v>5.2129759500000006</v>
      </c>
      <c r="AB33" s="14">
        <f t="shared" ca="1" si="0"/>
        <v>700.67007995000006</v>
      </c>
    </row>
    <row r="34" spans="1:28" ht="17" thickBot="1" x14ac:dyDescent="0.25">
      <c r="A34" s="34" t="s">
        <v>26</v>
      </c>
      <c r="B34" s="35"/>
      <c r="C34" s="31" cm="1">
        <f t="array" aca="1" ref="C34" ca="1">SUM(IFERROR(C15:C33,0))</f>
        <v>2036</v>
      </c>
      <c r="D34" s="31" cm="1">
        <f t="array" aca="1" ref="D34" ca="1">SUM(IFERROR(D15:D33,0))</f>
        <v>0</v>
      </c>
      <c r="E34" s="31" cm="1">
        <f t="array" aca="1" ref="E34" ca="1">SUM(IFERROR(E15:E33,0))</f>
        <v>12446.218701749996</v>
      </c>
      <c r="F34" s="31" cm="1">
        <f t="array" aca="1" ref="F34" ca="1">SUM(IFERROR(F15:F33,0))</f>
        <v>1107</v>
      </c>
      <c r="G34" s="31" cm="1">
        <f t="array" aca="1" ref="G34" ca="1">SUM(IFERROR(G15:G33,0))</f>
        <v>0</v>
      </c>
      <c r="H34" s="31" cm="1">
        <f t="array" aca="1" ref="H34" ca="1">SUM(IFERROR(H15:H33,0))</f>
        <v>10117.813094850862</v>
      </c>
      <c r="I34" s="31" cm="1">
        <f t="array" aca="1" ref="I34" ca="1">SUM(IFERROR(I15:I33,0))</f>
        <v>3566</v>
      </c>
      <c r="J34" s="31" cm="1">
        <f t="array" aca="1" ref="J34" ca="1">SUM(IFERROR(J15:J33,0))</f>
        <v>5154.0985104099991</v>
      </c>
      <c r="K34" s="31" cm="1">
        <f t="array" aca="1" ref="K34" ca="1">SUM(IFERROR(K15:K33,0))</f>
        <v>27718.13030701087</v>
      </c>
      <c r="R34">
        <v>21</v>
      </c>
      <c r="S34" t="s">
        <v>59</v>
      </c>
      <c r="T34" s="14">
        <f ca="1">INDEX(INDIRECT($AF$6),
       MATCH(TRIM($S34), INDIRECT($AF$7), 0),
       MATCH(TRIM(T$13), INDIRECT($AF$8), 0))</f>
        <v>6</v>
      </c>
      <c r="U34" s="14" t="e">
        <f ca="1">INDEX(INDIRECT($AF$6),
       MATCH(TRIM($S34), INDIRECT($AF$7), 0),
       MATCH(TRIM(U$13), INDIRECT($AF$8), 0))</f>
        <v>#N/A</v>
      </c>
      <c r="V34" s="14">
        <f ca="1">INDEX(INDIRECT($AF$6),
       MATCH(TRIM($S34), INDIRECT($AF$7), 0),
       MATCH(TRIM(V$13), INDIRECT($AF$8), 0))</f>
        <v>197.31041099999999</v>
      </c>
      <c r="W34" s="14">
        <f ca="1">INDEX(INDIRECT($AF$6),
       MATCH(TRIM($S34), INDIRECT($AF$7), 0),
       MATCH(TRIM(W$13), INDIRECT($AF$8), 0))</f>
        <v>2</v>
      </c>
      <c r="X34" s="14" t="e">
        <f ca="1">INDEX(INDIRECT($AF$6),
       MATCH(TRIM($S34), INDIRECT($AF$7), 0),
       MATCH(TRIM(X$13), INDIRECT($AF$8), 0))</f>
        <v>#N/A</v>
      </c>
      <c r="Y34" s="14">
        <f ca="1">INDEX(INDIRECT($AF$6),
       MATCH(TRIM($S34), INDIRECT($AF$7), 0),
       MATCH(TRIM(Y$13), INDIRECT($AF$8), 0))</f>
        <v>2.1363E-2</v>
      </c>
      <c r="Z34" s="14">
        <f ca="1">INDEX(INDIRECT($AF$6),
       MATCH(TRIM($S34), INDIRECT($AF$7), 0),
       MATCH(TRIM(Z$13), INDIRECT($AF$8), 0))</f>
        <v>2</v>
      </c>
      <c r="AA34" s="14">
        <f ca="1">INDEX(INDIRECT($AF$6),
       MATCH(TRIM($S34), INDIRECT($AF$7), 0),
       MATCH(TRIM(AA$13), INDIRECT($AF$8), 0))</f>
        <v>0.165321</v>
      </c>
      <c r="AB34" s="14">
        <f t="shared" ca="1" si="0"/>
        <v>197.497095</v>
      </c>
    </row>
    <row r="35" spans="1:28" ht="17" thickTop="1" x14ac:dyDescent="0.2">
      <c r="R35">
        <v>22</v>
      </c>
      <c r="S35" t="s">
        <v>56</v>
      </c>
      <c r="T35" s="14">
        <f ca="1">INDEX(INDIRECT($AF$6),
       MATCH(TRIM($S35), INDIRECT($AF$7), 0),
       MATCH(TRIM(T$13), INDIRECT($AF$8), 0))</f>
        <v>19</v>
      </c>
      <c r="U35" s="14" t="e">
        <f ca="1">INDEX(INDIRECT($AF$6),
       MATCH(TRIM($S35), INDIRECT($AF$7), 0),
       MATCH(TRIM(U$13), INDIRECT($AF$8), 0))</f>
        <v>#N/A</v>
      </c>
      <c r="V35" s="14">
        <f ca="1">INDEX(INDIRECT($AF$6),
       MATCH(TRIM($S35), INDIRECT($AF$7), 0),
       MATCH(TRIM(V$13), INDIRECT($AF$8), 0))</f>
        <v>490.50514099999998</v>
      </c>
      <c r="W35" s="14">
        <f ca="1">INDEX(INDIRECT($AF$6),
       MATCH(TRIM($S35), INDIRECT($AF$7), 0),
       MATCH(TRIM(W$13), INDIRECT($AF$8), 0))</f>
        <v>2</v>
      </c>
      <c r="X35" s="14" t="e">
        <f ca="1">INDEX(INDIRECT($AF$6),
       MATCH(TRIM($S35), INDIRECT($AF$7), 0),
       MATCH(TRIM(X$13), INDIRECT($AF$8), 0))</f>
        <v>#N/A</v>
      </c>
      <c r="Y35" s="14">
        <f ca="1">INDEX(INDIRECT($AF$6),
       MATCH(TRIM($S35), INDIRECT($AF$7), 0),
       MATCH(TRIM(Y$13), INDIRECT($AF$8), 0))</f>
        <v>400</v>
      </c>
      <c r="Z35" s="14">
        <f ca="1">INDEX(INDIRECT($AF$6),
       MATCH(TRIM($S35), INDIRECT($AF$7), 0),
       MATCH(TRIM(Z$13), INDIRECT($AF$8), 0))</f>
        <v>2</v>
      </c>
      <c r="AA35" s="14">
        <f ca="1">INDEX(INDIRECT($AF$6),
       MATCH(TRIM($S35), INDIRECT($AF$7), 0),
       MATCH(TRIM(AA$13), INDIRECT($AF$8), 0))</f>
        <v>0.16963855999999999</v>
      </c>
      <c r="AB35" s="14">
        <f t="shared" ca="1" si="0"/>
        <v>890.67477955999993</v>
      </c>
    </row>
    <row r="36" spans="1:28" x14ac:dyDescent="0.2">
      <c r="R36">
        <v>23</v>
      </c>
      <c r="S36" t="s">
        <v>48</v>
      </c>
      <c r="T36" s="14">
        <f ca="1">INDEX(INDIRECT($AF$6),
       MATCH(TRIM($S36), INDIRECT($AF$7), 0),
       MATCH(TRIM(T$13), INDIRECT($AF$8), 0))</f>
        <v>9</v>
      </c>
      <c r="U36" s="14" t="e">
        <f ca="1">INDEX(INDIRECT($AF$6),
       MATCH(TRIM($S36), INDIRECT($AF$7), 0),
       MATCH(TRIM(U$13), INDIRECT($AF$8), 0))</f>
        <v>#N/A</v>
      </c>
      <c r="V36" s="14">
        <f ca="1">INDEX(INDIRECT($AF$6),
       MATCH(TRIM($S36), INDIRECT($AF$7), 0),
       MATCH(TRIM(V$13), INDIRECT($AF$8), 0))</f>
        <v>2181.1699149999999</v>
      </c>
      <c r="W36" s="14">
        <f ca="1">INDEX(INDIRECT($AF$6),
       MATCH(TRIM($S36), INDIRECT($AF$7), 0),
       MATCH(TRIM(W$13), INDIRECT($AF$8), 0))</f>
        <v>0</v>
      </c>
      <c r="X36" s="14" t="e">
        <f ca="1">INDEX(INDIRECT($AF$6),
       MATCH(TRIM($S36), INDIRECT($AF$7), 0),
       MATCH(TRIM(X$13), INDIRECT($AF$8), 0))</f>
        <v>#N/A</v>
      </c>
      <c r="Y36" s="14">
        <f ca="1">INDEX(INDIRECT($AF$6),
       MATCH(TRIM($S36), INDIRECT($AF$7), 0),
       MATCH(TRIM(Y$13), INDIRECT($AF$8), 0))</f>
        <v>0</v>
      </c>
      <c r="Z36" s="14">
        <f ca="1">INDEX(INDIRECT($AF$6),
       MATCH(TRIM($S36), INDIRECT($AF$7), 0),
       MATCH(TRIM(Z$13), INDIRECT($AF$8), 0))</f>
        <v>6</v>
      </c>
      <c r="AA36" s="14">
        <f ca="1">INDEX(INDIRECT($AF$6),
       MATCH(TRIM($S36), INDIRECT($AF$7), 0),
       MATCH(TRIM(AA$13), INDIRECT($AF$8), 0))</f>
        <v>186.99053985000003</v>
      </c>
      <c r="AB36" s="14">
        <f t="shared" ca="1" si="0"/>
        <v>2368.16045485</v>
      </c>
    </row>
    <row r="37" spans="1:28" x14ac:dyDescent="0.2">
      <c r="R37">
        <v>24</v>
      </c>
      <c r="S37" t="s">
        <v>72</v>
      </c>
      <c r="T37" s="14">
        <f ca="1">INDEX(INDIRECT($AF$6),
       MATCH(TRIM($S37), INDIRECT($AF$7), 0),
       MATCH(TRIM(T$13), INDIRECT($AF$8), 0))</f>
        <v>0</v>
      </c>
      <c r="U37" s="14" t="e">
        <f ca="1">INDEX(INDIRECT($AF$6),
       MATCH(TRIM($S37), INDIRECT($AF$7), 0),
       MATCH(TRIM(U$13), INDIRECT($AF$8), 0))</f>
        <v>#N/A</v>
      </c>
      <c r="V37" s="14">
        <f ca="1">INDEX(INDIRECT($AF$6),
       MATCH(TRIM($S37), INDIRECT($AF$7), 0),
       MATCH(TRIM(V$13), INDIRECT($AF$8), 0))</f>
        <v>0</v>
      </c>
      <c r="W37" s="14">
        <f ca="1">INDEX(INDIRECT($AF$6),
       MATCH(TRIM($S37), INDIRECT($AF$7), 0),
       MATCH(TRIM(W$13), INDIRECT($AF$8), 0))</f>
        <v>0</v>
      </c>
      <c r="X37" s="14" t="e">
        <f ca="1">INDEX(INDIRECT($AF$6),
       MATCH(TRIM($S37), INDIRECT($AF$7), 0),
       MATCH(TRIM(X$13), INDIRECT($AF$8), 0))</f>
        <v>#N/A</v>
      </c>
      <c r="Y37" s="14">
        <f ca="1">INDEX(INDIRECT($AF$6),
       MATCH(TRIM($S37), INDIRECT($AF$7), 0),
       MATCH(TRIM(Y$13), INDIRECT($AF$8), 0))</f>
        <v>0</v>
      </c>
      <c r="Z37" s="14">
        <f ca="1">INDEX(INDIRECT($AF$6),
       MATCH(TRIM($S37), INDIRECT($AF$7), 0),
       MATCH(TRIM(Z$13), INDIRECT($AF$8), 0))</f>
        <v>2</v>
      </c>
      <c r="AA37" s="14">
        <f ca="1">INDEX(INDIRECT($AF$6),
       MATCH(TRIM($S37), INDIRECT($AF$7), 0),
       MATCH(TRIM(AA$13), INDIRECT($AF$8), 0))</f>
        <v>1.82677172</v>
      </c>
      <c r="AB37" s="14">
        <f t="shared" ca="1" si="0"/>
        <v>1.82677172</v>
      </c>
    </row>
    <row r="38" spans="1:28" x14ac:dyDescent="0.2">
      <c r="R38">
        <v>25</v>
      </c>
      <c r="S38" t="s">
        <v>67</v>
      </c>
      <c r="T38" s="14">
        <f ca="1">INDEX(INDIRECT($AF$6),
       MATCH(TRIM($S38), INDIRECT($AF$7), 0),
       MATCH(TRIM(T$13), INDIRECT($AF$8), 0))</f>
        <v>1</v>
      </c>
      <c r="U38" s="14" t="e">
        <f ca="1">INDEX(INDIRECT($AF$6),
       MATCH(TRIM($S38), INDIRECT($AF$7), 0),
       MATCH(TRIM(U$13), INDIRECT($AF$8), 0))</f>
        <v>#N/A</v>
      </c>
      <c r="V38" s="14">
        <f ca="1">INDEX(INDIRECT($AF$6),
       MATCH(TRIM($S38), INDIRECT($AF$7), 0),
       MATCH(TRIM(V$13), INDIRECT($AF$8), 0))</f>
        <v>0.76524000000000003</v>
      </c>
      <c r="W38" s="14">
        <f ca="1">INDEX(INDIRECT($AF$6),
       MATCH(TRIM($S38), INDIRECT($AF$7), 0),
       MATCH(TRIM(W$13), INDIRECT($AF$8), 0))</f>
        <v>0</v>
      </c>
      <c r="X38" s="14" t="e">
        <f ca="1">INDEX(INDIRECT($AF$6),
       MATCH(TRIM($S38), INDIRECT($AF$7), 0),
       MATCH(TRIM(X$13), INDIRECT($AF$8), 0))</f>
        <v>#N/A</v>
      </c>
      <c r="Y38" s="14">
        <f ca="1">INDEX(INDIRECT($AF$6),
       MATCH(TRIM($S38), INDIRECT($AF$7), 0),
       MATCH(TRIM(Y$13), INDIRECT($AF$8), 0))</f>
        <v>0</v>
      </c>
      <c r="Z38" s="14">
        <f ca="1">INDEX(INDIRECT($AF$6),
       MATCH(TRIM($S38), INDIRECT($AF$7), 0),
       MATCH(TRIM(Z$13), INDIRECT($AF$8), 0))</f>
        <v>55</v>
      </c>
      <c r="AA38" s="14">
        <f ca="1">INDEX(INDIRECT($AF$6),
       MATCH(TRIM($S38), INDIRECT($AF$7), 0),
       MATCH(TRIM(AA$13), INDIRECT($AF$8), 0))</f>
        <v>7.9231420500000009</v>
      </c>
      <c r="AB38" s="14">
        <f t="shared" ca="1" si="0"/>
        <v>8.6883820500000013</v>
      </c>
    </row>
    <row r="39" spans="1:28" x14ac:dyDescent="0.2">
      <c r="R39">
        <v>26</v>
      </c>
      <c r="S39" t="s">
        <v>54</v>
      </c>
      <c r="T39" s="14">
        <f ca="1">INDEX(INDIRECT($AF$6),
       MATCH(TRIM($S39), INDIRECT($AF$7), 0),
       MATCH(TRIM(T$13), INDIRECT($AF$8), 0))</f>
        <v>5</v>
      </c>
      <c r="U39" s="14" t="e">
        <f ca="1">INDEX(INDIRECT($AF$6),
       MATCH(TRIM($S39), INDIRECT($AF$7), 0),
       MATCH(TRIM(U$13), INDIRECT($AF$8), 0))</f>
        <v>#N/A</v>
      </c>
      <c r="V39" s="14">
        <f ca="1">INDEX(INDIRECT($AF$6),
       MATCH(TRIM($S39), INDIRECT($AF$7), 0),
       MATCH(TRIM(V$13), INDIRECT($AF$8), 0))</f>
        <v>68.242999999999995</v>
      </c>
      <c r="W39" s="14">
        <f ca="1">INDEX(INDIRECT($AF$6),
       MATCH(TRIM($S39), INDIRECT($AF$7), 0),
       MATCH(TRIM(W$13), INDIRECT($AF$8), 0))</f>
        <v>3</v>
      </c>
      <c r="X39" s="14" t="e">
        <f ca="1">INDEX(INDIRECT($AF$6),
       MATCH(TRIM($S39), INDIRECT($AF$7), 0),
       MATCH(TRIM(X$13), INDIRECT($AF$8), 0))</f>
        <v>#N/A</v>
      </c>
      <c r="Y39" s="14">
        <f ca="1">INDEX(INDIRECT($AF$6),
       MATCH(TRIM($S39), INDIRECT($AF$7), 0),
       MATCH(TRIM(Y$13), INDIRECT($AF$8), 0))</f>
        <v>1.7</v>
      </c>
      <c r="Z39" s="14">
        <f ca="1">INDEX(INDIRECT($AF$6),
       MATCH(TRIM($S39), INDIRECT($AF$7), 0),
       MATCH(TRIM(Z$13), INDIRECT($AF$8), 0))</f>
        <v>19</v>
      </c>
      <c r="AA39" s="14">
        <f ca="1">INDEX(INDIRECT($AF$6),
       MATCH(TRIM($S39), INDIRECT($AF$7), 0),
       MATCH(TRIM(AA$13), INDIRECT($AF$8), 0))</f>
        <v>9.302652430000002</v>
      </c>
      <c r="AB39" s="14">
        <f t="shared" ca="1" si="0"/>
        <v>79.245652430000007</v>
      </c>
    </row>
    <row r="40" spans="1:28" x14ac:dyDescent="0.2">
      <c r="R40">
        <v>27</v>
      </c>
      <c r="S40" t="s">
        <v>64</v>
      </c>
      <c r="T40" s="14">
        <f ca="1">INDEX(INDIRECT($AF$6),
       MATCH(TRIM($S40), INDIRECT($AF$7), 0),
       MATCH(TRIM(T$13), INDIRECT($AF$8), 0))</f>
        <v>2</v>
      </c>
      <c r="U40" s="14" t="e">
        <f ca="1">INDEX(INDIRECT($AF$6),
       MATCH(TRIM($S40), INDIRECT($AF$7), 0),
       MATCH(TRIM(U$13), INDIRECT($AF$8), 0))</f>
        <v>#N/A</v>
      </c>
      <c r="V40" s="14">
        <f ca="1">INDEX(INDIRECT($AF$6),
       MATCH(TRIM($S40), INDIRECT($AF$7), 0),
       MATCH(TRIM(V$13), INDIRECT($AF$8), 0))</f>
        <v>16.063357</v>
      </c>
      <c r="W40" s="14">
        <f ca="1">INDEX(INDIRECT($AF$6),
       MATCH(TRIM($S40), INDIRECT($AF$7), 0),
       MATCH(TRIM(W$13), INDIRECT($AF$8), 0))</f>
        <v>1</v>
      </c>
      <c r="X40" s="14" t="e">
        <f ca="1">INDEX(INDIRECT($AF$6),
       MATCH(TRIM($S40), INDIRECT($AF$7), 0),
       MATCH(TRIM(X$13), INDIRECT($AF$8), 0))</f>
        <v>#N/A</v>
      </c>
      <c r="Y40" s="14">
        <f ca="1">INDEX(INDIRECT($AF$6),
       MATCH(TRIM($S40), INDIRECT($AF$7), 0),
       MATCH(TRIM(Y$13), INDIRECT($AF$8), 0))</f>
        <v>0.21495</v>
      </c>
      <c r="Z40" s="14">
        <f ca="1">INDEX(INDIRECT($AF$6),
       MATCH(TRIM($S40), INDIRECT($AF$7), 0),
       MATCH(TRIM(Z$13), INDIRECT($AF$8), 0))</f>
        <v>5</v>
      </c>
      <c r="AA40" s="14">
        <f ca="1">INDEX(INDIRECT($AF$6),
       MATCH(TRIM($S40), INDIRECT($AF$7), 0),
       MATCH(TRIM(AA$13), INDIRECT($AF$8), 0))</f>
        <v>8.5102270200000003</v>
      </c>
      <c r="AB40" s="14">
        <f t="shared" ca="1" si="0"/>
        <v>24.78853402</v>
      </c>
    </row>
    <row r="41" spans="1:28" x14ac:dyDescent="0.2">
      <c r="R41">
        <v>28</v>
      </c>
      <c r="S41" t="s">
        <v>81</v>
      </c>
      <c r="T41" s="14">
        <f ca="1">INDEX(INDIRECT($AF$6),
       MATCH(TRIM($S41), INDIRECT($AF$7), 0),
       MATCH(TRIM(T$13), INDIRECT($AF$8), 0))</f>
        <v>4</v>
      </c>
      <c r="U41" s="14" t="e">
        <f ca="1">INDEX(INDIRECT($AF$6),
       MATCH(TRIM($S41), INDIRECT($AF$7), 0),
       MATCH(TRIM(U$13), INDIRECT($AF$8), 0))</f>
        <v>#N/A</v>
      </c>
      <c r="V41" s="14">
        <f ca="1">INDEX(INDIRECT($AF$6),
       MATCH(TRIM($S41), INDIRECT($AF$7), 0),
       MATCH(TRIM(V$13), INDIRECT($AF$8), 0))</f>
        <v>102.23526699999999</v>
      </c>
      <c r="W41" s="14">
        <f ca="1">INDEX(INDIRECT($AF$6),
       MATCH(TRIM($S41), INDIRECT($AF$7), 0),
       MATCH(TRIM(W$13), INDIRECT($AF$8), 0))</f>
        <v>12</v>
      </c>
      <c r="X41" s="14" t="e">
        <f ca="1">INDEX(INDIRECT($AF$6),
       MATCH(TRIM($S41), INDIRECT($AF$7), 0),
       MATCH(TRIM(X$13), INDIRECT($AF$8), 0))</f>
        <v>#N/A</v>
      </c>
      <c r="Y41" s="14">
        <f ca="1">INDEX(INDIRECT($AF$6),
       MATCH(TRIM($S41), INDIRECT($AF$7), 0),
       MATCH(TRIM(Y$13), INDIRECT($AF$8), 0))</f>
        <v>53.58914805859375</v>
      </c>
      <c r="Z41" s="14">
        <f ca="1">INDEX(INDIRECT($AF$6),
       MATCH(TRIM($S41), INDIRECT($AF$7), 0),
       MATCH(TRIM(Z$13), INDIRECT($AF$8), 0))</f>
        <v>1</v>
      </c>
      <c r="AA41" s="14">
        <f ca="1">INDEX(INDIRECT($AF$6),
       MATCH(TRIM($S41), INDIRECT($AF$7), 0),
       MATCH(TRIM(AA$13), INDIRECT($AF$8), 0))</f>
        <v>0.12923793</v>
      </c>
      <c r="AB41" s="14">
        <f t="shared" ca="1" si="0"/>
        <v>155.95365298859372</v>
      </c>
    </row>
    <row r="42" spans="1:28" x14ac:dyDescent="0.2">
      <c r="R42">
        <v>29</v>
      </c>
      <c r="S42" t="s">
        <v>71</v>
      </c>
      <c r="T42" s="14">
        <f ca="1">INDEX(INDIRECT($AF$6),
       MATCH(TRIM($S42), INDIRECT($AF$7), 0),
       MATCH(TRIM(T$13), INDIRECT($AF$8), 0))</f>
        <v>5</v>
      </c>
      <c r="U42" s="14" t="e">
        <f ca="1">INDEX(INDIRECT($AF$6),
       MATCH(TRIM($S42), INDIRECT($AF$7), 0),
       MATCH(TRIM(U$13), INDIRECT($AF$8), 0))</f>
        <v>#N/A</v>
      </c>
      <c r="V42" s="14">
        <f ca="1">INDEX(INDIRECT($AF$6),
       MATCH(TRIM($S42), INDIRECT($AF$7), 0),
       MATCH(TRIM(V$13), INDIRECT($AF$8), 0))</f>
        <v>16.513836000000001</v>
      </c>
      <c r="W42" s="14">
        <f ca="1">INDEX(INDIRECT($AF$6),
       MATCH(TRIM($S42), INDIRECT($AF$7), 0),
       MATCH(TRIM(W$13), INDIRECT($AF$8), 0))</f>
        <v>1</v>
      </c>
      <c r="X42" s="14" t="e">
        <f ca="1">INDEX(INDIRECT($AF$6),
       MATCH(TRIM($S42), INDIRECT($AF$7), 0),
       MATCH(TRIM(X$13), INDIRECT($AF$8), 0))</f>
        <v>#N/A</v>
      </c>
      <c r="Y42" s="14">
        <f ca="1">INDEX(INDIRECT($AF$6),
       MATCH(TRIM($S42), INDIRECT($AF$7), 0),
       MATCH(TRIM(Y$13), INDIRECT($AF$8), 0))</f>
        <v>2.02</v>
      </c>
      <c r="Z42" s="14">
        <f ca="1">INDEX(INDIRECT($AF$6),
       MATCH(TRIM($S42), INDIRECT($AF$7), 0),
       MATCH(TRIM(Z$13), INDIRECT($AF$8), 0))</f>
        <v>5</v>
      </c>
      <c r="AA42" s="14">
        <f ca="1">INDEX(INDIRECT($AF$6),
       MATCH(TRIM($S42), INDIRECT($AF$7), 0),
       MATCH(TRIM(AA$13), INDIRECT($AF$8), 0))</f>
        <v>48.836924200000006</v>
      </c>
      <c r="AB42" s="14">
        <f t="shared" ca="1" si="0"/>
        <v>67.370760200000007</v>
      </c>
    </row>
    <row r="43" spans="1:28" x14ac:dyDescent="0.2">
      <c r="R43">
        <v>30</v>
      </c>
      <c r="S43" t="s">
        <v>76</v>
      </c>
      <c r="T43" s="14">
        <f ca="1">INDEX(INDIRECT($AF$6),
       MATCH(TRIM($S43), INDIRECT($AF$7), 0),
       MATCH(TRIM(T$13), INDIRECT($AF$8), 0))</f>
        <v>4</v>
      </c>
      <c r="U43" s="14" t="e">
        <f ca="1">INDEX(INDIRECT($AF$6),
       MATCH(TRIM($S43), INDIRECT($AF$7), 0),
       MATCH(TRIM(U$13), INDIRECT($AF$8), 0))</f>
        <v>#N/A</v>
      </c>
      <c r="V43" s="14">
        <f ca="1">INDEX(INDIRECT($AF$6),
       MATCH(TRIM($S43), INDIRECT($AF$7), 0),
       MATCH(TRIM(V$13), INDIRECT($AF$8), 0))</f>
        <v>73.423299999999998</v>
      </c>
      <c r="W43" s="14">
        <f ca="1">INDEX(INDIRECT($AF$6),
       MATCH(TRIM($S43), INDIRECT($AF$7), 0),
       MATCH(TRIM(W$13), INDIRECT($AF$8), 0))</f>
        <v>2</v>
      </c>
      <c r="X43" s="14" t="e">
        <f ca="1">INDEX(INDIRECT($AF$6),
       MATCH(TRIM($S43), INDIRECT($AF$7), 0),
       MATCH(TRIM(X$13), INDIRECT($AF$8), 0))</f>
        <v>#N/A</v>
      </c>
      <c r="Y43" s="14">
        <f ca="1">INDEX(INDIRECT($AF$6),
       MATCH(TRIM($S43), INDIRECT($AF$7), 0),
       MATCH(TRIM(Y$13), INDIRECT($AF$8), 0))</f>
        <v>13.5</v>
      </c>
      <c r="Z43" s="14">
        <f ca="1">INDEX(INDIRECT($AF$6),
       MATCH(TRIM($S43), INDIRECT($AF$7), 0),
       MATCH(TRIM(Z$13), INDIRECT($AF$8), 0))</f>
        <v>1</v>
      </c>
      <c r="AA43" s="14">
        <f ca="1">INDEX(INDIRECT($AF$6),
       MATCH(TRIM($S43), INDIRECT($AF$7), 0),
       MATCH(TRIM(AA$13), INDIRECT($AF$8), 0))</f>
        <v>3.5427000000000001E-4</v>
      </c>
      <c r="AB43" s="14">
        <f t="shared" ca="1" si="0"/>
        <v>86.92365427</v>
      </c>
    </row>
    <row r="44" spans="1:28" x14ac:dyDescent="0.2">
      <c r="R44">
        <v>31</v>
      </c>
      <c r="S44" t="s">
        <v>88</v>
      </c>
      <c r="T44" s="14">
        <f ca="1">INDEX(INDIRECT($AF$6),
       MATCH(TRIM($S44), INDIRECT($AF$7), 0),
       MATCH(TRIM(T$13), INDIRECT($AF$8), 0))</f>
        <v>1</v>
      </c>
      <c r="U44" s="14" t="e">
        <f ca="1">INDEX(INDIRECT($AF$6),
       MATCH(TRIM($S44), INDIRECT($AF$7), 0),
       MATCH(TRIM(U$13), INDIRECT($AF$8), 0))</f>
        <v>#N/A</v>
      </c>
      <c r="V44" s="14">
        <f ca="1">INDEX(INDIRECT($AF$6),
       MATCH(TRIM($S44), INDIRECT($AF$7), 0),
       MATCH(TRIM(V$13), INDIRECT($AF$8), 0))</f>
        <v>6</v>
      </c>
      <c r="W44" s="14">
        <f ca="1">INDEX(INDIRECT($AF$6),
       MATCH(TRIM($S44), INDIRECT($AF$7), 0),
       MATCH(TRIM(W$13), INDIRECT($AF$8), 0))</f>
        <v>0</v>
      </c>
      <c r="X44" s="14" t="e">
        <f ca="1">INDEX(INDIRECT($AF$6),
       MATCH(TRIM($S44), INDIRECT($AF$7), 0),
       MATCH(TRIM(X$13), INDIRECT($AF$8), 0))</f>
        <v>#N/A</v>
      </c>
      <c r="Y44" s="14">
        <f ca="1">INDEX(INDIRECT($AF$6),
       MATCH(TRIM($S44), INDIRECT($AF$7), 0),
       MATCH(TRIM(Y$13), INDIRECT($AF$8), 0))</f>
        <v>0</v>
      </c>
      <c r="Z44" s="14">
        <f ca="1">INDEX(INDIRECT($AF$6),
       MATCH(TRIM($S44), INDIRECT($AF$7), 0),
       MATCH(TRIM(Z$13), INDIRECT($AF$8), 0))</f>
        <v>12</v>
      </c>
      <c r="AA44" s="14">
        <f ca="1">INDEX(INDIRECT($AF$6),
       MATCH(TRIM($S44), INDIRECT($AF$7), 0),
       MATCH(TRIM(AA$13), INDIRECT($AF$8), 0))</f>
        <v>81.564930669999995</v>
      </c>
      <c r="AB44" s="14">
        <f t="shared" ca="1" si="0"/>
        <v>87.564930669999995</v>
      </c>
    </row>
    <row r="45" spans="1:28" x14ac:dyDescent="0.2">
      <c r="R45">
        <v>32</v>
      </c>
      <c r="S45" t="s">
        <v>84</v>
      </c>
      <c r="T45" s="14">
        <f ca="1">INDEX(INDIRECT($AF$6),
       MATCH(TRIM($S45), INDIRECT($AF$7), 0),
       MATCH(TRIM(T$13), INDIRECT($AF$8), 0))</f>
        <v>1</v>
      </c>
      <c r="U45" s="14" t="e">
        <f ca="1">INDEX(INDIRECT($AF$6),
       MATCH(TRIM($S45), INDIRECT($AF$7), 0),
       MATCH(TRIM(U$13), INDIRECT($AF$8), 0))</f>
        <v>#N/A</v>
      </c>
      <c r="V45" s="14">
        <f ca="1">INDEX(INDIRECT($AF$6),
       MATCH(TRIM($S45), INDIRECT($AF$7), 0),
       MATCH(TRIM(V$13), INDIRECT($AF$8), 0))</f>
        <v>18.350000000000001</v>
      </c>
      <c r="W45" s="14">
        <f ca="1">INDEX(INDIRECT($AF$6),
       MATCH(TRIM($S45), INDIRECT($AF$7), 0),
       MATCH(TRIM(W$13), INDIRECT($AF$8), 0))</f>
        <v>1</v>
      </c>
      <c r="X45" s="14" t="e">
        <f ca="1">INDEX(INDIRECT($AF$6),
       MATCH(TRIM($S45), INDIRECT($AF$7), 0),
       MATCH(TRIM(X$13), INDIRECT($AF$8), 0))</f>
        <v>#N/A</v>
      </c>
      <c r="Y45" s="14">
        <f ca="1">INDEX(INDIRECT($AF$6),
       MATCH(TRIM($S45), INDIRECT($AF$7), 0),
       MATCH(TRIM(Y$13), INDIRECT($AF$8), 0))</f>
        <v>-79.295119999999997</v>
      </c>
      <c r="Z45" s="14">
        <f ca="1">INDEX(INDIRECT($AF$6),
       MATCH(TRIM($S45), INDIRECT($AF$7), 0),
       MATCH(TRIM(Z$13), INDIRECT($AF$8), 0))</f>
        <v>0</v>
      </c>
      <c r="AA45" s="14">
        <f ca="1">INDEX(INDIRECT($AF$6),
       MATCH(TRIM($S45), INDIRECT($AF$7), 0),
       MATCH(TRIM(AA$13), INDIRECT($AF$8), 0))</f>
        <v>0</v>
      </c>
      <c r="AB45" s="14">
        <f t="shared" ca="1" si="0"/>
        <v>-60.945119999999996</v>
      </c>
    </row>
    <row r="46" spans="1:28" x14ac:dyDescent="0.2">
      <c r="R46">
        <v>33</v>
      </c>
      <c r="S46" t="s">
        <v>80</v>
      </c>
      <c r="T46" s="14">
        <f ca="1">INDEX(INDIRECT($AF$6),
       MATCH(TRIM($S46), INDIRECT($AF$7), 0),
       MATCH(TRIM(T$13), INDIRECT($AF$8), 0))</f>
        <v>2</v>
      </c>
      <c r="U46" s="14" t="e">
        <f ca="1">INDEX(INDIRECT($AF$6),
       MATCH(TRIM($S46), INDIRECT($AF$7), 0),
       MATCH(TRIM(U$13), INDIRECT($AF$8), 0))</f>
        <v>#N/A</v>
      </c>
      <c r="V46" s="14">
        <f ca="1">INDEX(INDIRECT($AF$6),
       MATCH(TRIM($S46), INDIRECT($AF$7), 0),
       MATCH(TRIM(V$13), INDIRECT($AF$8), 0))</f>
        <v>110.032701</v>
      </c>
      <c r="W46" s="14">
        <f ca="1">INDEX(INDIRECT($AF$6),
       MATCH(TRIM($S46), INDIRECT($AF$7), 0),
       MATCH(TRIM(W$13), INDIRECT($AF$8), 0))</f>
        <v>1</v>
      </c>
      <c r="X46" s="14" t="e">
        <f ca="1">INDEX(INDIRECT($AF$6),
       MATCH(TRIM($S46), INDIRECT($AF$7), 0),
       MATCH(TRIM(X$13), INDIRECT($AF$8), 0))</f>
        <v>#N/A</v>
      </c>
      <c r="Y46" s="14">
        <f ca="1">INDEX(INDIRECT($AF$6),
       MATCH(TRIM($S46), INDIRECT($AF$7), 0),
       MATCH(TRIM(Y$13), INDIRECT($AF$8), 0))</f>
        <v>1.8</v>
      </c>
      <c r="Z46" s="14">
        <f ca="1">INDEX(INDIRECT($AF$6),
       MATCH(TRIM($S46), INDIRECT($AF$7), 0),
       MATCH(TRIM(Z$13), INDIRECT($AF$8), 0))</f>
        <v>1</v>
      </c>
      <c r="AA46" s="14">
        <f ca="1">INDEX(INDIRECT($AF$6),
       MATCH(TRIM($S46), INDIRECT($AF$7), 0),
       MATCH(TRIM(AA$13), INDIRECT($AF$8), 0))</f>
        <v>4.5428163000000001</v>
      </c>
      <c r="AB46" s="14">
        <f t="shared" ca="1" si="0"/>
        <v>116.3755173</v>
      </c>
    </row>
    <row r="47" spans="1:28" x14ac:dyDescent="0.2">
      <c r="R47">
        <v>34</v>
      </c>
      <c r="S47" t="s">
        <v>40</v>
      </c>
      <c r="T47" s="14">
        <f ca="1">INDEX(INDIRECT($AF$6),
       MATCH(TRIM($S47), INDIRECT($AF$7), 0),
       MATCH(TRIM(T$13), INDIRECT($AF$8), 0))</f>
        <v>1</v>
      </c>
      <c r="U47" s="14" t="e">
        <f ca="1">INDEX(INDIRECT($AF$6),
       MATCH(TRIM($S47), INDIRECT($AF$7), 0),
       MATCH(TRIM(U$13), INDIRECT($AF$8), 0))</f>
        <v>#N/A</v>
      </c>
      <c r="V47" s="14">
        <f ca="1">INDEX(INDIRECT($AF$6),
       MATCH(TRIM($S47), INDIRECT($AF$7), 0),
       MATCH(TRIM(V$13), INDIRECT($AF$8), 0))</f>
        <v>3</v>
      </c>
      <c r="W47" s="14">
        <f ca="1">INDEX(INDIRECT($AF$6),
       MATCH(TRIM($S47), INDIRECT($AF$7), 0),
       MATCH(TRIM(W$13), INDIRECT($AF$8), 0))</f>
        <v>1</v>
      </c>
      <c r="X47" s="14" t="e">
        <f ca="1">INDEX(INDIRECT($AF$6),
       MATCH(TRIM($S47), INDIRECT($AF$7), 0),
       MATCH(TRIM(X$13), INDIRECT($AF$8), 0))</f>
        <v>#N/A</v>
      </c>
      <c r="Y47" s="14">
        <f ca="1">INDEX(INDIRECT($AF$6),
       MATCH(TRIM($S47), INDIRECT($AF$7), 0),
       MATCH(TRIM(Y$13), INDIRECT($AF$8), 0))</f>
        <v>3.0078000000000001E-2</v>
      </c>
      <c r="Z47" s="14">
        <f ca="1">INDEX(INDIRECT($AF$6),
       MATCH(TRIM($S47), INDIRECT($AF$7), 0),
       MATCH(TRIM(Z$13), INDIRECT($AF$8), 0))</f>
        <v>0</v>
      </c>
      <c r="AA47" s="14">
        <f ca="1">INDEX(INDIRECT($AF$6),
       MATCH(TRIM($S47), INDIRECT($AF$7), 0),
       MATCH(TRIM(AA$13), INDIRECT($AF$8), 0))</f>
        <v>0</v>
      </c>
      <c r="AB47" s="14">
        <f t="shared" ca="1" si="0"/>
        <v>3.030078</v>
      </c>
    </row>
    <row r="48" spans="1:28" x14ac:dyDescent="0.2">
      <c r="R48">
        <v>35</v>
      </c>
      <c r="S48" t="s">
        <v>66</v>
      </c>
      <c r="T48" s="14">
        <f ca="1">INDEX(INDIRECT($AF$6),
       MATCH(TRIM($S48), INDIRECT($AF$7), 0),
       MATCH(TRIM(T$13), INDIRECT($AF$8), 0))</f>
        <v>2</v>
      </c>
      <c r="U48" s="14" t="e">
        <f ca="1">INDEX(INDIRECT($AF$6),
       MATCH(TRIM($S48), INDIRECT($AF$7), 0),
       MATCH(TRIM(U$13), INDIRECT($AF$8), 0))</f>
        <v>#N/A</v>
      </c>
      <c r="V48" s="14">
        <f ca="1">INDEX(INDIRECT($AF$6),
       MATCH(TRIM($S48), INDIRECT($AF$7), 0),
       MATCH(TRIM(V$13), INDIRECT($AF$8), 0))</f>
        <v>4.3183340000000001</v>
      </c>
      <c r="W48" s="14">
        <f ca="1">INDEX(INDIRECT($AF$6),
       MATCH(TRIM($S48), INDIRECT($AF$7), 0),
       MATCH(TRIM(W$13), INDIRECT($AF$8), 0))</f>
        <v>2</v>
      </c>
      <c r="X48" s="14" t="e">
        <f ca="1">INDEX(INDIRECT($AF$6),
       MATCH(TRIM($S48), INDIRECT($AF$7), 0),
       MATCH(TRIM(X$13), INDIRECT($AF$8), 0))</f>
        <v>#N/A</v>
      </c>
      <c r="Y48" s="14">
        <f ca="1">INDEX(INDIRECT($AF$6),
       MATCH(TRIM($S48), INDIRECT($AF$7), 0),
       MATCH(TRIM(Y$13), INDIRECT($AF$8), 0))</f>
        <v>15.153307</v>
      </c>
      <c r="Z48" s="14">
        <f ca="1">INDEX(INDIRECT($AF$6),
       MATCH(TRIM($S48), INDIRECT($AF$7), 0),
       MATCH(TRIM(Z$13), INDIRECT($AF$8), 0))</f>
        <v>6</v>
      </c>
      <c r="AA48" s="14">
        <f ca="1">INDEX(INDIRECT($AF$6),
       MATCH(TRIM($S48), INDIRECT($AF$7), 0),
       MATCH(TRIM(AA$13), INDIRECT($AF$8), 0))</f>
        <v>14.738242250000001</v>
      </c>
      <c r="AB48" s="14">
        <f t="shared" ca="1" si="0"/>
        <v>34.209883249999997</v>
      </c>
    </row>
    <row r="49" spans="18:28" x14ac:dyDescent="0.2">
      <c r="R49">
        <v>36</v>
      </c>
      <c r="S49" t="s">
        <v>133</v>
      </c>
      <c r="T49" s="14">
        <f ca="1">INDEX(INDIRECT($AF$6),
       MATCH(TRIM($S49), INDIRECT($AF$7), 0),
       MATCH(TRIM(T$13), INDIRECT($AF$8), 0))</f>
        <v>0</v>
      </c>
      <c r="U49" s="14" t="e">
        <f ca="1">INDEX(INDIRECT($AF$6),
       MATCH(TRIM($S49), INDIRECT($AF$7), 0),
       MATCH(TRIM(U$13), INDIRECT($AF$8), 0))</f>
        <v>#N/A</v>
      </c>
      <c r="V49" s="14">
        <f ca="1">INDEX(INDIRECT($AF$6),
       MATCH(TRIM($S49), INDIRECT($AF$7), 0),
       MATCH(TRIM(V$13), INDIRECT($AF$8), 0))</f>
        <v>0</v>
      </c>
      <c r="W49" s="14">
        <f ca="1">INDEX(INDIRECT($AF$6),
       MATCH(TRIM($S49), INDIRECT($AF$7), 0),
       MATCH(TRIM(W$13), INDIRECT($AF$8), 0))</f>
        <v>0</v>
      </c>
      <c r="X49" s="14" t="e">
        <f ca="1">INDEX(INDIRECT($AF$6),
       MATCH(TRIM($S49), INDIRECT($AF$7), 0),
       MATCH(TRIM(X$13), INDIRECT($AF$8), 0))</f>
        <v>#N/A</v>
      </c>
      <c r="Y49" s="14">
        <f ca="1">INDEX(INDIRECT($AF$6),
       MATCH(TRIM($S49), INDIRECT($AF$7), 0),
       MATCH(TRIM(Y$13), INDIRECT($AF$8), 0))</f>
        <v>0</v>
      </c>
      <c r="Z49" s="14">
        <f ca="1">INDEX(INDIRECT($AF$6),
       MATCH(TRIM($S49), INDIRECT($AF$7), 0),
       MATCH(TRIM(Z$13), INDIRECT($AF$8), 0))</f>
        <v>2</v>
      </c>
      <c r="AA49" s="14">
        <f ca="1">INDEX(INDIRECT($AF$6),
       MATCH(TRIM($S49), INDIRECT($AF$7), 0),
       MATCH(TRIM(AA$13), INDIRECT($AF$8), 0))</f>
        <v>0.14466172999999999</v>
      </c>
      <c r="AB49" s="14">
        <f t="shared" ca="1" si="0"/>
        <v>0.14466172999999999</v>
      </c>
    </row>
    <row r="50" spans="18:28" x14ac:dyDescent="0.2">
      <c r="R50">
        <v>37</v>
      </c>
      <c r="S50" t="s">
        <v>75</v>
      </c>
      <c r="T50" s="14">
        <f ca="1">INDEX(INDIRECT($AF$6),
       MATCH(TRIM($S50), INDIRECT($AF$7), 0),
       MATCH(TRIM(T$13), INDIRECT($AF$8), 0))</f>
        <v>1</v>
      </c>
      <c r="U50" s="14" t="e">
        <f ca="1">INDEX(INDIRECT($AF$6),
       MATCH(TRIM($S50), INDIRECT($AF$7), 0),
       MATCH(TRIM(U$13), INDIRECT($AF$8), 0))</f>
        <v>#N/A</v>
      </c>
      <c r="V50" s="14">
        <f ca="1">INDEX(INDIRECT($AF$6),
       MATCH(TRIM($S50), INDIRECT($AF$7), 0),
       MATCH(TRIM(V$13), INDIRECT($AF$8), 0))</f>
        <v>0.01</v>
      </c>
      <c r="W50" s="14">
        <f ca="1">INDEX(INDIRECT($AF$6),
       MATCH(TRIM($S50), INDIRECT($AF$7), 0),
       MATCH(TRIM(W$13), INDIRECT($AF$8), 0))</f>
        <v>0</v>
      </c>
      <c r="X50" s="14" t="e">
        <f ca="1">INDEX(INDIRECT($AF$6),
       MATCH(TRIM($S50), INDIRECT($AF$7), 0),
       MATCH(TRIM(X$13), INDIRECT($AF$8), 0))</f>
        <v>#N/A</v>
      </c>
      <c r="Y50" s="14">
        <f ca="1">INDEX(INDIRECT($AF$6),
       MATCH(TRIM($S50), INDIRECT($AF$7), 0),
       MATCH(TRIM(Y$13), INDIRECT($AF$8), 0))</f>
        <v>0</v>
      </c>
      <c r="Z50" s="14">
        <f ca="1">INDEX(INDIRECT($AF$6),
       MATCH(TRIM($S50), INDIRECT($AF$7), 0),
       MATCH(TRIM(Z$13), INDIRECT($AF$8), 0))</f>
        <v>3</v>
      </c>
      <c r="AA50" s="14">
        <f ca="1">INDEX(INDIRECT($AF$6),
       MATCH(TRIM($S50), INDIRECT($AF$7), 0),
       MATCH(TRIM(AA$13), INDIRECT($AF$8), 0))</f>
        <v>0.28005339000000001</v>
      </c>
      <c r="AB50" s="14">
        <f t="shared" ca="1" si="0"/>
        <v>0.29005339000000002</v>
      </c>
    </row>
    <row r="51" spans="18:28" x14ac:dyDescent="0.2">
      <c r="R51">
        <v>38</v>
      </c>
      <c r="S51" t="s">
        <v>77</v>
      </c>
      <c r="T51" s="14">
        <f ca="1">INDEX(INDIRECT($AF$6),
       MATCH(TRIM($S51), INDIRECT($AF$7), 0),
       MATCH(TRIM(T$13), INDIRECT($AF$8), 0))</f>
        <v>6</v>
      </c>
      <c r="U51" s="14" t="e">
        <f ca="1">INDEX(INDIRECT($AF$6),
       MATCH(TRIM($S51), INDIRECT($AF$7), 0),
       MATCH(TRIM(U$13), INDIRECT($AF$8), 0))</f>
        <v>#N/A</v>
      </c>
      <c r="V51" s="14">
        <f ca="1">INDEX(INDIRECT($AF$6),
       MATCH(TRIM($S51), INDIRECT($AF$7), 0),
       MATCH(TRIM(V$13), INDIRECT($AF$8), 0))</f>
        <v>174.23413106000001</v>
      </c>
      <c r="W51" s="14">
        <f ca="1">INDEX(INDIRECT($AF$6),
       MATCH(TRIM($S51), INDIRECT($AF$7), 0),
       MATCH(TRIM(W$13), INDIRECT($AF$8), 0))</f>
        <v>2</v>
      </c>
      <c r="X51" s="14" t="e">
        <f ca="1">INDEX(INDIRECT($AF$6),
       MATCH(TRIM($S51), INDIRECT($AF$7), 0),
       MATCH(TRIM(X$13), INDIRECT($AF$8), 0))</f>
        <v>#N/A</v>
      </c>
      <c r="Y51" s="14">
        <f ca="1">INDEX(INDIRECT($AF$6),
       MATCH(TRIM($S51), INDIRECT($AF$7), 0),
       MATCH(TRIM(Y$13), INDIRECT($AF$8), 0))</f>
        <v>2.3423050000000001</v>
      </c>
      <c r="Z51" s="14">
        <f ca="1">INDEX(INDIRECT($AF$6),
       MATCH(TRIM($S51), INDIRECT($AF$7), 0),
       MATCH(TRIM(Z$13), INDIRECT($AF$8), 0))</f>
        <v>9</v>
      </c>
      <c r="AA51" s="14">
        <f ca="1">INDEX(INDIRECT($AF$6),
       MATCH(TRIM($S51), INDIRECT($AF$7), 0),
       MATCH(TRIM(AA$13), INDIRECT($AF$8), 0))</f>
        <v>9.3943826500000007</v>
      </c>
      <c r="AB51" s="14">
        <f t="shared" ca="1" si="0"/>
        <v>185.97081871000003</v>
      </c>
    </row>
    <row r="52" spans="18:28" x14ac:dyDescent="0.2">
      <c r="R52">
        <v>39</v>
      </c>
      <c r="S52" t="s">
        <v>68</v>
      </c>
      <c r="T52" s="14">
        <f ca="1">INDEX(INDIRECT($AF$6),
       MATCH(TRIM($S52), INDIRECT($AF$7), 0),
       MATCH(TRIM(T$13), INDIRECT($AF$8), 0))</f>
        <v>8</v>
      </c>
      <c r="U52" s="14" t="e">
        <f ca="1">INDEX(INDIRECT($AF$6),
       MATCH(TRIM($S52), INDIRECT($AF$7), 0),
       MATCH(TRIM(U$13), INDIRECT($AF$8), 0))</f>
        <v>#N/A</v>
      </c>
      <c r="V52" s="14">
        <f ca="1">INDEX(INDIRECT($AF$6),
       MATCH(TRIM($S52), INDIRECT($AF$7), 0),
       MATCH(TRIM(V$13), INDIRECT($AF$8), 0))</f>
        <v>219.819749</v>
      </c>
      <c r="W52" s="14">
        <f ca="1">INDEX(INDIRECT($AF$6),
       MATCH(TRIM($S52), INDIRECT($AF$7), 0),
       MATCH(TRIM(W$13), INDIRECT($AF$8), 0))</f>
        <v>5</v>
      </c>
      <c r="X52" s="14" t="e">
        <f ca="1">INDEX(INDIRECT($AF$6),
       MATCH(TRIM($S52), INDIRECT($AF$7), 0),
       MATCH(TRIM(X$13), INDIRECT($AF$8), 0))</f>
        <v>#N/A</v>
      </c>
      <c r="Y52" s="14">
        <f ca="1">INDEX(INDIRECT($AF$6),
       MATCH(TRIM($S52), INDIRECT($AF$7), 0),
       MATCH(TRIM(Y$13), INDIRECT($AF$8), 0))</f>
        <v>86.292689999999993</v>
      </c>
      <c r="Z52" s="14">
        <f ca="1">INDEX(INDIRECT($AF$6),
       MATCH(TRIM($S52), INDIRECT($AF$7), 0),
       MATCH(TRIM(Z$13), INDIRECT($AF$8), 0))</f>
        <v>2</v>
      </c>
      <c r="AA52" s="14">
        <f ca="1">INDEX(INDIRECT($AF$6),
       MATCH(TRIM($S52), INDIRECT($AF$7), 0),
       MATCH(TRIM(AA$13), INDIRECT($AF$8), 0))</f>
        <v>1.7528489199999999</v>
      </c>
      <c r="AB52" s="14">
        <f t="shared" ca="1" si="0"/>
        <v>307.86528792000001</v>
      </c>
    </row>
    <row r="53" spans="18:28" x14ac:dyDescent="0.2">
      <c r="R53">
        <v>40</v>
      </c>
      <c r="S53" t="s">
        <v>62</v>
      </c>
      <c r="T53" s="14">
        <f ca="1">INDEX(INDIRECT($AF$6),
       MATCH(TRIM($S53), INDIRECT($AF$7), 0),
       MATCH(TRIM(T$13), INDIRECT($AF$8), 0))</f>
        <v>2</v>
      </c>
      <c r="U53" s="14" t="e">
        <f ca="1">INDEX(INDIRECT($AF$6),
       MATCH(TRIM($S53), INDIRECT($AF$7), 0),
       MATCH(TRIM(U$13), INDIRECT($AF$8), 0))</f>
        <v>#N/A</v>
      </c>
      <c r="V53" s="14">
        <f ca="1">INDEX(INDIRECT($AF$6),
       MATCH(TRIM($S53), INDIRECT($AF$7), 0),
       MATCH(TRIM(V$13), INDIRECT($AF$8), 0))</f>
        <v>23</v>
      </c>
      <c r="W53" s="14">
        <f ca="1">INDEX(INDIRECT($AF$6),
       MATCH(TRIM($S53), INDIRECT($AF$7), 0),
       MATCH(TRIM(W$13), INDIRECT($AF$8), 0))</f>
        <v>1</v>
      </c>
      <c r="X53" s="14" t="e">
        <f ca="1">INDEX(INDIRECT($AF$6),
       MATCH(TRIM($S53), INDIRECT($AF$7), 0),
       MATCH(TRIM(X$13), INDIRECT($AF$8), 0))</f>
        <v>#N/A</v>
      </c>
      <c r="Y53" s="14">
        <f ca="1">INDEX(INDIRECT($AF$6),
       MATCH(TRIM($S53), INDIRECT($AF$7), 0),
       MATCH(TRIM(Y$13), INDIRECT($AF$8), 0))</f>
        <v>1.5</v>
      </c>
      <c r="Z53" s="14">
        <f ca="1">INDEX(INDIRECT($AF$6),
       MATCH(TRIM($S53), INDIRECT($AF$7), 0),
       MATCH(TRIM(Z$13), INDIRECT($AF$8), 0))</f>
        <v>2</v>
      </c>
      <c r="AA53" s="14">
        <f ca="1">INDEX(INDIRECT($AF$6),
       MATCH(TRIM($S53), INDIRECT($AF$7), 0),
       MATCH(TRIM(AA$13), INDIRECT($AF$8), 0))</f>
        <v>0.13692053000000001</v>
      </c>
      <c r="AB53" s="14">
        <f t="shared" ca="1" si="0"/>
        <v>24.636920530000001</v>
      </c>
    </row>
    <row r="54" spans="18:28" x14ac:dyDescent="0.2">
      <c r="R54">
        <v>41</v>
      </c>
      <c r="S54" t="s">
        <v>60</v>
      </c>
      <c r="T54" s="14">
        <f ca="1">INDEX(INDIRECT($AF$6),
       MATCH(TRIM($S54), INDIRECT($AF$7), 0),
       MATCH(TRIM(T$13), INDIRECT($AF$8), 0))</f>
        <v>7</v>
      </c>
      <c r="U54" s="14" t="e">
        <f ca="1">INDEX(INDIRECT($AF$6),
       MATCH(TRIM($S54), INDIRECT($AF$7), 0),
       MATCH(TRIM(U$13), INDIRECT($AF$8), 0))</f>
        <v>#N/A</v>
      </c>
      <c r="V54" s="14">
        <f ca="1">INDEX(INDIRECT($AF$6),
       MATCH(TRIM($S54), INDIRECT($AF$7), 0),
       MATCH(TRIM(V$13), INDIRECT($AF$8), 0))</f>
        <v>43.023629999999997</v>
      </c>
      <c r="W54" s="14">
        <f ca="1">INDEX(INDIRECT($AF$6),
       MATCH(TRIM($S54), INDIRECT($AF$7), 0),
       MATCH(TRIM(W$13), INDIRECT($AF$8), 0))</f>
        <v>4</v>
      </c>
      <c r="X54" s="14" t="e">
        <f ca="1">INDEX(INDIRECT($AF$6),
       MATCH(TRIM($S54), INDIRECT($AF$7), 0),
       MATCH(TRIM(X$13), INDIRECT($AF$8), 0))</f>
        <v>#N/A</v>
      </c>
      <c r="Y54" s="14">
        <f ca="1">INDEX(INDIRECT($AF$6),
       MATCH(TRIM($S54), INDIRECT($AF$7), 0),
       MATCH(TRIM(Y$13), INDIRECT($AF$8), 0))</f>
        <v>2.949579</v>
      </c>
      <c r="Z54" s="14">
        <f ca="1">INDEX(INDIRECT($AF$6),
       MATCH(TRIM($S54), INDIRECT($AF$7), 0),
       MATCH(TRIM(Z$13), INDIRECT($AF$8), 0))</f>
        <v>6</v>
      </c>
      <c r="AA54" s="14">
        <f ca="1">INDEX(INDIRECT($AF$6),
       MATCH(TRIM($S54), INDIRECT($AF$7), 0),
       MATCH(TRIM(AA$13), INDIRECT($AF$8), 0))</f>
        <v>11.624876270000001</v>
      </c>
      <c r="AB54" s="14">
        <f t="shared" ca="1" si="0"/>
        <v>57.598085269999999</v>
      </c>
    </row>
    <row r="55" spans="18:28" x14ac:dyDescent="0.2">
      <c r="R55">
        <v>42</v>
      </c>
      <c r="S55" t="s">
        <v>57</v>
      </c>
      <c r="T55" s="14">
        <f ca="1">INDEX(INDIRECT($AF$6),
       MATCH(TRIM($S55), INDIRECT($AF$7), 0),
       MATCH(TRIM(T$13), INDIRECT($AF$8), 0))</f>
        <v>1</v>
      </c>
      <c r="U55" s="14" t="e">
        <f ca="1">INDEX(INDIRECT($AF$6),
       MATCH(TRIM($S55), INDIRECT($AF$7), 0),
       MATCH(TRIM(U$13), INDIRECT($AF$8), 0))</f>
        <v>#N/A</v>
      </c>
      <c r="V55" s="14">
        <f ca="1">INDEX(INDIRECT($AF$6),
       MATCH(TRIM($S55), INDIRECT($AF$7), 0),
       MATCH(TRIM(V$13), INDIRECT($AF$8), 0))</f>
        <v>1.082803</v>
      </c>
      <c r="W55" s="14">
        <f ca="1">INDEX(INDIRECT($AF$6),
       MATCH(TRIM($S55), INDIRECT($AF$7), 0),
       MATCH(TRIM(W$13), INDIRECT($AF$8), 0))</f>
        <v>1</v>
      </c>
      <c r="X55" s="14" t="e">
        <f ca="1">INDEX(INDIRECT($AF$6),
       MATCH(TRIM($S55), INDIRECT($AF$7), 0),
       MATCH(TRIM(X$13), INDIRECT($AF$8), 0))</f>
        <v>#N/A</v>
      </c>
      <c r="Y55" s="14">
        <f ca="1">INDEX(INDIRECT($AF$6),
       MATCH(TRIM($S55), INDIRECT($AF$7), 0),
       MATCH(TRIM(Y$13), INDIRECT($AF$8), 0))</f>
        <v>-0.44500000000000001</v>
      </c>
      <c r="Z55" s="14">
        <f ca="1">INDEX(INDIRECT($AF$6),
       MATCH(TRIM($S55), INDIRECT($AF$7), 0),
       MATCH(TRIM(Z$13), INDIRECT($AF$8), 0))</f>
        <v>3</v>
      </c>
      <c r="AA55" s="14">
        <f ca="1">INDEX(INDIRECT($AF$6),
       MATCH(TRIM($S55), INDIRECT($AF$7), 0),
       MATCH(TRIM(AA$13), INDIRECT($AF$8), 0))</f>
        <v>2.2255980000000002</v>
      </c>
      <c r="AB55" s="14">
        <f t="shared" ca="1" si="0"/>
        <v>2.8634010000000001</v>
      </c>
    </row>
    <row r="56" spans="18:28" x14ac:dyDescent="0.2">
      <c r="R56">
        <v>43</v>
      </c>
      <c r="S56" t="s">
        <v>58</v>
      </c>
      <c r="T56" s="14">
        <f ca="1">INDEX(INDIRECT($AF$6),
       MATCH(TRIM($S56), INDIRECT($AF$7), 0),
       MATCH(TRIM(T$13), INDIRECT($AF$8), 0))</f>
        <v>1</v>
      </c>
      <c r="U56" s="14" t="e">
        <f ca="1">INDEX(INDIRECT($AF$6),
       MATCH(TRIM($S56), INDIRECT($AF$7), 0),
       MATCH(TRIM(U$13), INDIRECT($AF$8), 0))</f>
        <v>#N/A</v>
      </c>
      <c r="V56" s="14">
        <f ca="1">INDEX(INDIRECT($AF$6),
       MATCH(TRIM($S56), INDIRECT($AF$7), 0),
       MATCH(TRIM(V$13), INDIRECT($AF$8), 0))</f>
        <v>275</v>
      </c>
      <c r="W56" s="14">
        <f ca="1">INDEX(INDIRECT($AF$6),
       MATCH(TRIM($S56), INDIRECT($AF$7), 0),
       MATCH(TRIM(W$13), INDIRECT($AF$8), 0))</f>
        <v>0</v>
      </c>
      <c r="X56" s="14" t="e">
        <f ca="1">INDEX(INDIRECT($AF$6),
       MATCH(TRIM($S56), INDIRECT($AF$7), 0),
       MATCH(TRIM(X$13), INDIRECT($AF$8), 0))</f>
        <v>#N/A</v>
      </c>
      <c r="Y56" s="14">
        <f ca="1">INDEX(INDIRECT($AF$6),
       MATCH(TRIM($S56), INDIRECT($AF$7), 0),
       MATCH(TRIM(Y$13), INDIRECT($AF$8), 0))</f>
        <v>0</v>
      </c>
      <c r="Z56" s="14">
        <f ca="1">INDEX(INDIRECT($AF$6),
       MATCH(TRIM($S56), INDIRECT($AF$7), 0),
       MATCH(TRIM(Z$13), INDIRECT($AF$8), 0))</f>
        <v>2</v>
      </c>
      <c r="AA56" s="14">
        <f ca="1">INDEX(INDIRECT($AF$6),
       MATCH(TRIM($S56), INDIRECT($AF$7), 0),
       MATCH(TRIM(AA$13), INDIRECT($AF$8), 0))</f>
        <v>1.1280362500000001</v>
      </c>
      <c r="AB56" s="14">
        <f t="shared" ca="1" si="0"/>
        <v>276.12803624999998</v>
      </c>
    </row>
    <row r="57" spans="18:28" x14ac:dyDescent="0.2">
      <c r="R57">
        <v>44</v>
      </c>
      <c r="S57" t="s">
        <v>83</v>
      </c>
      <c r="T57" s="14">
        <f ca="1">INDEX(INDIRECT($AF$6),
       MATCH(TRIM($S57), INDIRECT($AF$7), 0),
       MATCH(TRIM(T$13), INDIRECT($AF$8), 0))</f>
        <v>1</v>
      </c>
      <c r="U57" s="14" t="e">
        <f ca="1">INDEX(INDIRECT($AF$6),
       MATCH(TRIM($S57), INDIRECT($AF$7), 0),
       MATCH(TRIM(U$13), INDIRECT($AF$8), 0))</f>
        <v>#N/A</v>
      </c>
      <c r="V57" s="14">
        <f ca="1">INDEX(INDIRECT($AF$6),
       MATCH(TRIM($S57), INDIRECT($AF$7), 0),
       MATCH(TRIM(V$13), INDIRECT($AF$8), 0))</f>
        <v>4.3020000000000003E-2</v>
      </c>
      <c r="W57" s="14">
        <f ca="1">INDEX(INDIRECT($AF$6),
       MATCH(TRIM($S57), INDIRECT($AF$7), 0),
       MATCH(TRIM(W$13), INDIRECT($AF$8), 0))</f>
        <v>3</v>
      </c>
      <c r="X57" s="14" t="e">
        <f ca="1">INDEX(INDIRECT($AF$6),
       MATCH(TRIM($S57), INDIRECT($AF$7), 0),
       MATCH(TRIM(X$13), INDIRECT($AF$8), 0))</f>
        <v>#N/A</v>
      </c>
      <c r="Y57" s="14">
        <f ca="1">INDEX(INDIRECT($AF$6),
       MATCH(TRIM($S57), INDIRECT($AF$7), 0),
       MATCH(TRIM(Y$13), INDIRECT($AF$8), 0))</f>
        <v>-9.3780588125000008</v>
      </c>
      <c r="Z57" s="14">
        <f ca="1">INDEX(INDIRECT($AF$6),
       MATCH(TRIM($S57), INDIRECT($AF$7), 0),
       MATCH(TRIM(Z$13), INDIRECT($AF$8), 0))</f>
        <v>17</v>
      </c>
      <c r="AA57" s="14">
        <f ca="1">INDEX(INDIRECT($AF$6),
       MATCH(TRIM($S57), INDIRECT($AF$7), 0),
       MATCH(TRIM(AA$13), INDIRECT($AF$8), 0))</f>
        <v>3.0204535799999994</v>
      </c>
      <c r="AB57" s="14">
        <f t="shared" ca="1" si="0"/>
        <v>-6.3145852325000007</v>
      </c>
    </row>
    <row r="58" spans="18:28" x14ac:dyDescent="0.2">
      <c r="R58">
        <v>45</v>
      </c>
      <c r="S58" t="s">
        <v>73</v>
      </c>
      <c r="T58" s="14">
        <f ca="1">INDEX(INDIRECT($AF$6),
       MATCH(TRIM($S58), INDIRECT($AF$7), 0),
       MATCH(TRIM(T$13), INDIRECT($AF$8), 0))</f>
        <v>1</v>
      </c>
      <c r="U58" s="14" t="e">
        <f ca="1">INDEX(INDIRECT($AF$6),
       MATCH(TRIM($S58), INDIRECT($AF$7), 0),
       MATCH(TRIM(U$13), INDIRECT($AF$8), 0))</f>
        <v>#N/A</v>
      </c>
      <c r="V58" s="14">
        <f ca="1">INDEX(INDIRECT($AF$6),
       MATCH(TRIM($S58), INDIRECT($AF$7), 0),
       MATCH(TRIM(V$13), INDIRECT($AF$8), 0))</f>
        <v>2</v>
      </c>
      <c r="W58" s="14">
        <f ca="1">INDEX(INDIRECT($AF$6),
       MATCH(TRIM($S58), INDIRECT($AF$7), 0),
       MATCH(TRIM(W$13), INDIRECT($AF$8), 0))</f>
        <v>0</v>
      </c>
      <c r="X58" s="14" t="e">
        <f ca="1">INDEX(INDIRECT($AF$6),
       MATCH(TRIM($S58), INDIRECT($AF$7), 0),
       MATCH(TRIM(X$13), INDIRECT($AF$8), 0))</f>
        <v>#N/A</v>
      </c>
      <c r="Y58" s="14">
        <f ca="1">INDEX(INDIRECT($AF$6),
       MATCH(TRIM($S58), INDIRECT($AF$7), 0),
       MATCH(TRIM(Y$13), INDIRECT($AF$8), 0))</f>
        <v>0</v>
      </c>
      <c r="Z58" s="14">
        <f ca="1">INDEX(INDIRECT($AF$6),
       MATCH(TRIM($S58), INDIRECT($AF$7), 0),
       MATCH(TRIM(Z$13), INDIRECT($AF$8), 0))</f>
        <v>11</v>
      </c>
      <c r="AA58" s="14">
        <f ca="1">INDEX(INDIRECT($AF$6),
       MATCH(TRIM($S58), INDIRECT($AF$7), 0),
       MATCH(TRIM(AA$13), INDIRECT($AF$8), 0))</f>
        <v>2.6680168899999996</v>
      </c>
      <c r="AB58" s="14">
        <f t="shared" ca="1" si="0"/>
        <v>4.6680168899999996</v>
      </c>
    </row>
    <row r="59" spans="18:28" x14ac:dyDescent="0.2">
      <c r="R59">
        <v>46</v>
      </c>
      <c r="S59" t="s">
        <v>87</v>
      </c>
      <c r="T59" s="14">
        <f ca="1">INDEX(INDIRECT($AF$6),
       MATCH(TRIM($S59), INDIRECT($AF$7), 0),
       MATCH(TRIM(T$13), INDIRECT($AF$8), 0))</f>
        <v>0</v>
      </c>
      <c r="U59" s="14" t="e">
        <f ca="1">INDEX(INDIRECT($AF$6),
       MATCH(TRIM($S59), INDIRECT($AF$7), 0),
       MATCH(TRIM(U$13), INDIRECT($AF$8), 0))</f>
        <v>#N/A</v>
      </c>
      <c r="V59" s="14">
        <f ca="1">INDEX(INDIRECT($AF$6),
       MATCH(TRIM($S59), INDIRECT($AF$7), 0),
       MATCH(TRIM(V$13), INDIRECT($AF$8), 0))</f>
        <v>0</v>
      </c>
      <c r="W59" s="14">
        <f ca="1">INDEX(INDIRECT($AF$6),
       MATCH(TRIM($S59), INDIRECT($AF$7), 0),
       MATCH(TRIM(W$13), INDIRECT($AF$8), 0))</f>
        <v>0</v>
      </c>
      <c r="X59" s="14" t="e">
        <f ca="1">INDEX(INDIRECT($AF$6),
       MATCH(TRIM($S59), INDIRECT($AF$7), 0),
       MATCH(TRIM(X$13), INDIRECT($AF$8), 0))</f>
        <v>#N/A</v>
      </c>
      <c r="Y59" s="14">
        <f ca="1">INDEX(INDIRECT($AF$6),
       MATCH(TRIM($S59), INDIRECT($AF$7), 0),
       MATCH(TRIM(Y$13), INDIRECT($AF$8), 0))</f>
        <v>0</v>
      </c>
      <c r="Z59" s="14">
        <f ca="1">INDEX(INDIRECT($AF$6),
       MATCH(TRIM($S59), INDIRECT($AF$7), 0),
       MATCH(TRIM(Z$13), INDIRECT($AF$8), 0))</f>
        <v>3</v>
      </c>
      <c r="AA59" s="14">
        <f ca="1">INDEX(INDIRECT($AF$6),
       MATCH(TRIM($S59), INDIRECT($AF$7), 0),
       MATCH(TRIM(AA$13), INDIRECT($AF$8), 0))</f>
        <v>0.46816140000000001</v>
      </c>
      <c r="AB59" s="14">
        <f t="shared" ca="1" si="0"/>
        <v>0.46816140000000001</v>
      </c>
    </row>
    <row r="60" spans="18:28" x14ac:dyDescent="0.2">
      <c r="R60">
        <v>47</v>
      </c>
      <c r="S60" t="s">
        <v>85</v>
      </c>
      <c r="T60" s="14">
        <f ca="1">INDEX(INDIRECT($AF$6),
       MATCH(TRIM($S60), INDIRECT($AF$7), 0),
       MATCH(TRIM(T$13), INDIRECT($AF$8), 0))</f>
        <v>0</v>
      </c>
      <c r="U60" s="14" t="e">
        <f ca="1">INDEX(INDIRECT($AF$6),
       MATCH(TRIM($S60), INDIRECT($AF$7), 0),
       MATCH(TRIM(U$13), INDIRECT($AF$8), 0))</f>
        <v>#N/A</v>
      </c>
      <c r="V60" s="14">
        <f ca="1">INDEX(INDIRECT($AF$6),
       MATCH(TRIM($S60), INDIRECT($AF$7), 0),
       MATCH(TRIM(V$13), INDIRECT($AF$8), 0))</f>
        <v>0</v>
      </c>
      <c r="W60" s="14">
        <f ca="1">INDEX(INDIRECT($AF$6),
       MATCH(TRIM($S60), INDIRECT($AF$7), 0),
       MATCH(TRIM(W$13), INDIRECT($AF$8), 0))</f>
        <v>0</v>
      </c>
      <c r="X60" s="14" t="e">
        <f ca="1">INDEX(INDIRECT($AF$6),
       MATCH(TRIM($S60), INDIRECT($AF$7), 0),
       MATCH(TRIM(X$13), INDIRECT($AF$8), 0))</f>
        <v>#N/A</v>
      </c>
      <c r="Y60" s="14">
        <f ca="1">INDEX(INDIRECT($AF$6),
       MATCH(TRIM($S60), INDIRECT($AF$7), 0),
       MATCH(TRIM(Y$13), INDIRECT($AF$8), 0))</f>
        <v>0</v>
      </c>
      <c r="Z60" s="14">
        <f ca="1">INDEX(INDIRECT($AF$6),
       MATCH(TRIM($S60), INDIRECT($AF$7), 0),
       MATCH(TRIM(Z$13), INDIRECT($AF$8), 0))</f>
        <v>4</v>
      </c>
      <c r="AA60" s="14">
        <f ca="1">INDEX(INDIRECT($AF$6),
       MATCH(TRIM($S60), INDIRECT($AF$7), 0),
       MATCH(TRIM(AA$13), INDIRECT($AF$8), 0))</f>
        <v>0.86432255000000002</v>
      </c>
      <c r="AB60" s="14">
        <f t="shared" ca="1" si="0"/>
        <v>0.86432255000000002</v>
      </c>
    </row>
    <row r="61" spans="18:28" x14ac:dyDescent="0.2">
      <c r="R61">
        <v>48</v>
      </c>
      <c r="S61" t="s">
        <v>82</v>
      </c>
      <c r="T61" s="14" t="e">
        <f ca="1">INDEX(INDIRECT($AF$6),
       MATCH(TRIM($S61), INDIRECT($AF$7), 0),
       MATCH(TRIM(T$13), INDIRECT($AF$8), 0))</f>
        <v>#N/A</v>
      </c>
      <c r="U61" s="14" t="e">
        <f ca="1">INDEX(INDIRECT($AF$6),
       MATCH(TRIM($S61), INDIRECT($AF$7), 0),
       MATCH(TRIM(U$13), INDIRECT($AF$8), 0))</f>
        <v>#N/A</v>
      </c>
      <c r="V61" s="14" t="e">
        <f ca="1">INDEX(INDIRECT($AF$6),
       MATCH(TRIM($S61), INDIRECT($AF$7), 0),
       MATCH(TRIM(V$13), INDIRECT($AF$8), 0))</f>
        <v>#N/A</v>
      </c>
      <c r="W61" s="14" t="e">
        <f ca="1">INDEX(INDIRECT($AF$6),
       MATCH(TRIM($S61), INDIRECT($AF$7), 0),
       MATCH(TRIM(W$13), INDIRECT($AF$8), 0))</f>
        <v>#N/A</v>
      </c>
      <c r="X61" s="14" t="e">
        <f ca="1">INDEX(INDIRECT($AF$6),
       MATCH(TRIM($S61), INDIRECT($AF$7), 0),
       MATCH(TRIM(X$13), INDIRECT($AF$8), 0))</f>
        <v>#N/A</v>
      </c>
      <c r="Y61" s="14" t="e">
        <f ca="1">INDEX(INDIRECT($AF$6),
       MATCH(TRIM($S61), INDIRECT($AF$7), 0),
       MATCH(TRIM(Y$13), INDIRECT($AF$8), 0))</f>
        <v>#N/A</v>
      </c>
      <c r="Z61" s="14" t="e">
        <f ca="1">INDEX(INDIRECT($AF$6),
       MATCH(TRIM($S61), INDIRECT($AF$7), 0),
       MATCH(TRIM(Z$13), INDIRECT($AF$8), 0))</f>
        <v>#N/A</v>
      </c>
      <c r="AA61" s="14" t="e">
        <f ca="1">INDEX(INDIRECT($AF$6),
       MATCH(TRIM($S61), INDIRECT($AF$7), 0),
       MATCH(TRIM(AA$13), INDIRECT($AF$8), 0))</f>
        <v>#N/A</v>
      </c>
      <c r="AB61" s="14" t="e">
        <f t="shared" ca="1" si="0"/>
        <v>#N/A</v>
      </c>
    </row>
    <row r="62" spans="18:28" x14ac:dyDescent="0.2">
      <c r="R62">
        <v>49</v>
      </c>
      <c r="S62" t="s">
        <v>65</v>
      </c>
      <c r="T62" s="14">
        <f ca="1">INDEX(INDIRECT($AF$6),
       MATCH(TRIM($S62), INDIRECT($AF$7), 0),
       MATCH(TRIM(T$13), INDIRECT($AF$8), 0))</f>
        <v>3</v>
      </c>
      <c r="U62" s="14" t="e">
        <f ca="1">INDEX(INDIRECT($AF$6),
       MATCH(TRIM($S62), INDIRECT($AF$7), 0),
       MATCH(TRIM(U$13), INDIRECT($AF$8), 0))</f>
        <v>#N/A</v>
      </c>
      <c r="V62" s="14">
        <f ca="1">INDEX(INDIRECT($AF$6),
       MATCH(TRIM($S62), INDIRECT($AF$7), 0),
       MATCH(TRIM(V$13), INDIRECT($AF$8), 0))</f>
        <v>6.6118750000000004</v>
      </c>
      <c r="W62" s="14">
        <f ca="1">INDEX(INDIRECT($AF$6),
       MATCH(TRIM($S62), INDIRECT($AF$7), 0),
       MATCH(TRIM(W$13), INDIRECT($AF$8), 0))</f>
        <v>0</v>
      </c>
      <c r="X62" s="14" t="e">
        <f ca="1">INDEX(INDIRECT($AF$6),
       MATCH(TRIM($S62), INDIRECT($AF$7), 0),
       MATCH(TRIM(X$13), INDIRECT($AF$8), 0))</f>
        <v>#N/A</v>
      </c>
      <c r="Y62" s="14">
        <f ca="1">INDEX(INDIRECT($AF$6),
       MATCH(TRIM($S62), INDIRECT($AF$7), 0),
       MATCH(TRIM(Y$13), INDIRECT($AF$8), 0))</f>
        <v>0</v>
      </c>
      <c r="Z62" s="14">
        <f ca="1">INDEX(INDIRECT($AF$6),
       MATCH(TRIM($S62), INDIRECT($AF$7), 0),
       MATCH(TRIM(Z$13), INDIRECT($AF$8), 0))</f>
        <v>6</v>
      </c>
      <c r="AA62" s="14">
        <f ca="1">INDEX(INDIRECT($AF$6),
       MATCH(TRIM($S62), INDIRECT($AF$7), 0),
       MATCH(TRIM(AA$13), INDIRECT($AF$8), 0))</f>
        <v>3.0967129399999997</v>
      </c>
      <c r="AB62" s="14">
        <f t="shared" ca="1" si="0"/>
        <v>9.708587940000001</v>
      </c>
    </row>
    <row r="63" spans="18:28" x14ac:dyDescent="0.2">
      <c r="R63">
        <v>50</v>
      </c>
      <c r="S63" t="s">
        <v>120</v>
      </c>
      <c r="T63" s="14">
        <f ca="1">INDEX(INDIRECT($AF$6),
       MATCH(TRIM($S63), INDIRECT($AF$7), 0),
       MATCH(TRIM(T$13), INDIRECT($AF$8), 0))</f>
        <v>0</v>
      </c>
      <c r="U63" s="14" t="e">
        <f ca="1">INDEX(INDIRECT($AF$6),
       MATCH(TRIM($S63), INDIRECT($AF$7), 0),
       MATCH(TRIM(U$13), INDIRECT($AF$8), 0))</f>
        <v>#N/A</v>
      </c>
      <c r="V63" s="14">
        <f ca="1">INDEX(INDIRECT($AF$6),
       MATCH(TRIM($S63), INDIRECT($AF$7), 0),
       MATCH(TRIM(V$13), INDIRECT($AF$8), 0))</f>
        <v>0</v>
      </c>
      <c r="W63" s="14">
        <f ca="1">INDEX(INDIRECT($AF$6),
       MATCH(TRIM($S63), INDIRECT($AF$7), 0),
       MATCH(TRIM(W$13), INDIRECT($AF$8), 0))</f>
        <v>0</v>
      </c>
      <c r="X63" s="14" t="e">
        <f ca="1">INDEX(INDIRECT($AF$6),
       MATCH(TRIM($S63), INDIRECT($AF$7), 0),
       MATCH(TRIM(X$13), INDIRECT($AF$8), 0))</f>
        <v>#N/A</v>
      </c>
      <c r="Y63" s="14">
        <f ca="1">INDEX(INDIRECT($AF$6),
       MATCH(TRIM($S63), INDIRECT($AF$7), 0),
       MATCH(TRIM(Y$13), INDIRECT($AF$8), 0))</f>
        <v>0</v>
      </c>
      <c r="Z63" s="14">
        <f ca="1">INDEX(INDIRECT($AF$6),
       MATCH(TRIM($S63), INDIRECT($AF$7), 0),
       MATCH(TRIM(Z$13), INDIRECT($AF$8), 0))</f>
        <v>3</v>
      </c>
      <c r="AA63" s="14">
        <f ca="1">INDEX(INDIRECT($AF$6),
       MATCH(TRIM($S63), INDIRECT($AF$7), 0),
       MATCH(TRIM(AA$13), INDIRECT($AF$8), 0))</f>
        <v>0.57247375</v>
      </c>
      <c r="AB63" s="14">
        <f t="shared" ca="1" si="0"/>
        <v>0.57247375</v>
      </c>
    </row>
    <row r="64" spans="18:28" x14ac:dyDescent="0.2">
      <c r="R64">
        <v>51</v>
      </c>
      <c r="S64" t="s">
        <v>89</v>
      </c>
      <c r="T64" s="14" t="e">
        <f ca="1">INDEX(INDIRECT($AF$6),
       MATCH(TRIM($S64), INDIRECT($AF$7), 0),
       MATCH(TRIM(T$13), INDIRECT($AF$8), 0))</f>
        <v>#N/A</v>
      </c>
      <c r="U64" s="14" t="e">
        <f ca="1">INDEX(INDIRECT($AF$6),
       MATCH(TRIM($S64), INDIRECT($AF$7), 0),
       MATCH(TRIM(U$13), INDIRECT($AF$8), 0))</f>
        <v>#N/A</v>
      </c>
      <c r="V64" s="14" t="e">
        <f ca="1">INDEX(INDIRECT($AF$6),
       MATCH(TRIM($S64), INDIRECT($AF$7), 0),
       MATCH(TRIM(V$13), INDIRECT($AF$8), 0))</f>
        <v>#N/A</v>
      </c>
      <c r="W64" s="14" t="e">
        <f ca="1">INDEX(INDIRECT($AF$6),
       MATCH(TRIM($S64), INDIRECT($AF$7), 0),
       MATCH(TRIM(W$13), INDIRECT($AF$8), 0))</f>
        <v>#N/A</v>
      </c>
      <c r="X64" s="14" t="e">
        <f ca="1">INDEX(INDIRECT($AF$6),
       MATCH(TRIM($S64), INDIRECT($AF$7), 0),
       MATCH(TRIM(X$13), INDIRECT($AF$8), 0))</f>
        <v>#N/A</v>
      </c>
      <c r="Y64" s="14" t="e">
        <f ca="1">INDEX(INDIRECT($AF$6),
       MATCH(TRIM($S64), INDIRECT($AF$7), 0),
       MATCH(TRIM(Y$13), INDIRECT($AF$8), 0))</f>
        <v>#N/A</v>
      </c>
      <c r="Z64" s="14" t="e">
        <f ca="1">INDEX(INDIRECT($AF$6),
       MATCH(TRIM($S64), INDIRECT($AF$7), 0),
       MATCH(TRIM(Z$13), INDIRECT($AF$8), 0))</f>
        <v>#N/A</v>
      </c>
      <c r="AA64" s="14" t="e">
        <f ca="1">INDEX(INDIRECT($AF$6),
       MATCH(TRIM($S64), INDIRECT($AF$7), 0),
       MATCH(TRIM(AA$13), INDIRECT($AF$8), 0))</f>
        <v>#N/A</v>
      </c>
      <c r="AB64" s="14" t="e">
        <f t="shared" ca="1" si="0"/>
        <v>#N/A</v>
      </c>
    </row>
    <row r="65" spans="18:29" x14ac:dyDescent="0.2">
      <c r="R65">
        <v>52</v>
      </c>
      <c r="S65" t="s">
        <v>74</v>
      </c>
      <c r="T65" s="14">
        <f ca="1">INDEX(INDIRECT($AF$6),
       MATCH(TRIM($S65), INDIRECT($AF$7), 0),
       MATCH(TRIM(T$13), INDIRECT($AF$8), 0))</f>
        <v>2</v>
      </c>
      <c r="U65" s="14" t="e">
        <f ca="1">INDEX(INDIRECT($AF$6),
       MATCH(TRIM($S65), INDIRECT($AF$7), 0),
       MATCH(TRIM(U$13), INDIRECT($AF$8), 0))</f>
        <v>#N/A</v>
      </c>
      <c r="V65" s="14">
        <f ca="1">INDEX(INDIRECT($AF$6),
       MATCH(TRIM($S65), INDIRECT($AF$7), 0),
       MATCH(TRIM(V$13), INDIRECT($AF$8), 0))</f>
        <v>5.6521730000000003</v>
      </c>
      <c r="W65" s="14">
        <f ca="1">INDEX(INDIRECT($AF$6),
       MATCH(TRIM($S65), INDIRECT($AF$7), 0),
       MATCH(TRIM(W$13), INDIRECT($AF$8), 0))</f>
        <v>2</v>
      </c>
      <c r="X65" s="14" t="e">
        <f ca="1">INDEX(INDIRECT($AF$6),
       MATCH(TRIM($S65), INDIRECT($AF$7), 0),
       MATCH(TRIM(X$13), INDIRECT($AF$8), 0))</f>
        <v>#N/A</v>
      </c>
      <c r="Y65" s="14">
        <f ca="1">INDEX(INDIRECT($AF$6),
       MATCH(TRIM($S65), INDIRECT($AF$7), 0),
       MATCH(TRIM(Y$13), INDIRECT($AF$8), 0))</f>
        <v>3.9393349999999998</v>
      </c>
      <c r="Z65" s="14">
        <f ca="1">INDEX(INDIRECT($AF$6),
       MATCH(TRIM($S65), INDIRECT($AF$7), 0),
       MATCH(TRIM(Z$13), INDIRECT($AF$8), 0))</f>
        <v>2</v>
      </c>
      <c r="AA65" s="14">
        <f ca="1">INDEX(INDIRECT($AF$6),
       MATCH(TRIM($S65), INDIRECT($AF$7), 0),
       MATCH(TRIM(AA$13), INDIRECT($AF$8), 0))</f>
        <v>1.2426292700000001</v>
      </c>
      <c r="AB65" s="14">
        <f t="shared" ca="1" si="0"/>
        <v>10.834137270000001</v>
      </c>
    </row>
    <row r="66" spans="18:29" x14ac:dyDescent="0.2">
      <c r="R66">
        <v>53</v>
      </c>
      <c r="S66" t="s">
        <v>119</v>
      </c>
      <c r="T66" s="14">
        <f ca="1">INDEX(INDIRECT($AF$6),
       MATCH(TRIM($S66), INDIRECT($AF$7), 0),
       MATCH(TRIM(T$13), INDIRECT($AF$8), 0))</f>
        <v>0</v>
      </c>
      <c r="U66" s="14" t="e">
        <f ca="1">INDEX(INDIRECT($AF$6),
       MATCH(TRIM($S66), INDIRECT($AF$7), 0),
       MATCH(TRIM(U$13), INDIRECT($AF$8), 0))</f>
        <v>#N/A</v>
      </c>
      <c r="V66" s="14">
        <f ca="1">INDEX(INDIRECT($AF$6),
       MATCH(TRIM($S66), INDIRECT($AF$7), 0),
       MATCH(TRIM(V$13), INDIRECT($AF$8), 0))</f>
        <v>0</v>
      </c>
      <c r="W66" s="14">
        <f ca="1">INDEX(INDIRECT($AF$6),
       MATCH(TRIM($S66), INDIRECT($AF$7), 0),
       MATCH(TRIM(W$13), INDIRECT($AF$8), 0))</f>
        <v>0</v>
      </c>
      <c r="X66" s="14" t="e">
        <f ca="1">INDEX(INDIRECT($AF$6),
       MATCH(TRIM($S66), INDIRECT($AF$7), 0),
       MATCH(TRIM(X$13), INDIRECT($AF$8), 0))</f>
        <v>#N/A</v>
      </c>
      <c r="Y66" s="14">
        <f ca="1">INDEX(INDIRECT($AF$6),
       MATCH(TRIM($S66), INDIRECT($AF$7), 0),
       MATCH(TRIM(Y$13), INDIRECT($AF$8), 0))</f>
        <v>0</v>
      </c>
      <c r="Z66" s="14">
        <f ca="1">INDEX(INDIRECT($AF$6),
       MATCH(TRIM($S66), INDIRECT($AF$7), 0),
       MATCH(TRIM(Z$13), INDIRECT($AF$8), 0))</f>
        <v>1</v>
      </c>
      <c r="AA66" s="14">
        <f ca="1">INDEX(INDIRECT($AF$6),
       MATCH(TRIM($S66), INDIRECT($AF$7), 0),
       MATCH(TRIM(AA$13), INDIRECT($AF$8), 0))</f>
        <v>1.7231723600000002</v>
      </c>
      <c r="AB66" s="14">
        <f t="shared" ca="1" si="0"/>
        <v>1.7231723600000002</v>
      </c>
    </row>
    <row r="67" spans="18:29" x14ac:dyDescent="0.2">
      <c r="R67">
        <v>54</v>
      </c>
      <c r="S67" t="s">
        <v>136</v>
      </c>
      <c r="T67" s="14" t="e">
        <f ca="1">INDEX(INDIRECT($AF$6),
       MATCH(TRIM($S67), INDIRECT($AF$7), 0),
       MATCH(TRIM(T$13), INDIRECT($AF$8), 0))</f>
        <v>#N/A</v>
      </c>
      <c r="U67" s="14" t="e">
        <f ca="1">INDEX(INDIRECT($AF$6),
       MATCH(TRIM($S67), INDIRECT($AF$7), 0),
       MATCH(TRIM(U$13), INDIRECT($AF$8), 0))</f>
        <v>#N/A</v>
      </c>
      <c r="V67" s="14" t="e">
        <f ca="1">INDEX(INDIRECT($AF$6),
       MATCH(TRIM($S67), INDIRECT($AF$7), 0),
       MATCH(TRIM(V$13), INDIRECT($AF$8), 0))</f>
        <v>#N/A</v>
      </c>
      <c r="W67" s="14" t="e">
        <f ca="1">INDEX(INDIRECT($AF$6),
       MATCH(TRIM($S67), INDIRECT($AF$7), 0),
       MATCH(TRIM(W$13), INDIRECT($AF$8), 0))</f>
        <v>#N/A</v>
      </c>
      <c r="X67" s="14" t="e">
        <f ca="1">INDEX(INDIRECT($AF$6),
       MATCH(TRIM($S67), INDIRECT($AF$7), 0),
       MATCH(TRIM(X$13), INDIRECT($AF$8), 0))</f>
        <v>#N/A</v>
      </c>
      <c r="Y67" s="14" t="e">
        <f ca="1">INDEX(INDIRECT($AF$6),
       MATCH(TRIM($S67), INDIRECT($AF$7), 0),
       MATCH(TRIM(Y$13), INDIRECT($AF$8), 0))</f>
        <v>#N/A</v>
      </c>
      <c r="Z67" s="14" t="e">
        <f ca="1">INDEX(INDIRECT($AF$6),
       MATCH(TRIM($S67), INDIRECT($AF$7), 0),
       MATCH(TRIM(Z$13), INDIRECT($AF$8), 0))</f>
        <v>#N/A</v>
      </c>
      <c r="AA67" s="14" t="e">
        <f ca="1">INDEX(INDIRECT($AF$6),
       MATCH(TRIM($S67), INDIRECT($AF$7), 0),
       MATCH(TRIM(AA$13), INDIRECT($AF$8), 0))</f>
        <v>#N/A</v>
      </c>
      <c r="AB67" s="14" t="e">
        <f t="shared" ca="1" si="0"/>
        <v>#N/A</v>
      </c>
    </row>
    <row r="68" spans="18:29" x14ac:dyDescent="0.2">
      <c r="R68">
        <v>55</v>
      </c>
      <c r="S68" t="s">
        <v>117</v>
      </c>
      <c r="T68" s="14" t="e">
        <f ca="1">INDEX(INDIRECT($AF$6),
       MATCH(TRIM($S68), INDIRECT($AF$7), 0),
       MATCH(TRIM(T$13), INDIRECT($AF$8), 0))</f>
        <v>#N/A</v>
      </c>
      <c r="U68" s="14" t="e">
        <f ca="1">INDEX(INDIRECT($AF$6),
       MATCH(TRIM($S68), INDIRECT($AF$7), 0),
       MATCH(TRIM(U$13), INDIRECT($AF$8), 0))</f>
        <v>#N/A</v>
      </c>
      <c r="V68" s="14" t="e">
        <f ca="1">INDEX(INDIRECT($AF$6),
       MATCH(TRIM($S68), INDIRECT($AF$7), 0),
       MATCH(TRIM(V$13), INDIRECT($AF$8), 0))</f>
        <v>#N/A</v>
      </c>
      <c r="W68" s="14" t="e">
        <f ca="1">INDEX(INDIRECT($AF$6),
       MATCH(TRIM($S68), INDIRECT($AF$7), 0),
       MATCH(TRIM(W$13), INDIRECT($AF$8), 0))</f>
        <v>#N/A</v>
      </c>
      <c r="X68" s="14" t="e">
        <f ca="1">INDEX(INDIRECT($AF$6),
       MATCH(TRIM($S68), INDIRECT($AF$7), 0),
       MATCH(TRIM(X$13), INDIRECT($AF$8), 0))</f>
        <v>#N/A</v>
      </c>
      <c r="Y68" s="14" t="e">
        <f ca="1">INDEX(INDIRECT($AF$6),
       MATCH(TRIM($S68), INDIRECT($AF$7), 0),
       MATCH(TRIM(Y$13), INDIRECT($AF$8), 0))</f>
        <v>#N/A</v>
      </c>
      <c r="Z68" s="14" t="e">
        <f ca="1">INDEX(INDIRECT($AF$6),
       MATCH(TRIM($S68), INDIRECT($AF$7), 0),
       MATCH(TRIM(Z$13), INDIRECT($AF$8), 0))</f>
        <v>#N/A</v>
      </c>
      <c r="AA68" s="14" t="e">
        <f ca="1">INDEX(INDIRECT($AF$6),
       MATCH(TRIM($S68), INDIRECT($AF$7), 0),
       MATCH(TRIM(AA$13), INDIRECT($AF$8), 0))</f>
        <v>#N/A</v>
      </c>
      <c r="AB68" s="14" t="e">
        <f t="shared" ca="1" si="0"/>
        <v>#N/A</v>
      </c>
    </row>
    <row r="69" spans="18:29" x14ac:dyDescent="0.2">
      <c r="R69">
        <v>56</v>
      </c>
      <c r="S69" t="s">
        <v>78</v>
      </c>
      <c r="T69" s="14" t="e">
        <f ca="1">INDEX(INDIRECT($AF$6),
       MATCH(TRIM($S69), INDIRECT($AF$7), 0),
       MATCH(TRIM(T$13), INDIRECT($AF$8), 0))</f>
        <v>#N/A</v>
      </c>
      <c r="U69" s="14" t="e">
        <f ca="1">INDEX(INDIRECT($AF$6),
       MATCH(TRIM($S69), INDIRECT($AF$7), 0),
       MATCH(TRIM(U$13), INDIRECT($AF$8), 0))</f>
        <v>#N/A</v>
      </c>
      <c r="V69" s="14" t="e">
        <f ca="1">INDEX(INDIRECT($AF$6),
       MATCH(TRIM($S69), INDIRECT($AF$7), 0),
       MATCH(TRIM(V$13), INDIRECT($AF$8), 0))</f>
        <v>#N/A</v>
      </c>
      <c r="W69" s="14" t="e">
        <f ca="1">INDEX(INDIRECT($AF$6),
       MATCH(TRIM($S69), INDIRECT($AF$7), 0),
       MATCH(TRIM(W$13), INDIRECT($AF$8), 0))</f>
        <v>#N/A</v>
      </c>
      <c r="X69" s="14" t="e">
        <f ca="1">INDEX(INDIRECT($AF$6),
       MATCH(TRIM($S69), INDIRECT($AF$7), 0),
       MATCH(TRIM(X$13), INDIRECT($AF$8), 0))</f>
        <v>#N/A</v>
      </c>
      <c r="Y69" s="14" t="e">
        <f ca="1">INDEX(INDIRECT($AF$6),
       MATCH(TRIM($S69), INDIRECT($AF$7), 0),
       MATCH(TRIM(Y$13), INDIRECT($AF$8), 0))</f>
        <v>#N/A</v>
      </c>
      <c r="Z69" s="14" t="e">
        <f ca="1">INDEX(INDIRECT($AF$6),
       MATCH(TRIM($S69), INDIRECT($AF$7), 0),
       MATCH(TRIM(Z$13), INDIRECT($AF$8), 0))</f>
        <v>#N/A</v>
      </c>
      <c r="AA69" s="14" t="e">
        <f ca="1">INDEX(INDIRECT($AF$6),
       MATCH(TRIM($S69), INDIRECT($AF$7), 0),
       MATCH(TRIM(AA$13), INDIRECT($AF$8), 0))</f>
        <v>#N/A</v>
      </c>
      <c r="AB69" s="14" t="e">
        <f t="shared" ca="1" si="0"/>
        <v>#N/A</v>
      </c>
    </row>
    <row r="70" spans="18:29" x14ac:dyDescent="0.2">
      <c r="R70">
        <v>57</v>
      </c>
      <c r="S70" t="s">
        <v>118</v>
      </c>
      <c r="T70" s="14" t="e">
        <f ca="1">INDEX(INDIRECT($AF$6),
       MATCH(TRIM($S70), INDIRECT($AF$7), 0),
       MATCH(TRIM(T$13), INDIRECT($AF$8), 0))</f>
        <v>#N/A</v>
      </c>
      <c r="U70" s="14" t="e">
        <f ca="1">INDEX(INDIRECT($AF$6),
       MATCH(TRIM($S70), INDIRECT($AF$7), 0),
       MATCH(TRIM(U$13), INDIRECT($AF$8), 0))</f>
        <v>#N/A</v>
      </c>
      <c r="V70" s="14" t="e">
        <f ca="1">INDEX(INDIRECT($AF$6),
       MATCH(TRIM($S70), INDIRECT($AF$7), 0),
       MATCH(TRIM(V$13), INDIRECT($AF$8), 0))</f>
        <v>#N/A</v>
      </c>
      <c r="W70" s="14" t="e">
        <f ca="1">INDEX(INDIRECT($AF$6),
       MATCH(TRIM($S70), INDIRECT($AF$7), 0),
       MATCH(TRIM(W$13), INDIRECT($AF$8), 0))</f>
        <v>#N/A</v>
      </c>
      <c r="X70" s="14" t="e">
        <f ca="1">INDEX(INDIRECT($AF$6),
       MATCH(TRIM($S70), INDIRECT($AF$7), 0),
       MATCH(TRIM(X$13), INDIRECT($AF$8), 0))</f>
        <v>#N/A</v>
      </c>
      <c r="Y70" s="14" t="e">
        <f ca="1">INDEX(INDIRECT($AF$6),
       MATCH(TRIM($S70), INDIRECT($AF$7), 0),
       MATCH(TRIM(Y$13), INDIRECT($AF$8), 0))</f>
        <v>#N/A</v>
      </c>
      <c r="Z70" s="14" t="e">
        <f ca="1">INDEX(INDIRECT($AF$6),
       MATCH(TRIM($S70), INDIRECT($AF$7), 0),
       MATCH(TRIM(Z$13), INDIRECT($AF$8), 0))</f>
        <v>#N/A</v>
      </c>
      <c r="AA70" s="14" t="e">
        <f ca="1">INDEX(INDIRECT($AF$6),
       MATCH(TRIM($S70), INDIRECT($AF$7), 0),
       MATCH(TRIM(AA$13), INDIRECT($AF$8), 0))</f>
        <v>#N/A</v>
      </c>
      <c r="AB70" s="14" t="e">
        <f t="shared" ca="1" si="0"/>
        <v>#N/A</v>
      </c>
    </row>
    <row r="71" spans="18:29" x14ac:dyDescent="0.2">
      <c r="R71">
        <v>58</v>
      </c>
      <c r="S71" t="s">
        <v>134</v>
      </c>
      <c r="T71" s="14" t="e">
        <f ca="1">INDEX(INDIRECT($AF$6),
       MATCH(TRIM($S71), INDIRECT($AF$7), 0),
       MATCH(TRIM(T$13), INDIRECT($AF$8), 0))</f>
        <v>#N/A</v>
      </c>
      <c r="U71" s="14" t="e">
        <f ca="1">INDEX(INDIRECT($AF$6),
       MATCH(TRIM($S71), INDIRECT($AF$7), 0),
       MATCH(TRIM(U$13), INDIRECT($AF$8), 0))</f>
        <v>#N/A</v>
      </c>
      <c r="V71" s="14" t="e">
        <f ca="1">INDEX(INDIRECT($AF$6),
       MATCH(TRIM($S71), INDIRECT($AF$7), 0),
       MATCH(TRIM(V$13), INDIRECT($AF$8), 0))</f>
        <v>#N/A</v>
      </c>
      <c r="W71" s="14" t="e">
        <f ca="1">INDEX(INDIRECT($AF$6),
       MATCH(TRIM($S71), INDIRECT($AF$7), 0),
       MATCH(TRIM(W$13), INDIRECT($AF$8), 0))</f>
        <v>#N/A</v>
      </c>
      <c r="X71" s="14" t="e">
        <f ca="1">INDEX(INDIRECT($AF$6),
       MATCH(TRIM($S71), INDIRECT($AF$7), 0),
       MATCH(TRIM(X$13), INDIRECT($AF$8), 0))</f>
        <v>#N/A</v>
      </c>
      <c r="Y71" s="14" t="e">
        <f ca="1">INDEX(INDIRECT($AF$6),
       MATCH(TRIM($S71), INDIRECT($AF$7), 0),
       MATCH(TRIM(Y$13), INDIRECT($AF$8), 0))</f>
        <v>#N/A</v>
      </c>
      <c r="Z71" s="14" t="e">
        <f ca="1">INDEX(INDIRECT($AF$6),
       MATCH(TRIM($S71), INDIRECT($AF$7), 0),
       MATCH(TRIM(Z$13), INDIRECT($AF$8), 0))</f>
        <v>#N/A</v>
      </c>
      <c r="AA71" s="14" t="e">
        <f ca="1">INDEX(INDIRECT($AF$6),
       MATCH(TRIM($S71), INDIRECT($AF$7), 0),
       MATCH(TRIM(AA$13), INDIRECT($AF$8), 0))</f>
        <v>#N/A</v>
      </c>
      <c r="AB71" s="14" t="e">
        <f t="shared" ca="1" si="0"/>
        <v>#N/A</v>
      </c>
    </row>
    <row r="72" spans="18:29" x14ac:dyDescent="0.2">
      <c r="R72">
        <v>59</v>
      </c>
      <c r="S72" t="s">
        <v>121</v>
      </c>
      <c r="T72" s="14">
        <f ca="1">INDEX(INDIRECT($AF$6),
       MATCH(TRIM($S72), INDIRECT($AF$7), 0),
       MATCH(TRIM(T$13), INDIRECT($AF$8), 0))</f>
        <v>0</v>
      </c>
      <c r="U72" s="14" t="e">
        <f t="shared" ref="U72:AB72" ca="1" si="2">INDEX(INDIRECT($AF$6),
       MATCH(TRIM($S72), INDIRECT($AF$7), 0),
       MATCH(TRIM(U$13), INDIRECT($AF$8), 0))</f>
        <v>#N/A</v>
      </c>
      <c r="V72" s="14">
        <f t="shared" ca="1" si="2"/>
        <v>0</v>
      </c>
      <c r="W72" s="14">
        <f t="shared" ca="1" si="2"/>
        <v>1</v>
      </c>
      <c r="X72" s="14" t="e">
        <f t="shared" ca="1" si="2"/>
        <v>#N/A</v>
      </c>
      <c r="Y72" s="14">
        <f t="shared" ca="1" si="2"/>
        <v>0.49057299999999998</v>
      </c>
      <c r="Z72" s="14">
        <f t="shared" ca="1" si="2"/>
        <v>1</v>
      </c>
      <c r="AA72" s="14">
        <f t="shared" ca="1" si="2"/>
        <v>0.12658227999999999</v>
      </c>
      <c r="AB72" s="14">
        <f t="shared" ca="1" si="0"/>
        <v>0.61715527999999997</v>
      </c>
    </row>
    <row r="73" spans="18:29" x14ac:dyDescent="0.2">
      <c r="R73">
        <v>60</v>
      </c>
      <c r="S73" t="s">
        <v>135</v>
      </c>
      <c r="T73" s="14" t="e">
        <f t="shared" ref="T73:AB76" ca="1" si="3">INDEX(INDIRECT($AF$6),
       MATCH(TRIM($S73), INDIRECT($AF$7), 0),
       MATCH(TRIM(T$13), INDIRECT($AF$8), 0))</f>
        <v>#N/A</v>
      </c>
      <c r="U73" s="14" t="e">
        <f t="shared" ca="1" si="3"/>
        <v>#N/A</v>
      </c>
      <c r="V73" s="14" t="e">
        <f t="shared" ca="1" si="3"/>
        <v>#N/A</v>
      </c>
      <c r="W73" s="14" t="e">
        <f t="shared" ca="1" si="3"/>
        <v>#N/A</v>
      </c>
      <c r="X73" s="14" t="e">
        <f t="shared" ca="1" si="3"/>
        <v>#N/A</v>
      </c>
      <c r="Y73" s="14" t="e">
        <f t="shared" ca="1" si="3"/>
        <v>#N/A</v>
      </c>
      <c r="Z73" s="14" t="e">
        <f t="shared" ca="1" si="3"/>
        <v>#N/A</v>
      </c>
      <c r="AA73" s="14" t="e">
        <f t="shared" ca="1" si="3"/>
        <v>#N/A</v>
      </c>
      <c r="AB73" s="14" t="e">
        <f t="shared" ca="1" si="0"/>
        <v>#N/A</v>
      </c>
      <c r="AC73" s="91">
        <f t="shared" ref="AC73" si="4">SUM(AC14:AC72)</f>
        <v>0</v>
      </c>
    </row>
    <row r="74" spans="18:29" x14ac:dyDescent="0.2">
      <c r="R74">
        <v>61</v>
      </c>
      <c r="S74" t="s">
        <v>150</v>
      </c>
      <c r="T74" s="14" t="e">
        <f t="shared" ca="1" si="3"/>
        <v>#N/A</v>
      </c>
      <c r="U74" s="14" t="e">
        <f t="shared" ca="1" si="3"/>
        <v>#N/A</v>
      </c>
      <c r="V74" s="14" t="e">
        <f t="shared" ca="1" si="3"/>
        <v>#N/A</v>
      </c>
      <c r="W74" s="14" t="e">
        <f t="shared" ca="1" si="3"/>
        <v>#N/A</v>
      </c>
      <c r="X74" s="14" t="e">
        <f t="shared" ca="1" si="3"/>
        <v>#N/A</v>
      </c>
      <c r="Y74" s="14" t="e">
        <f t="shared" ca="1" si="3"/>
        <v>#N/A</v>
      </c>
      <c r="Z74" s="14" t="e">
        <f t="shared" ca="1" si="3"/>
        <v>#N/A</v>
      </c>
      <c r="AA74" s="14" t="e">
        <f t="shared" ca="1" si="3"/>
        <v>#N/A</v>
      </c>
      <c r="AB74" s="14" t="e">
        <f t="shared" ca="1" si="0"/>
        <v>#N/A</v>
      </c>
    </row>
    <row r="75" spans="18:29" x14ac:dyDescent="0.2">
      <c r="R75">
        <v>62</v>
      </c>
      <c r="S75" t="s">
        <v>86</v>
      </c>
      <c r="T75" s="14">
        <f t="shared" ca="1" si="3"/>
        <v>0</v>
      </c>
      <c r="U75" s="14" t="e">
        <f t="shared" ca="1" si="3"/>
        <v>#N/A</v>
      </c>
      <c r="V75" s="14">
        <f t="shared" ca="1" si="3"/>
        <v>0</v>
      </c>
      <c r="W75" s="14">
        <f t="shared" ca="1" si="3"/>
        <v>0</v>
      </c>
      <c r="X75" s="14" t="e">
        <f t="shared" ca="1" si="3"/>
        <v>#N/A</v>
      </c>
      <c r="Y75" s="14">
        <f t="shared" ca="1" si="3"/>
        <v>0</v>
      </c>
      <c r="Z75" s="14">
        <f t="shared" ca="1" si="3"/>
        <v>3</v>
      </c>
      <c r="AA75" s="14">
        <f t="shared" ca="1" si="3"/>
        <v>1.44189385</v>
      </c>
      <c r="AB75" s="14">
        <f t="shared" ca="1" si="0"/>
        <v>1.44189385</v>
      </c>
      <c r="AC75" s="91">
        <f>SUM(AC16:AC74)</f>
        <v>0</v>
      </c>
    </row>
    <row r="76" spans="18:29" x14ac:dyDescent="0.2">
      <c r="R76">
        <v>63</v>
      </c>
      <c r="S76" t="s">
        <v>122</v>
      </c>
      <c r="T76" s="14">
        <f t="shared" ca="1" si="3"/>
        <v>0</v>
      </c>
      <c r="U76" s="14" t="e">
        <f t="shared" ca="1" si="3"/>
        <v>#N/A</v>
      </c>
      <c r="V76" s="14">
        <f t="shared" ca="1" si="3"/>
        <v>0</v>
      </c>
      <c r="W76" s="14">
        <f t="shared" ca="1" si="3"/>
        <v>0</v>
      </c>
      <c r="X76" s="14" t="e">
        <f t="shared" ca="1" si="3"/>
        <v>#N/A</v>
      </c>
      <c r="Y76" s="14">
        <f t="shared" ca="1" si="3"/>
        <v>0</v>
      </c>
      <c r="Z76" s="14">
        <f t="shared" ca="1" si="3"/>
        <v>1</v>
      </c>
      <c r="AA76" s="14">
        <f t="shared" ca="1" si="3"/>
        <v>0.10765653</v>
      </c>
      <c r="AB76" s="14">
        <f t="shared" ca="1" si="0"/>
        <v>0.10765653</v>
      </c>
      <c r="AC76" s="100"/>
    </row>
    <row r="77" spans="18:29" x14ac:dyDescent="0.2">
      <c r="R77" s="87" t="s">
        <v>26</v>
      </c>
      <c r="S77" s="88"/>
      <c r="T77" s="89" cm="1">
        <f t="array" aca="1" ref="T77" ca="1">SUM(IFERROR(T14:T76,0))</f>
        <v>2036</v>
      </c>
      <c r="U77" s="89" cm="1">
        <f t="array" aca="1" ref="U77" ca="1">SUM(IFERROR(U14:U76,0))</f>
        <v>0</v>
      </c>
      <c r="V77" s="89" cm="1">
        <f t="array" aca="1" ref="V77" ca="1">SUM(IFERROR(V14:V76,0))</f>
        <v>12446.218701750004</v>
      </c>
      <c r="W77" s="89" cm="1">
        <f t="array" aca="1" ref="W77" ca="1">SUM(IFERROR(W14:W76,0))</f>
        <v>1107</v>
      </c>
      <c r="X77" s="89" cm="1">
        <f t="array" aca="1" ref="X77" ca="1">SUM(IFERROR(X14:X76,0))</f>
        <v>0</v>
      </c>
      <c r="Y77" s="89" cm="1">
        <f t="array" aca="1" ref="Y77" ca="1">SUM(IFERROR(Y14:Y76,0))</f>
        <v>10117.813094850861</v>
      </c>
      <c r="Z77" s="89" cm="1">
        <f t="array" aca="1" ref="Z77" ca="1">SUM(IFERROR(Z14:Z76,0))</f>
        <v>3566</v>
      </c>
      <c r="AA77" s="89" cm="1">
        <f t="array" aca="1" ref="AA77" ca="1">SUM(IFERROR(AA14:AA76,0))</f>
        <v>5154.0985104100009</v>
      </c>
      <c r="AB77" s="89" cm="1">
        <f t="array" aca="1" ref="AB77" ca="1">SUM(IFERROR(AB14:AB76,0))</f>
        <v>27718.130307010862</v>
      </c>
    </row>
  </sheetData>
  <mergeCells count="14">
    <mergeCell ref="R77:S77"/>
    <mergeCell ref="AB12:AB13"/>
    <mergeCell ref="A13:A14"/>
    <mergeCell ref="B13:B14"/>
    <mergeCell ref="C13:E13"/>
    <mergeCell ref="F13:H13"/>
    <mergeCell ref="I13:J13"/>
    <mergeCell ref="A3:I3"/>
    <mergeCell ref="R3:Z3"/>
    <mergeCell ref="A4:I4"/>
    <mergeCell ref="R4:Z4"/>
    <mergeCell ref="T12:V12"/>
    <mergeCell ref="W12:Y12"/>
    <mergeCell ref="Z12:AA12"/>
  </mergeCells>
  <conditionalFormatting sqref="S77">
    <cfRule type="duplicateValues" dxfId="11" priority="1" stopIfTrue="1"/>
    <cfRule type="duplicateValues" dxfId="10" priority="2" stopIfTrue="1"/>
  </conditionalFormatting>
  <conditionalFormatting sqref="S77">
    <cfRule type="duplicateValues" dxfId="9" priority="3" stopIfTrue="1"/>
    <cfRule type="duplicateValues" dxfId="8" priority="4" stopIfTrue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F99AA-18A0-564D-AB64-6B6CFA14D5CD}">
  <dimension ref="A1:AF77"/>
  <sheetViews>
    <sheetView topLeftCell="V64" zoomScale="106" workbookViewId="0">
      <selection activeCell="AE13" sqref="AE13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175</v>
      </c>
      <c r="N6" t="s">
        <v>176</v>
      </c>
      <c r="O6" t="s">
        <v>177</v>
      </c>
      <c r="P6" t="str">
        <f>_xlfn.CONCAT("'",M6,N6,"'","!",O6)</f>
        <v>'[FDI.2023.xlsx]Thang 12 2023'!$C$9:$K$26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[FDI.2023.xlsx]</v>
      </c>
      <c r="AD6" t="str">
        <f>N6</f>
        <v>Thang 12 2023</v>
      </c>
      <c r="AE6" t="s">
        <v>179</v>
      </c>
      <c r="AF6" t="str">
        <f>_xlfn.CONCAT("'",AC6,AD6,"'","!",AE6)</f>
        <v>'[FDI.2023.xlsx]Thang 12 2023'!$C$152:$K$207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[FDI.2023.xlsx]</v>
      </c>
      <c r="N7" t="str">
        <f>N6</f>
        <v>Thang 12 2023</v>
      </c>
      <c r="O7" t="s">
        <v>166</v>
      </c>
      <c r="P7" t="str">
        <f>_xlfn.CONCAT("'",M7,N7,"'","!",O7)</f>
        <v>'[FDI.2023.xlsx]Thang 12 2023'!$B$9:$B$26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[FDI.2023.xlsx]</v>
      </c>
      <c r="AD7" t="str">
        <f>AD6</f>
        <v>Thang 12 2023</v>
      </c>
      <c r="AE7" t="s">
        <v>180</v>
      </c>
      <c r="AF7" t="str">
        <f>_xlfn.CONCAT("'",AC7,AD7,"'","!",AE7)</f>
        <v>'[FDI.2023.xlsx]Thang 12 2023'!$B$152:$B$207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[FDI.2023.xlsx]</v>
      </c>
      <c r="N8" t="str">
        <f>N6</f>
        <v>Thang 12 2023</v>
      </c>
      <c r="O8" t="s">
        <v>178</v>
      </c>
      <c r="P8" t="str">
        <f>_xlfn.CONCAT("'",M8,N8,"'","!",O8)</f>
        <v>'[FDI.2023.xlsx]Thang 12 2023'!$C$8:$K$8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[FDI.2023.xlsx]</v>
      </c>
      <c r="AD8" t="str">
        <f>AD6</f>
        <v>Thang 12 2023</v>
      </c>
      <c r="AE8" t="s">
        <v>181</v>
      </c>
      <c r="AF8" t="str">
        <f>_xlfn.CONCAT("'",AC8,AD8,"'","!",AE8)</f>
        <v>'[FDI.2023.xlsx]Thang 12 2023'!$C$151:$K$151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80" t="s">
        <v>107</v>
      </c>
      <c r="D13" s="81"/>
      <c r="E13" s="82"/>
      <c r="F13" s="77" t="s">
        <v>108</v>
      </c>
      <c r="G13" s="78"/>
      <c r="H13" s="79"/>
      <c r="I13" s="75" t="s">
        <v>109</v>
      </c>
      <c r="J13" s="76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74" t="s">
        <v>147</v>
      </c>
      <c r="X13" s="72" t="s">
        <v>148</v>
      </c>
      <c r="Y13" s="94" t="s">
        <v>149</v>
      </c>
      <c r="Z13" s="61" t="s">
        <v>126</v>
      </c>
      <c r="AA13" s="73" t="s">
        <v>127</v>
      </c>
      <c r="AB13" s="62"/>
    </row>
    <row r="14" spans="1:32" ht="84" x14ac:dyDescent="0.2">
      <c r="A14" s="56"/>
      <c r="B14" s="56"/>
      <c r="C14" s="72" t="s">
        <v>27</v>
      </c>
      <c r="D14" s="57" t="s">
        <v>28</v>
      </c>
      <c r="E14" s="58" t="s">
        <v>29</v>
      </c>
      <c r="F14" s="74" t="s">
        <v>147</v>
      </c>
      <c r="G14" s="72" t="s">
        <v>148</v>
      </c>
      <c r="H14" s="94" t="s">
        <v>149</v>
      </c>
      <c r="I14" s="61" t="s">
        <v>126</v>
      </c>
      <c r="J14" s="73" t="s">
        <v>127</v>
      </c>
      <c r="K14" s="66" t="s">
        <v>110</v>
      </c>
      <c r="L14" s="49"/>
      <c r="M14" s="49"/>
      <c r="R14">
        <v>1</v>
      </c>
      <c r="S14" t="s">
        <v>42</v>
      </c>
      <c r="T14" s="14">
        <f ca="1">INDEX(INDIRECT($AF$6),
       MATCH(TRIM($S14), INDIRECT($AF$7), 0),
       MATCH(TRIM(T$13), INDIRECT($AF$8), 0))</f>
        <v>408</v>
      </c>
      <c r="U14" s="14" t="e">
        <f ca="1">INDEX(INDIRECT($AF$6),
       MATCH(TRIM($S14), INDIRECT($AF$7), 0),
       MATCH(TRIM(U$13), INDIRECT($AF$8), 0))</f>
        <v>#N/A</v>
      </c>
      <c r="V14" s="14">
        <f ca="1">INDEX(INDIRECT($AF$6),
       MATCH(TRIM($S14), INDIRECT($AF$7), 0),
       MATCH(TRIM(V$13), INDIRECT($AF$8), 0))</f>
        <v>440.97576694000009</v>
      </c>
      <c r="W14" s="14">
        <f ca="1">INDEX(INDIRECT($AF$6),
       MATCH(TRIM($S14), INDIRECT($AF$7), 0),
       MATCH(TRIM(W$13), INDIRECT($AF$8), 0))</f>
        <v>174</v>
      </c>
      <c r="X14" s="14" t="e">
        <f ca="1">INDEX(INDIRECT($AF$6),
       MATCH(TRIM($S14), INDIRECT($AF$7), 0),
       MATCH(TRIM(X$13), INDIRECT($AF$8), 0))</f>
        <v>#N/A</v>
      </c>
      <c r="Y14" s="14">
        <f ca="1">INDEX(INDIRECT($AF$6),
       MATCH(TRIM($S14), INDIRECT($AF$7), 0),
       MATCH(TRIM(Y$13), INDIRECT($AF$8), 0))</f>
        <v>306.65926808398439</v>
      </c>
      <c r="Z14" s="14">
        <f ca="1">INDEX(INDIRECT($AF$6),
       MATCH(TRIM($S14), INDIRECT($AF$7), 0),
       MATCH(TRIM(Z$13), INDIRECT($AF$8), 0))</f>
        <v>318</v>
      </c>
      <c r="AA14" s="14">
        <f ca="1">INDEX(INDIRECT($AF$6),
       MATCH(TRIM($S14), INDIRECT($AF$7), 0),
       MATCH(TRIM(AA$13), INDIRECT($AF$8), 0))</f>
        <v>1985.3442298679772</v>
      </c>
      <c r="AB14" s="14">
        <f ca="1">V14+Y14+AA14</f>
        <v>2732.979264891962</v>
      </c>
    </row>
    <row r="15" spans="1:32" ht="57" x14ac:dyDescent="0.2">
      <c r="A15" s="26">
        <v>1</v>
      </c>
      <c r="B15" s="27" t="s">
        <v>7</v>
      </c>
      <c r="C15" s="28">
        <f ca="1">INDEX(INDIRECT($P$6),
       MATCH(TRIM($B15), INDIRECT($P$7), 0),
       MATCH(TRIM(C$14), INDIRECT($P$8), 0))</f>
        <v>1075</v>
      </c>
      <c r="D15" s="28" t="e">
        <f ca="1">INDEX(INDIRECT($P$6),
       MATCH(TRIM($B15), INDIRECT($P$7), 0),
       MATCH(TRIM(D$14), INDIRECT($P$8), 0))</f>
        <v>#N/A</v>
      </c>
      <c r="E15" s="28">
        <f ca="1">INDEX(INDIRECT($P$6),
       MATCH(TRIM($B15), INDIRECT($P$7), 0),
       MATCH(TRIM(E$14), INDIRECT($P$8), 0))</f>
        <v>15850.065404339999</v>
      </c>
      <c r="F15" s="28">
        <f ca="1">INDEX(INDIRECT($P$6),
       MATCH(TRIM($B15), INDIRECT($P$7), 0),
       MATCH(TRIM(F$14), INDIRECT($P$8), 0))</f>
        <v>691</v>
      </c>
      <c r="G15" s="28" t="e">
        <f ca="1">INDEX(INDIRECT($P$6),
       MATCH(TRIM($B15), INDIRECT($P$7), 0),
       MATCH(TRIM(G$14), INDIRECT($P$8), 0))</f>
        <v>#N/A</v>
      </c>
      <c r="H15" s="28">
        <f ca="1">INDEX(INDIRECT($P$6),
       MATCH(TRIM($B15), INDIRECT($P$7), 0),
       MATCH(TRIM(H$14), INDIRECT($P$8), 0))</f>
        <v>6116.8134207190606</v>
      </c>
      <c r="I15" s="28">
        <f ca="1">INDEX(INDIRECT($P$6),
       MATCH(TRIM($B15), INDIRECT($P$7), 0),
       MATCH(TRIM(I$14), INDIRECT($P$8), 0))</f>
        <v>529</v>
      </c>
      <c r="J15" s="28">
        <f ca="1">INDEX(INDIRECT($P$6),
       MATCH(TRIM($B15), INDIRECT($P$7), 0),
       MATCH(TRIM(J$14), INDIRECT($P$8), 0))</f>
        <v>1538.1015068799991</v>
      </c>
      <c r="K15" s="28">
        <f ca="1">E15+H15+J15</f>
        <v>23504.980331939059</v>
      </c>
      <c r="L15" s="46"/>
      <c r="M15" s="46"/>
      <c r="R15">
        <v>2</v>
      </c>
      <c r="S15" t="s">
        <v>37</v>
      </c>
      <c r="T15" s="14">
        <f ca="1">INDEX(INDIRECT($AF$6),
       MATCH(TRIM($S15), INDIRECT($AF$7), 0),
       MATCH(TRIM(T$13), INDIRECT($AF$8), 0))</f>
        <v>1202</v>
      </c>
      <c r="U15" s="14" t="e">
        <f ca="1">INDEX(INDIRECT($AF$6),
       MATCH(TRIM($S15), INDIRECT($AF$7), 0),
       MATCH(TRIM(U$13), INDIRECT($AF$8), 0))</f>
        <v>#N/A</v>
      </c>
      <c r="V15" s="14">
        <f ca="1">INDEX(INDIRECT($AF$6),
       MATCH(TRIM($S15), INDIRECT($AF$7), 0),
       MATCH(TRIM(V$13), INDIRECT($AF$8), 0))</f>
        <v>598.29865287999996</v>
      </c>
      <c r="W15" s="14">
        <f ca="1">INDEX(INDIRECT($AF$6),
       MATCH(TRIM($S15), INDIRECT($AF$7), 0),
       MATCH(TRIM(W$13), INDIRECT($AF$8), 0))</f>
        <v>296</v>
      </c>
      <c r="X15" s="14" t="e">
        <f ca="1">INDEX(INDIRECT($AF$6),
       MATCH(TRIM($S15), INDIRECT($AF$7), 0),
       MATCH(TRIM(X$13), INDIRECT($AF$8), 0))</f>
        <v>#N/A</v>
      </c>
      <c r="Y15" s="14">
        <f ca="1">INDEX(INDIRECT($AF$6),
       MATCH(TRIM($S15), INDIRECT($AF$7), 0),
       MATCH(TRIM(Y$13), INDIRECT($AF$8), 0))</f>
        <v>964.93054947077178</v>
      </c>
      <c r="Z15" s="14">
        <f ca="1">INDEX(INDIRECT($AF$6),
       MATCH(TRIM($S15), INDIRECT($AF$7), 0),
       MATCH(TRIM(Z$13), INDIRECT($AF$8), 0))</f>
        <v>2314</v>
      </c>
      <c r="AA15" s="14">
        <f ca="1">INDEX(INDIRECT($AF$6),
       MATCH(TRIM($S15), INDIRECT($AF$7), 0),
       MATCH(TRIM(AA$13), INDIRECT($AF$8), 0))</f>
        <v>4288.72168014</v>
      </c>
      <c r="AB15" s="14">
        <f t="shared" ref="AB15:AB76" ca="1" si="0">V15+Y15+AA15</f>
        <v>5851.9508824907716</v>
      </c>
    </row>
    <row r="16" spans="1:32" ht="71" x14ac:dyDescent="0.2">
      <c r="A16" s="26">
        <v>2</v>
      </c>
      <c r="B16" s="27" t="s">
        <v>8</v>
      </c>
      <c r="C16" s="28">
        <f ca="1">INDEX(INDIRECT($P$6),
       MATCH(TRIM($B16), INDIRECT($P$7), 0),
       MATCH(TRIM(C$14), INDIRECT($P$8), 0))</f>
        <v>12</v>
      </c>
      <c r="D16" s="28" t="e">
        <f ca="1">INDEX(INDIRECT($P$6),
       MATCH(TRIM($B16), INDIRECT($P$7), 0),
       MATCH(TRIM(D$14), INDIRECT($P$8), 0))</f>
        <v>#N/A</v>
      </c>
      <c r="E16" s="28">
        <f ca="1">INDEX(INDIRECT($P$6),
       MATCH(TRIM($B16), INDIRECT($P$7), 0),
       MATCH(TRIM(E$14), INDIRECT($P$8), 0))</f>
        <v>2090.9405841099997</v>
      </c>
      <c r="F16" s="28">
        <f ca="1">INDEX(INDIRECT($P$6),
       MATCH(TRIM($B16), INDIRECT($P$7), 0),
       MATCH(TRIM(F$14), INDIRECT($P$8), 0))</f>
        <v>1</v>
      </c>
      <c r="G16" s="28" t="e">
        <f ca="1">INDEX(INDIRECT($P$6),
       MATCH(TRIM($B16), INDIRECT($P$7), 0),
       MATCH(TRIM(G$14), INDIRECT($P$8), 0))</f>
        <v>#N/A</v>
      </c>
      <c r="H16" s="28">
        <f ca="1">INDEX(INDIRECT($P$6),
       MATCH(TRIM($B16), INDIRECT($P$7), 0),
       MATCH(TRIM(H$14), INDIRECT($P$8), 0))</f>
        <v>179.795984</v>
      </c>
      <c r="I16" s="28">
        <f ca="1">INDEX(INDIRECT($P$6),
       MATCH(TRIM($B16), INDIRECT($P$7), 0),
       MATCH(TRIM(I$14), INDIRECT($P$8), 0))</f>
        <v>9</v>
      </c>
      <c r="J16" s="28">
        <f ca="1">INDEX(INDIRECT($P$6),
       MATCH(TRIM($B16), INDIRECT($P$7), 0),
       MATCH(TRIM(J$14), INDIRECT($P$8), 0))</f>
        <v>102.68474255</v>
      </c>
      <c r="K16" s="28">
        <f t="shared" ref="K16:K33" ca="1" si="1">E16+H16+J16</f>
        <v>2373.4213106599996</v>
      </c>
      <c r="L16" s="46"/>
      <c r="M16" s="46"/>
      <c r="R16">
        <v>3</v>
      </c>
      <c r="S16" t="s">
        <v>39</v>
      </c>
      <c r="T16" s="14">
        <f ca="1">INDEX(INDIRECT($AF$6),
       MATCH(TRIM($S16), INDIRECT($AF$7), 0),
       MATCH(TRIM(T$13), INDIRECT($AF$8), 0))</f>
        <v>136</v>
      </c>
      <c r="U16" s="14" t="e">
        <f ca="1">INDEX(INDIRECT($AF$6),
       MATCH(TRIM($S16), INDIRECT($AF$7), 0),
       MATCH(TRIM(U$13), INDIRECT($AF$8), 0))</f>
        <v>#N/A</v>
      </c>
      <c r="V16" s="14">
        <f ca="1">INDEX(INDIRECT($AF$6),
       MATCH(TRIM($S16), INDIRECT($AF$7), 0),
       MATCH(TRIM(V$13), INDIRECT($AF$8), 0))</f>
        <v>639.79754478000007</v>
      </c>
      <c r="W16" s="14">
        <f ca="1">INDEX(INDIRECT($AF$6),
       MATCH(TRIM($S16), INDIRECT($AF$7), 0),
       MATCH(TRIM(W$13), INDIRECT($AF$8), 0))</f>
        <v>50</v>
      </c>
      <c r="X16" s="14" t="e">
        <f ca="1">INDEX(INDIRECT($AF$6),
       MATCH(TRIM($S16), INDIRECT($AF$7), 0),
       MATCH(TRIM(X$13), INDIRECT($AF$8), 0))</f>
        <v>#N/A</v>
      </c>
      <c r="Y16" s="14">
        <f ca="1">INDEX(INDIRECT($AF$6),
       MATCH(TRIM($S16), INDIRECT($AF$7), 0),
       MATCH(TRIM(Y$13), INDIRECT($AF$8), 0))</f>
        <v>39.411848236247572</v>
      </c>
      <c r="Z16" s="14">
        <f ca="1">INDEX(INDIRECT($AF$6),
       MATCH(TRIM($S16), INDIRECT($AF$7), 0),
       MATCH(TRIM(Z$13), INDIRECT($AF$8), 0))</f>
        <v>197</v>
      </c>
      <c r="AA16" s="14">
        <f ca="1">INDEX(INDIRECT($AF$6),
       MATCH(TRIM($S16), INDIRECT($AF$7), 0),
       MATCH(TRIM(AA$13), INDIRECT($AF$8), 0))</f>
        <v>894.7207161299998</v>
      </c>
      <c r="AB16" s="14">
        <f t="shared" ca="1" si="0"/>
        <v>1573.9301091462476</v>
      </c>
    </row>
    <row r="17" spans="1:28" ht="57" x14ac:dyDescent="0.2">
      <c r="A17" s="26">
        <v>3</v>
      </c>
      <c r="B17" s="27" t="s">
        <v>9</v>
      </c>
      <c r="C17" s="28">
        <f ca="1">INDEX(INDIRECT($P$6),
       MATCH(TRIM($B17), INDIRECT($P$7), 0),
       MATCH(TRIM(C$14), INDIRECT($P$8), 0))</f>
        <v>68</v>
      </c>
      <c r="D17" s="28" t="e">
        <f ca="1">INDEX(INDIRECT($P$6),
       MATCH(TRIM($B17), INDIRECT($P$7), 0),
       MATCH(TRIM(D$14), INDIRECT($P$8), 0))</f>
        <v>#N/A</v>
      </c>
      <c r="E17" s="28">
        <f ca="1">INDEX(INDIRECT($P$6),
       MATCH(TRIM($B17), INDIRECT($P$7), 0),
       MATCH(TRIM(E$14), INDIRECT($P$8), 0))</f>
        <v>982.23831001999997</v>
      </c>
      <c r="F17" s="28">
        <f ca="1">INDEX(INDIRECT($P$6),
       MATCH(TRIM($B17), INDIRECT($P$7), 0),
       MATCH(TRIM(F$14), INDIRECT($P$8), 0))</f>
        <v>45</v>
      </c>
      <c r="G17" s="28" t="e">
        <f ca="1">INDEX(INDIRECT($P$6),
       MATCH(TRIM($B17), INDIRECT($P$7), 0),
       MATCH(TRIM(G$14), INDIRECT($P$8), 0))</f>
        <v>#N/A</v>
      </c>
      <c r="H17" s="28">
        <f ca="1">INDEX(INDIRECT($P$6),
       MATCH(TRIM($B17), INDIRECT($P$7), 0),
       MATCH(TRIM(H$14), INDIRECT($P$8), 0))</f>
        <v>528.15485540436555</v>
      </c>
      <c r="I17" s="28">
        <f ca="1">INDEX(INDIRECT($P$6),
       MATCH(TRIM($B17), INDIRECT($P$7), 0),
       MATCH(TRIM(I$14), INDIRECT($P$8), 0))</f>
        <v>102</v>
      </c>
      <c r="J17" s="28">
        <f ca="1">INDEX(INDIRECT($P$6),
       MATCH(TRIM($B17), INDIRECT($P$7), 0),
       MATCH(TRIM(J$14), INDIRECT($P$8), 0))</f>
        <v>3155.3623731579778</v>
      </c>
      <c r="K17" s="28">
        <f t="shared" ca="1" si="1"/>
        <v>4665.7555385823434</v>
      </c>
      <c r="L17" s="46"/>
      <c r="M17" s="46"/>
      <c r="R17">
        <v>4</v>
      </c>
      <c r="S17" t="s">
        <v>41</v>
      </c>
      <c r="T17" s="14">
        <f ca="1">INDEX(INDIRECT($AF$6),
       MATCH(TRIM($S17), INDIRECT($AF$7), 0),
       MATCH(TRIM(T$13), INDIRECT($AF$8), 0))</f>
        <v>85</v>
      </c>
      <c r="U17" s="14" t="e">
        <f ca="1">INDEX(INDIRECT($AF$6),
       MATCH(TRIM($S17), INDIRECT($AF$7), 0),
       MATCH(TRIM(U$13), INDIRECT($AF$8), 0))</f>
        <v>#N/A</v>
      </c>
      <c r="V17" s="14">
        <f ca="1">INDEX(INDIRECT($AF$6),
       MATCH(TRIM($S17), INDIRECT($AF$7), 0),
       MATCH(TRIM(V$13), INDIRECT($AF$8), 0))</f>
        <v>558.92710341000009</v>
      </c>
      <c r="W17" s="14">
        <f ca="1">INDEX(INDIRECT($AF$6),
       MATCH(TRIM($S17), INDIRECT($AF$7), 0),
       MATCH(TRIM(W$13), INDIRECT($AF$8), 0))</f>
        <v>64</v>
      </c>
      <c r="X17" s="14" t="e">
        <f ca="1">INDEX(INDIRECT($AF$6),
       MATCH(TRIM($S17), INDIRECT($AF$7), 0),
       MATCH(TRIM(X$13), INDIRECT($AF$8), 0))</f>
        <v>#N/A</v>
      </c>
      <c r="Y17" s="14">
        <f ca="1">INDEX(INDIRECT($AF$6),
       MATCH(TRIM($S17), INDIRECT($AF$7), 0),
       MATCH(TRIM(Y$13), INDIRECT($AF$8), 0))</f>
        <v>503.44160267187499</v>
      </c>
      <c r="Z17" s="14">
        <f ca="1">INDEX(INDIRECT($AF$6),
       MATCH(TRIM($S17), INDIRECT($AF$7), 0),
       MATCH(TRIM(Z$13), INDIRECT($AF$8), 0))</f>
        <v>83</v>
      </c>
      <c r="AA17" s="14">
        <f ca="1">INDEX(INDIRECT($AF$6),
       MATCH(TRIM($S17), INDIRECT($AF$7), 0),
       MATCH(TRIM(AA$13), INDIRECT($AF$8), 0))</f>
        <v>451.80774392000001</v>
      </c>
      <c r="AB17" s="14">
        <f t="shared" ca="1" si="0"/>
        <v>1514.1764500018753</v>
      </c>
    </row>
    <row r="18" spans="1:28" x14ac:dyDescent="0.2">
      <c r="A18" s="26">
        <v>4</v>
      </c>
      <c r="B18" s="27" t="s">
        <v>10</v>
      </c>
      <c r="C18" s="28">
        <f ca="1">INDEX(INDIRECT($P$6),
       MATCH(TRIM($B18), INDIRECT($P$7), 0),
       MATCH(TRIM(C$14), INDIRECT($P$8), 0))</f>
        <v>40</v>
      </c>
      <c r="D18" s="28" t="e">
        <f ca="1">INDEX(INDIRECT($P$6),
       MATCH(TRIM($B18), INDIRECT($P$7), 0),
       MATCH(TRIM(D$14), INDIRECT($P$8), 0))</f>
        <v>#N/A</v>
      </c>
      <c r="E18" s="28">
        <f ca="1">INDEX(INDIRECT($P$6),
       MATCH(TRIM($B18), INDIRECT($P$7), 0),
       MATCH(TRIM(E$14), INDIRECT($P$8), 0))</f>
        <v>74.501386230000008</v>
      </c>
      <c r="F18" s="28">
        <f ca="1">INDEX(INDIRECT($P$6),
       MATCH(TRIM($B18), INDIRECT($P$7), 0),
       MATCH(TRIM(F$14), INDIRECT($P$8), 0))</f>
        <v>47</v>
      </c>
      <c r="G18" s="28" t="e">
        <f ca="1">INDEX(INDIRECT($P$6),
       MATCH(TRIM($B18), INDIRECT($P$7), 0),
       MATCH(TRIM(G$14), INDIRECT($P$8), 0))</f>
        <v>#N/A</v>
      </c>
      <c r="H18" s="28">
        <f ca="1">INDEX(INDIRECT($P$6),
       MATCH(TRIM($B18), INDIRECT($P$7), 0),
       MATCH(TRIM(H$14), INDIRECT($P$8), 0))</f>
        <v>192.40533864062499</v>
      </c>
      <c r="I18" s="28">
        <f ca="1">INDEX(INDIRECT($P$6),
       MATCH(TRIM($B18), INDIRECT($P$7), 0),
       MATCH(TRIM(I$14), INDIRECT($P$8), 0))</f>
        <v>53</v>
      </c>
      <c r="J18" s="28">
        <f ca="1">INDEX(INDIRECT($P$6),
       MATCH(TRIM($B18), INDIRECT($P$7), 0),
       MATCH(TRIM(J$14), INDIRECT($P$8), 0))</f>
        <v>22.453812110000005</v>
      </c>
      <c r="K18" s="28">
        <f t="shared" ca="1" si="1"/>
        <v>289.360536980625</v>
      </c>
      <c r="L18" s="46"/>
      <c r="M18" s="46"/>
      <c r="R18">
        <v>5</v>
      </c>
      <c r="S18" t="s">
        <v>38</v>
      </c>
      <c r="T18" s="14">
        <f ca="1">INDEX(INDIRECT($AF$6),
       MATCH(TRIM($S18), INDIRECT($AF$7), 0),
       MATCH(TRIM(T$13), INDIRECT($AF$8), 0))</f>
        <v>384</v>
      </c>
      <c r="U18" s="14" t="e">
        <f ca="1">INDEX(INDIRECT($AF$6),
       MATCH(TRIM($S18), INDIRECT($AF$7), 0),
       MATCH(TRIM(U$13), INDIRECT($AF$8), 0))</f>
        <v>#N/A</v>
      </c>
      <c r="V18" s="14">
        <f ca="1">INDEX(INDIRECT($AF$6),
       MATCH(TRIM($S18), INDIRECT($AF$7), 0),
       MATCH(TRIM(V$13), INDIRECT($AF$8), 0))</f>
        <v>1089.29023411</v>
      </c>
      <c r="W18" s="14">
        <f ca="1">INDEX(INDIRECT($AF$6),
       MATCH(TRIM($S18), INDIRECT($AF$7), 0),
       MATCH(TRIM(W$13), INDIRECT($AF$8), 0))</f>
        <v>162</v>
      </c>
      <c r="X18" s="14" t="e">
        <f ca="1">INDEX(INDIRECT($AF$6),
       MATCH(TRIM($S18), INDIRECT($AF$7), 0),
       MATCH(TRIM(X$13), INDIRECT($AF$8), 0))</f>
        <v>#N/A</v>
      </c>
      <c r="Y18" s="14">
        <f ca="1">INDEX(INDIRECT($AF$6),
       MATCH(TRIM($S18), INDIRECT($AF$7), 0),
       MATCH(TRIM(Y$13), INDIRECT($AF$8), 0))</f>
        <v>634.91577192226566</v>
      </c>
      <c r="Z18" s="14">
        <f ca="1">INDEX(INDIRECT($AF$6),
       MATCH(TRIM($S18), INDIRECT($AF$7), 0),
       MATCH(TRIM(Z$13), INDIRECT($AF$8), 0))</f>
        <v>87</v>
      </c>
      <c r="AA18" s="14">
        <f ca="1">INDEX(INDIRECT($AF$6),
       MATCH(TRIM($S18), INDIRECT($AF$7), 0),
       MATCH(TRIM(AA$13), INDIRECT($AF$8), 0))</f>
        <v>45.538630769999997</v>
      </c>
      <c r="AB18" s="14">
        <f t="shared" ca="1" si="0"/>
        <v>1769.7446368022656</v>
      </c>
    </row>
    <row r="19" spans="1:28" ht="71" x14ac:dyDescent="0.2">
      <c r="A19" s="26">
        <v>5</v>
      </c>
      <c r="B19" s="27" t="s">
        <v>11</v>
      </c>
      <c r="C19" s="28">
        <f ca="1">INDEX(INDIRECT($P$6),
       MATCH(TRIM($B19), INDIRECT($P$7), 0),
       MATCH(TRIM(C$14), INDIRECT($P$8), 0))</f>
        <v>942</v>
      </c>
      <c r="D19" s="28" t="e">
        <f ca="1">INDEX(INDIRECT($P$6),
       MATCH(TRIM($B19), INDIRECT($P$7), 0),
       MATCH(TRIM(D$14), INDIRECT($P$8), 0))</f>
        <v>#N/A</v>
      </c>
      <c r="E19" s="28">
        <f ca="1">INDEX(INDIRECT($P$6),
       MATCH(TRIM($B19), INDIRECT($P$7), 0),
       MATCH(TRIM(E$14), INDIRECT($P$8), 0))</f>
        <v>439.19114761000009</v>
      </c>
      <c r="F19" s="28">
        <f ca="1">INDEX(INDIRECT($P$6),
       MATCH(TRIM($B19), INDIRECT($P$7), 0),
       MATCH(TRIM(F$14), INDIRECT($P$8), 0))</f>
        <v>205</v>
      </c>
      <c r="G19" s="28" t="e">
        <f ca="1">INDEX(INDIRECT($P$6),
       MATCH(TRIM($B19), INDIRECT($P$7), 0),
       MATCH(TRIM(G$14), INDIRECT($P$8), 0))</f>
        <v>#N/A</v>
      </c>
      <c r="H19" s="28">
        <f ca="1">INDEX(INDIRECT($P$6),
       MATCH(TRIM($B19), INDIRECT($P$7), 0),
       MATCH(TRIM(H$14), INDIRECT($P$8), 0))</f>
        <v>218.04426457617188</v>
      </c>
      <c r="I19" s="28">
        <f ca="1">INDEX(INDIRECT($P$6),
       MATCH(TRIM($B19), INDIRECT($P$7), 0),
       MATCH(TRIM(I$14), INDIRECT($P$8), 0))</f>
        <v>1433</v>
      </c>
      <c r="J19" s="28">
        <f ca="1">INDEX(INDIRECT($P$6),
       MATCH(TRIM($B19), INDIRECT($P$7), 0),
       MATCH(TRIM(J$14), INDIRECT($P$8), 0))</f>
        <v>604.71704224999917</v>
      </c>
      <c r="K19" s="28">
        <f t="shared" ca="1" si="1"/>
        <v>1261.9524544361711</v>
      </c>
      <c r="L19" s="46"/>
      <c r="M19" s="46"/>
      <c r="R19">
        <v>6</v>
      </c>
      <c r="S19" t="s">
        <v>43</v>
      </c>
      <c r="T19" s="14">
        <f ca="1">INDEX(INDIRECT($AF$6),
       MATCH(TRIM($S19), INDIRECT($AF$7), 0),
       MATCH(TRIM(T$13), INDIRECT($AF$8), 0))</f>
        <v>119</v>
      </c>
      <c r="U19" s="14" t="e">
        <f ca="1">INDEX(INDIRECT($AF$6),
       MATCH(TRIM($S19), INDIRECT($AF$7), 0),
       MATCH(TRIM(U$13), INDIRECT($AF$8), 0))</f>
        <v>#N/A</v>
      </c>
      <c r="V19" s="14">
        <f ca="1">INDEX(INDIRECT($AF$6),
       MATCH(TRIM($S19), INDIRECT($AF$7), 0),
       MATCH(TRIM(V$13), INDIRECT($AF$8), 0))</f>
        <v>1478.7001244400001</v>
      </c>
      <c r="W19" s="14">
        <f ca="1">INDEX(INDIRECT($AF$6),
       MATCH(TRIM($S19), INDIRECT($AF$7), 0),
       MATCH(TRIM(W$13), INDIRECT($AF$8), 0))</f>
        <v>51</v>
      </c>
      <c r="X19" s="14" t="e">
        <f ca="1">INDEX(INDIRECT($AF$6),
       MATCH(TRIM($S19), INDIRECT($AF$7), 0),
       MATCH(TRIM(X$13), INDIRECT($AF$8), 0))</f>
        <v>#N/A</v>
      </c>
      <c r="Y19" s="14">
        <f ca="1">INDEX(INDIRECT($AF$6),
       MATCH(TRIM($S19), INDIRECT($AF$7), 0),
       MATCH(TRIM(Y$13), INDIRECT($AF$8), 0))</f>
        <v>1654.8340725</v>
      </c>
      <c r="Z19" s="14">
        <f ca="1">INDEX(INDIRECT($AF$6),
       MATCH(TRIM($S19), INDIRECT($AF$7), 0),
       MATCH(TRIM(Z$13), INDIRECT($AF$8), 0))</f>
        <v>49</v>
      </c>
      <c r="AA19" s="14">
        <f ca="1">INDEX(INDIRECT($AF$6),
       MATCH(TRIM($S19), INDIRECT($AF$7), 0),
       MATCH(TRIM(AA$13), INDIRECT($AF$8), 0))</f>
        <v>128.77857574000001</v>
      </c>
      <c r="AB19" s="14">
        <f t="shared" ca="1" si="0"/>
        <v>3262.3127726800003</v>
      </c>
    </row>
    <row r="20" spans="1:28" ht="57" x14ac:dyDescent="0.2">
      <c r="A20" s="26">
        <v>6</v>
      </c>
      <c r="B20" s="27" t="s">
        <v>12</v>
      </c>
      <c r="C20" s="28">
        <f ca="1">INDEX(INDIRECT($P$6),
       MATCH(TRIM($B20), INDIRECT($P$7), 0),
       MATCH(TRIM(C$14), INDIRECT($P$8), 0))</f>
        <v>19</v>
      </c>
      <c r="D20" s="28" t="e">
        <f ca="1">INDEX(INDIRECT($P$6),
       MATCH(TRIM($B20), INDIRECT($P$7), 0),
       MATCH(TRIM(D$14), INDIRECT($P$8), 0))</f>
        <v>#N/A</v>
      </c>
      <c r="E20" s="28">
        <f ca="1">INDEX(INDIRECT($P$6),
       MATCH(TRIM($B20), INDIRECT($P$7), 0),
       MATCH(TRIM(E$14), INDIRECT($P$8), 0))</f>
        <v>48.343621399999982</v>
      </c>
      <c r="F20" s="28">
        <f ca="1">INDEX(INDIRECT($P$6),
       MATCH(TRIM($B20), INDIRECT($P$7), 0),
       MATCH(TRIM(F$14), INDIRECT($P$8), 0))</f>
        <v>10</v>
      </c>
      <c r="G20" s="28" t="e">
        <f ca="1">INDEX(INDIRECT($P$6),
       MATCH(TRIM($B20), INDIRECT($P$7), 0),
       MATCH(TRIM(G$14), INDIRECT($P$8), 0))</f>
        <v>#N/A</v>
      </c>
      <c r="H20" s="28">
        <f ca="1">INDEX(INDIRECT($P$6),
       MATCH(TRIM($B20), INDIRECT($P$7), 0),
       MATCH(TRIM(H$14), INDIRECT($P$8), 0))</f>
        <v>2.7987714499999883</v>
      </c>
      <c r="I20" s="28">
        <f ca="1">INDEX(INDIRECT($P$6),
       MATCH(TRIM($B20), INDIRECT($P$7), 0),
       MATCH(TRIM(I$14), INDIRECT($P$8), 0))</f>
        <v>18</v>
      </c>
      <c r="J20" s="28">
        <f ca="1">INDEX(INDIRECT($P$6),
       MATCH(TRIM($B20), INDIRECT($P$7), 0),
       MATCH(TRIM(J$14), INDIRECT($P$8), 0))</f>
        <v>10.83676869</v>
      </c>
      <c r="K20" s="28">
        <f t="shared" ca="1" si="1"/>
        <v>61.979161539999971</v>
      </c>
      <c r="L20" s="46"/>
      <c r="M20" s="46"/>
      <c r="R20">
        <v>7</v>
      </c>
      <c r="S20" t="s">
        <v>46</v>
      </c>
      <c r="T20" s="14">
        <f ca="1">INDEX(INDIRECT($AF$6),
       MATCH(TRIM($S20), INDIRECT($AF$7), 0),
       MATCH(TRIM(T$13), INDIRECT($AF$8), 0))</f>
        <v>28</v>
      </c>
      <c r="U20" s="14" t="e">
        <f ca="1">INDEX(INDIRECT($AF$6),
       MATCH(TRIM($S20), INDIRECT($AF$7), 0),
       MATCH(TRIM(U$13), INDIRECT($AF$8), 0))</f>
        <v>#N/A</v>
      </c>
      <c r="V20" s="14">
        <f ca="1">INDEX(INDIRECT($AF$6),
       MATCH(TRIM($S20), INDIRECT($AF$7), 0),
       MATCH(TRIM(V$13), INDIRECT($AF$8), 0))</f>
        <v>252.98133200000001</v>
      </c>
      <c r="W20" s="14">
        <f ca="1">INDEX(INDIRECT($AF$6),
       MATCH(TRIM($S20), INDIRECT($AF$7), 0),
       MATCH(TRIM(W$13), INDIRECT($AF$8), 0))</f>
        <v>38</v>
      </c>
      <c r="X20" s="14" t="e">
        <f ca="1">INDEX(INDIRECT($AF$6),
       MATCH(TRIM($S20), INDIRECT($AF$7), 0),
       MATCH(TRIM(X$13), INDIRECT($AF$8), 0))</f>
        <v>#N/A</v>
      </c>
      <c r="Y20" s="14">
        <f ca="1">INDEX(INDIRECT($AF$6),
       MATCH(TRIM($S20), INDIRECT($AF$7), 0),
       MATCH(TRIM(Y$13), INDIRECT($AF$8), 0))</f>
        <v>403.33465612499998</v>
      </c>
      <c r="Z20" s="14">
        <f ca="1">INDEX(INDIRECT($AF$6),
       MATCH(TRIM($S20), INDIRECT($AF$7), 0),
       MATCH(TRIM(Z$13), INDIRECT($AF$8), 0))</f>
        <v>4</v>
      </c>
      <c r="AA20" s="14">
        <f ca="1">INDEX(INDIRECT($AF$6),
       MATCH(TRIM($S20), INDIRECT($AF$7), 0),
       MATCH(TRIM(AA$13), INDIRECT($AF$8), 0))</f>
        <v>0.53955489000000001</v>
      </c>
      <c r="AB20" s="14">
        <f t="shared" ca="1" si="0"/>
        <v>656.85554301499997</v>
      </c>
    </row>
    <row r="21" spans="1:28" ht="71" x14ac:dyDescent="0.2">
      <c r="A21" s="26">
        <v>7</v>
      </c>
      <c r="B21" s="27" t="s">
        <v>13</v>
      </c>
      <c r="C21" s="28">
        <f ca="1">INDEX(INDIRECT($P$6),
       MATCH(TRIM($B21), INDIRECT($P$7), 0),
       MATCH(TRIM(C$14), INDIRECT($P$8), 0))</f>
        <v>403</v>
      </c>
      <c r="D21" s="28" t="e">
        <f ca="1">INDEX(INDIRECT($P$6),
       MATCH(TRIM($B21), INDIRECT($P$7), 0),
       MATCH(TRIM(D$14), INDIRECT($P$8), 0))</f>
        <v>#N/A</v>
      </c>
      <c r="E21" s="28">
        <f ca="1">INDEX(INDIRECT($P$6),
       MATCH(TRIM($B21), INDIRECT($P$7), 0),
       MATCH(TRIM(E$14), INDIRECT($P$8), 0))</f>
        <v>179.64483942000001</v>
      </c>
      <c r="F21" s="28">
        <f ca="1">INDEX(INDIRECT($P$6),
       MATCH(TRIM($B21), INDIRECT($P$7), 0),
       MATCH(TRIM(F$14), INDIRECT($P$8), 0))</f>
        <v>103</v>
      </c>
      <c r="G21" s="28" t="e">
        <f ca="1">INDEX(INDIRECT($P$6),
       MATCH(TRIM($B21), INDIRECT($P$7), 0),
       MATCH(TRIM(G$14), INDIRECT($P$8), 0))</f>
        <v>#N/A</v>
      </c>
      <c r="H21" s="28">
        <f ca="1">INDEX(INDIRECT($P$6),
       MATCH(TRIM($B21), INDIRECT($P$7), 0),
       MATCH(TRIM(H$14), INDIRECT($P$8), 0))</f>
        <v>332.62458846875001</v>
      </c>
      <c r="I21" s="28">
        <f ca="1">INDEX(INDIRECT($P$6),
       MATCH(TRIM($B21), INDIRECT($P$7), 0),
       MATCH(TRIM(I$14), INDIRECT($P$8), 0))</f>
        <v>531</v>
      </c>
      <c r="J21" s="28">
        <f ca="1">INDEX(INDIRECT($P$6),
       MATCH(TRIM($B21), INDIRECT($P$7), 0),
       MATCH(TRIM(J$14), INDIRECT($P$8), 0))</f>
        <v>772.72837167000023</v>
      </c>
      <c r="K21" s="28">
        <f t="shared" ca="1" si="1"/>
        <v>1284.9977995587501</v>
      </c>
      <c r="L21" s="46"/>
      <c r="M21" s="46"/>
      <c r="R21">
        <v>8</v>
      </c>
      <c r="S21" t="s">
        <v>47</v>
      </c>
      <c r="T21" s="14">
        <f ca="1">INDEX(INDIRECT($AF$6),
       MATCH(TRIM($S21), INDIRECT($AF$7), 0),
       MATCH(TRIM(T$13), INDIRECT($AF$8), 0))</f>
        <v>92</v>
      </c>
      <c r="U21" s="14" t="e">
        <f ca="1">INDEX(INDIRECT($AF$6),
       MATCH(TRIM($S21), INDIRECT($AF$7), 0),
       MATCH(TRIM(U$13), INDIRECT($AF$8), 0))</f>
        <v>#N/A</v>
      </c>
      <c r="V21" s="14">
        <f ca="1">INDEX(INDIRECT($AF$6),
       MATCH(TRIM($S21), INDIRECT($AF$7), 0),
       MATCH(TRIM(V$13), INDIRECT($AF$8), 0))</f>
        <v>1529.52937</v>
      </c>
      <c r="W21" s="14">
        <f ca="1">INDEX(INDIRECT($AF$6),
       MATCH(TRIM($S21), INDIRECT($AF$7), 0),
       MATCH(TRIM(W$13), INDIRECT($AF$8), 0))</f>
        <v>53</v>
      </c>
      <c r="X21" s="14" t="e">
        <f ca="1">INDEX(INDIRECT($AF$6),
       MATCH(TRIM($S21), INDIRECT($AF$7), 0),
       MATCH(TRIM(X$13), INDIRECT($AF$8), 0))</f>
        <v>#N/A</v>
      </c>
      <c r="Y21" s="14">
        <f ca="1">INDEX(INDIRECT($AF$6),
       MATCH(TRIM($S21), INDIRECT($AF$7), 0),
       MATCH(TRIM(Y$13), INDIRECT($AF$8), 0))</f>
        <v>1445.496435</v>
      </c>
      <c r="Z21" s="14">
        <f ca="1">INDEX(INDIRECT($AF$6),
       MATCH(TRIM($S21), INDIRECT($AF$7), 0),
       MATCH(TRIM(Z$13), INDIRECT($AF$8), 0))</f>
        <v>51</v>
      </c>
      <c r="AA21" s="14">
        <f ca="1">INDEX(INDIRECT($AF$6),
       MATCH(TRIM($S21), INDIRECT($AF$7), 0),
       MATCH(TRIM(AA$13), INDIRECT($AF$8), 0))</f>
        <v>40.612914420000003</v>
      </c>
      <c r="AB21" s="14">
        <f t="shared" ca="1" si="0"/>
        <v>3015.6387194200001</v>
      </c>
    </row>
    <row r="22" spans="1:28" ht="29" x14ac:dyDescent="0.2">
      <c r="A22" s="26">
        <v>8</v>
      </c>
      <c r="B22" s="27" t="s">
        <v>14</v>
      </c>
      <c r="C22" s="28">
        <f ca="1">INDEX(INDIRECT($P$6),
       MATCH(TRIM($B22), INDIRECT($P$7), 0),
       MATCH(TRIM(C$14), INDIRECT($P$8), 0))</f>
        <v>117</v>
      </c>
      <c r="D22" s="28" t="e">
        <f ca="1">INDEX(INDIRECT($P$6),
       MATCH(TRIM($B22), INDIRECT($P$7), 0),
       MATCH(TRIM(D$14), INDIRECT($P$8), 0))</f>
        <v>#N/A</v>
      </c>
      <c r="E22" s="28">
        <f ca="1">INDEX(INDIRECT($P$6),
       MATCH(TRIM($B22), INDIRECT($P$7), 0),
       MATCH(TRIM(E$14), INDIRECT($P$8), 0))</f>
        <v>220.66831485999998</v>
      </c>
      <c r="F22" s="28">
        <f ca="1">INDEX(INDIRECT($P$6),
       MATCH(TRIM($B22), INDIRECT($P$7), 0),
       MATCH(TRIM(F$14), INDIRECT($P$8), 0))</f>
        <v>37</v>
      </c>
      <c r="G22" s="28" t="e">
        <f ca="1">INDEX(INDIRECT($P$6),
       MATCH(TRIM($B22), INDIRECT($P$7), 0),
       MATCH(TRIM(G$14), INDIRECT($P$8), 0))</f>
        <v>#N/A</v>
      </c>
      <c r="H22" s="28">
        <f ca="1">INDEX(INDIRECT($P$6),
       MATCH(TRIM($B22), INDIRECT($P$7), 0),
       MATCH(TRIM(H$14), INDIRECT($P$8), 0))</f>
        <v>92.714438070312497</v>
      </c>
      <c r="I22" s="28">
        <f ca="1">INDEX(INDIRECT($P$6),
       MATCH(TRIM($B22), INDIRECT($P$7), 0),
       MATCH(TRIM(I$14), INDIRECT($P$8), 0))</f>
        <v>138</v>
      </c>
      <c r="J22" s="28">
        <f ca="1">INDEX(INDIRECT($P$6),
       MATCH(TRIM($B22), INDIRECT($P$7), 0),
       MATCH(TRIM(J$14), INDIRECT($P$8), 0))</f>
        <v>150.39830835000001</v>
      </c>
      <c r="K22" s="28">
        <f t="shared" ca="1" si="1"/>
        <v>463.78106128031243</v>
      </c>
      <c r="L22" s="46"/>
      <c r="M22" s="46"/>
      <c r="R22">
        <v>9</v>
      </c>
      <c r="S22" t="s">
        <v>44</v>
      </c>
      <c r="T22" s="14">
        <f ca="1">INDEX(INDIRECT($AF$6),
       MATCH(TRIM($S22), INDIRECT($AF$7), 0),
       MATCH(TRIM(T$13), INDIRECT($AF$8), 0))</f>
        <v>21</v>
      </c>
      <c r="U22" s="14" t="e">
        <f ca="1">INDEX(INDIRECT($AF$6),
       MATCH(TRIM($S22), INDIRECT($AF$7), 0),
       MATCH(TRIM(U$13), INDIRECT($AF$8), 0))</f>
        <v>#N/A</v>
      </c>
      <c r="V22" s="14">
        <f ca="1">INDEX(INDIRECT($AF$6),
       MATCH(TRIM($S22), INDIRECT($AF$7), 0),
       MATCH(TRIM(V$13), INDIRECT($AF$8), 0))</f>
        <v>848.00404700000001</v>
      </c>
      <c r="W22" s="14">
        <f ca="1">INDEX(INDIRECT($AF$6),
       MATCH(TRIM($S22), INDIRECT($AF$7), 0),
       MATCH(TRIM(W$13), INDIRECT($AF$8), 0))</f>
        <v>0</v>
      </c>
      <c r="X22" s="14" t="e">
        <f ca="1">INDEX(INDIRECT($AF$6),
       MATCH(TRIM($S22), INDIRECT($AF$7), 0),
       MATCH(TRIM(X$13), INDIRECT($AF$8), 0))</f>
        <v>#N/A</v>
      </c>
      <c r="Y22" s="14">
        <f ca="1">INDEX(INDIRECT($AF$6),
       MATCH(TRIM($S22), INDIRECT($AF$7), 0),
       MATCH(TRIM(Y$13), INDIRECT($AF$8), 0))</f>
        <v>0</v>
      </c>
      <c r="Z22" s="14">
        <f ca="1">INDEX(INDIRECT($AF$6),
       MATCH(TRIM($S22), INDIRECT($AF$7), 0),
       MATCH(TRIM(Z$13), INDIRECT($AF$8), 0))</f>
        <v>27</v>
      </c>
      <c r="AA22" s="14">
        <f ca="1">INDEX(INDIRECT($AF$6),
       MATCH(TRIM($S22), INDIRECT($AF$7), 0),
       MATCH(TRIM(AA$13), INDIRECT($AF$8), 0))</f>
        <v>191.56463693999999</v>
      </c>
      <c r="AB22" s="14">
        <f t="shared" ca="1" si="0"/>
        <v>1039.56868394</v>
      </c>
    </row>
    <row r="23" spans="1:28" ht="43" x14ac:dyDescent="0.2">
      <c r="A23" s="26">
        <v>9</v>
      </c>
      <c r="B23" s="27" t="s">
        <v>15</v>
      </c>
      <c r="C23" s="28">
        <f ca="1">INDEX(INDIRECT($P$6),
       MATCH(TRIM($B23), INDIRECT($P$7), 0),
       MATCH(TRIM(C$14), INDIRECT($P$8), 0))</f>
        <v>62</v>
      </c>
      <c r="D23" s="28" t="e">
        <f ca="1">INDEX(INDIRECT($P$6),
       MATCH(TRIM($B23), INDIRECT($P$7), 0),
       MATCH(TRIM(D$14), INDIRECT($P$8), 0))</f>
        <v>#N/A</v>
      </c>
      <c r="E23" s="28">
        <f ca="1">INDEX(INDIRECT($P$6),
       MATCH(TRIM($B23), INDIRECT($P$7), 0),
       MATCH(TRIM(E$14), INDIRECT($P$8), 0))</f>
        <v>30.761109950000002</v>
      </c>
      <c r="F23" s="28">
        <f ca="1">INDEX(INDIRECT($P$6),
       MATCH(TRIM($B23), INDIRECT($P$7), 0),
       MATCH(TRIM(F$14), INDIRECT($P$8), 0))</f>
        <v>19</v>
      </c>
      <c r="G23" s="28" t="e">
        <f ca="1">INDEX(INDIRECT($P$6),
       MATCH(TRIM($B23), INDIRECT($P$7), 0),
       MATCH(TRIM(G$14), INDIRECT($P$8), 0))</f>
        <v>#N/A</v>
      </c>
      <c r="H23" s="28">
        <f ca="1">INDEX(INDIRECT($P$6),
       MATCH(TRIM($B23), INDIRECT($P$7), 0),
       MATCH(TRIM(H$14), INDIRECT($P$8), 0))</f>
        <v>8.9401307109375008</v>
      </c>
      <c r="I23" s="28">
        <f ca="1">INDEX(INDIRECT($P$6),
       MATCH(TRIM($B23), INDIRECT($P$7), 0),
       MATCH(TRIM(I$14), INDIRECT($P$8), 0))</f>
        <v>188</v>
      </c>
      <c r="J23" s="28">
        <f ca="1">INDEX(INDIRECT($P$6),
       MATCH(TRIM($B23), INDIRECT($P$7), 0),
       MATCH(TRIM(J$14), INDIRECT($P$8), 0))</f>
        <v>44.333561060000015</v>
      </c>
      <c r="K23" s="28">
        <f t="shared" ca="1" si="1"/>
        <v>84.034801720937509</v>
      </c>
      <c r="L23" s="46"/>
      <c r="M23" s="46"/>
      <c r="R23">
        <v>10</v>
      </c>
      <c r="S23" t="s">
        <v>51</v>
      </c>
      <c r="T23" s="14">
        <f ca="1">INDEX(INDIRECT($AF$6),
       MATCH(TRIM($S23), INDIRECT($AF$7), 0),
       MATCH(TRIM(T$13), INDIRECT($AF$8), 0))</f>
        <v>35</v>
      </c>
      <c r="U23" s="14" t="e">
        <f ca="1">INDEX(INDIRECT($AF$6),
       MATCH(TRIM($S23), INDIRECT($AF$7), 0),
       MATCH(TRIM(U$13), INDIRECT($AF$8), 0))</f>
        <v>#N/A</v>
      </c>
      <c r="V23" s="14">
        <f ca="1">INDEX(INDIRECT($AF$6),
       MATCH(TRIM($S23), INDIRECT($AF$7), 0),
       MATCH(TRIM(V$13), INDIRECT($AF$8), 0))</f>
        <v>470.67468922</v>
      </c>
      <c r="W23" s="14">
        <f ca="1">INDEX(INDIRECT($AF$6),
       MATCH(TRIM($S23), INDIRECT($AF$7), 0),
       MATCH(TRIM(W$13), INDIRECT($AF$8), 0))</f>
        <v>23</v>
      </c>
      <c r="X23" s="14" t="e">
        <f ca="1">INDEX(INDIRECT($AF$6),
       MATCH(TRIM($S23), INDIRECT($AF$7), 0),
       MATCH(TRIM(X$13), INDIRECT($AF$8), 0))</f>
        <v>#N/A</v>
      </c>
      <c r="Y23" s="14">
        <f ca="1">INDEX(INDIRECT($AF$6),
       MATCH(TRIM($S23), INDIRECT($AF$7), 0),
       MATCH(TRIM(Y$13), INDIRECT($AF$8), 0))</f>
        <v>231.0190056875</v>
      </c>
      <c r="Z23" s="14">
        <f ca="1">INDEX(INDIRECT($AF$6),
       MATCH(TRIM($S23), INDIRECT($AF$7), 0),
       MATCH(TRIM(Z$13), INDIRECT($AF$8), 0))</f>
        <v>5</v>
      </c>
      <c r="AA23" s="14">
        <f ca="1">INDEX(INDIRECT($AF$6),
       MATCH(TRIM($S23), INDIRECT($AF$7), 0),
       MATCH(TRIM(AA$13), INDIRECT($AF$8), 0))</f>
        <v>13.861131760000001</v>
      </c>
      <c r="AB23" s="14">
        <f t="shared" ca="1" si="0"/>
        <v>715.55482666750004</v>
      </c>
    </row>
    <row r="24" spans="1:28" ht="43" x14ac:dyDescent="0.2">
      <c r="A24" s="26">
        <v>10</v>
      </c>
      <c r="B24" s="27" t="s">
        <v>16</v>
      </c>
      <c r="C24" s="28">
        <f ca="1">INDEX(INDIRECT($P$6),
       MATCH(TRIM($B24), INDIRECT($P$7), 0),
       MATCH(TRIM(C$14), INDIRECT($P$8), 0))</f>
        <v>291</v>
      </c>
      <c r="D24" s="28" t="e">
        <f ca="1">INDEX(INDIRECT($P$6),
       MATCH(TRIM($B24), INDIRECT($P$7), 0),
       MATCH(TRIM(D$14), INDIRECT($P$8), 0))</f>
        <v>#N/A</v>
      </c>
      <c r="E24" s="28">
        <f ca="1">INDEX(INDIRECT($P$6),
       MATCH(TRIM($B24), INDIRECT($P$7), 0),
       MATCH(TRIM(E$14), INDIRECT($P$8), 0))</f>
        <v>51.2928645</v>
      </c>
      <c r="F24" s="28">
        <f ca="1">INDEX(INDIRECT($P$6),
       MATCH(TRIM($B24), INDIRECT($P$7), 0),
       MATCH(TRIM(F$14), INDIRECT($P$8), 0))</f>
        <v>73</v>
      </c>
      <c r="G24" s="28" t="e">
        <f ca="1">INDEX(INDIRECT($P$6),
       MATCH(TRIM($B24), INDIRECT($P$7), 0),
       MATCH(TRIM(G$14), INDIRECT($P$8), 0))</f>
        <v>#N/A</v>
      </c>
      <c r="H24" s="28">
        <f ca="1">INDEX(INDIRECT($P$6),
       MATCH(TRIM($B24), INDIRECT($P$7), 0),
       MATCH(TRIM(H$14), INDIRECT($P$8), 0))</f>
        <v>176.00148515625</v>
      </c>
      <c r="I24" s="28">
        <f ca="1">INDEX(INDIRECT($P$6),
       MATCH(TRIM($B24), INDIRECT($P$7), 0),
       MATCH(TRIM(I$14), INDIRECT($P$8), 0))</f>
        <v>265</v>
      </c>
      <c r="J24" s="28">
        <f ca="1">INDEX(INDIRECT($P$6),
       MATCH(TRIM($B24), INDIRECT($P$7), 0),
       MATCH(TRIM(J$14), INDIRECT($P$8), 0))</f>
        <v>189.25332861999993</v>
      </c>
      <c r="K24" s="28">
        <f t="shared" ca="1" si="1"/>
        <v>416.54767827624994</v>
      </c>
      <c r="L24" s="46"/>
      <c r="M24" s="46"/>
      <c r="R24">
        <v>11</v>
      </c>
      <c r="S24" t="s">
        <v>45</v>
      </c>
      <c r="T24" s="14">
        <f ca="1">INDEX(INDIRECT($AF$6),
       MATCH(TRIM($S24), INDIRECT($AF$7), 0),
       MATCH(TRIM(T$13), INDIRECT($AF$8), 0))</f>
        <v>118</v>
      </c>
      <c r="U24" s="14" t="e">
        <f ca="1">INDEX(INDIRECT($AF$6),
       MATCH(TRIM($S24), INDIRECT($AF$7), 0),
       MATCH(TRIM(U$13), INDIRECT($AF$8), 0))</f>
        <v>#N/A</v>
      </c>
      <c r="V24" s="14">
        <f ca="1">INDEX(INDIRECT($AF$6),
       MATCH(TRIM($S24), INDIRECT($AF$7), 0),
       MATCH(TRIM(V$13), INDIRECT($AF$8), 0))</f>
        <v>602.76692869999988</v>
      </c>
      <c r="W24" s="14">
        <f ca="1">INDEX(INDIRECT($AF$6),
       MATCH(TRIM($S24), INDIRECT($AF$7), 0),
       MATCH(TRIM(W$13), INDIRECT($AF$8), 0))</f>
        <v>81</v>
      </c>
      <c r="X24" s="14" t="e">
        <f ca="1">INDEX(INDIRECT($AF$6),
       MATCH(TRIM($S24), INDIRECT($AF$7), 0),
       MATCH(TRIM(X$13), INDIRECT($AF$8), 0))</f>
        <v>#N/A</v>
      </c>
      <c r="Y24" s="14">
        <f ca="1">INDEX(INDIRECT($AF$6),
       MATCH(TRIM($S24), INDIRECT($AF$7), 0),
       MATCH(TRIM(Y$13), INDIRECT($AF$8), 0))</f>
        <v>117.88781366015625</v>
      </c>
      <c r="Z24" s="14">
        <f ca="1">INDEX(INDIRECT($AF$6),
       MATCH(TRIM($S24), INDIRECT($AF$7), 0),
       MATCH(TRIM(Z$13), INDIRECT($AF$8), 0))</f>
        <v>40</v>
      </c>
      <c r="AA24" s="14">
        <f ca="1">INDEX(INDIRECT($AF$6),
       MATCH(TRIM($S24), INDIRECT($AF$7), 0),
       MATCH(TRIM(AA$13), INDIRECT($AF$8), 0))</f>
        <v>32.671865599999997</v>
      </c>
      <c r="AB24" s="14">
        <f t="shared" ca="1" si="0"/>
        <v>753.32660796015614</v>
      </c>
    </row>
    <row r="25" spans="1:28" ht="57" x14ac:dyDescent="0.2">
      <c r="A25" s="26">
        <v>11</v>
      </c>
      <c r="B25" s="27" t="s">
        <v>17</v>
      </c>
      <c r="C25" s="28">
        <f ca="1">INDEX(INDIRECT($P$6),
       MATCH(TRIM($B25), INDIRECT($P$7), 0),
       MATCH(TRIM(C$14), INDIRECT($P$8), 0))</f>
        <v>59</v>
      </c>
      <c r="D25" s="28" t="e">
        <f ca="1">INDEX(INDIRECT($P$6),
       MATCH(TRIM($B25), INDIRECT($P$7), 0),
       MATCH(TRIM(D$14), INDIRECT($P$8), 0))</f>
        <v>#N/A</v>
      </c>
      <c r="E25" s="28">
        <f ca="1">INDEX(INDIRECT($P$6),
       MATCH(TRIM($B25), INDIRECT($P$7), 0),
       MATCH(TRIM(E$14), INDIRECT($P$8), 0))</f>
        <v>23.156375280000002</v>
      </c>
      <c r="F25" s="28">
        <f ca="1">INDEX(INDIRECT($P$6),
       MATCH(TRIM($B25), INDIRECT($P$7), 0),
       MATCH(TRIM(F$14), INDIRECT($P$8), 0))</f>
        <v>13</v>
      </c>
      <c r="G25" s="28" t="e">
        <f ca="1">INDEX(INDIRECT($P$6),
       MATCH(TRIM($B25), INDIRECT($P$7), 0),
       MATCH(TRIM(G$14), INDIRECT($P$8), 0))</f>
        <v>#N/A</v>
      </c>
      <c r="H25" s="28">
        <f ca="1">INDEX(INDIRECT($P$6),
       MATCH(TRIM($B25), INDIRECT($P$7), 0),
       MATCH(TRIM(H$14), INDIRECT($P$8), 0))</f>
        <v>5.4698305781250003</v>
      </c>
      <c r="I25" s="28">
        <f ca="1">INDEX(INDIRECT($P$6),
       MATCH(TRIM($B25), INDIRECT($P$7), 0),
       MATCH(TRIM(I$14), INDIRECT($P$8), 0))</f>
        <v>89</v>
      </c>
      <c r="J25" s="28">
        <f ca="1">INDEX(INDIRECT($P$6),
       MATCH(TRIM($B25), INDIRECT($P$7), 0),
       MATCH(TRIM(J$14), INDIRECT($P$8), 0))</f>
        <v>29.986236049999992</v>
      </c>
      <c r="K25" s="28">
        <f t="shared" ca="1" si="1"/>
        <v>58.612441908124993</v>
      </c>
      <c r="L25" s="46"/>
      <c r="M25" s="46"/>
      <c r="R25">
        <v>12</v>
      </c>
      <c r="S25" t="s">
        <v>49</v>
      </c>
      <c r="T25" s="14">
        <f ca="1">INDEX(INDIRECT($AF$6),
       MATCH(TRIM($S25), INDIRECT($AF$7), 0),
       MATCH(TRIM(T$13), INDIRECT($AF$8), 0))</f>
        <v>83</v>
      </c>
      <c r="U25" s="14" t="e">
        <f ca="1">INDEX(INDIRECT($AF$6),
       MATCH(TRIM($S25), INDIRECT($AF$7), 0),
       MATCH(TRIM(U$13), INDIRECT($AF$8), 0))</f>
        <v>#N/A</v>
      </c>
      <c r="V25" s="14">
        <f ca="1">INDEX(INDIRECT($AF$6),
       MATCH(TRIM($S25), INDIRECT($AF$7), 0),
       MATCH(TRIM(V$13), INDIRECT($AF$8), 0))</f>
        <v>1059.872805</v>
      </c>
      <c r="W25" s="14">
        <f ca="1">INDEX(INDIRECT($AF$6),
       MATCH(TRIM($S25), INDIRECT($AF$7), 0),
       MATCH(TRIM(W$13), INDIRECT($AF$8), 0))</f>
        <v>29</v>
      </c>
      <c r="X25" s="14" t="e">
        <f ca="1">INDEX(INDIRECT($AF$6),
       MATCH(TRIM($S25), INDIRECT($AF$7), 0),
       MATCH(TRIM(X$13), INDIRECT($AF$8), 0))</f>
        <v>#N/A</v>
      </c>
      <c r="Y25" s="14">
        <f ca="1">INDEX(INDIRECT($AF$6),
       MATCH(TRIM($S25), INDIRECT($AF$7), 0),
       MATCH(TRIM(Y$13), INDIRECT($AF$8), 0))</f>
        <v>142.80319600000001</v>
      </c>
      <c r="Z25" s="14">
        <f ca="1">INDEX(INDIRECT($AF$6),
       MATCH(TRIM($S25), INDIRECT($AF$7), 0),
       MATCH(TRIM(Z$13), INDIRECT($AF$8), 0))</f>
        <v>23</v>
      </c>
      <c r="AA25" s="14">
        <f ca="1">INDEX(INDIRECT($AF$6),
       MATCH(TRIM($S25), INDIRECT($AF$7), 0),
       MATCH(TRIM(AA$13), INDIRECT($AF$8), 0))</f>
        <v>14.052826810000001</v>
      </c>
      <c r="AB25" s="14">
        <f t="shared" ca="1" si="0"/>
        <v>1216.72882781</v>
      </c>
    </row>
    <row r="26" spans="1:28" ht="29" x14ac:dyDescent="0.2">
      <c r="A26" s="26">
        <v>12</v>
      </c>
      <c r="B26" s="27" t="s">
        <v>18</v>
      </c>
      <c r="C26" s="28">
        <f ca="1">INDEX(INDIRECT($P$6),
       MATCH(TRIM($B26), INDIRECT($P$7), 0),
       MATCH(TRIM(C$14), INDIRECT($P$8), 0))</f>
        <v>8</v>
      </c>
      <c r="D26" s="28" t="e">
        <f ca="1">INDEX(INDIRECT($P$6),
       MATCH(TRIM($B26), INDIRECT($P$7), 0),
       MATCH(TRIM(D$14), INDIRECT($P$8), 0))</f>
        <v>#N/A</v>
      </c>
      <c r="E26" s="28">
        <f ca="1">INDEX(INDIRECT($P$6),
       MATCH(TRIM($B26), INDIRECT($P$7), 0),
       MATCH(TRIM(E$14), INDIRECT($P$8), 0))</f>
        <v>43.870513000000003</v>
      </c>
      <c r="F26" s="28">
        <f ca="1">INDEX(INDIRECT($P$6),
       MATCH(TRIM($B26), INDIRECT($P$7), 0),
       MATCH(TRIM(F$14), INDIRECT($P$8), 0))</f>
        <v>2</v>
      </c>
      <c r="G26" s="28" t="e">
        <f ca="1">INDEX(INDIRECT($P$6),
       MATCH(TRIM($B26), INDIRECT($P$7), 0),
       MATCH(TRIM(G$14), INDIRECT($P$8), 0))</f>
        <v>#N/A</v>
      </c>
      <c r="H26" s="28">
        <f ca="1">INDEX(INDIRECT($P$6),
       MATCH(TRIM($B26), INDIRECT($P$7), 0),
       MATCH(TRIM(H$14), INDIRECT($P$8), 0))</f>
        <v>0.19500000000000001</v>
      </c>
      <c r="I26" s="28">
        <f ca="1">INDEX(INDIRECT($P$6),
       MATCH(TRIM($B26), INDIRECT($P$7), 0),
       MATCH(TRIM(I$14), INDIRECT($P$8), 0))</f>
        <v>15</v>
      </c>
      <c r="J26" s="28">
        <f ca="1">INDEX(INDIRECT($P$6),
       MATCH(TRIM($B26), INDIRECT($P$7), 0),
       MATCH(TRIM(J$14), INDIRECT($P$8), 0))</f>
        <v>1.5176263700000001</v>
      </c>
      <c r="K26" s="28">
        <f t="shared" ca="1" si="1"/>
        <v>45.583139370000005</v>
      </c>
      <c r="L26" s="46"/>
      <c r="M26" s="46"/>
      <c r="R26">
        <v>13</v>
      </c>
      <c r="S26" t="s">
        <v>55</v>
      </c>
      <c r="T26" s="14">
        <f ca="1">INDEX(INDIRECT($AF$6),
       MATCH(TRIM($S26), INDIRECT($AF$7), 0),
       MATCH(TRIM(T$13), INDIRECT($AF$8), 0))</f>
        <v>40</v>
      </c>
      <c r="U26" s="14" t="e">
        <f ca="1">INDEX(INDIRECT($AF$6),
       MATCH(TRIM($S26), INDIRECT($AF$7), 0),
       MATCH(TRIM(U$13), INDIRECT($AF$8), 0))</f>
        <v>#N/A</v>
      </c>
      <c r="V26" s="14">
        <f ca="1">INDEX(INDIRECT($AF$6),
       MATCH(TRIM($S26), INDIRECT($AF$7), 0),
       MATCH(TRIM(V$13), INDIRECT($AF$8), 0))</f>
        <v>257.17745533999999</v>
      </c>
      <c r="W26" s="14">
        <f ca="1">INDEX(INDIRECT($AF$6),
       MATCH(TRIM($S26), INDIRECT($AF$7), 0),
       MATCH(TRIM(W$13), INDIRECT($AF$8), 0))</f>
        <v>17</v>
      </c>
      <c r="X26" s="14" t="e">
        <f ca="1">INDEX(INDIRECT($AF$6),
       MATCH(TRIM($S26), INDIRECT($AF$7), 0),
       MATCH(TRIM(X$13), INDIRECT($AF$8), 0))</f>
        <v>#N/A</v>
      </c>
      <c r="Y26" s="14">
        <f ca="1">INDEX(INDIRECT($AF$6),
       MATCH(TRIM($S26), INDIRECT($AF$7), 0),
       MATCH(TRIM(Y$13), INDIRECT($AF$8), 0))</f>
        <v>70.787850187499998</v>
      </c>
      <c r="Z26" s="14">
        <f ca="1">INDEX(INDIRECT($AF$6),
       MATCH(TRIM($S26), INDIRECT($AF$7), 0),
       MATCH(TRIM(Z$13), INDIRECT($AF$8), 0))</f>
        <v>9</v>
      </c>
      <c r="AA26" s="14">
        <f ca="1">INDEX(INDIRECT($AF$6),
       MATCH(TRIM($S26), INDIRECT($AF$7), 0),
       MATCH(TRIM(AA$13), INDIRECT($AF$8), 0))</f>
        <v>11.204015650000001</v>
      </c>
      <c r="AB26" s="14">
        <f t="shared" ca="1" si="0"/>
        <v>339.16932117749997</v>
      </c>
    </row>
    <row r="27" spans="1:28" ht="29" x14ac:dyDescent="0.2">
      <c r="A27" s="26">
        <v>13</v>
      </c>
      <c r="B27" s="27" t="s">
        <v>19</v>
      </c>
      <c r="C27" s="28">
        <f ca="1">INDEX(INDIRECT($P$6),
       MATCH(TRIM($B27), INDIRECT($P$7), 0),
       MATCH(TRIM(C$14), INDIRECT($P$8), 0))</f>
        <v>69</v>
      </c>
      <c r="D27" s="28" t="e">
        <f ca="1">INDEX(INDIRECT($P$6),
       MATCH(TRIM($B27), INDIRECT($P$7), 0),
       MATCH(TRIM(D$14), INDIRECT($P$8), 0))</f>
        <v>#N/A</v>
      </c>
      <c r="E27" s="28">
        <f ca="1">INDEX(INDIRECT($P$6),
       MATCH(TRIM($B27), INDIRECT($P$7), 0),
       MATCH(TRIM(E$14), INDIRECT($P$8), 0))</f>
        <v>13.182506829999999</v>
      </c>
      <c r="F27" s="28">
        <f ca="1">INDEX(INDIRECT($P$6),
       MATCH(TRIM($B27), INDIRECT($P$7), 0),
       MATCH(TRIM(F$14), INDIRECT($P$8), 0))</f>
        <v>10</v>
      </c>
      <c r="G27" s="28" t="e">
        <f ca="1">INDEX(INDIRECT($P$6),
       MATCH(TRIM($B27), INDIRECT($P$7), 0),
       MATCH(TRIM(G$14), INDIRECT($P$8), 0))</f>
        <v>#N/A</v>
      </c>
      <c r="H27" s="28">
        <f ca="1">INDEX(INDIRECT($P$6),
       MATCH(TRIM($B27), INDIRECT($P$7), 0),
       MATCH(TRIM(H$14), INDIRECT($P$8), 0))</f>
        <v>18.764433656249999</v>
      </c>
      <c r="I27" s="28">
        <f ca="1">INDEX(INDIRECT($P$6),
       MATCH(TRIM($B27), INDIRECT($P$7), 0),
       MATCH(TRIM(I$14), INDIRECT($P$8), 0))</f>
        <v>32</v>
      </c>
      <c r="J27" s="28">
        <f ca="1">INDEX(INDIRECT($P$6),
       MATCH(TRIM($B27), INDIRECT($P$7), 0),
       MATCH(TRIM(J$14), INDIRECT($P$8), 0))</f>
        <v>15.563057580000002</v>
      </c>
      <c r="K27" s="28">
        <f t="shared" ca="1" si="1"/>
        <v>47.509998066250006</v>
      </c>
      <c r="L27" s="46"/>
      <c r="M27" s="46"/>
      <c r="R27">
        <v>14</v>
      </c>
      <c r="S27" t="s">
        <v>50</v>
      </c>
      <c r="T27" s="14">
        <f ca="1">INDEX(INDIRECT($AF$6),
       MATCH(TRIM($S27), INDIRECT($AF$7), 0),
       MATCH(TRIM(T$13), INDIRECT($AF$8), 0))</f>
        <v>29</v>
      </c>
      <c r="U27" s="14" t="e">
        <f ca="1">INDEX(INDIRECT($AF$6),
       MATCH(TRIM($S27), INDIRECT($AF$7), 0),
       MATCH(TRIM(U$13), INDIRECT($AF$8), 0))</f>
        <v>#N/A</v>
      </c>
      <c r="V27" s="14">
        <f ca="1">INDEX(INDIRECT($AF$6),
       MATCH(TRIM($S27), INDIRECT($AF$7), 0),
       MATCH(TRIM(V$13), INDIRECT($AF$8), 0))</f>
        <v>282.04234300000002</v>
      </c>
      <c r="W27" s="14">
        <f ca="1">INDEX(INDIRECT($AF$6),
       MATCH(TRIM($S27), INDIRECT($AF$7), 0),
       MATCH(TRIM(W$13), INDIRECT($AF$8), 0))</f>
        <v>8</v>
      </c>
      <c r="X27" s="14" t="e">
        <f ca="1">INDEX(INDIRECT($AF$6),
       MATCH(TRIM($S27), INDIRECT($AF$7), 0),
       MATCH(TRIM(X$13), INDIRECT($AF$8), 0))</f>
        <v>#N/A</v>
      </c>
      <c r="Y27" s="14">
        <f ca="1">INDEX(INDIRECT($AF$6),
       MATCH(TRIM($S27), INDIRECT($AF$7), 0),
       MATCH(TRIM(Y$13), INDIRECT($AF$8), 0))</f>
        <v>19.416948000000001</v>
      </c>
      <c r="Z27" s="14">
        <f ca="1">INDEX(INDIRECT($AF$6),
       MATCH(TRIM($S27), INDIRECT($AF$7), 0),
       MATCH(TRIM(Z$13), INDIRECT($AF$8), 0))</f>
        <v>6</v>
      </c>
      <c r="AA27" s="14">
        <f ca="1">INDEX(INDIRECT($AF$6),
       MATCH(TRIM($S27), INDIRECT($AF$7), 0),
       MATCH(TRIM(AA$13), INDIRECT($AF$8), 0))</f>
        <v>1.2142913200000001</v>
      </c>
      <c r="AB27" s="14">
        <f t="shared" ca="1" si="0"/>
        <v>302.67358231999998</v>
      </c>
    </row>
    <row r="28" spans="1:28" ht="43" x14ac:dyDescent="0.2">
      <c r="A28" s="26">
        <v>14</v>
      </c>
      <c r="B28" s="27" t="s">
        <v>20</v>
      </c>
      <c r="C28" s="28">
        <f ca="1">INDEX(INDIRECT($P$6),
       MATCH(TRIM($B28), INDIRECT($P$7), 0),
       MATCH(TRIM(C$14), INDIRECT($P$8), 0))</f>
        <v>3</v>
      </c>
      <c r="D28" s="28" t="e">
        <f ca="1">INDEX(INDIRECT($P$6),
       MATCH(TRIM($B28), INDIRECT($P$7), 0),
       MATCH(TRIM(D$14), INDIRECT($P$8), 0))</f>
        <v>#N/A</v>
      </c>
      <c r="E28" s="28">
        <f ca="1">INDEX(INDIRECT($P$6),
       MATCH(TRIM($B28), INDIRECT($P$7), 0),
       MATCH(TRIM(E$14), INDIRECT($P$8), 0))</f>
        <v>115.750417</v>
      </c>
      <c r="F28" s="28">
        <f ca="1">INDEX(INDIRECT($P$6),
       MATCH(TRIM($B28), INDIRECT($P$7), 0),
       MATCH(TRIM(F$14), INDIRECT($P$8), 0))</f>
        <v>0</v>
      </c>
      <c r="G28" s="28" t="e">
        <f ca="1">INDEX(INDIRECT($P$6),
       MATCH(TRIM($B28), INDIRECT($P$7), 0),
       MATCH(TRIM(G$14), INDIRECT($P$8), 0))</f>
        <v>#N/A</v>
      </c>
      <c r="H28" s="28">
        <f ca="1">INDEX(INDIRECT($P$6),
       MATCH(TRIM($B28), INDIRECT($P$7), 0),
       MATCH(TRIM(H$14), INDIRECT($P$8), 0))</f>
        <v>0</v>
      </c>
      <c r="I28" s="28">
        <f ca="1">INDEX(INDIRECT($P$6),
       MATCH(TRIM($B28), INDIRECT($P$7), 0),
       MATCH(TRIM(I$14), INDIRECT($P$8), 0))</f>
        <v>3</v>
      </c>
      <c r="J28" s="28">
        <f ca="1">INDEX(INDIRECT($P$6),
       MATCH(TRIM($B28), INDIRECT($P$7), 0),
       MATCH(TRIM(J$14), INDIRECT($P$8), 0))</f>
        <v>0.42789474999999999</v>
      </c>
      <c r="K28" s="28">
        <f t="shared" ca="1" si="1"/>
        <v>116.17831174999999</v>
      </c>
      <c r="L28" s="46"/>
      <c r="M28" s="46"/>
      <c r="R28">
        <v>15</v>
      </c>
      <c r="S28" t="s">
        <v>69</v>
      </c>
      <c r="T28" s="14">
        <f ca="1">INDEX(INDIRECT($AF$6),
       MATCH(TRIM($S28), INDIRECT($AF$7), 0),
       MATCH(TRIM(T$13), INDIRECT($AF$8), 0))</f>
        <v>104</v>
      </c>
      <c r="U28" s="14" t="e">
        <f ca="1">INDEX(INDIRECT($AF$6),
       MATCH(TRIM($S28), INDIRECT($AF$7), 0),
       MATCH(TRIM(U$13), INDIRECT($AF$8), 0))</f>
        <v>#N/A</v>
      </c>
      <c r="V28" s="14">
        <f ca="1">INDEX(INDIRECT($AF$6),
       MATCH(TRIM($S28), INDIRECT($AF$7), 0),
       MATCH(TRIM(V$13), INDIRECT($AF$8), 0))</f>
        <v>151.19409156</v>
      </c>
      <c r="W28" s="14">
        <f ca="1">INDEX(INDIRECT($AF$6),
       MATCH(TRIM($S28), INDIRECT($AF$7), 0),
       MATCH(TRIM(W$13), INDIRECT($AF$8), 0))</f>
        <v>43</v>
      </c>
      <c r="X28" s="14" t="e">
        <f ca="1">INDEX(INDIRECT($AF$6),
       MATCH(TRIM($S28), INDIRECT($AF$7), 0),
       MATCH(TRIM(X$13), INDIRECT($AF$8), 0))</f>
        <v>#N/A</v>
      </c>
      <c r="Y28" s="14">
        <f ca="1">INDEX(INDIRECT($AF$6),
       MATCH(TRIM($S28), INDIRECT($AF$7), 0),
       MATCH(TRIM(Y$13), INDIRECT($AF$8), 0))</f>
        <v>20.301149310546876</v>
      </c>
      <c r="Z28" s="14">
        <f ca="1">INDEX(INDIRECT($AF$6),
       MATCH(TRIM($S28), INDIRECT($AF$7), 0),
       MATCH(TRIM(Z$13), INDIRECT($AF$8), 0))</f>
        <v>35</v>
      </c>
      <c r="AA28" s="14">
        <f ca="1">INDEX(INDIRECT($AF$6),
       MATCH(TRIM($S28), INDIRECT($AF$7), 0),
       MATCH(TRIM(AA$13), INDIRECT($AF$8), 0))</f>
        <v>10.666547449999999</v>
      </c>
      <c r="AB28" s="14">
        <f t="shared" ca="1" si="0"/>
        <v>182.16178832054686</v>
      </c>
    </row>
    <row r="29" spans="1:28" ht="43" x14ac:dyDescent="0.2">
      <c r="A29" s="26">
        <v>15</v>
      </c>
      <c r="B29" s="27" t="s">
        <v>21</v>
      </c>
      <c r="C29" s="28">
        <f ca="1">INDEX(INDIRECT($P$6),
       MATCH(TRIM($B29), INDIRECT($P$7), 0),
       MATCH(TRIM(C$14), INDIRECT($P$8), 0))</f>
        <v>4</v>
      </c>
      <c r="D29" s="28" t="e">
        <f ca="1">INDEX(INDIRECT($P$6),
       MATCH(TRIM($B29), INDIRECT($P$7), 0),
       MATCH(TRIM(D$14), INDIRECT($P$8), 0))</f>
        <v>#N/A</v>
      </c>
      <c r="E29" s="28">
        <f ca="1">INDEX(INDIRECT($P$6),
       MATCH(TRIM($B29), INDIRECT($P$7), 0),
       MATCH(TRIM(E$14), INDIRECT($P$8), 0))</f>
        <v>7.05</v>
      </c>
      <c r="F29" s="28">
        <f ca="1">INDEX(INDIRECT($P$6),
       MATCH(TRIM($B29), INDIRECT($P$7), 0),
       MATCH(TRIM(F$14), INDIRECT($P$8), 0))</f>
        <v>6</v>
      </c>
      <c r="G29" s="28" t="e">
        <f ca="1">INDEX(INDIRECT($P$6),
       MATCH(TRIM($B29), INDIRECT($P$7), 0),
       MATCH(TRIM(G$14), INDIRECT($P$8), 0))</f>
        <v>#N/A</v>
      </c>
      <c r="H29" s="28">
        <f ca="1">INDEX(INDIRECT($P$6),
       MATCH(TRIM($B29), INDIRECT($P$7), 0),
       MATCH(TRIM(H$14), INDIRECT($P$8), 0))</f>
        <v>8.0470070000000007</v>
      </c>
      <c r="I29" s="28">
        <f ca="1">INDEX(INDIRECT($P$6),
       MATCH(TRIM($B29), INDIRECT($P$7), 0),
       MATCH(TRIM(I$14), INDIRECT($P$8), 0))</f>
        <v>11</v>
      </c>
      <c r="J29" s="28">
        <f ca="1">INDEX(INDIRECT($P$6),
       MATCH(TRIM($B29), INDIRECT($P$7), 0),
       MATCH(TRIM(J$14), INDIRECT($P$8), 0))</f>
        <v>347.29642608</v>
      </c>
      <c r="K29" s="28">
        <f t="shared" ca="1" si="1"/>
        <v>362.39343308000002</v>
      </c>
      <c r="L29" s="46"/>
      <c r="M29" s="46"/>
      <c r="R29">
        <v>16</v>
      </c>
      <c r="S29" t="s">
        <v>52</v>
      </c>
      <c r="T29" s="14">
        <f ca="1">INDEX(INDIRECT($AF$6),
       MATCH(TRIM($S29), INDIRECT($AF$7), 0),
       MATCH(TRIM(T$13), INDIRECT($AF$8), 0))</f>
        <v>50</v>
      </c>
      <c r="U29" s="14" t="e">
        <f ca="1">INDEX(INDIRECT($AF$6),
       MATCH(TRIM($S29), INDIRECT($AF$7), 0),
       MATCH(TRIM(U$13), INDIRECT($AF$8), 0))</f>
        <v>#N/A</v>
      </c>
      <c r="V29" s="14">
        <f ca="1">INDEX(INDIRECT($AF$6),
       MATCH(TRIM($S29), INDIRECT($AF$7), 0),
       MATCH(TRIM(V$13), INDIRECT($AF$8), 0))</f>
        <v>651.710735</v>
      </c>
      <c r="W29" s="14">
        <f ca="1">INDEX(INDIRECT($AF$6),
       MATCH(TRIM($S29), INDIRECT($AF$7), 0),
       MATCH(TRIM(W$13), INDIRECT($AF$8), 0))</f>
        <v>48</v>
      </c>
      <c r="X29" s="14" t="e">
        <f ca="1">INDEX(INDIRECT($AF$6),
       MATCH(TRIM($S29), INDIRECT($AF$7), 0),
       MATCH(TRIM(X$13), INDIRECT($AF$8), 0))</f>
        <v>#N/A</v>
      </c>
      <c r="Y29" s="14">
        <f ca="1">INDEX(INDIRECT($AF$6),
       MATCH(TRIM($S29), INDIRECT($AF$7), 0),
       MATCH(TRIM(Y$13), INDIRECT($AF$8), 0))</f>
        <v>258.05543112499998</v>
      </c>
      <c r="Z29" s="14">
        <f ca="1">INDEX(INDIRECT($AF$6),
       MATCH(TRIM($S29), INDIRECT($AF$7), 0),
       MATCH(TRIM(Z$13), INDIRECT($AF$8), 0))</f>
        <v>24</v>
      </c>
      <c r="AA29" s="14">
        <f ca="1">INDEX(INDIRECT($AF$6),
       MATCH(TRIM($S29), INDIRECT($AF$7), 0),
       MATCH(TRIM(AA$13), INDIRECT($AF$8), 0))</f>
        <v>18.769365310000001</v>
      </c>
      <c r="AB29" s="14">
        <f t="shared" ca="1" si="0"/>
        <v>928.53553143499994</v>
      </c>
    </row>
    <row r="30" spans="1:28" ht="29" x14ac:dyDescent="0.2">
      <c r="A30" s="26">
        <v>16</v>
      </c>
      <c r="B30" s="27" t="s">
        <v>22</v>
      </c>
      <c r="C30" s="28">
        <f ca="1">INDEX(INDIRECT($P$6),
       MATCH(TRIM($B30), INDIRECT($P$7), 0),
       MATCH(TRIM(C$14), INDIRECT($P$8), 0))</f>
        <v>0</v>
      </c>
      <c r="D30" s="28" t="e">
        <f ca="1">INDEX(INDIRECT($P$6),
       MATCH(TRIM($B30), INDIRECT($P$7), 0),
       MATCH(TRIM(D$14), INDIRECT($P$8), 0))</f>
        <v>#N/A</v>
      </c>
      <c r="E30" s="28">
        <f ca="1">INDEX(INDIRECT($P$6),
       MATCH(TRIM($B30), INDIRECT($P$7), 0),
       MATCH(TRIM(E$14), INDIRECT($P$8), 0))</f>
        <v>0</v>
      </c>
      <c r="F30" s="28">
        <f ca="1">INDEX(INDIRECT($P$6),
       MATCH(TRIM($B30), INDIRECT($P$7), 0),
       MATCH(TRIM(F$14), INDIRECT($P$8), 0))</f>
        <v>0</v>
      </c>
      <c r="G30" s="28" t="e">
        <f ca="1">INDEX(INDIRECT($P$6),
       MATCH(TRIM($B30), INDIRECT($P$7), 0),
       MATCH(TRIM(G$14), INDIRECT($P$8), 0))</f>
        <v>#N/A</v>
      </c>
      <c r="H30" s="28">
        <f ca="1">INDEX(INDIRECT($P$6),
       MATCH(TRIM($B30), INDIRECT($P$7), 0),
       MATCH(TRIM(H$14), INDIRECT($P$8), 0))</f>
        <v>0</v>
      </c>
      <c r="I30" s="28">
        <f ca="1">INDEX(INDIRECT($P$6),
       MATCH(TRIM($B30), INDIRECT($P$7), 0),
       MATCH(TRIM(I$14), INDIRECT($P$8), 0))</f>
        <v>3</v>
      </c>
      <c r="J30" s="28">
        <f ca="1">INDEX(INDIRECT($P$6),
       MATCH(TRIM($B30), INDIRECT($P$7), 0),
       MATCH(TRIM(J$14), INDIRECT($P$8), 0))</f>
        <v>1.02872326</v>
      </c>
      <c r="K30" s="28">
        <f t="shared" ca="1" si="1"/>
        <v>1.02872326</v>
      </c>
      <c r="L30" s="46"/>
      <c r="M30" s="46"/>
      <c r="R30">
        <v>17</v>
      </c>
      <c r="S30" t="s">
        <v>53</v>
      </c>
      <c r="T30" s="14">
        <f ca="1">INDEX(INDIRECT($AF$6),
       MATCH(TRIM($S30), INDIRECT($AF$7), 0),
       MATCH(TRIM(T$13), INDIRECT($AF$8), 0))</f>
        <v>50</v>
      </c>
      <c r="U30" s="14" t="e">
        <f ca="1">INDEX(INDIRECT($AF$6),
       MATCH(TRIM($S30), INDIRECT($AF$7), 0),
       MATCH(TRIM(U$13), INDIRECT($AF$8), 0))</f>
        <v>#N/A</v>
      </c>
      <c r="V30" s="14">
        <f ca="1">INDEX(INDIRECT($AF$6),
       MATCH(TRIM($S30), INDIRECT($AF$7), 0),
       MATCH(TRIM(V$13), INDIRECT($AF$8), 0))</f>
        <v>747.87381839999978</v>
      </c>
      <c r="W30" s="14">
        <f ca="1">INDEX(INDIRECT($AF$6),
       MATCH(TRIM($S30), INDIRECT($AF$7), 0),
       MATCH(TRIM(W$13), INDIRECT($AF$8), 0))</f>
        <v>38</v>
      </c>
      <c r="X30" s="14" t="e">
        <f ca="1">INDEX(INDIRECT($AF$6),
       MATCH(TRIM($S30), INDIRECT($AF$7), 0),
       MATCH(TRIM(X$13), INDIRECT($AF$8), 0))</f>
        <v>#N/A</v>
      </c>
      <c r="Y30" s="14">
        <f ca="1">INDEX(INDIRECT($AF$6),
       MATCH(TRIM($S30), INDIRECT($AF$7), 0),
       MATCH(TRIM(Y$13), INDIRECT($AF$8), 0))</f>
        <v>6.9606372500000004</v>
      </c>
      <c r="Z30" s="14">
        <f ca="1">INDEX(INDIRECT($AF$6),
       MATCH(TRIM($S30), INDIRECT($AF$7), 0),
       MATCH(TRIM(Z$13), INDIRECT($AF$8), 0))</f>
        <v>6</v>
      </c>
      <c r="AA30" s="14">
        <f ca="1">INDEX(INDIRECT($AF$6),
       MATCH(TRIM($S30), INDIRECT($AF$7), 0),
       MATCH(TRIM(AA$13), INDIRECT($AF$8), 0))</f>
        <v>2.7422609100000002</v>
      </c>
      <c r="AB30" s="14">
        <f t="shared" ca="1" si="0"/>
        <v>757.5767165599998</v>
      </c>
    </row>
    <row r="31" spans="1:28" ht="43" x14ac:dyDescent="0.2">
      <c r="A31" s="26">
        <v>17</v>
      </c>
      <c r="B31" s="27" t="s">
        <v>23</v>
      </c>
      <c r="C31" s="28">
        <f ca="1">INDEX(INDIRECT($P$6),
       MATCH(TRIM($B31), INDIRECT($P$7), 0),
       MATCH(TRIM(C$14), INDIRECT($P$8), 0))</f>
        <v>5</v>
      </c>
      <c r="D31" s="28" t="e">
        <f ca="1">INDEX(INDIRECT($P$6),
       MATCH(TRIM($B31), INDIRECT($P$7), 0),
       MATCH(TRIM(D$14), INDIRECT($P$8), 0))</f>
        <v>#N/A</v>
      </c>
      <c r="E31" s="28">
        <f ca="1">INDEX(INDIRECT($P$6),
       MATCH(TRIM($B31), INDIRECT($P$7), 0),
       MATCH(TRIM(E$14), INDIRECT($P$8), 0))</f>
        <v>7.3857106699999999</v>
      </c>
      <c r="F31" s="28">
        <f ca="1">INDEX(INDIRECT($P$6),
       MATCH(TRIM($B31), INDIRECT($P$7), 0),
       MATCH(TRIM(F$14), INDIRECT($P$8), 0))</f>
        <v>0</v>
      </c>
      <c r="G31" s="28" t="e">
        <f ca="1">INDEX(INDIRECT($P$6),
       MATCH(TRIM($B31), INDIRECT($P$7), 0),
       MATCH(TRIM(G$14), INDIRECT($P$8), 0))</f>
        <v>#N/A</v>
      </c>
      <c r="H31" s="28">
        <f ca="1">INDEX(INDIRECT($P$6),
       MATCH(TRIM($B31), INDIRECT($P$7), 0),
       MATCH(TRIM(H$14), INDIRECT($P$8), 0))</f>
        <v>0</v>
      </c>
      <c r="I31" s="28">
        <f ca="1">INDEX(INDIRECT($P$6),
       MATCH(TRIM($B31), INDIRECT($P$7), 0),
       MATCH(TRIM(I$14), INDIRECT($P$8), 0))</f>
        <v>10</v>
      </c>
      <c r="J31" s="28">
        <f ca="1">INDEX(INDIRECT($P$6),
       MATCH(TRIM($B31), INDIRECT($P$7), 0),
       MATCH(TRIM(J$14), INDIRECT($P$8), 0))</f>
        <v>6.2367834999999996</v>
      </c>
      <c r="K31" s="28">
        <f t="shared" ca="1" si="1"/>
        <v>13.62249417</v>
      </c>
      <c r="L31" s="46"/>
      <c r="M31" s="46"/>
      <c r="R31">
        <v>18</v>
      </c>
      <c r="S31" t="s">
        <v>63</v>
      </c>
      <c r="T31" s="14">
        <f ca="1">INDEX(INDIRECT($AF$6),
       MATCH(TRIM($S31), INDIRECT($AF$7), 0),
       MATCH(TRIM(T$13), INDIRECT($AF$8), 0))</f>
        <v>6</v>
      </c>
      <c r="U31" s="14" t="e">
        <f ca="1">INDEX(INDIRECT($AF$6),
       MATCH(TRIM($S31), INDIRECT($AF$7), 0),
       MATCH(TRIM(U$13), INDIRECT($AF$8), 0))</f>
        <v>#N/A</v>
      </c>
      <c r="V31" s="14">
        <f ca="1">INDEX(INDIRECT($AF$6),
       MATCH(TRIM($S31), INDIRECT($AF$7), 0),
       MATCH(TRIM(V$13), INDIRECT($AF$8), 0))</f>
        <v>15.235497000000001</v>
      </c>
      <c r="W31" s="14">
        <f ca="1">INDEX(INDIRECT($AF$6),
       MATCH(TRIM($S31), INDIRECT($AF$7), 0),
       MATCH(TRIM(W$13), INDIRECT($AF$8), 0))</f>
        <v>3</v>
      </c>
      <c r="X31" s="14" t="e">
        <f ca="1">INDEX(INDIRECT($AF$6),
       MATCH(TRIM($S31), INDIRECT($AF$7), 0),
       MATCH(TRIM(X$13), INDIRECT($AF$8), 0))</f>
        <v>#N/A</v>
      </c>
      <c r="Y31" s="14">
        <f ca="1">INDEX(INDIRECT($AF$6),
       MATCH(TRIM($S31), INDIRECT($AF$7), 0),
       MATCH(TRIM(Y$13), INDIRECT($AF$8), 0))</f>
        <v>20.204751999999999</v>
      </c>
      <c r="Z31" s="14">
        <f ca="1">INDEX(INDIRECT($AF$6),
       MATCH(TRIM($S31), INDIRECT($AF$7), 0),
       MATCH(TRIM(Z$13), INDIRECT($AF$8), 0))</f>
        <v>2</v>
      </c>
      <c r="AA31" s="14">
        <f ca="1">INDEX(INDIRECT($AF$6),
       MATCH(TRIM($S31), INDIRECT($AF$7), 0),
       MATCH(TRIM(AA$13), INDIRECT($AF$8), 0))</f>
        <v>9.6236940000000007E-2</v>
      </c>
      <c r="AB31" s="14">
        <f t="shared" ca="1" si="0"/>
        <v>35.536485939999999</v>
      </c>
    </row>
    <row r="32" spans="1:28" ht="57" x14ac:dyDescent="0.2">
      <c r="A32" s="26">
        <v>18</v>
      </c>
      <c r="B32" s="27" t="s">
        <v>24</v>
      </c>
      <c r="C32" s="28">
        <f ca="1">INDEX(INDIRECT($P$6),
       MATCH(TRIM($B32), INDIRECT($P$7), 0),
       MATCH(TRIM(C$14), INDIRECT($P$8), 0))</f>
        <v>11</v>
      </c>
      <c r="D32" s="28" t="e">
        <f ca="1">INDEX(INDIRECT($P$6),
       MATCH(TRIM($B32), INDIRECT($P$7), 0),
       MATCH(TRIM(D$14), INDIRECT($P$8), 0))</f>
        <v>#N/A</v>
      </c>
      <c r="E32" s="28">
        <f ca="1">INDEX(INDIRECT($P$6),
       MATCH(TRIM($B32), INDIRECT($P$7), 0),
       MATCH(TRIM(E$14), INDIRECT($P$8), 0))</f>
        <v>7.5795750000000002</v>
      </c>
      <c r="F32" s="28">
        <f ca="1">INDEX(INDIRECT($P$6),
       MATCH(TRIM($B32), INDIRECT($P$7), 0),
       MATCH(TRIM(F$14), INDIRECT($P$8), 0))</f>
        <v>0</v>
      </c>
      <c r="G32" s="28" t="e">
        <f ca="1">INDEX(INDIRECT($P$6),
       MATCH(TRIM($B32), INDIRECT($P$7), 0),
       MATCH(TRIM(G$14), INDIRECT($P$8), 0))</f>
        <v>#N/A</v>
      </c>
      <c r="H32" s="28">
        <f ca="1">INDEX(INDIRECT($P$6),
       MATCH(TRIM($B32), INDIRECT($P$7), 0),
       MATCH(TRIM(H$14), INDIRECT($P$8), 0))</f>
        <v>0</v>
      </c>
      <c r="I32" s="28">
        <f ca="1">INDEX(INDIRECT($P$6),
       MATCH(TRIM($B32), INDIRECT($P$7), 0),
       MATCH(TRIM(I$14), INDIRECT($P$8), 0))</f>
        <v>22</v>
      </c>
      <c r="J32" s="28">
        <f ca="1">INDEX(INDIRECT($P$6),
       MATCH(TRIM($B32), INDIRECT($P$7), 0),
       MATCH(TRIM(J$14), INDIRECT($P$8), 0))</f>
        <v>1548.30815325</v>
      </c>
      <c r="K32" s="28">
        <f t="shared" ca="1" si="1"/>
        <v>1555.88772825</v>
      </c>
      <c r="L32" s="46"/>
      <c r="M32" s="46"/>
      <c r="R32">
        <v>19</v>
      </c>
      <c r="S32" t="s">
        <v>70</v>
      </c>
      <c r="T32" s="14">
        <f ca="1">INDEX(INDIRECT($AF$6),
       MATCH(TRIM($S32), INDIRECT($AF$7), 0),
       MATCH(TRIM(T$13), INDIRECT($AF$8), 0))</f>
        <v>19</v>
      </c>
      <c r="U32" s="14" t="e">
        <f ca="1">INDEX(INDIRECT($AF$6),
       MATCH(TRIM($S32), INDIRECT($AF$7), 0),
       MATCH(TRIM(U$13), INDIRECT($AF$8), 0))</f>
        <v>#N/A</v>
      </c>
      <c r="V32" s="14">
        <f ca="1">INDEX(INDIRECT($AF$6),
       MATCH(TRIM($S32), INDIRECT($AF$7), 0),
       MATCH(TRIM(V$13), INDIRECT($AF$8), 0))</f>
        <v>254.31640300000001</v>
      </c>
      <c r="W32" s="14">
        <f ca="1">INDEX(INDIRECT($AF$6),
       MATCH(TRIM($S32), INDIRECT($AF$7), 0),
       MATCH(TRIM(W$13), INDIRECT($AF$8), 0))</f>
        <v>2</v>
      </c>
      <c r="X32" s="14" t="e">
        <f ca="1">INDEX(INDIRECT($AF$6),
       MATCH(TRIM($S32), INDIRECT($AF$7), 0),
       MATCH(TRIM(X$13), INDIRECT($AF$8), 0))</f>
        <v>#N/A</v>
      </c>
      <c r="Y32" s="14">
        <f ca="1">INDEX(INDIRECT($AF$6),
       MATCH(TRIM($S32), INDIRECT($AF$7), 0),
       MATCH(TRIM(Y$13), INDIRECT($AF$8), 0))</f>
        <v>47.1</v>
      </c>
      <c r="Z32" s="14">
        <f ca="1">INDEX(INDIRECT($AF$6),
       MATCH(TRIM($S32), INDIRECT($AF$7), 0),
       MATCH(TRIM(Z$13), INDIRECT($AF$8), 0))</f>
        <v>9</v>
      </c>
      <c r="AA32" s="14">
        <f ca="1">INDEX(INDIRECT($AF$6),
       MATCH(TRIM($S32), INDIRECT($AF$7), 0),
       MATCH(TRIM(AA$13), INDIRECT($AF$8), 0))</f>
        <v>12.44274356</v>
      </c>
      <c r="AB32" s="14">
        <f t="shared" ca="1" si="0"/>
        <v>313.85914656</v>
      </c>
    </row>
    <row r="33" spans="1:28" ht="85" x14ac:dyDescent="0.2">
      <c r="A33" s="26">
        <v>19</v>
      </c>
      <c r="B33" s="27" t="s">
        <v>25</v>
      </c>
      <c r="C33" s="28" t="e">
        <f ca="1">INDEX(INDIRECT($P$6),
       MATCH(TRIM($B33), INDIRECT($P$7), 0),
       MATCH(TRIM(C$14), INDIRECT($P$8), 0))</f>
        <v>#N/A</v>
      </c>
      <c r="D33" s="28" t="e">
        <f ca="1">INDEX(INDIRECT($P$6),
       MATCH(TRIM($B33), INDIRECT($P$7), 0),
       MATCH(TRIM(D$14), INDIRECT($P$8), 0))</f>
        <v>#N/A</v>
      </c>
      <c r="E33" s="28" t="e">
        <f ca="1">INDEX(INDIRECT($P$6),
       MATCH(TRIM($B33), INDIRECT($P$7), 0),
       MATCH(TRIM(E$14), INDIRECT($P$8), 0))</f>
        <v>#N/A</v>
      </c>
      <c r="F33" s="28" t="e">
        <f ca="1">INDEX(INDIRECT($P$6),
       MATCH(TRIM($B33), INDIRECT($P$7), 0),
       MATCH(TRIM(F$14), INDIRECT($P$8), 0))</f>
        <v>#N/A</v>
      </c>
      <c r="G33" s="28" t="e">
        <f ca="1">INDEX(INDIRECT($P$6),
       MATCH(TRIM($B33), INDIRECT($P$7), 0),
       MATCH(TRIM(G$14), INDIRECT($P$8), 0))</f>
        <v>#N/A</v>
      </c>
      <c r="H33" s="28" t="e">
        <f ca="1">INDEX(INDIRECT($P$6),
       MATCH(TRIM($B33), INDIRECT($P$7), 0),
       MATCH(TRIM(H$14), INDIRECT($P$8), 0))</f>
        <v>#N/A</v>
      </c>
      <c r="I33" s="28" t="e">
        <f ca="1">INDEX(INDIRECT($P$6),
       MATCH(TRIM($B33), INDIRECT($P$7), 0),
       MATCH(TRIM(I$14), INDIRECT($P$8), 0))</f>
        <v>#N/A</v>
      </c>
      <c r="J33" s="28" t="e">
        <f ca="1">INDEX(INDIRECT($P$6),
       MATCH(TRIM($B33), INDIRECT($P$7), 0),
       MATCH(TRIM(J$14), INDIRECT($P$8), 0))</f>
        <v>#N/A</v>
      </c>
      <c r="K33" s="28" t="e">
        <f t="shared" ca="1" si="1"/>
        <v>#N/A</v>
      </c>
      <c r="L33" s="47"/>
      <c r="M33" s="47"/>
      <c r="R33">
        <v>20</v>
      </c>
      <c r="S33" t="s">
        <v>61</v>
      </c>
      <c r="T33" s="14">
        <f ca="1">INDEX(INDIRECT($AF$6),
       MATCH(TRIM($S33), INDIRECT($AF$7), 0),
       MATCH(TRIM(T$13), INDIRECT($AF$8), 0))</f>
        <v>8</v>
      </c>
      <c r="U33" s="14" t="e">
        <f ca="1">INDEX(INDIRECT($AF$6),
       MATCH(TRIM($S33), INDIRECT($AF$7), 0),
       MATCH(TRIM(U$13), INDIRECT($AF$8), 0))</f>
        <v>#N/A</v>
      </c>
      <c r="V33" s="14">
        <f ca="1">INDEX(INDIRECT($AF$6),
       MATCH(TRIM($S33), INDIRECT($AF$7), 0),
       MATCH(TRIM(V$13), INDIRECT($AF$8), 0))</f>
        <v>53.892806999999998</v>
      </c>
      <c r="W33" s="14">
        <f ca="1">INDEX(INDIRECT($AF$6),
       MATCH(TRIM($S33), INDIRECT($AF$7), 0),
       MATCH(TRIM(W$13), INDIRECT($AF$8), 0))</f>
        <v>15</v>
      </c>
      <c r="X33" s="14" t="e">
        <f ca="1">INDEX(INDIRECT($AF$6),
       MATCH(TRIM($S33), INDIRECT($AF$7), 0),
       MATCH(TRIM(X$13), INDIRECT($AF$8), 0))</f>
        <v>#N/A</v>
      </c>
      <c r="Y33" s="14">
        <f ca="1">INDEX(INDIRECT($AF$6),
       MATCH(TRIM($S33), INDIRECT($AF$7), 0),
       MATCH(TRIM(Y$13), INDIRECT($AF$8), 0))</f>
        <v>186.370566</v>
      </c>
      <c r="Z33" s="14">
        <f ca="1">INDEX(INDIRECT($AF$6),
       MATCH(TRIM($S33), INDIRECT($AF$7), 0),
       MATCH(TRIM(Z$13), INDIRECT($AF$8), 0))</f>
        <v>3</v>
      </c>
      <c r="AA33" s="14">
        <f ca="1">INDEX(INDIRECT($AF$6),
       MATCH(TRIM($S33), INDIRECT($AF$7), 0),
       MATCH(TRIM(AA$13), INDIRECT($AF$8), 0))</f>
        <v>51.282133120000005</v>
      </c>
      <c r="AB33" s="14">
        <f t="shared" ca="1" si="0"/>
        <v>291.54550612000003</v>
      </c>
    </row>
    <row r="34" spans="1:28" ht="17" thickBot="1" x14ac:dyDescent="0.25">
      <c r="A34" s="34" t="s">
        <v>26</v>
      </c>
      <c r="B34" s="35"/>
      <c r="C34" s="31" cm="1">
        <f t="array" aca="1" ref="C34" ca="1">SUM(IFERROR(C15:C33,0))</f>
        <v>3188</v>
      </c>
      <c r="D34" s="31" cm="1">
        <f t="array" aca="1" ref="D34" ca="1">SUM(IFERROR(D15:D33,0))</f>
        <v>0</v>
      </c>
      <c r="E34" s="31" cm="1">
        <f t="array" aca="1" ref="E34" ca="1">SUM(IFERROR(E15:E33,0))</f>
        <v>20185.622680219996</v>
      </c>
      <c r="F34" s="31" cm="1">
        <f t="array" aca="1" ref="F34" ca="1">SUM(IFERROR(F15:F33,0))</f>
        <v>1262</v>
      </c>
      <c r="G34" s="31" cm="1">
        <f t="array" aca="1" ref="G34" ca="1">SUM(IFERROR(G15:G33,0))</f>
        <v>0</v>
      </c>
      <c r="H34" s="31" cm="1">
        <f t="array" aca="1" ref="H34" ca="1">SUM(IFERROR(H15:H33,0))</f>
        <v>7880.769548430847</v>
      </c>
      <c r="I34" s="31" cm="1">
        <f t="array" aca="1" ref="I34" ca="1">SUM(IFERROR(I15:I33,0))</f>
        <v>3451</v>
      </c>
      <c r="J34" s="31" cm="1">
        <f t="array" aca="1" ref="J34" ca="1">SUM(IFERROR(J15:J33,0))</f>
        <v>8541.2347161779762</v>
      </c>
      <c r="K34" s="31" cm="1">
        <f t="array" aca="1" ref="K34" ca="1">SUM(IFERROR(K15:K33,0))</f>
        <v>36607.626944828822</v>
      </c>
      <c r="R34">
        <v>21</v>
      </c>
      <c r="S34" t="s">
        <v>59</v>
      </c>
      <c r="T34" s="14">
        <f ca="1">INDEX(INDIRECT($AF$6),
       MATCH(TRIM($S34), INDIRECT($AF$7), 0),
       MATCH(TRIM(T$13), INDIRECT($AF$8), 0))</f>
        <v>10</v>
      </c>
      <c r="U34" s="14" t="e">
        <f ca="1">INDEX(INDIRECT($AF$6),
       MATCH(TRIM($S34), INDIRECT($AF$7), 0),
       MATCH(TRIM(U$13), INDIRECT($AF$8), 0))</f>
        <v>#N/A</v>
      </c>
      <c r="V34" s="14">
        <f ca="1">INDEX(INDIRECT($AF$6),
       MATCH(TRIM($S34), INDIRECT($AF$7), 0),
       MATCH(TRIM(V$13), INDIRECT($AF$8), 0))</f>
        <v>46.788626999999998</v>
      </c>
      <c r="W34" s="14">
        <f ca="1">INDEX(INDIRECT($AF$6),
       MATCH(TRIM($S34), INDIRECT($AF$7), 0),
       MATCH(TRIM(W$13), INDIRECT($AF$8), 0))</f>
        <v>1</v>
      </c>
      <c r="X34" s="14" t="e">
        <f ca="1">INDEX(INDIRECT($AF$6),
       MATCH(TRIM($S34), INDIRECT($AF$7), 0),
       MATCH(TRIM(X$13), INDIRECT($AF$8), 0))</f>
        <v>#N/A</v>
      </c>
      <c r="Y34" s="14">
        <f ca="1">INDEX(INDIRECT($AF$6),
       MATCH(TRIM($S34), INDIRECT($AF$7), 0),
       MATCH(TRIM(Y$13), INDIRECT($AF$8), 0))</f>
        <v>-2.3820000000000001</v>
      </c>
      <c r="Z34" s="14">
        <f ca="1">INDEX(INDIRECT($AF$6),
       MATCH(TRIM($S34), INDIRECT($AF$7), 0),
       MATCH(TRIM(Z$13), INDIRECT($AF$8), 0))</f>
        <v>7</v>
      </c>
      <c r="AA34" s="14">
        <f ca="1">INDEX(INDIRECT($AF$6),
       MATCH(TRIM($S34), INDIRECT($AF$7), 0),
       MATCH(TRIM(AA$13), INDIRECT($AF$8), 0))</f>
        <v>0.229572</v>
      </c>
      <c r="AB34" s="14">
        <f t="shared" ca="1" si="0"/>
        <v>44.636198999999998</v>
      </c>
    </row>
    <row r="35" spans="1:28" ht="17" thickTop="1" x14ac:dyDescent="0.2">
      <c r="R35">
        <v>22</v>
      </c>
      <c r="S35" t="s">
        <v>56</v>
      </c>
      <c r="T35" s="14">
        <f ca="1">INDEX(INDIRECT($AF$6),
       MATCH(TRIM($S35), INDIRECT($AF$7), 0),
       MATCH(TRIM(T$13), INDIRECT($AF$8), 0))</f>
        <v>19</v>
      </c>
      <c r="U35" s="14" t="e">
        <f ca="1">INDEX(INDIRECT($AF$6),
       MATCH(TRIM($S35), INDIRECT($AF$7), 0),
       MATCH(TRIM(U$13), INDIRECT($AF$8), 0))</f>
        <v>#N/A</v>
      </c>
      <c r="V35" s="14">
        <f ca="1">INDEX(INDIRECT($AF$6),
       MATCH(TRIM($S35), INDIRECT($AF$7), 0),
       MATCH(TRIM(V$13), INDIRECT($AF$8), 0))</f>
        <v>1326.933632</v>
      </c>
      <c r="W35" s="14">
        <f ca="1">INDEX(INDIRECT($AF$6),
       MATCH(TRIM($S35), INDIRECT($AF$7), 0),
       MATCH(TRIM(W$13), INDIRECT($AF$8), 0))</f>
        <v>11</v>
      </c>
      <c r="X35" s="14" t="e">
        <f ca="1">INDEX(INDIRECT($AF$6),
       MATCH(TRIM($S35), INDIRECT($AF$7), 0),
       MATCH(TRIM(X$13), INDIRECT($AF$8), 0))</f>
        <v>#N/A</v>
      </c>
      <c r="Y35" s="14">
        <f ca="1">INDEX(INDIRECT($AF$6),
       MATCH(TRIM($S35), INDIRECT($AF$7), 0),
       MATCH(TRIM(Y$13), INDIRECT($AF$8), 0))</f>
        <v>271.16996</v>
      </c>
      <c r="Z35" s="14">
        <f ca="1">INDEX(INDIRECT($AF$6),
       MATCH(TRIM($S35), INDIRECT($AF$7), 0),
       MATCH(TRIM(Z$13), INDIRECT($AF$8), 0))</f>
        <v>2</v>
      </c>
      <c r="AA35" s="14">
        <f ca="1">INDEX(INDIRECT($AF$6),
       MATCH(TRIM($S35), INDIRECT($AF$7), 0),
       MATCH(TRIM(AA$13), INDIRECT($AF$8), 0))</f>
        <v>5.1837758699999998</v>
      </c>
      <c r="AB35" s="14">
        <f t="shared" ca="1" si="0"/>
        <v>1603.28736787</v>
      </c>
    </row>
    <row r="36" spans="1:28" x14ac:dyDescent="0.2">
      <c r="R36">
        <v>23</v>
      </c>
      <c r="S36" t="s">
        <v>48</v>
      </c>
      <c r="T36" s="14">
        <f ca="1">INDEX(INDIRECT($AF$6),
       MATCH(TRIM($S36), INDIRECT($AF$7), 0),
       MATCH(TRIM(T$13), INDIRECT($AF$8), 0))</f>
        <v>26</v>
      </c>
      <c r="U36" s="14" t="e">
        <f ca="1">INDEX(INDIRECT($AF$6),
       MATCH(TRIM($S36), INDIRECT($AF$7), 0),
       MATCH(TRIM(U$13), INDIRECT($AF$8), 0))</f>
        <v>#N/A</v>
      </c>
      <c r="V36" s="14">
        <f ca="1">INDEX(INDIRECT($AF$6),
       MATCH(TRIM($S36), INDIRECT($AF$7), 0),
       MATCH(TRIM(V$13), INDIRECT($AF$8), 0))</f>
        <v>3103.9257200000002</v>
      </c>
      <c r="W36" s="14">
        <f ca="1">INDEX(INDIRECT($AF$6),
       MATCH(TRIM($S36), INDIRECT($AF$7), 0),
       MATCH(TRIM(W$13), INDIRECT($AF$8), 0))</f>
        <v>0</v>
      </c>
      <c r="X36" s="14" t="e">
        <f ca="1">INDEX(INDIRECT($AF$6),
       MATCH(TRIM($S36), INDIRECT($AF$7), 0),
       MATCH(TRIM(X$13), INDIRECT($AF$8), 0))</f>
        <v>#N/A</v>
      </c>
      <c r="Y36" s="14">
        <f ca="1">INDEX(INDIRECT($AF$6),
       MATCH(TRIM($S36), INDIRECT($AF$7), 0),
       MATCH(TRIM(Y$13), INDIRECT($AF$8), 0))</f>
        <v>0</v>
      </c>
      <c r="Z36" s="14">
        <f ca="1">INDEX(INDIRECT($AF$6),
       MATCH(TRIM($S36), INDIRECT($AF$7), 0),
       MATCH(TRIM(Z$13), INDIRECT($AF$8), 0))</f>
        <v>4</v>
      </c>
      <c r="AA36" s="14">
        <f ca="1">INDEX(INDIRECT($AF$6),
       MATCH(TRIM($S36), INDIRECT($AF$7), 0),
       MATCH(TRIM(AA$13), INDIRECT($AF$8), 0))</f>
        <v>6.6460889299999995</v>
      </c>
      <c r="AB36" s="14">
        <f t="shared" ca="1" si="0"/>
        <v>3110.5718089300003</v>
      </c>
    </row>
    <row r="37" spans="1:28" x14ac:dyDescent="0.2">
      <c r="R37">
        <v>24</v>
      </c>
      <c r="S37" t="s">
        <v>72</v>
      </c>
      <c r="T37" s="14">
        <f ca="1">INDEX(INDIRECT($AF$6),
       MATCH(TRIM($S37), INDIRECT($AF$7), 0),
       MATCH(TRIM(T$13), INDIRECT($AF$8), 0))</f>
        <v>3</v>
      </c>
      <c r="U37" s="14" t="e">
        <f ca="1">INDEX(INDIRECT($AF$6),
       MATCH(TRIM($S37), INDIRECT($AF$7), 0),
       MATCH(TRIM(U$13), INDIRECT($AF$8), 0))</f>
        <v>#N/A</v>
      </c>
      <c r="V37" s="14">
        <f ca="1">INDEX(INDIRECT($AF$6),
       MATCH(TRIM($S37), INDIRECT($AF$7), 0),
       MATCH(TRIM(V$13), INDIRECT($AF$8), 0))</f>
        <v>3.7327089999999998</v>
      </c>
      <c r="W37" s="14">
        <f ca="1">INDEX(INDIRECT($AF$6),
       MATCH(TRIM($S37), INDIRECT($AF$7), 0),
       MATCH(TRIM(W$13), INDIRECT($AF$8), 0))</f>
        <v>0</v>
      </c>
      <c r="X37" s="14" t="e">
        <f ca="1">INDEX(INDIRECT($AF$6),
       MATCH(TRIM($S37), INDIRECT($AF$7), 0),
       MATCH(TRIM(X$13), INDIRECT($AF$8), 0))</f>
        <v>#N/A</v>
      </c>
      <c r="Y37" s="14">
        <f ca="1">INDEX(INDIRECT($AF$6),
       MATCH(TRIM($S37), INDIRECT($AF$7), 0),
       MATCH(TRIM(Y$13), INDIRECT($AF$8), 0))</f>
        <v>0</v>
      </c>
      <c r="Z37" s="14">
        <f ca="1">INDEX(INDIRECT($AF$6),
       MATCH(TRIM($S37), INDIRECT($AF$7), 0),
       MATCH(TRIM(Z$13), INDIRECT($AF$8), 0))</f>
        <v>1</v>
      </c>
      <c r="AA37" s="14">
        <f ca="1">INDEX(INDIRECT($AF$6),
       MATCH(TRIM($S37), INDIRECT($AF$7), 0),
       MATCH(TRIM(AA$13), INDIRECT($AF$8), 0))</f>
        <v>0.20907379999999998</v>
      </c>
      <c r="AB37" s="14">
        <f t="shared" ca="1" si="0"/>
        <v>3.9417827999999999</v>
      </c>
    </row>
    <row r="38" spans="1:28" x14ac:dyDescent="0.2">
      <c r="R38">
        <v>25</v>
      </c>
      <c r="S38" t="s">
        <v>67</v>
      </c>
      <c r="T38" s="14">
        <f ca="1">INDEX(INDIRECT($AF$6),
       MATCH(TRIM($S38), INDIRECT($AF$7), 0),
       MATCH(TRIM(T$13), INDIRECT($AF$8), 0))</f>
        <v>3</v>
      </c>
      <c r="U38" s="14" t="e">
        <f ca="1">INDEX(INDIRECT($AF$6),
       MATCH(TRIM($S38), INDIRECT($AF$7), 0),
       MATCH(TRIM(U$13), INDIRECT($AF$8), 0))</f>
        <v>#N/A</v>
      </c>
      <c r="V38" s="14">
        <f ca="1">INDEX(INDIRECT($AF$6),
       MATCH(TRIM($S38), INDIRECT($AF$7), 0),
       MATCH(TRIM(V$13), INDIRECT($AF$8), 0))</f>
        <v>1.2206399999999999</v>
      </c>
      <c r="W38" s="14">
        <f ca="1">INDEX(INDIRECT($AF$6),
       MATCH(TRIM($S38), INDIRECT($AF$7), 0),
       MATCH(TRIM(W$13), INDIRECT($AF$8), 0))</f>
        <v>5</v>
      </c>
      <c r="X38" s="14" t="e">
        <f ca="1">INDEX(INDIRECT($AF$6),
       MATCH(TRIM($S38), INDIRECT($AF$7), 0),
       MATCH(TRIM(X$13), INDIRECT($AF$8), 0))</f>
        <v>#N/A</v>
      </c>
      <c r="Y38" s="14">
        <f ca="1">INDEX(INDIRECT($AF$6),
       MATCH(TRIM($S38), INDIRECT($AF$7), 0),
       MATCH(TRIM(Y$13), INDIRECT($AF$8), 0))</f>
        <v>45.513376449999988</v>
      </c>
      <c r="Z38" s="14">
        <f ca="1">INDEX(INDIRECT($AF$6),
       MATCH(TRIM($S38), INDIRECT($AF$7), 0),
       MATCH(TRIM(Z$13), INDIRECT($AF$8), 0))</f>
        <v>35</v>
      </c>
      <c r="AA38" s="14">
        <f ca="1">INDEX(INDIRECT($AF$6),
       MATCH(TRIM($S38), INDIRECT($AF$7), 0),
       MATCH(TRIM(AA$13), INDIRECT($AF$8), 0))</f>
        <v>2.0312373999999997</v>
      </c>
      <c r="AB38" s="14">
        <f t="shared" ca="1" si="0"/>
        <v>48.765253849999993</v>
      </c>
    </row>
    <row r="39" spans="1:28" x14ac:dyDescent="0.2">
      <c r="R39">
        <v>26</v>
      </c>
      <c r="S39" t="s">
        <v>54</v>
      </c>
      <c r="T39" s="14">
        <f ca="1">INDEX(INDIRECT($AF$6),
       MATCH(TRIM($S39), INDIRECT($AF$7), 0),
       MATCH(TRIM(T$13), INDIRECT($AF$8), 0))</f>
        <v>1</v>
      </c>
      <c r="U39" s="14" t="e">
        <f ca="1">INDEX(INDIRECT($AF$6),
       MATCH(TRIM($S39), INDIRECT($AF$7), 0),
       MATCH(TRIM(U$13), INDIRECT($AF$8), 0))</f>
        <v>#N/A</v>
      </c>
      <c r="V39" s="14">
        <f ca="1">INDEX(INDIRECT($AF$6),
       MATCH(TRIM($S39), INDIRECT($AF$7), 0),
       MATCH(TRIM(V$13), INDIRECT($AF$8), 0))</f>
        <v>0.7</v>
      </c>
      <c r="W39" s="14">
        <f ca="1">INDEX(INDIRECT($AF$6),
       MATCH(TRIM($S39), INDIRECT($AF$7), 0),
       MATCH(TRIM(W$13), INDIRECT($AF$8), 0))</f>
        <v>2</v>
      </c>
      <c r="X39" s="14" t="e">
        <f ca="1">INDEX(INDIRECT($AF$6),
       MATCH(TRIM($S39), INDIRECT($AF$7), 0),
       MATCH(TRIM(X$13), INDIRECT($AF$8), 0))</f>
        <v>#N/A</v>
      </c>
      <c r="Y39" s="14">
        <f ca="1">INDEX(INDIRECT($AF$6),
       MATCH(TRIM($S39), INDIRECT($AF$7), 0),
       MATCH(TRIM(Y$13), INDIRECT($AF$8), 0))</f>
        <v>7.3312160000000004</v>
      </c>
      <c r="Z39" s="14">
        <f ca="1">INDEX(INDIRECT($AF$6),
       MATCH(TRIM($S39), INDIRECT($AF$7), 0),
       MATCH(TRIM(Z$13), INDIRECT($AF$8), 0))</f>
        <v>10</v>
      </c>
      <c r="AA39" s="14">
        <f ca="1">INDEX(INDIRECT($AF$6),
       MATCH(TRIM($S39), INDIRECT($AF$7), 0),
       MATCH(TRIM(AA$13), INDIRECT($AF$8), 0))</f>
        <v>3.7970856299999998</v>
      </c>
      <c r="AB39" s="14">
        <f t="shared" ca="1" si="0"/>
        <v>11.82830163</v>
      </c>
    </row>
    <row r="40" spans="1:28" x14ac:dyDescent="0.2">
      <c r="R40">
        <v>27</v>
      </c>
      <c r="S40" t="s">
        <v>64</v>
      </c>
      <c r="T40" s="14">
        <f ca="1">INDEX(INDIRECT($AF$6),
       MATCH(TRIM($S40), INDIRECT($AF$7), 0),
       MATCH(TRIM(T$13), INDIRECT($AF$8), 0))</f>
        <v>2</v>
      </c>
      <c r="U40" s="14" t="e">
        <f ca="1">INDEX(INDIRECT($AF$6),
       MATCH(TRIM($S40), INDIRECT($AF$7), 0),
       MATCH(TRIM(U$13), INDIRECT($AF$8), 0))</f>
        <v>#N/A</v>
      </c>
      <c r="V40" s="14">
        <f ca="1">INDEX(INDIRECT($AF$6),
       MATCH(TRIM($S40), INDIRECT($AF$7), 0),
       MATCH(TRIM(V$13), INDIRECT($AF$8), 0))</f>
        <v>6.6</v>
      </c>
      <c r="W40" s="14">
        <f ca="1">INDEX(INDIRECT($AF$6),
       MATCH(TRIM($S40), INDIRECT($AF$7), 0),
       MATCH(TRIM(W$13), INDIRECT($AF$8), 0))</f>
        <v>2</v>
      </c>
      <c r="X40" s="14" t="e">
        <f ca="1">INDEX(INDIRECT($AF$6),
       MATCH(TRIM($S40), INDIRECT($AF$7), 0),
       MATCH(TRIM(X$13), INDIRECT($AF$8), 0))</f>
        <v>#N/A</v>
      </c>
      <c r="Y40" s="14">
        <f ca="1">INDEX(INDIRECT($AF$6),
       MATCH(TRIM($S40), INDIRECT($AF$7), 0),
       MATCH(TRIM(Y$13), INDIRECT($AF$8), 0))</f>
        <v>5.37</v>
      </c>
      <c r="Z40" s="14">
        <f ca="1">INDEX(INDIRECT($AF$6),
       MATCH(TRIM($S40), INDIRECT($AF$7), 0),
       MATCH(TRIM(Z$13), INDIRECT($AF$8), 0))</f>
        <v>6</v>
      </c>
      <c r="AA40" s="14">
        <f ca="1">INDEX(INDIRECT($AF$6),
       MATCH(TRIM($S40), INDIRECT($AF$7), 0),
       MATCH(TRIM(AA$13), INDIRECT($AF$8), 0))</f>
        <v>0.9780670600000001</v>
      </c>
      <c r="AB40" s="14">
        <f t="shared" ca="1" si="0"/>
        <v>12.94806706</v>
      </c>
    </row>
    <row r="41" spans="1:28" x14ac:dyDescent="0.2">
      <c r="R41">
        <v>28</v>
      </c>
      <c r="S41" t="s">
        <v>81</v>
      </c>
      <c r="T41" s="14">
        <f ca="1">INDEX(INDIRECT($AF$6),
       MATCH(TRIM($S41), INDIRECT($AF$7), 0),
       MATCH(TRIM(T$13), INDIRECT($AF$8), 0))</f>
        <v>2</v>
      </c>
      <c r="U41" s="14" t="e">
        <f ca="1">INDEX(INDIRECT($AF$6),
       MATCH(TRIM($S41), INDIRECT($AF$7), 0),
       MATCH(TRIM(U$13), INDIRECT($AF$8), 0))</f>
        <v>#N/A</v>
      </c>
      <c r="V41" s="14">
        <f ca="1">INDEX(INDIRECT($AF$6),
       MATCH(TRIM($S41), INDIRECT($AF$7), 0),
       MATCH(TRIM(V$13), INDIRECT($AF$8), 0))</f>
        <v>15.809953800000001</v>
      </c>
      <c r="W41" s="14">
        <f ca="1">INDEX(INDIRECT($AF$6),
       MATCH(TRIM($S41), INDIRECT($AF$7), 0),
       MATCH(TRIM(W$13), INDIRECT($AF$8), 0))</f>
        <v>9</v>
      </c>
      <c r="X41" s="14" t="e">
        <f ca="1">INDEX(INDIRECT($AF$6),
       MATCH(TRIM($S41), INDIRECT($AF$7), 0),
       MATCH(TRIM(X$13), INDIRECT($AF$8), 0))</f>
        <v>#N/A</v>
      </c>
      <c r="Y41" s="14">
        <f ca="1">INDEX(INDIRECT($AF$6),
       MATCH(TRIM($S41), INDIRECT($AF$7), 0),
       MATCH(TRIM(Y$13), INDIRECT($AF$8), 0))</f>
        <v>62.95088475</v>
      </c>
      <c r="Z41" s="14">
        <f ca="1">INDEX(INDIRECT($AF$6),
       MATCH(TRIM($S41), INDIRECT($AF$7), 0),
       MATCH(TRIM(Z$13), INDIRECT($AF$8), 0))</f>
        <v>1</v>
      </c>
      <c r="AA41" s="14">
        <f ca="1">INDEX(INDIRECT($AF$6),
       MATCH(TRIM($S41), INDIRECT($AF$7), 0),
       MATCH(TRIM(AA$13), INDIRECT($AF$8), 0))</f>
        <v>0.28000000000000003</v>
      </c>
      <c r="AB41" s="14">
        <f t="shared" ca="1" si="0"/>
        <v>79.040838550000004</v>
      </c>
    </row>
    <row r="42" spans="1:28" x14ac:dyDescent="0.2">
      <c r="R42">
        <v>29</v>
      </c>
      <c r="S42" t="s">
        <v>71</v>
      </c>
      <c r="T42" s="14">
        <f ca="1">INDEX(INDIRECT($AF$6),
       MATCH(TRIM($S42), INDIRECT($AF$7), 0),
       MATCH(TRIM(T$13), INDIRECT($AF$8), 0))</f>
        <v>7</v>
      </c>
      <c r="U42" s="14" t="e">
        <f ca="1">INDEX(INDIRECT($AF$6),
       MATCH(TRIM($S42), INDIRECT($AF$7), 0),
       MATCH(TRIM(U$13), INDIRECT($AF$8), 0))</f>
        <v>#N/A</v>
      </c>
      <c r="V42" s="14">
        <f ca="1">INDEX(INDIRECT($AF$6),
       MATCH(TRIM($S42), INDIRECT($AF$7), 0),
       MATCH(TRIM(V$13), INDIRECT($AF$8), 0))</f>
        <v>111.291028</v>
      </c>
      <c r="W42" s="14">
        <f ca="1">INDEX(INDIRECT($AF$6),
       MATCH(TRIM($S42), INDIRECT($AF$7), 0),
       MATCH(TRIM(W$13), INDIRECT($AF$8), 0))</f>
        <v>1</v>
      </c>
      <c r="X42" s="14" t="e">
        <f ca="1">INDEX(INDIRECT($AF$6),
       MATCH(TRIM($S42), INDIRECT($AF$7), 0),
       MATCH(TRIM(X$13), INDIRECT($AF$8), 0))</f>
        <v>#N/A</v>
      </c>
      <c r="Y42" s="14">
        <f ca="1">INDEX(INDIRECT($AF$6),
       MATCH(TRIM($S42), INDIRECT($AF$7), 0),
       MATCH(TRIM(Y$13), INDIRECT($AF$8), 0))</f>
        <v>12</v>
      </c>
      <c r="Z42" s="14">
        <f ca="1">INDEX(INDIRECT($AF$6),
       MATCH(TRIM($S42), INDIRECT($AF$7), 0),
       MATCH(TRIM(Z$13), INDIRECT($AF$8), 0))</f>
        <v>1</v>
      </c>
      <c r="AA42" s="14">
        <f ca="1">INDEX(INDIRECT($AF$6),
       MATCH(TRIM($S42), INDIRECT($AF$7), 0),
       MATCH(TRIM(AA$13), INDIRECT($AF$8), 0))</f>
        <v>0.17019999999999999</v>
      </c>
      <c r="AB42" s="14">
        <f t="shared" ca="1" si="0"/>
        <v>123.46122799999999</v>
      </c>
    </row>
    <row r="43" spans="1:28" x14ac:dyDescent="0.2">
      <c r="R43">
        <v>30</v>
      </c>
      <c r="S43" t="s">
        <v>76</v>
      </c>
      <c r="T43" s="14">
        <f ca="1">INDEX(INDIRECT($AF$6),
       MATCH(TRIM($S43), INDIRECT($AF$7), 0),
       MATCH(TRIM(T$13), INDIRECT($AF$8), 0))</f>
        <v>7</v>
      </c>
      <c r="U43" s="14" t="e">
        <f ca="1">INDEX(INDIRECT($AF$6),
       MATCH(TRIM($S43), INDIRECT($AF$7), 0),
       MATCH(TRIM(U$13), INDIRECT($AF$8), 0))</f>
        <v>#N/A</v>
      </c>
      <c r="V43" s="14">
        <f ca="1">INDEX(INDIRECT($AF$6),
       MATCH(TRIM($S43), INDIRECT($AF$7), 0),
       MATCH(TRIM(V$13), INDIRECT($AF$8), 0))</f>
        <v>203.97984700000001</v>
      </c>
      <c r="W43" s="14">
        <f ca="1">INDEX(INDIRECT($AF$6),
       MATCH(TRIM($S43), INDIRECT($AF$7), 0),
       MATCH(TRIM(W$13), INDIRECT($AF$8), 0))</f>
        <v>9</v>
      </c>
      <c r="X43" s="14" t="e">
        <f ca="1">INDEX(INDIRECT($AF$6),
       MATCH(TRIM($S43), INDIRECT($AF$7), 0),
       MATCH(TRIM(X$13), INDIRECT($AF$8), 0))</f>
        <v>#N/A</v>
      </c>
      <c r="Y43" s="14">
        <f ca="1">INDEX(INDIRECT($AF$6),
       MATCH(TRIM($S43), INDIRECT($AF$7), 0),
       MATCH(TRIM(Y$13), INDIRECT($AF$8), 0))</f>
        <v>44.092331999999999</v>
      </c>
      <c r="Z43" s="14">
        <f ca="1">INDEX(INDIRECT($AF$6),
       MATCH(TRIM($S43), INDIRECT($AF$7), 0),
       MATCH(TRIM(Z$13), INDIRECT($AF$8), 0))</f>
        <v>0</v>
      </c>
      <c r="AA43" s="14">
        <f ca="1">INDEX(INDIRECT($AF$6),
       MATCH(TRIM($S43), INDIRECT($AF$7), 0),
       MATCH(TRIM(AA$13), INDIRECT($AF$8), 0))</f>
        <v>0</v>
      </c>
      <c r="AB43" s="14">
        <f t="shared" ca="1" si="0"/>
        <v>248.07217900000001</v>
      </c>
    </row>
    <row r="44" spans="1:28" x14ac:dyDescent="0.2">
      <c r="R44">
        <v>31</v>
      </c>
      <c r="S44" t="s">
        <v>88</v>
      </c>
      <c r="T44" s="14">
        <f ca="1">INDEX(INDIRECT($AF$6),
       MATCH(TRIM($S44), INDIRECT($AF$7), 0),
       MATCH(TRIM(T$13), INDIRECT($AF$8), 0))</f>
        <v>3</v>
      </c>
      <c r="U44" s="14" t="e">
        <f ca="1">INDEX(INDIRECT($AF$6),
       MATCH(TRIM($S44), INDIRECT($AF$7), 0),
       MATCH(TRIM(U$13), INDIRECT($AF$8), 0))</f>
        <v>#N/A</v>
      </c>
      <c r="V44" s="14">
        <f ca="1">INDEX(INDIRECT($AF$6),
       MATCH(TRIM($S44), INDIRECT($AF$7), 0),
       MATCH(TRIM(V$13), INDIRECT($AF$8), 0))</f>
        <v>16.636565000000001</v>
      </c>
      <c r="W44" s="14">
        <f ca="1">INDEX(INDIRECT($AF$6),
       MATCH(TRIM($S44), INDIRECT($AF$7), 0),
       MATCH(TRIM(W$13), INDIRECT($AF$8), 0))</f>
        <v>0</v>
      </c>
      <c r="X44" s="14" t="e">
        <f ca="1">INDEX(INDIRECT($AF$6),
       MATCH(TRIM($S44), INDIRECT($AF$7), 0),
       MATCH(TRIM(X$13), INDIRECT($AF$8), 0))</f>
        <v>#N/A</v>
      </c>
      <c r="Y44" s="14">
        <f ca="1">INDEX(INDIRECT($AF$6),
       MATCH(TRIM($S44), INDIRECT($AF$7), 0),
       MATCH(TRIM(Y$13), INDIRECT($AF$8), 0))</f>
        <v>0</v>
      </c>
      <c r="Z44" s="14">
        <f ca="1">INDEX(INDIRECT($AF$6),
       MATCH(TRIM($S44), INDIRECT($AF$7), 0),
       MATCH(TRIM(Z$13), INDIRECT($AF$8), 0))</f>
        <v>5</v>
      </c>
      <c r="AA44" s="14">
        <f ca="1">INDEX(INDIRECT($AF$6),
       MATCH(TRIM($S44), INDIRECT($AF$7), 0),
       MATCH(TRIM(AA$13), INDIRECT($AF$8), 0))</f>
        <v>149.51608634999999</v>
      </c>
      <c r="AB44" s="14">
        <f t="shared" ca="1" si="0"/>
        <v>166.15265134999999</v>
      </c>
    </row>
    <row r="45" spans="1:28" x14ac:dyDescent="0.2">
      <c r="R45">
        <v>32</v>
      </c>
      <c r="S45" t="s">
        <v>84</v>
      </c>
      <c r="T45" s="14">
        <f ca="1">INDEX(INDIRECT($AF$6),
       MATCH(TRIM($S45), INDIRECT($AF$7), 0),
       MATCH(TRIM(T$13), INDIRECT($AF$8), 0))</f>
        <v>0</v>
      </c>
      <c r="U45" s="14" t="e">
        <f ca="1">INDEX(INDIRECT($AF$6),
       MATCH(TRIM($S45), INDIRECT($AF$7), 0),
       MATCH(TRIM(U$13), INDIRECT($AF$8), 0))</f>
        <v>#N/A</v>
      </c>
      <c r="V45" s="14">
        <f ca="1">INDEX(INDIRECT($AF$6),
       MATCH(TRIM($S45), INDIRECT($AF$7), 0),
       MATCH(TRIM(V$13), INDIRECT($AF$8), 0))</f>
        <v>0</v>
      </c>
      <c r="W45" s="14">
        <f ca="1">INDEX(INDIRECT($AF$6),
       MATCH(TRIM($S45), INDIRECT($AF$7), 0),
       MATCH(TRIM(W$13), INDIRECT($AF$8), 0))</f>
        <v>1</v>
      </c>
      <c r="X45" s="14" t="e">
        <f ca="1">INDEX(INDIRECT($AF$6),
       MATCH(TRIM($S45), INDIRECT($AF$7), 0),
       MATCH(TRIM(X$13), INDIRECT($AF$8), 0))</f>
        <v>#N/A</v>
      </c>
      <c r="Y45" s="14">
        <f ca="1">INDEX(INDIRECT($AF$6),
       MATCH(TRIM($S45), INDIRECT($AF$7), 0),
       MATCH(TRIM(Y$13), INDIRECT($AF$8), 0))</f>
        <v>179.795984</v>
      </c>
      <c r="Z45" s="14">
        <f ca="1">INDEX(INDIRECT($AF$6),
       MATCH(TRIM($S45), INDIRECT($AF$7), 0),
       MATCH(TRIM(Z$13), INDIRECT($AF$8), 0))</f>
        <v>1</v>
      </c>
      <c r="AA45" s="14">
        <f ca="1">INDEX(INDIRECT($AF$6),
       MATCH(TRIM($S45), INDIRECT($AF$7), 0),
       MATCH(TRIM(AA$13), INDIRECT($AF$8), 0))</f>
        <v>5.0999999999999997E-2</v>
      </c>
      <c r="AB45" s="14">
        <f t="shared" ca="1" si="0"/>
        <v>179.84698399999999</v>
      </c>
    </row>
    <row r="46" spans="1:28" x14ac:dyDescent="0.2">
      <c r="R46">
        <v>33</v>
      </c>
      <c r="S46" t="s">
        <v>80</v>
      </c>
      <c r="T46" s="14">
        <f ca="1">INDEX(INDIRECT($AF$6),
       MATCH(TRIM($S46), INDIRECT($AF$7), 0),
       MATCH(TRIM(T$13), INDIRECT($AF$8), 0))</f>
        <v>1</v>
      </c>
      <c r="U46" s="14" t="e">
        <f ca="1">INDEX(INDIRECT($AF$6),
       MATCH(TRIM($S46), INDIRECT($AF$7), 0),
       MATCH(TRIM(U$13), INDIRECT($AF$8), 0))</f>
        <v>#N/A</v>
      </c>
      <c r="V46" s="14">
        <f ca="1">INDEX(INDIRECT($AF$6),
       MATCH(TRIM($S46), INDIRECT($AF$7), 0),
       MATCH(TRIM(V$13), INDIRECT($AF$8), 0))</f>
        <v>90.756311999999994</v>
      </c>
      <c r="W46" s="14">
        <f ca="1">INDEX(INDIRECT($AF$6),
       MATCH(TRIM($S46), INDIRECT($AF$7), 0),
       MATCH(TRIM(W$13), INDIRECT($AF$8), 0))</f>
        <v>1</v>
      </c>
      <c r="X46" s="14" t="e">
        <f ca="1">INDEX(INDIRECT($AF$6),
       MATCH(TRIM($S46), INDIRECT($AF$7), 0),
       MATCH(TRIM(X$13), INDIRECT($AF$8), 0))</f>
        <v>#N/A</v>
      </c>
      <c r="Y46" s="14">
        <f ca="1">INDEX(INDIRECT($AF$6),
       MATCH(TRIM($S46), INDIRECT($AF$7), 0),
       MATCH(TRIM(Y$13), INDIRECT($AF$8), 0))</f>
        <v>0.5</v>
      </c>
      <c r="Z46" s="14">
        <f ca="1">INDEX(INDIRECT($AF$6),
       MATCH(TRIM($S46), INDIRECT($AF$7), 0),
       MATCH(TRIM(Z$13), INDIRECT($AF$8), 0))</f>
        <v>0</v>
      </c>
      <c r="AA46" s="14">
        <f ca="1">INDEX(INDIRECT($AF$6),
       MATCH(TRIM($S46), INDIRECT($AF$7), 0),
       MATCH(TRIM(AA$13), INDIRECT($AF$8), 0))</f>
        <v>0</v>
      </c>
      <c r="AB46" s="14">
        <f t="shared" ca="1" si="0"/>
        <v>91.256311999999994</v>
      </c>
    </row>
    <row r="47" spans="1:28" x14ac:dyDescent="0.2">
      <c r="R47">
        <v>34</v>
      </c>
      <c r="S47" t="s">
        <v>40</v>
      </c>
      <c r="T47" s="14">
        <f ca="1">INDEX(INDIRECT($AF$6),
       MATCH(TRIM($S47), INDIRECT($AF$7), 0),
       MATCH(TRIM(T$13), INDIRECT($AF$8), 0))</f>
        <v>2</v>
      </c>
      <c r="U47" s="14" t="e">
        <f ca="1">INDEX(INDIRECT($AF$6),
       MATCH(TRIM($S47), INDIRECT($AF$7), 0),
       MATCH(TRIM(U$13), INDIRECT($AF$8), 0))</f>
        <v>#N/A</v>
      </c>
      <c r="V47" s="14">
        <f ca="1">INDEX(INDIRECT($AF$6),
       MATCH(TRIM($S47), INDIRECT($AF$7), 0),
       MATCH(TRIM(V$13), INDIRECT($AF$8), 0))</f>
        <v>6.3089680000000001</v>
      </c>
      <c r="W47" s="14">
        <f ca="1">INDEX(INDIRECT($AF$6),
       MATCH(TRIM($S47), INDIRECT($AF$7), 0),
       MATCH(TRIM(W$13), INDIRECT($AF$8), 0))</f>
        <v>0</v>
      </c>
      <c r="X47" s="14" t="e">
        <f ca="1">INDEX(INDIRECT($AF$6),
       MATCH(TRIM($S47), INDIRECT($AF$7), 0),
       MATCH(TRIM(X$13), INDIRECT($AF$8), 0))</f>
        <v>#N/A</v>
      </c>
      <c r="Y47" s="14">
        <f ca="1">INDEX(INDIRECT($AF$6),
       MATCH(TRIM($S47), INDIRECT($AF$7), 0),
       MATCH(TRIM(Y$13), INDIRECT($AF$8), 0))</f>
        <v>0</v>
      </c>
      <c r="Z47" s="14">
        <f ca="1">INDEX(INDIRECT($AF$6),
       MATCH(TRIM($S47), INDIRECT($AF$7), 0),
       MATCH(TRIM(Z$13), INDIRECT($AF$8), 0))</f>
        <v>7</v>
      </c>
      <c r="AA47" s="14">
        <f ca="1">INDEX(INDIRECT($AF$6),
       MATCH(TRIM($S47), INDIRECT($AF$7), 0),
       MATCH(TRIM(AA$13), INDIRECT($AF$8), 0))</f>
        <v>11.088317979999999</v>
      </c>
      <c r="AB47" s="14">
        <f t="shared" ca="1" si="0"/>
        <v>17.397285979999999</v>
      </c>
    </row>
    <row r="48" spans="1:28" x14ac:dyDescent="0.2">
      <c r="R48">
        <v>35</v>
      </c>
      <c r="S48" t="s">
        <v>66</v>
      </c>
      <c r="T48" s="14">
        <f ca="1">INDEX(INDIRECT($AF$6),
       MATCH(TRIM($S48), INDIRECT($AF$7), 0),
       MATCH(TRIM(T$13), INDIRECT($AF$8), 0))</f>
        <v>6</v>
      </c>
      <c r="U48" s="14" t="e">
        <f ca="1">INDEX(INDIRECT($AF$6),
       MATCH(TRIM($S48), INDIRECT($AF$7), 0),
       MATCH(TRIM(U$13), INDIRECT($AF$8), 0))</f>
        <v>#N/A</v>
      </c>
      <c r="V48" s="14">
        <f ca="1">INDEX(INDIRECT($AF$6),
       MATCH(TRIM($S48), INDIRECT($AF$7), 0),
       MATCH(TRIM(V$13), INDIRECT($AF$8), 0))</f>
        <v>46.201351000000003</v>
      </c>
      <c r="W48" s="14">
        <f ca="1">INDEX(INDIRECT($AF$6),
       MATCH(TRIM($S48), INDIRECT($AF$7), 0),
       MATCH(TRIM(W$13), INDIRECT($AF$8), 0))</f>
        <v>4</v>
      </c>
      <c r="X48" s="14" t="e">
        <f ca="1">INDEX(INDIRECT($AF$6),
       MATCH(TRIM($S48), INDIRECT($AF$7), 0),
       MATCH(TRIM(X$13), INDIRECT($AF$8), 0))</f>
        <v>#N/A</v>
      </c>
      <c r="Y48" s="14">
        <f ca="1">INDEX(INDIRECT($AF$6),
       MATCH(TRIM($S48), INDIRECT($AF$7), 0),
       MATCH(TRIM(Y$13), INDIRECT($AF$8), 0))</f>
        <v>2.7449080000000001</v>
      </c>
      <c r="Z48" s="14">
        <f ca="1">INDEX(INDIRECT($AF$6),
       MATCH(TRIM($S48), INDIRECT($AF$7), 0),
       MATCH(TRIM(Z$13), INDIRECT($AF$8), 0))</f>
        <v>3</v>
      </c>
      <c r="AA48" s="14">
        <f ca="1">INDEX(INDIRECT($AF$6),
       MATCH(TRIM($S48), INDIRECT($AF$7), 0),
       MATCH(TRIM(AA$13), INDIRECT($AF$8), 0))</f>
        <v>21.484355999999998</v>
      </c>
      <c r="AB48" s="14">
        <f t="shared" ca="1" si="0"/>
        <v>70.430615000000003</v>
      </c>
    </row>
    <row r="49" spans="18:28" x14ac:dyDescent="0.2">
      <c r="R49">
        <v>36</v>
      </c>
      <c r="S49" t="s">
        <v>133</v>
      </c>
      <c r="T49" s="14">
        <f ca="1">INDEX(INDIRECT($AF$6),
       MATCH(TRIM($S49), INDIRECT($AF$7), 0),
       MATCH(TRIM(T$13), INDIRECT($AF$8), 0))</f>
        <v>1</v>
      </c>
      <c r="U49" s="14" t="e">
        <f ca="1">INDEX(INDIRECT($AF$6),
       MATCH(TRIM($S49), INDIRECT($AF$7), 0),
       MATCH(TRIM(U$13), INDIRECT($AF$8), 0))</f>
        <v>#N/A</v>
      </c>
      <c r="V49" s="14">
        <f ca="1">INDEX(INDIRECT($AF$6),
       MATCH(TRIM($S49), INDIRECT($AF$7), 0),
       MATCH(TRIM(V$13), INDIRECT($AF$8), 0))</f>
        <v>0.15</v>
      </c>
      <c r="W49" s="14">
        <f ca="1">INDEX(INDIRECT($AF$6),
       MATCH(TRIM($S49), INDIRECT($AF$7), 0),
       MATCH(TRIM(W$13), INDIRECT($AF$8), 0))</f>
        <v>1</v>
      </c>
      <c r="X49" s="14" t="e">
        <f ca="1">INDEX(INDIRECT($AF$6),
       MATCH(TRIM($S49), INDIRECT($AF$7), 0),
       MATCH(TRIM(X$13), INDIRECT($AF$8), 0))</f>
        <v>#N/A</v>
      </c>
      <c r="Y49" s="14">
        <f ca="1">INDEX(INDIRECT($AF$6),
       MATCH(TRIM($S49), INDIRECT($AF$7), 0),
       MATCH(TRIM(Y$13), INDIRECT($AF$8), 0))</f>
        <v>1</v>
      </c>
      <c r="Z49" s="14">
        <f ca="1">INDEX(INDIRECT($AF$6),
       MATCH(TRIM($S49), INDIRECT($AF$7), 0),
       MATCH(TRIM(Z$13), INDIRECT($AF$8), 0))</f>
        <v>1</v>
      </c>
      <c r="AA49" s="14">
        <f ca="1">INDEX(INDIRECT($AF$6),
       MATCH(TRIM($S49), INDIRECT($AF$7), 0),
       MATCH(TRIM(AA$13), INDIRECT($AF$8), 0))</f>
        <v>0.20532464</v>
      </c>
      <c r="AB49" s="14">
        <f t="shared" ca="1" si="0"/>
        <v>1.3553246399999999</v>
      </c>
    </row>
    <row r="50" spans="18:28" x14ac:dyDescent="0.2">
      <c r="R50">
        <v>37</v>
      </c>
      <c r="S50" t="s">
        <v>75</v>
      </c>
      <c r="T50" s="14">
        <f ca="1">INDEX(INDIRECT($AF$6),
       MATCH(TRIM($S50), INDIRECT($AF$7), 0),
       MATCH(TRIM(T$13), INDIRECT($AF$8), 0))</f>
        <v>1</v>
      </c>
      <c r="U50" s="14" t="e">
        <f ca="1">INDEX(INDIRECT($AF$6),
       MATCH(TRIM($S50), INDIRECT($AF$7), 0),
       MATCH(TRIM(U$13), INDIRECT($AF$8), 0))</f>
        <v>#N/A</v>
      </c>
      <c r="V50" s="14">
        <f ca="1">INDEX(INDIRECT($AF$6),
       MATCH(TRIM($S50), INDIRECT($AF$7), 0),
       MATCH(TRIM(V$13), INDIRECT($AF$8), 0))</f>
        <v>1.0321471099999999</v>
      </c>
      <c r="W50" s="14">
        <f ca="1">INDEX(INDIRECT($AF$6),
       MATCH(TRIM($S50), INDIRECT($AF$7), 0),
       MATCH(TRIM(W$13), INDIRECT($AF$8), 0))</f>
        <v>0</v>
      </c>
      <c r="X50" s="14" t="e">
        <f ca="1">INDEX(INDIRECT($AF$6),
       MATCH(TRIM($S50), INDIRECT($AF$7), 0),
       MATCH(TRIM(X$13), INDIRECT($AF$8), 0))</f>
        <v>#N/A</v>
      </c>
      <c r="Y50" s="14">
        <f ca="1">INDEX(INDIRECT($AF$6),
       MATCH(TRIM($S50), INDIRECT($AF$7), 0),
       MATCH(TRIM(Y$13), INDIRECT($AF$8), 0))</f>
        <v>0</v>
      </c>
      <c r="Z50" s="14">
        <f ca="1">INDEX(INDIRECT($AF$6),
       MATCH(TRIM($S50), INDIRECT($AF$7), 0),
       MATCH(TRIM(Z$13), INDIRECT($AF$8), 0))</f>
        <v>2</v>
      </c>
      <c r="AA50" s="14">
        <f ca="1">INDEX(INDIRECT($AF$6),
       MATCH(TRIM($S50), INDIRECT($AF$7), 0),
       MATCH(TRIM(AA$13), INDIRECT($AF$8), 0))</f>
        <v>4.2844499999999995E-3</v>
      </c>
      <c r="AB50" s="14">
        <f t="shared" ca="1" si="0"/>
        <v>1.03643156</v>
      </c>
    </row>
    <row r="51" spans="18:28" x14ac:dyDescent="0.2">
      <c r="R51">
        <v>38</v>
      </c>
      <c r="S51" t="s">
        <v>77</v>
      </c>
      <c r="T51" s="14">
        <f ca="1">INDEX(INDIRECT($AF$6),
       MATCH(TRIM($S51), INDIRECT($AF$7), 0),
       MATCH(TRIM(T$13), INDIRECT($AF$8), 0))</f>
        <v>3</v>
      </c>
      <c r="U51" s="14" t="e">
        <f ca="1">INDEX(INDIRECT($AF$6),
       MATCH(TRIM($S51), INDIRECT($AF$7), 0),
       MATCH(TRIM(U$13), INDIRECT($AF$8), 0))</f>
        <v>#N/A</v>
      </c>
      <c r="V51" s="14">
        <f ca="1">INDEX(INDIRECT($AF$6),
       MATCH(TRIM($S51), INDIRECT($AF$7), 0),
       MATCH(TRIM(V$13), INDIRECT($AF$8), 0))</f>
        <v>0.6353916799999999</v>
      </c>
      <c r="W51" s="14">
        <f ca="1">INDEX(INDIRECT($AF$6),
       MATCH(TRIM($S51), INDIRECT($AF$7), 0),
       MATCH(TRIM(W$13), INDIRECT($AF$8), 0))</f>
        <v>5</v>
      </c>
      <c r="X51" s="14" t="e">
        <f ca="1">INDEX(INDIRECT($AF$6),
       MATCH(TRIM($S51), INDIRECT($AF$7), 0),
       MATCH(TRIM(X$13), INDIRECT($AF$8), 0))</f>
        <v>#N/A</v>
      </c>
      <c r="Y51" s="14">
        <f ca="1">INDEX(INDIRECT($AF$6),
       MATCH(TRIM($S51), INDIRECT($AF$7), 0),
       MATCH(TRIM(Y$13), INDIRECT($AF$8), 0))</f>
        <v>54.141613999999997</v>
      </c>
      <c r="Z51" s="14">
        <f ca="1">INDEX(INDIRECT($AF$6),
       MATCH(TRIM($S51), INDIRECT($AF$7), 0),
       MATCH(TRIM(Z$13), INDIRECT($AF$8), 0))</f>
        <v>6</v>
      </c>
      <c r="AA51" s="14">
        <f ca="1">INDEX(INDIRECT($AF$6),
       MATCH(TRIM($S51), INDIRECT($AF$7), 0),
       MATCH(TRIM(AA$13), INDIRECT($AF$8), 0))</f>
        <v>5.8196447899999999</v>
      </c>
      <c r="AB51" s="14">
        <f t="shared" ca="1" si="0"/>
        <v>60.596650469999993</v>
      </c>
    </row>
    <row r="52" spans="18:28" x14ac:dyDescent="0.2">
      <c r="R52">
        <v>39</v>
      </c>
      <c r="S52" t="s">
        <v>68</v>
      </c>
      <c r="T52" s="14">
        <f ca="1">INDEX(INDIRECT($AF$6),
       MATCH(TRIM($S52), INDIRECT($AF$7), 0),
       MATCH(TRIM(T$13), INDIRECT($AF$8), 0))</f>
        <v>34</v>
      </c>
      <c r="U52" s="14" t="e">
        <f ca="1">INDEX(INDIRECT($AF$6),
       MATCH(TRIM($S52), INDIRECT($AF$7), 0),
       MATCH(TRIM(U$13), INDIRECT($AF$8), 0))</f>
        <v>#N/A</v>
      </c>
      <c r="V52" s="14">
        <f ca="1">INDEX(INDIRECT($AF$6),
       MATCH(TRIM($S52), INDIRECT($AF$7), 0),
       MATCH(TRIM(V$13), INDIRECT($AF$8), 0))</f>
        <v>2686.3150150000001</v>
      </c>
      <c r="W52" s="14">
        <f ca="1">INDEX(INDIRECT($AF$6),
       MATCH(TRIM($S52), INDIRECT($AF$7), 0),
       MATCH(TRIM(W$13), INDIRECT($AF$8), 0))</f>
        <v>4</v>
      </c>
      <c r="X52" s="14" t="e">
        <f ca="1">INDEX(INDIRECT($AF$6),
       MATCH(TRIM($S52), INDIRECT($AF$7), 0),
       MATCH(TRIM(X$13), INDIRECT($AF$8), 0))</f>
        <v>#N/A</v>
      </c>
      <c r="Y52" s="14">
        <f ca="1">INDEX(INDIRECT($AF$6),
       MATCH(TRIM($S52), INDIRECT($AF$7), 0),
       MATCH(TRIM(Y$13), INDIRECT($AF$8), 0))</f>
        <v>104.268255</v>
      </c>
      <c r="Z52" s="14">
        <f ca="1">INDEX(INDIRECT($AF$6),
       MATCH(TRIM($S52), INDIRECT($AF$7), 0),
       MATCH(TRIM(Z$13), INDIRECT($AF$8), 0))</f>
        <v>1</v>
      </c>
      <c r="AA52" s="14">
        <f ca="1">INDEX(INDIRECT($AF$6),
       MATCH(TRIM($S52), INDIRECT($AF$7), 0),
       MATCH(TRIM(AA$13), INDIRECT($AF$8), 0))</f>
        <v>5.0215510000000005E-2</v>
      </c>
      <c r="AB52" s="14">
        <f t="shared" ca="1" si="0"/>
        <v>2790.6334855099999</v>
      </c>
    </row>
    <row r="53" spans="18:28" x14ac:dyDescent="0.2">
      <c r="R53">
        <v>40</v>
      </c>
      <c r="S53" t="s">
        <v>62</v>
      </c>
      <c r="T53" s="14">
        <f ca="1">INDEX(INDIRECT($AF$6),
       MATCH(TRIM($S53), INDIRECT($AF$7), 0),
       MATCH(TRIM(T$13), INDIRECT($AF$8), 0))</f>
        <v>0</v>
      </c>
      <c r="U53" s="14" t="e">
        <f ca="1">INDEX(INDIRECT($AF$6),
       MATCH(TRIM($S53), INDIRECT($AF$7), 0),
       MATCH(TRIM(U$13), INDIRECT($AF$8), 0))</f>
        <v>#N/A</v>
      </c>
      <c r="V53" s="14">
        <f ca="1">INDEX(INDIRECT($AF$6),
       MATCH(TRIM($S53), INDIRECT($AF$7), 0),
       MATCH(TRIM(V$13), INDIRECT($AF$8), 0))</f>
        <v>0</v>
      </c>
      <c r="W53" s="14">
        <f ca="1">INDEX(INDIRECT($AF$6),
       MATCH(TRIM($S53), INDIRECT($AF$7), 0),
       MATCH(TRIM(W$13), INDIRECT($AF$8), 0))</f>
        <v>0</v>
      </c>
      <c r="X53" s="14" t="e">
        <f ca="1">INDEX(INDIRECT($AF$6),
       MATCH(TRIM($S53), INDIRECT($AF$7), 0),
       MATCH(TRIM(X$13), INDIRECT($AF$8), 0))</f>
        <v>#N/A</v>
      </c>
      <c r="Y53" s="14">
        <f ca="1">INDEX(INDIRECT($AF$6),
       MATCH(TRIM($S53), INDIRECT($AF$7), 0),
       MATCH(TRIM(Y$13), INDIRECT($AF$8), 0))</f>
        <v>0</v>
      </c>
      <c r="Z53" s="14">
        <f ca="1">INDEX(INDIRECT($AF$6),
       MATCH(TRIM($S53), INDIRECT($AF$7), 0),
       MATCH(TRIM(Z$13), INDIRECT($AF$8), 0))</f>
        <v>2</v>
      </c>
      <c r="AA53" s="14">
        <f ca="1">INDEX(INDIRECT($AF$6),
       MATCH(TRIM($S53), INDIRECT($AF$7), 0),
       MATCH(TRIM(AA$13), INDIRECT($AF$8), 0))</f>
        <v>0.36775621999999997</v>
      </c>
      <c r="AB53" s="14">
        <f t="shared" ca="1" si="0"/>
        <v>0.36775621999999997</v>
      </c>
    </row>
    <row r="54" spans="18:28" x14ac:dyDescent="0.2">
      <c r="R54">
        <v>41</v>
      </c>
      <c r="S54" t="s">
        <v>60</v>
      </c>
      <c r="T54" s="14">
        <f ca="1">INDEX(INDIRECT($AF$6),
       MATCH(TRIM($S54), INDIRECT($AF$7), 0),
       MATCH(TRIM(T$13), INDIRECT($AF$8), 0))</f>
        <v>19</v>
      </c>
      <c r="U54" s="14" t="e">
        <f ca="1">INDEX(INDIRECT($AF$6),
       MATCH(TRIM($S54), INDIRECT($AF$7), 0),
       MATCH(TRIM(U$13), INDIRECT($AF$8), 0))</f>
        <v>#N/A</v>
      </c>
      <c r="V54" s="14">
        <f ca="1">INDEX(INDIRECT($AF$6),
       MATCH(TRIM($S54), INDIRECT($AF$7), 0),
       MATCH(TRIM(V$13), INDIRECT($AF$8), 0))</f>
        <v>328.25474800000001</v>
      </c>
      <c r="W54" s="14">
        <f ca="1">INDEX(INDIRECT($AF$6),
       MATCH(TRIM($S54), INDIRECT($AF$7), 0),
       MATCH(TRIM(W$13), INDIRECT($AF$8), 0))</f>
        <v>3</v>
      </c>
      <c r="X54" s="14" t="e">
        <f ca="1">INDEX(INDIRECT($AF$6),
       MATCH(TRIM($S54), INDIRECT($AF$7), 0),
       MATCH(TRIM(X$13), INDIRECT($AF$8), 0))</f>
        <v>#N/A</v>
      </c>
      <c r="Y54" s="14">
        <f ca="1">INDEX(INDIRECT($AF$6),
       MATCH(TRIM($S54), INDIRECT($AF$7), 0),
       MATCH(TRIM(Y$13), INDIRECT($AF$8), 0))</f>
        <v>4.9550099999999997</v>
      </c>
      <c r="Z54" s="14">
        <f ca="1">INDEX(INDIRECT($AF$6),
       MATCH(TRIM($S54), INDIRECT($AF$7), 0),
       MATCH(TRIM(Z$13), INDIRECT($AF$8), 0))</f>
        <v>8</v>
      </c>
      <c r="AA54" s="14">
        <f ca="1">INDEX(INDIRECT($AF$6),
       MATCH(TRIM($S54), INDIRECT($AF$7), 0),
       MATCH(TRIM(AA$13), INDIRECT($AF$8), 0))</f>
        <v>96.139674889999995</v>
      </c>
      <c r="AB54" s="14">
        <f t="shared" ca="1" si="0"/>
        <v>429.34943289</v>
      </c>
    </row>
    <row r="55" spans="18:28" x14ac:dyDescent="0.2">
      <c r="R55">
        <v>42</v>
      </c>
      <c r="S55" t="s">
        <v>57</v>
      </c>
      <c r="T55" s="14">
        <f ca="1">INDEX(INDIRECT($AF$6),
       MATCH(TRIM($S55), INDIRECT($AF$7), 0),
       MATCH(TRIM(T$13), INDIRECT($AF$8), 0))</f>
        <v>2</v>
      </c>
      <c r="U55" s="14" t="e">
        <f ca="1">INDEX(INDIRECT($AF$6),
       MATCH(TRIM($S55), INDIRECT($AF$7), 0),
       MATCH(TRIM(U$13), INDIRECT($AF$8), 0))</f>
        <v>#N/A</v>
      </c>
      <c r="V55" s="14">
        <f ca="1">INDEX(INDIRECT($AF$6),
       MATCH(TRIM($S55), INDIRECT($AF$7), 0),
       MATCH(TRIM(V$13), INDIRECT($AF$8), 0))</f>
        <v>5.2858690199999998</v>
      </c>
      <c r="W55" s="14">
        <f ca="1">INDEX(INDIRECT($AF$6),
       MATCH(TRIM($S55), INDIRECT($AF$7), 0),
       MATCH(TRIM(W$13), INDIRECT($AF$8), 0))</f>
        <v>2</v>
      </c>
      <c r="X55" s="14" t="e">
        <f ca="1">INDEX(INDIRECT($AF$6),
       MATCH(TRIM($S55), INDIRECT($AF$7), 0),
       MATCH(TRIM(X$13), INDIRECT($AF$8), 0))</f>
        <v>#N/A</v>
      </c>
      <c r="Y55" s="14">
        <f ca="1">INDEX(INDIRECT($AF$6),
       MATCH(TRIM($S55), INDIRECT($AF$7), 0),
       MATCH(TRIM(Y$13), INDIRECT($AF$8), 0))</f>
        <v>-0.84033599999999997</v>
      </c>
      <c r="Z55" s="14">
        <f ca="1">INDEX(INDIRECT($AF$6),
       MATCH(TRIM($S55), INDIRECT($AF$7), 0),
       MATCH(TRIM(Z$13), INDIRECT($AF$8), 0))</f>
        <v>4</v>
      </c>
      <c r="AA55" s="14">
        <f ca="1">INDEX(INDIRECT($AF$6),
       MATCH(TRIM($S55), INDIRECT($AF$7), 0),
       MATCH(TRIM(AA$13), INDIRECT($AF$8), 0))</f>
        <v>3.84536414</v>
      </c>
      <c r="AB55" s="14">
        <f t="shared" ca="1" si="0"/>
        <v>8.2908971600000001</v>
      </c>
    </row>
    <row r="56" spans="18:28" x14ac:dyDescent="0.2">
      <c r="R56">
        <v>43</v>
      </c>
      <c r="S56" t="s">
        <v>58</v>
      </c>
      <c r="T56" s="14">
        <f ca="1">INDEX(INDIRECT($AF$6),
       MATCH(TRIM($S56), INDIRECT($AF$7), 0),
       MATCH(TRIM(T$13), INDIRECT($AF$8), 0))</f>
        <v>4</v>
      </c>
      <c r="U56" s="14" t="e">
        <f ca="1">INDEX(INDIRECT($AF$6),
       MATCH(TRIM($S56), INDIRECT($AF$7), 0),
       MATCH(TRIM(U$13), INDIRECT($AF$8), 0))</f>
        <v>#N/A</v>
      </c>
      <c r="V56" s="14">
        <f ca="1">INDEX(INDIRECT($AF$6),
       MATCH(TRIM($S56), INDIRECT($AF$7), 0),
       MATCH(TRIM(V$13), INDIRECT($AF$8), 0))</f>
        <v>73.746343999999993</v>
      </c>
      <c r="W56" s="14">
        <f ca="1">INDEX(INDIRECT($AF$6),
       MATCH(TRIM($S56), INDIRECT($AF$7), 0),
       MATCH(TRIM(W$13), INDIRECT($AF$8), 0))</f>
        <v>0</v>
      </c>
      <c r="X56" s="14" t="e">
        <f ca="1">INDEX(INDIRECT($AF$6),
       MATCH(TRIM($S56), INDIRECT($AF$7), 0),
       MATCH(TRIM(X$13), INDIRECT($AF$8), 0))</f>
        <v>#N/A</v>
      </c>
      <c r="Y56" s="14">
        <f ca="1">INDEX(INDIRECT($AF$6),
       MATCH(TRIM($S56), INDIRECT($AF$7), 0),
       MATCH(TRIM(Y$13), INDIRECT($AF$8), 0))</f>
        <v>0</v>
      </c>
      <c r="Z56" s="14">
        <f ca="1">INDEX(INDIRECT($AF$6),
       MATCH(TRIM($S56), INDIRECT($AF$7), 0),
       MATCH(TRIM(Z$13), INDIRECT($AF$8), 0))</f>
        <v>0</v>
      </c>
      <c r="AA56" s="14">
        <f ca="1">INDEX(INDIRECT($AF$6),
       MATCH(TRIM($S56), INDIRECT($AF$7), 0),
       MATCH(TRIM(AA$13), INDIRECT($AF$8), 0))</f>
        <v>0</v>
      </c>
      <c r="AB56" s="14">
        <f t="shared" ca="1" si="0"/>
        <v>73.746343999999993</v>
      </c>
    </row>
    <row r="57" spans="18:28" x14ac:dyDescent="0.2">
      <c r="R57">
        <v>44</v>
      </c>
      <c r="S57" t="s">
        <v>83</v>
      </c>
      <c r="T57" s="14">
        <f ca="1">INDEX(INDIRECT($AF$6),
       MATCH(TRIM($S57), INDIRECT($AF$7), 0),
       MATCH(TRIM(T$13), INDIRECT($AF$8), 0))</f>
        <v>2</v>
      </c>
      <c r="U57" s="14" t="e">
        <f ca="1">INDEX(INDIRECT($AF$6),
       MATCH(TRIM($S57), INDIRECT($AF$7), 0),
       MATCH(TRIM(U$13), INDIRECT($AF$8), 0))</f>
        <v>#N/A</v>
      </c>
      <c r="V57" s="14">
        <f ca="1">INDEX(INDIRECT($AF$6),
       MATCH(TRIM($S57), INDIRECT($AF$7), 0),
       MATCH(TRIM(V$13), INDIRECT($AF$8), 0))</f>
        <v>1.421527</v>
      </c>
      <c r="W57" s="14">
        <f ca="1">INDEX(INDIRECT($AF$6),
       MATCH(TRIM($S57), INDIRECT($AF$7), 0),
       MATCH(TRIM(W$13), INDIRECT($AF$8), 0))</f>
        <v>1</v>
      </c>
      <c r="X57" s="14" t="e">
        <f ca="1">INDEX(INDIRECT($AF$6),
       MATCH(TRIM($S57), INDIRECT($AF$7), 0),
       MATCH(TRIM(X$13), INDIRECT($AF$8), 0))</f>
        <v>#N/A</v>
      </c>
      <c r="Y57" s="14">
        <f ca="1">INDEX(INDIRECT($AF$6),
       MATCH(TRIM($S57), INDIRECT($AF$7), 0),
       MATCH(TRIM(Y$13), INDIRECT($AF$8), 0))</f>
        <v>0.1</v>
      </c>
      <c r="Z57" s="14">
        <f ca="1">INDEX(INDIRECT($AF$6),
       MATCH(TRIM($S57), INDIRECT($AF$7), 0),
       MATCH(TRIM(Z$13), INDIRECT($AF$8), 0))</f>
        <v>15</v>
      </c>
      <c r="AA57" s="14">
        <f ca="1">INDEX(INDIRECT($AF$6),
       MATCH(TRIM($S57), INDIRECT($AF$7), 0),
       MATCH(TRIM(AA$13), INDIRECT($AF$8), 0))</f>
        <v>11.25961835</v>
      </c>
      <c r="AB57" s="14">
        <f t="shared" ca="1" si="0"/>
        <v>12.781145350000001</v>
      </c>
    </row>
    <row r="58" spans="18:28" x14ac:dyDescent="0.2">
      <c r="R58">
        <v>45</v>
      </c>
      <c r="S58" t="s">
        <v>73</v>
      </c>
      <c r="T58" s="14">
        <f ca="1">INDEX(INDIRECT($AF$6),
       MATCH(TRIM($S58), INDIRECT($AF$7), 0),
       MATCH(TRIM(T$13), INDIRECT($AF$8), 0))</f>
        <v>3</v>
      </c>
      <c r="U58" s="14" t="e">
        <f ca="1">INDEX(INDIRECT($AF$6),
       MATCH(TRIM($S58), INDIRECT($AF$7), 0),
       MATCH(TRIM(U$13), INDIRECT($AF$8), 0))</f>
        <v>#N/A</v>
      </c>
      <c r="V58" s="14">
        <f ca="1">INDEX(INDIRECT($AF$6),
       MATCH(TRIM($S58), INDIRECT($AF$7), 0),
       MATCH(TRIM(V$13), INDIRECT($AF$8), 0))</f>
        <v>2.6715270000000002</v>
      </c>
      <c r="W58" s="14">
        <f ca="1">INDEX(INDIRECT($AF$6),
       MATCH(TRIM($S58), INDIRECT($AF$7), 0),
       MATCH(TRIM(W$13), INDIRECT($AF$8), 0))</f>
        <v>0</v>
      </c>
      <c r="X58" s="14" t="e">
        <f ca="1">INDEX(INDIRECT($AF$6),
       MATCH(TRIM($S58), INDIRECT($AF$7), 0),
       MATCH(TRIM(X$13), INDIRECT($AF$8), 0))</f>
        <v>#N/A</v>
      </c>
      <c r="Y58" s="14">
        <f ca="1">INDEX(INDIRECT($AF$6),
       MATCH(TRIM($S58), INDIRECT($AF$7), 0),
       MATCH(TRIM(Y$13), INDIRECT($AF$8), 0))</f>
        <v>0</v>
      </c>
      <c r="Z58" s="14">
        <f ca="1">INDEX(INDIRECT($AF$6),
       MATCH(TRIM($S58), INDIRECT($AF$7), 0),
       MATCH(TRIM(Z$13), INDIRECT($AF$8), 0))</f>
        <v>12</v>
      </c>
      <c r="AA58" s="14">
        <f ca="1">INDEX(INDIRECT($AF$6),
       MATCH(TRIM($S58), INDIRECT($AF$7), 0),
       MATCH(TRIM(AA$13), INDIRECT($AF$8), 0))</f>
        <v>2.4722209300000006</v>
      </c>
      <c r="AB58" s="14">
        <f t="shared" ca="1" si="0"/>
        <v>5.1437479300000009</v>
      </c>
    </row>
    <row r="59" spans="18:28" x14ac:dyDescent="0.2">
      <c r="R59">
        <v>46</v>
      </c>
      <c r="S59" t="s">
        <v>87</v>
      </c>
      <c r="T59" s="14">
        <f ca="1">INDEX(INDIRECT($AF$6),
       MATCH(TRIM($S59), INDIRECT($AF$7), 0),
       MATCH(TRIM(T$13), INDIRECT($AF$8), 0))</f>
        <v>2</v>
      </c>
      <c r="U59" s="14" t="e">
        <f ca="1">INDEX(INDIRECT($AF$6),
       MATCH(TRIM($S59), INDIRECT($AF$7), 0),
       MATCH(TRIM(U$13), INDIRECT($AF$8), 0))</f>
        <v>#N/A</v>
      </c>
      <c r="V59" s="14">
        <f ca="1">INDEX(INDIRECT($AF$6),
       MATCH(TRIM($S59), INDIRECT($AF$7), 0),
       MATCH(TRIM(V$13), INDIRECT($AF$8), 0))</f>
        <v>0.30106383000000003</v>
      </c>
      <c r="W59" s="14">
        <f ca="1">INDEX(INDIRECT($AF$6),
       MATCH(TRIM($S59), INDIRECT($AF$7), 0),
       MATCH(TRIM(W$13), INDIRECT($AF$8), 0))</f>
        <v>1</v>
      </c>
      <c r="X59" s="14" t="e">
        <f ca="1">INDEX(INDIRECT($AF$6),
       MATCH(TRIM($S59), INDIRECT($AF$7), 0),
       MATCH(TRIM(X$13), INDIRECT($AF$8), 0))</f>
        <v>#N/A</v>
      </c>
      <c r="Y59" s="14">
        <f ca="1">INDEX(INDIRECT($AF$6),
       MATCH(TRIM($S59), INDIRECT($AF$7), 0),
       MATCH(TRIM(Y$13), INDIRECT($AF$8), 0))</f>
        <v>0.3</v>
      </c>
      <c r="Z59" s="14">
        <f ca="1">INDEX(INDIRECT($AF$6),
       MATCH(TRIM($S59), INDIRECT($AF$7), 0),
       MATCH(TRIM(Z$13), INDIRECT($AF$8), 0))</f>
        <v>0</v>
      </c>
      <c r="AA59" s="14">
        <f ca="1">INDEX(INDIRECT($AF$6),
       MATCH(TRIM($S59), INDIRECT($AF$7), 0),
       MATCH(TRIM(AA$13), INDIRECT($AF$8), 0))</f>
        <v>0</v>
      </c>
      <c r="AB59" s="14">
        <f t="shared" ca="1" si="0"/>
        <v>0.60106382999999997</v>
      </c>
    </row>
    <row r="60" spans="18:28" x14ac:dyDescent="0.2">
      <c r="R60">
        <v>47</v>
      </c>
      <c r="S60" t="s">
        <v>85</v>
      </c>
      <c r="T60" s="14">
        <f ca="1">INDEX(INDIRECT($AF$6),
       MATCH(TRIM($S60), INDIRECT($AF$7), 0),
       MATCH(TRIM(T$13), INDIRECT($AF$8), 0))</f>
        <v>2</v>
      </c>
      <c r="U60" s="14" t="e">
        <f ca="1">INDEX(INDIRECT($AF$6),
       MATCH(TRIM($S60), INDIRECT($AF$7), 0),
       MATCH(TRIM(U$13), INDIRECT($AF$8), 0))</f>
        <v>#N/A</v>
      </c>
      <c r="V60" s="14">
        <f ca="1">INDEX(INDIRECT($AF$6),
       MATCH(TRIM($S60), INDIRECT($AF$7), 0),
       MATCH(TRIM(V$13), INDIRECT($AF$8), 0))</f>
        <v>20.71</v>
      </c>
      <c r="W60" s="14">
        <f ca="1">INDEX(INDIRECT($AF$6),
       MATCH(TRIM($S60), INDIRECT($AF$7), 0),
       MATCH(TRIM(W$13), INDIRECT($AF$8), 0))</f>
        <v>0</v>
      </c>
      <c r="X60" s="14" t="e">
        <f ca="1">INDEX(INDIRECT($AF$6),
       MATCH(TRIM($S60), INDIRECT($AF$7), 0),
       MATCH(TRIM(X$13), INDIRECT($AF$8), 0))</f>
        <v>#N/A</v>
      </c>
      <c r="Y60" s="14">
        <f ca="1">INDEX(INDIRECT($AF$6),
       MATCH(TRIM($S60), INDIRECT($AF$7), 0),
       MATCH(TRIM(Y$13), INDIRECT($AF$8), 0))</f>
        <v>0</v>
      </c>
      <c r="Z60" s="14">
        <f ca="1">INDEX(INDIRECT($AF$6),
       MATCH(TRIM($S60), INDIRECT($AF$7), 0),
       MATCH(TRIM(Z$13), INDIRECT($AF$8), 0))</f>
        <v>2</v>
      </c>
      <c r="AA60" s="14">
        <f ca="1">INDEX(INDIRECT($AF$6),
       MATCH(TRIM($S60), INDIRECT($AF$7), 0),
       MATCH(TRIM(AA$13), INDIRECT($AF$8), 0))</f>
        <v>0.117045</v>
      </c>
      <c r="AB60" s="14">
        <f t="shared" ca="1" si="0"/>
        <v>20.827045000000002</v>
      </c>
    </row>
    <row r="61" spans="18:28" x14ac:dyDescent="0.2">
      <c r="R61">
        <v>48</v>
      </c>
      <c r="S61" t="s">
        <v>82</v>
      </c>
      <c r="T61" s="14">
        <f ca="1">INDEX(INDIRECT($AF$6),
       MATCH(TRIM($S61), INDIRECT($AF$7), 0),
       MATCH(TRIM(T$13), INDIRECT($AF$8), 0))</f>
        <v>0</v>
      </c>
      <c r="U61" s="14" t="e">
        <f ca="1">INDEX(INDIRECT($AF$6),
       MATCH(TRIM($S61), INDIRECT($AF$7), 0),
       MATCH(TRIM(U$13), INDIRECT($AF$8), 0))</f>
        <v>#N/A</v>
      </c>
      <c r="V61" s="14">
        <f ca="1">INDEX(INDIRECT($AF$6),
       MATCH(TRIM($S61), INDIRECT($AF$7), 0),
       MATCH(TRIM(V$13), INDIRECT($AF$8), 0))</f>
        <v>0</v>
      </c>
      <c r="W61" s="14">
        <f ca="1">INDEX(INDIRECT($AF$6),
       MATCH(TRIM($S61), INDIRECT($AF$7), 0),
       MATCH(TRIM(W$13), INDIRECT($AF$8), 0))</f>
        <v>0</v>
      </c>
      <c r="X61" s="14" t="e">
        <f ca="1">INDEX(INDIRECT($AF$6),
       MATCH(TRIM($S61), INDIRECT($AF$7), 0),
       MATCH(TRIM(X$13), INDIRECT($AF$8), 0))</f>
        <v>#N/A</v>
      </c>
      <c r="Y61" s="14">
        <f ca="1">INDEX(INDIRECT($AF$6),
       MATCH(TRIM($S61), INDIRECT($AF$7), 0),
       MATCH(TRIM(Y$13), INDIRECT($AF$8), 0))</f>
        <v>0</v>
      </c>
      <c r="Z61" s="14">
        <f ca="1">INDEX(INDIRECT($AF$6),
       MATCH(TRIM($S61), INDIRECT($AF$7), 0),
       MATCH(TRIM(Z$13), INDIRECT($AF$8), 0))</f>
        <v>2</v>
      </c>
      <c r="AA61" s="14">
        <f ca="1">INDEX(INDIRECT($AF$6),
       MATCH(TRIM($S61), INDIRECT($AF$7), 0),
       MATCH(TRIM(AA$13), INDIRECT($AF$8), 0))</f>
        <v>0.47383472999999998</v>
      </c>
      <c r="AB61" s="14">
        <f t="shared" ca="1" si="0"/>
        <v>0.47383472999999998</v>
      </c>
    </row>
    <row r="62" spans="18:28" x14ac:dyDescent="0.2">
      <c r="R62">
        <v>49</v>
      </c>
      <c r="S62" t="s">
        <v>65</v>
      </c>
      <c r="T62" s="14">
        <f ca="1">INDEX(INDIRECT($AF$6),
       MATCH(TRIM($S62), INDIRECT($AF$7), 0),
       MATCH(TRIM(T$13), INDIRECT($AF$8), 0))</f>
        <v>2</v>
      </c>
      <c r="U62" s="14" t="e">
        <f ca="1">INDEX(INDIRECT($AF$6),
       MATCH(TRIM($S62), INDIRECT($AF$7), 0),
       MATCH(TRIM(U$13), INDIRECT($AF$8), 0))</f>
        <v>#N/A</v>
      </c>
      <c r="V62" s="14">
        <f ca="1">INDEX(INDIRECT($AF$6),
       MATCH(TRIM($S62), INDIRECT($AF$7), 0),
       MATCH(TRIM(V$13), INDIRECT($AF$8), 0))</f>
        <v>31.616689999999998</v>
      </c>
      <c r="W62" s="14">
        <f ca="1">INDEX(INDIRECT($AF$6),
       MATCH(TRIM($S62), INDIRECT($AF$7), 0),
       MATCH(TRIM(W$13), INDIRECT($AF$8), 0))</f>
        <v>1</v>
      </c>
      <c r="X62" s="14" t="e">
        <f ca="1">INDEX(INDIRECT($AF$6),
       MATCH(TRIM($S62), INDIRECT($AF$7), 0),
       MATCH(TRIM(X$13), INDIRECT($AF$8), 0))</f>
        <v>#N/A</v>
      </c>
      <c r="Y62" s="14">
        <f ca="1">INDEX(INDIRECT($AF$6),
       MATCH(TRIM($S62), INDIRECT($AF$7), 0),
       MATCH(TRIM(Y$13), INDIRECT($AF$8), 0))</f>
        <v>2</v>
      </c>
      <c r="Z62" s="14">
        <f ca="1">INDEX(INDIRECT($AF$6),
       MATCH(TRIM($S62), INDIRECT($AF$7), 0),
       MATCH(TRIM(Z$13), INDIRECT($AF$8), 0))</f>
        <v>7</v>
      </c>
      <c r="AA62" s="14">
        <f ca="1">INDEX(INDIRECT($AF$6),
       MATCH(TRIM($S62), INDIRECT($AF$7), 0),
       MATCH(TRIM(AA$13), INDIRECT($AF$8), 0))</f>
        <v>2.0558077400000001</v>
      </c>
      <c r="AB62" s="14">
        <f t="shared" ca="1" si="0"/>
        <v>35.672497739999997</v>
      </c>
    </row>
    <row r="63" spans="18:28" x14ac:dyDescent="0.2">
      <c r="R63">
        <v>50</v>
      </c>
      <c r="S63" t="s">
        <v>120</v>
      </c>
      <c r="T63" s="14" t="e">
        <f ca="1">INDEX(INDIRECT($AF$6),
       MATCH(TRIM($S63), INDIRECT($AF$7), 0),
       MATCH(TRIM(T$13), INDIRECT($AF$8), 0))</f>
        <v>#N/A</v>
      </c>
      <c r="U63" s="14" t="e">
        <f ca="1">INDEX(INDIRECT($AF$6),
       MATCH(TRIM($S63), INDIRECT($AF$7), 0),
       MATCH(TRIM(U$13), INDIRECT($AF$8), 0))</f>
        <v>#N/A</v>
      </c>
      <c r="V63" s="14" t="e">
        <f ca="1">INDEX(INDIRECT($AF$6),
       MATCH(TRIM($S63), INDIRECT($AF$7), 0),
       MATCH(TRIM(V$13), INDIRECT($AF$8), 0))</f>
        <v>#N/A</v>
      </c>
      <c r="W63" s="14" t="e">
        <f ca="1">INDEX(INDIRECT($AF$6),
       MATCH(TRIM($S63), INDIRECT($AF$7), 0),
       MATCH(TRIM(W$13), INDIRECT($AF$8), 0))</f>
        <v>#N/A</v>
      </c>
      <c r="X63" s="14" t="e">
        <f ca="1">INDEX(INDIRECT($AF$6),
       MATCH(TRIM($S63), INDIRECT($AF$7), 0),
       MATCH(TRIM(X$13), INDIRECT($AF$8), 0))</f>
        <v>#N/A</v>
      </c>
      <c r="Y63" s="14" t="e">
        <f ca="1">INDEX(INDIRECT($AF$6),
       MATCH(TRIM($S63), INDIRECT($AF$7), 0),
       MATCH(TRIM(Y$13), INDIRECT($AF$8), 0))</f>
        <v>#N/A</v>
      </c>
      <c r="Z63" s="14" t="e">
        <f ca="1">INDEX(INDIRECT($AF$6),
       MATCH(TRIM($S63), INDIRECT($AF$7), 0),
       MATCH(TRIM(Z$13), INDIRECT($AF$8), 0))</f>
        <v>#N/A</v>
      </c>
      <c r="AA63" s="14" t="e">
        <f ca="1">INDEX(INDIRECT($AF$6),
       MATCH(TRIM($S63), INDIRECT($AF$7), 0),
       MATCH(TRIM(AA$13), INDIRECT($AF$8), 0))</f>
        <v>#N/A</v>
      </c>
      <c r="AB63" s="14" t="e">
        <f t="shared" ca="1" si="0"/>
        <v>#N/A</v>
      </c>
    </row>
    <row r="64" spans="18:28" x14ac:dyDescent="0.2">
      <c r="R64">
        <v>51</v>
      </c>
      <c r="S64" t="s">
        <v>89</v>
      </c>
      <c r="T64" s="14">
        <f ca="1">INDEX(INDIRECT($AF$6),
       MATCH(TRIM($S64), INDIRECT($AF$7), 0),
       MATCH(TRIM(T$13), INDIRECT($AF$8), 0))</f>
        <v>1</v>
      </c>
      <c r="U64" s="14" t="e">
        <f ca="1">INDEX(INDIRECT($AF$6),
       MATCH(TRIM($S64), INDIRECT($AF$7), 0),
       MATCH(TRIM(U$13), INDIRECT($AF$8), 0))</f>
        <v>#N/A</v>
      </c>
      <c r="V64" s="14">
        <f ca="1">INDEX(INDIRECT($AF$6),
       MATCH(TRIM($S64), INDIRECT($AF$7), 0),
       MATCH(TRIM(V$13), INDIRECT($AF$8), 0))</f>
        <v>25</v>
      </c>
      <c r="W64" s="14">
        <f ca="1">INDEX(INDIRECT($AF$6),
       MATCH(TRIM($S64), INDIRECT($AF$7), 0),
       MATCH(TRIM(W$13), INDIRECT($AF$8), 0))</f>
        <v>0</v>
      </c>
      <c r="X64" s="14" t="e">
        <f ca="1">INDEX(INDIRECT($AF$6),
       MATCH(TRIM($S64), INDIRECT($AF$7), 0),
       MATCH(TRIM(X$13), INDIRECT($AF$8), 0))</f>
        <v>#N/A</v>
      </c>
      <c r="Y64" s="14">
        <f ca="1">INDEX(INDIRECT($AF$6),
       MATCH(TRIM($S64), INDIRECT($AF$7), 0),
       MATCH(TRIM(Y$13), INDIRECT($AF$8), 0))</f>
        <v>0</v>
      </c>
      <c r="Z64" s="14">
        <f ca="1">INDEX(INDIRECT($AF$6),
       MATCH(TRIM($S64), INDIRECT($AF$7), 0),
       MATCH(TRIM(Z$13), INDIRECT($AF$8), 0))</f>
        <v>0</v>
      </c>
      <c r="AA64" s="14">
        <f ca="1">INDEX(INDIRECT($AF$6),
       MATCH(TRIM($S64), INDIRECT($AF$7), 0),
       MATCH(TRIM(AA$13), INDIRECT($AF$8), 0))</f>
        <v>0</v>
      </c>
      <c r="AB64" s="14">
        <f t="shared" ca="1" si="0"/>
        <v>25</v>
      </c>
    </row>
    <row r="65" spans="18:29" x14ac:dyDescent="0.2">
      <c r="R65">
        <v>52</v>
      </c>
      <c r="S65" t="s">
        <v>74</v>
      </c>
      <c r="T65" s="14">
        <f ca="1">INDEX(INDIRECT($AF$6),
       MATCH(TRIM($S65), INDIRECT($AF$7), 0),
       MATCH(TRIM(T$13), INDIRECT($AF$8), 0))</f>
        <v>2</v>
      </c>
      <c r="U65" s="14" t="e">
        <f ca="1">INDEX(INDIRECT($AF$6),
       MATCH(TRIM($S65), INDIRECT($AF$7), 0),
       MATCH(TRIM(U$13), INDIRECT($AF$8), 0))</f>
        <v>#N/A</v>
      </c>
      <c r="V65" s="14">
        <f ca="1">INDEX(INDIRECT($AF$6),
       MATCH(TRIM($S65), INDIRECT($AF$7), 0),
       MATCH(TRIM(V$13), INDIRECT($AF$8), 0))</f>
        <v>44.313256000000003</v>
      </c>
      <c r="W65" s="14">
        <f ca="1">INDEX(INDIRECT($AF$6),
       MATCH(TRIM($S65), INDIRECT($AF$7), 0),
       MATCH(TRIM(W$13), INDIRECT($AF$8), 0))</f>
        <v>2</v>
      </c>
      <c r="X65" s="14" t="e">
        <f ca="1">INDEX(INDIRECT($AF$6),
       MATCH(TRIM($S65), INDIRECT($AF$7), 0),
       MATCH(TRIM(X$13), INDIRECT($AF$8), 0))</f>
        <v>#N/A</v>
      </c>
      <c r="Y65" s="14">
        <f ca="1">INDEX(INDIRECT($AF$6),
       MATCH(TRIM($S65), INDIRECT($AF$7), 0),
       MATCH(TRIM(Y$13), INDIRECT($AF$8), 0))</f>
        <v>10.892794</v>
      </c>
      <c r="Z65" s="14">
        <f ca="1">INDEX(INDIRECT($AF$6),
       MATCH(TRIM($S65), INDIRECT($AF$7), 0),
       MATCH(TRIM(Z$13), INDIRECT($AF$8), 0))</f>
        <v>8</v>
      </c>
      <c r="AA65" s="14">
        <f ca="1">INDEX(INDIRECT($AF$6),
       MATCH(TRIM($S65), INDIRECT($AF$7), 0),
       MATCH(TRIM(AA$13), INDIRECT($AF$8), 0))</f>
        <v>6.5300630000000002</v>
      </c>
      <c r="AB65" s="14">
        <f t="shared" ca="1" si="0"/>
        <v>61.736113000000003</v>
      </c>
    </row>
    <row r="66" spans="18:29" x14ac:dyDescent="0.2">
      <c r="R66">
        <v>53</v>
      </c>
      <c r="S66" t="s">
        <v>119</v>
      </c>
      <c r="T66" s="14">
        <f ca="1">INDEX(INDIRECT($AF$6),
       MATCH(TRIM($S66), INDIRECT($AF$7), 0),
       MATCH(TRIM(T$13), INDIRECT($AF$8), 0))</f>
        <v>0</v>
      </c>
      <c r="U66" s="14" t="e">
        <f ca="1">INDEX(INDIRECT($AF$6),
       MATCH(TRIM($S66), INDIRECT($AF$7), 0),
       MATCH(TRIM(U$13), INDIRECT($AF$8), 0))</f>
        <v>#N/A</v>
      </c>
      <c r="V66" s="14">
        <f ca="1">INDEX(INDIRECT($AF$6),
       MATCH(TRIM($S66), INDIRECT($AF$7), 0),
       MATCH(TRIM(V$13), INDIRECT($AF$8), 0))</f>
        <v>0</v>
      </c>
      <c r="W66" s="14">
        <f ca="1">INDEX(INDIRECT($AF$6),
       MATCH(TRIM($S66), INDIRECT($AF$7), 0),
       MATCH(TRIM(W$13), INDIRECT($AF$8), 0))</f>
        <v>0</v>
      </c>
      <c r="X66" s="14" t="e">
        <f ca="1">INDEX(INDIRECT($AF$6),
       MATCH(TRIM($S66), INDIRECT($AF$7), 0),
       MATCH(TRIM(X$13), INDIRECT($AF$8), 0))</f>
        <v>#N/A</v>
      </c>
      <c r="Y66" s="14">
        <f ca="1">INDEX(INDIRECT($AF$6),
       MATCH(TRIM($S66), INDIRECT($AF$7), 0),
       MATCH(TRIM(Y$13), INDIRECT($AF$8), 0))</f>
        <v>0</v>
      </c>
      <c r="Z66" s="14">
        <f ca="1">INDEX(INDIRECT($AF$6),
       MATCH(TRIM($S66), INDIRECT($AF$7), 0),
       MATCH(TRIM(Z$13), INDIRECT($AF$8), 0))</f>
        <v>1</v>
      </c>
      <c r="AA66" s="14">
        <f ca="1">INDEX(INDIRECT($AF$6),
       MATCH(TRIM($S66), INDIRECT($AF$7), 0),
       MATCH(TRIM(AA$13), INDIRECT($AF$8), 0))</f>
        <v>10.101756460000001</v>
      </c>
      <c r="AB66" s="14">
        <f t="shared" ca="1" si="0"/>
        <v>10.101756460000001</v>
      </c>
    </row>
    <row r="67" spans="18:29" x14ac:dyDescent="0.2">
      <c r="R67">
        <v>54</v>
      </c>
      <c r="S67" t="s">
        <v>136</v>
      </c>
      <c r="T67" s="14" t="e">
        <f ca="1">INDEX(INDIRECT($AF$6),
       MATCH(TRIM($S67), INDIRECT($AF$7), 0),
       MATCH(TRIM(T$13), INDIRECT($AF$8), 0))</f>
        <v>#N/A</v>
      </c>
      <c r="U67" s="14" t="e">
        <f ca="1">INDEX(INDIRECT($AF$6),
       MATCH(TRIM($S67), INDIRECT($AF$7), 0),
       MATCH(TRIM(U$13), INDIRECT($AF$8), 0))</f>
        <v>#N/A</v>
      </c>
      <c r="V67" s="14" t="e">
        <f ca="1">INDEX(INDIRECT($AF$6),
       MATCH(TRIM($S67), INDIRECT($AF$7), 0),
       MATCH(TRIM(V$13), INDIRECT($AF$8), 0))</f>
        <v>#N/A</v>
      </c>
      <c r="W67" s="14" t="e">
        <f ca="1">INDEX(INDIRECT($AF$6),
       MATCH(TRIM($S67), INDIRECT($AF$7), 0),
       MATCH(TRIM(W$13), INDIRECT($AF$8), 0))</f>
        <v>#N/A</v>
      </c>
      <c r="X67" s="14" t="e">
        <f ca="1">INDEX(INDIRECT($AF$6),
       MATCH(TRIM($S67), INDIRECT($AF$7), 0),
       MATCH(TRIM(X$13), INDIRECT($AF$8), 0))</f>
        <v>#N/A</v>
      </c>
      <c r="Y67" s="14" t="e">
        <f ca="1">INDEX(INDIRECT($AF$6),
       MATCH(TRIM($S67), INDIRECT($AF$7), 0),
       MATCH(TRIM(Y$13), INDIRECT($AF$8), 0))</f>
        <v>#N/A</v>
      </c>
      <c r="Z67" s="14" t="e">
        <f ca="1">INDEX(INDIRECT($AF$6),
       MATCH(TRIM($S67), INDIRECT($AF$7), 0),
       MATCH(TRIM(Z$13), INDIRECT($AF$8), 0))</f>
        <v>#N/A</v>
      </c>
      <c r="AA67" s="14" t="e">
        <f ca="1">INDEX(INDIRECT($AF$6),
       MATCH(TRIM($S67), INDIRECT($AF$7), 0),
       MATCH(TRIM(AA$13), INDIRECT($AF$8), 0))</f>
        <v>#N/A</v>
      </c>
      <c r="AB67" s="14" t="e">
        <f t="shared" ca="1" si="0"/>
        <v>#N/A</v>
      </c>
    </row>
    <row r="68" spans="18:29" x14ac:dyDescent="0.2">
      <c r="R68">
        <v>55</v>
      </c>
      <c r="S68" t="s">
        <v>117</v>
      </c>
      <c r="T68" s="14">
        <f ca="1">INDEX(INDIRECT($AF$6),
       MATCH(TRIM($S68), INDIRECT($AF$7), 0),
       MATCH(TRIM(T$13), INDIRECT($AF$8), 0))</f>
        <v>1</v>
      </c>
      <c r="U68" s="14" t="e">
        <f ca="1">INDEX(INDIRECT($AF$6),
       MATCH(TRIM($S68), INDIRECT($AF$7), 0),
       MATCH(TRIM(U$13), INDIRECT($AF$8), 0))</f>
        <v>#N/A</v>
      </c>
      <c r="V68" s="14">
        <f ca="1">INDEX(INDIRECT($AF$6),
       MATCH(TRIM($S68), INDIRECT($AF$7), 0),
       MATCH(TRIM(V$13), INDIRECT($AF$8), 0))</f>
        <v>2.1999999999999999E-2</v>
      </c>
      <c r="W68" s="14">
        <f ca="1">INDEX(INDIRECT($AF$6),
       MATCH(TRIM($S68), INDIRECT($AF$7), 0),
       MATCH(TRIM(W$13), INDIRECT($AF$8), 0))</f>
        <v>0</v>
      </c>
      <c r="X68" s="14" t="e">
        <f ca="1">INDEX(INDIRECT($AF$6),
       MATCH(TRIM($S68), INDIRECT($AF$7), 0),
       MATCH(TRIM(X$13), INDIRECT($AF$8), 0))</f>
        <v>#N/A</v>
      </c>
      <c r="Y68" s="14">
        <f ca="1">INDEX(INDIRECT($AF$6),
       MATCH(TRIM($S68), INDIRECT($AF$7), 0),
       MATCH(TRIM(Y$13), INDIRECT($AF$8), 0))</f>
        <v>0</v>
      </c>
      <c r="Z68" s="14">
        <f ca="1">INDEX(INDIRECT($AF$6),
       MATCH(TRIM($S68), INDIRECT($AF$7), 0),
       MATCH(TRIM(Z$13), INDIRECT($AF$8), 0))</f>
        <v>1</v>
      </c>
      <c r="AA68" s="14">
        <f ca="1">INDEX(INDIRECT($AF$6),
       MATCH(TRIM($S68), INDIRECT($AF$7), 0),
       MATCH(TRIM(AA$13), INDIRECT($AF$8), 0))</f>
        <v>0.14138176000000002</v>
      </c>
      <c r="AB68" s="14">
        <f t="shared" ca="1" si="0"/>
        <v>0.16338176000000001</v>
      </c>
    </row>
    <row r="69" spans="18:29" x14ac:dyDescent="0.2">
      <c r="R69">
        <v>56</v>
      </c>
      <c r="S69" t="s">
        <v>78</v>
      </c>
      <c r="T69" s="14">
        <f ca="1">INDEX(INDIRECT($AF$6),
       MATCH(TRIM($S69), INDIRECT($AF$7), 0),
       MATCH(TRIM(T$13), INDIRECT($AF$8), 0))</f>
        <v>0</v>
      </c>
      <c r="U69" s="14" t="e">
        <f ca="1">INDEX(INDIRECT($AF$6),
       MATCH(TRIM($S69), INDIRECT($AF$7), 0),
       MATCH(TRIM(U$13), INDIRECT($AF$8), 0))</f>
        <v>#N/A</v>
      </c>
      <c r="V69" s="14">
        <f ca="1">INDEX(INDIRECT($AF$6),
       MATCH(TRIM($S69), INDIRECT($AF$7), 0),
       MATCH(TRIM(V$13), INDIRECT($AF$8), 0))</f>
        <v>0</v>
      </c>
      <c r="W69" s="14">
        <f ca="1">INDEX(INDIRECT($AF$6),
       MATCH(TRIM($S69), INDIRECT($AF$7), 0),
       MATCH(TRIM(W$13), INDIRECT($AF$8), 0))</f>
        <v>0</v>
      </c>
      <c r="X69" s="14" t="e">
        <f ca="1">INDEX(INDIRECT($AF$6),
       MATCH(TRIM($S69), INDIRECT($AF$7), 0),
       MATCH(TRIM(X$13), INDIRECT($AF$8), 0))</f>
        <v>#N/A</v>
      </c>
      <c r="Y69" s="14">
        <f ca="1">INDEX(INDIRECT($AF$6),
       MATCH(TRIM($S69), INDIRECT($AF$7), 0),
       MATCH(TRIM(Y$13), INDIRECT($AF$8), 0))</f>
        <v>0</v>
      </c>
      <c r="Z69" s="14">
        <f ca="1">INDEX(INDIRECT($AF$6),
       MATCH(TRIM($S69), INDIRECT($AF$7), 0),
       MATCH(TRIM(Z$13), INDIRECT($AF$8), 0))</f>
        <v>1</v>
      </c>
      <c r="AA69" s="14">
        <f ca="1">INDEX(INDIRECT($AF$6),
       MATCH(TRIM($S69), INDIRECT($AF$7), 0),
       MATCH(TRIM(AA$13), INDIRECT($AF$8), 0))</f>
        <v>0.82793225999999998</v>
      </c>
      <c r="AB69" s="14">
        <f t="shared" ca="1" si="0"/>
        <v>0.82793225999999998</v>
      </c>
    </row>
    <row r="70" spans="18:29" x14ac:dyDescent="0.2">
      <c r="R70">
        <v>57</v>
      </c>
      <c r="S70" t="s">
        <v>118</v>
      </c>
      <c r="T70" s="14" t="e">
        <f ca="1">INDEX(INDIRECT($AF$6),
       MATCH(TRIM($S70), INDIRECT($AF$7), 0),
       MATCH(TRIM(T$13), INDIRECT($AF$8), 0))</f>
        <v>#N/A</v>
      </c>
      <c r="U70" s="14" t="e">
        <f ca="1">INDEX(INDIRECT($AF$6),
       MATCH(TRIM($S70), INDIRECT($AF$7), 0),
       MATCH(TRIM(U$13), INDIRECT($AF$8), 0))</f>
        <v>#N/A</v>
      </c>
      <c r="V70" s="14" t="e">
        <f ca="1">INDEX(INDIRECT($AF$6),
       MATCH(TRIM($S70), INDIRECT($AF$7), 0),
       MATCH(TRIM(V$13), INDIRECT($AF$8), 0))</f>
        <v>#N/A</v>
      </c>
      <c r="W70" s="14" t="e">
        <f ca="1">INDEX(INDIRECT($AF$6),
       MATCH(TRIM($S70), INDIRECT($AF$7), 0),
       MATCH(TRIM(W$13), INDIRECT($AF$8), 0))</f>
        <v>#N/A</v>
      </c>
      <c r="X70" s="14" t="e">
        <f ca="1">INDEX(INDIRECT($AF$6),
       MATCH(TRIM($S70), INDIRECT($AF$7), 0),
       MATCH(TRIM(X$13), INDIRECT($AF$8), 0))</f>
        <v>#N/A</v>
      </c>
      <c r="Y70" s="14" t="e">
        <f ca="1">INDEX(INDIRECT($AF$6),
       MATCH(TRIM($S70), INDIRECT($AF$7), 0),
       MATCH(TRIM(Y$13), INDIRECT($AF$8), 0))</f>
        <v>#N/A</v>
      </c>
      <c r="Z70" s="14" t="e">
        <f ca="1">INDEX(INDIRECT($AF$6),
       MATCH(TRIM($S70), INDIRECT($AF$7), 0),
       MATCH(TRIM(Z$13), INDIRECT($AF$8), 0))</f>
        <v>#N/A</v>
      </c>
      <c r="AA70" s="14" t="e">
        <f ca="1">INDEX(INDIRECT($AF$6),
       MATCH(TRIM($S70), INDIRECT($AF$7), 0),
       MATCH(TRIM(AA$13), INDIRECT($AF$8), 0))</f>
        <v>#N/A</v>
      </c>
      <c r="AB70" s="14" t="e">
        <f t="shared" ca="1" si="0"/>
        <v>#N/A</v>
      </c>
    </row>
    <row r="71" spans="18:29" x14ac:dyDescent="0.2">
      <c r="R71">
        <v>58</v>
      </c>
      <c r="S71" t="s">
        <v>134</v>
      </c>
      <c r="T71" s="14" t="e">
        <f ca="1">INDEX(INDIRECT($AF$6),
       MATCH(TRIM($S71), INDIRECT($AF$7), 0),
       MATCH(TRIM(T$13), INDIRECT($AF$8), 0))</f>
        <v>#N/A</v>
      </c>
      <c r="U71" s="14" t="e">
        <f ca="1">INDEX(INDIRECT($AF$6),
       MATCH(TRIM($S71), INDIRECT($AF$7), 0),
       MATCH(TRIM(U$13), INDIRECT($AF$8), 0))</f>
        <v>#N/A</v>
      </c>
      <c r="V71" s="14" t="e">
        <f ca="1">INDEX(INDIRECT($AF$6),
       MATCH(TRIM($S71), INDIRECT($AF$7), 0),
       MATCH(TRIM(V$13), INDIRECT($AF$8), 0))</f>
        <v>#N/A</v>
      </c>
      <c r="W71" s="14" t="e">
        <f ca="1">INDEX(INDIRECT($AF$6),
       MATCH(TRIM($S71), INDIRECT($AF$7), 0),
       MATCH(TRIM(W$13), INDIRECT($AF$8), 0))</f>
        <v>#N/A</v>
      </c>
      <c r="X71" s="14" t="e">
        <f ca="1">INDEX(INDIRECT($AF$6),
       MATCH(TRIM($S71), INDIRECT($AF$7), 0),
       MATCH(TRIM(X$13), INDIRECT($AF$8), 0))</f>
        <v>#N/A</v>
      </c>
      <c r="Y71" s="14" t="e">
        <f ca="1">INDEX(INDIRECT($AF$6),
       MATCH(TRIM($S71), INDIRECT($AF$7), 0),
       MATCH(TRIM(Y$13), INDIRECT($AF$8), 0))</f>
        <v>#N/A</v>
      </c>
      <c r="Z71" s="14" t="e">
        <f ca="1">INDEX(INDIRECT($AF$6),
       MATCH(TRIM($S71), INDIRECT($AF$7), 0),
       MATCH(TRIM(Z$13), INDIRECT($AF$8), 0))</f>
        <v>#N/A</v>
      </c>
      <c r="AA71" s="14" t="e">
        <f ca="1">INDEX(INDIRECT($AF$6),
       MATCH(TRIM($S71), INDIRECT($AF$7), 0),
       MATCH(TRIM(AA$13), INDIRECT($AF$8), 0))</f>
        <v>#N/A</v>
      </c>
      <c r="AB71" s="14" t="e">
        <f t="shared" ca="1" si="0"/>
        <v>#N/A</v>
      </c>
    </row>
    <row r="72" spans="18:29" x14ac:dyDescent="0.2">
      <c r="R72">
        <v>59</v>
      </c>
      <c r="S72" t="s">
        <v>121</v>
      </c>
      <c r="T72" s="14" t="e">
        <f ca="1">INDEX(INDIRECT($AF$6),
       MATCH(TRIM($S72), INDIRECT($AF$7), 0),
       MATCH(TRIM(T$13), INDIRECT($AF$8), 0))</f>
        <v>#N/A</v>
      </c>
      <c r="U72" s="14" t="e">
        <f t="shared" ref="U72:AB72" ca="1" si="2">INDEX(INDIRECT($AF$6),
       MATCH(TRIM($S72), INDIRECT($AF$7), 0),
       MATCH(TRIM(U$13), INDIRECT($AF$8), 0))</f>
        <v>#N/A</v>
      </c>
      <c r="V72" s="14" t="e">
        <f t="shared" ca="1" si="2"/>
        <v>#N/A</v>
      </c>
      <c r="W72" s="14" t="e">
        <f t="shared" ca="1" si="2"/>
        <v>#N/A</v>
      </c>
      <c r="X72" s="14" t="e">
        <f t="shared" ca="1" si="2"/>
        <v>#N/A</v>
      </c>
      <c r="Y72" s="14" t="e">
        <f t="shared" ca="1" si="2"/>
        <v>#N/A</v>
      </c>
      <c r="Z72" s="14" t="e">
        <f t="shared" ca="1" si="2"/>
        <v>#N/A</v>
      </c>
      <c r="AA72" s="14" t="e">
        <f t="shared" ca="1" si="2"/>
        <v>#N/A</v>
      </c>
      <c r="AB72" s="14" t="e">
        <f t="shared" ca="1" si="0"/>
        <v>#N/A</v>
      </c>
    </row>
    <row r="73" spans="18:29" x14ac:dyDescent="0.2">
      <c r="R73">
        <v>60</v>
      </c>
      <c r="S73" t="s">
        <v>135</v>
      </c>
      <c r="T73" s="14" t="e">
        <f t="shared" ref="T73:AB76" ca="1" si="3">INDEX(INDIRECT($AF$6),
       MATCH(TRIM($S73), INDIRECT($AF$7), 0),
       MATCH(TRIM(T$13), INDIRECT($AF$8), 0))</f>
        <v>#N/A</v>
      </c>
      <c r="U73" s="14" t="e">
        <f t="shared" ca="1" si="3"/>
        <v>#N/A</v>
      </c>
      <c r="V73" s="14" t="e">
        <f t="shared" ca="1" si="3"/>
        <v>#N/A</v>
      </c>
      <c r="W73" s="14" t="e">
        <f t="shared" ca="1" si="3"/>
        <v>#N/A</v>
      </c>
      <c r="X73" s="14" t="e">
        <f t="shared" ca="1" si="3"/>
        <v>#N/A</v>
      </c>
      <c r="Y73" s="14" t="e">
        <f t="shared" ca="1" si="3"/>
        <v>#N/A</v>
      </c>
      <c r="Z73" s="14" t="e">
        <f t="shared" ca="1" si="3"/>
        <v>#N/A</v>
      </c>
      <c r="AA73" s="14" t="e">
        <f t="shared" ca="1" si="3"/>
        <v>#N/A</v>
      </c>
      <c r="AB73" s="14" t="e">
        <f t="shared" ca="1" si="0"/>
        <v>#N/A</v>
      </c>
      <c r="AC73" s="91">
        <f t="shared" ref="AC73" si="4">SUM(AC14:AC72)</f>
        <v>0</v>
      </c>
    </row>
    <row r="74" spans="18:29" x14ac:dyDescent="0.2">
      <c r="R74">
        <v>61</v>
      </c>
      <c r="S74" t="s">
        <v>150</v>
      </c>
      <c r="T74" s="14" t="e">
        <f t="shared" ca="1" si="3"/>
        <v>#N/A</v>
      </c>
      <c r="U74" s="14" t="e">
        <f t="shared" ca="1" si="3"/>
        <v>#N/A</v>
      </c>
      <c r="V74" s="14" t="e">
        <f t="shared" ca="1" si="3"/>
        <v>#N/A</v>
      </c>
      <c r="W74" s="14" t="e">
        <f t="shared" ca="1" si="3"/>
        <v>#N/A</v>
      </c>
      <c r="X74" s="14" t="e">
        <f t="shared" ca="1" si="3"/>
        <v>#N/A</v>
      </c>
      <c r="Y74" s="14" t="e">
        <f t="shared" ca="1" si="3"/>
        <v>#N/A</v>
      </c>
      <c r="Z74" s="14" t="e">
        <f t="shared" ca="1" si="3"/>
        <v>#N/A</v>
      </c>
      <c r="AA74" s="14" t="e">
        <f t="shared" ca="1" si="3"/>
        <v>#N/A</v>
      </c>
      <c r="AB74" s="14" t="e">
        <f t="shared" ca="1" si="0"/>
        <v>#N/A</v>
      </c>
    </row>
    <row r="75" spans="18:29" x14ac:dyDescent="0.2">
      <c r="R75">
        <v>62</v>
      </c>
      <c r="S75" t="s">
        <v>86</v>
      </c>
      <c r="T75" s="14">
        <f t="shared" ca="1" si="3"/>
        <v>0</v>
      </c>
      <c r="U75" s="14" t="e">
        <f t="shared" ca="1" si="3"/>
        <v>#N/A</v>
      </c>
      <c r="V75" s="14">
        <f t="shared" ca="1" si="3"/>
        <v>0</v>
      </c>
      <c r="W75" s="14">
        <f t="shared" ca="1" si="3"/>
        <v>0</v>
      </c>
      <c r="X75" s="14" t="e">
        <f t="shared" ca="1" si="3"/>
        <v>#N/A</v>
      </c>
      <c r="Y75" s="14">
        <f t="shared" ca="1" si="3"/>
        <v>0</v>
      </c>
      <c r="Z75" s="14">
        <f t="shared" ca="1" si="3"/>
        <v>1</v>
      </c>
      <c r="AA75" s="14">
        <f t="shared" ca="1" si="3"/>
        <v>0.84445194999999995</v>
      </c>
      <c r="AB75" s="14">
        <f t="shared" ca="1" si="0"/>
        <v>0.84445194999999995</v>
      </c>
      <c r="AC75" s="91">
        <f>SUM(AC16:AC74)</f>
        <v>0</v>
      </c>
    </row>
    <row r="76" spans="18:29" x14ac:dyDescent="0.2">
      <c r="R76">
        <v>63</v>
      </c>
      <c r="S76" t="s">
        <v>122</v>
      </c>
      <c r="T76" s="14">
        <f t="shared" ca="1" si="3"/>
        <v>0</v>
      </c>
      <c r="U76" s="14" t="e">
        <f t="shared" ca="1" si="3"/>
        <v>#N/A</v>
      </c>
      <c r="V76" s="14">
        <f t="shared" ca="1" si="3"/>
        <v>0</v>
      </c>
      <c r="W76" s="14">
        <f t="shared" ca="1" si="3"/>
        <v>1</v>
      </c>
      <c r="X76" s="14" t="e">
        <f t="shared" ca="1" si="3"/>
        <v>#N/A</v>
      </c>
      <c r="Y76" s="14">
        <f t="shared" ca="1" si="3"/>
        <v>0.93399699999999997</v>
      </c>
      <c r="Z76" s="14">
        <f t="shared" ca="1" si="3"/>
        <v>2</v>
      </c>
      <c r="AA76" s="14">
        <f t="shared" ca="1" si="3"/>
        <v>1.6813770899999998</v>
      </c>
      <c r="AB76" s="14">
        <f t="shared" ca="1" si="0"/>
        <v>2.6153740899999995</v>
      </c>
      <c r="AC76" s="100"/>
    </row>
    <row r="77" spans="18:29" x14ac:dyDescent="0.2">
      <c r="R77" s="87" t="s">
        <v>26</v>
      </c>
      <c r="S77" s="88"/>
      <c r="T77" s="89" cm="1">
        <f t="array" aca="1" ref="T77" ca="1">SUM(IFERROR(T14:T76,0))</f>
        <v>3188</v>
      </c>
      <c r="U77" s="89" cm="1">
        <f t="array" aca="1" ref="U77" ca="1">SUM(IFERROR(U14:U76,0))</f>
        <v>0</v>
      </c>
      <c r="V77" s="89" cm="1">
        <f t="array" aca="1" ref="V77" ca="1">SUM(IFERROR(V14:V76,0))</f>
        <v>20185.622680219996</v>
      </c>
      <c r="W77" s="89" cm="1">
        <f t="array" aca="1" ref="W77" ca="1">SUM(IFERROR(W14:W76,0))</f>
        <v>1262</v>
      </c>
      <c r="X77" s="89" cm="1">
        <f t="array" aca="1" ref="X77" ca="1">SUM(IFERROR(X14:X76,0))</f>
        <v>0</v>
      </c>
      <c r="Y77" s="89" cm="1">
        <f t="array" aca="1" ref="Y77" ca="1">SUM(IFERROR(Y14:Y76,0))</f>
        <v>7880.7695484308479</v>
      </c>
      <c r="Z77" s="89" cm="1">
        <f t="array" aca="1" ref="Z77" ca="1">SUM(IFERROR(Z14:Z76,0))</f>
        <v>3451</v>
      </c>
      <c r="AA77" s="89" cm="1">
        <f t="array" aca="1" ref="AA77" ca="1">SUM(IFERROR(AA14:AA76,0))</f>
        <v>8541.2347161779817</v>
      </c>
      <c r="AB77" s="89" cm="1">
        <f t="array" aca="1" ref="AB77" ca="1">SUM(IFERROR(AB14:AB76,0))</f>
        <v>36607.626944828808</v>
      </c>
    </row>
  </sheetData>
  <mergeCells count="14">
    <mergeCell ref="R77:S77"/>
    <mergeCell ref="AB12:AB13"/>
    <mergeCell ref="A13:A14"/>
    <mergeCell ref="B13:B14"/>
    <mergeCell ref="C13:E13"/>
    <mergeCell ref="F13:H13"/>
    <mergeCell ref="I13:J13"/>
    <mergeCell ref="A3:I3"/>
    <mergeCell ref="R3:Z3"/>
    <mergeCell ref="A4:I4"/>
    <mergeCell ref="R4:Z4"/>
    <mergeCell ref="T12:V12"/>
    <mergeCell ref="W12:Y12"/>
    <mergeCell ref="Z12:AA12"/>
  </mergeCells>
  <conditionalFormatting sqref="S77">
    <cfRule type="duplicateValues" dxfId="7" priority="1" stopIfTrue="1"/>
    <cfRule type="duplicateValues" dxfId="6" priority="2" stopIfTrue="1"/>
  </conditionalFormatting>
  <conditionalFormatting sqref="S77">
    <cfRule type="duplicateValues" dxfId="5" priority="3" stopIfTrue="1"/>
    <cfRule type="duplicateValues" dxfId="4" priority="4" stopIfTrue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8D7D-2999-5C4F-9465-DCAC3E4AC8B9}">
  <dimension ref="A1:AF77"/>
  <sheetViews>
    <sheetView topLeftCell="V69" zoomScale="106" workbookViewId="0">
      <selection activeCell="AG13" sqref="AG13"/>
    </sheetView>
  </sheetViews>
  <sheetFormatPr baseColWidth="10" defaultRowHeight="16" x14ac:dyDescent="0.2"/>
  <cols>
    <col min="1" max="1" width="10.33203125" customWidth="1"/>
    <col min="3" max="3" width="8.6640625" bestFit="1" customWidth="1"/>
    <col min="4" max="4" width="14.6640625" bestFit="1" customWidth="1"/>
    <col min="5" max="5" width="9.83203125" bestFit="1" customWidth="1"/>
    <col min="6" max="6" width="10.5" bestFit="1" customWidth="1"/>
    <col min="7" max="7" width="13.6640625" bestFit="1" customWidth="1"/>
    <col min="8" max="8" width="9.83203125" bestFit="1" customWidth="1"/>
    <col min="9" max="9" width="12.1640625" bestFit="1" customWidth="1"/>
    <col min="10" max="11" width="12.1640625" customWidth="1"/>
    <col min="12" max="12" width="11.5" bestFit="1" customWidth="1"/>
    <col min="13" max="13" width="12.83203125" bestFit="1" customWidth="1"/>
    <col min="14" max="14" width="12.5" bestFit="1" customWidth="1"/>
    <col min="16" max="16" width="17.5" customWidth="1"/>
    <col min="17" max="17" width="19.33203125" customWidth="1"/>
    <col min="19" max="19" width="14.83203125" bestFit="1" customWidth="1"/>
    <col min="21" max="21" width="14.6640625" bestFit="1" customWidth="1"/>
    <col min="24" max="24" width="13.6640625" bestFit="1" customWidth="1"/>
    <col min="28" max="28" width="12" bestFit="1" customWidth="1"/>
  </cols>
  <sheetData>
    <row r="1" spans="1:32" x14ac:dyDescent="0.2">
      <c r="A1" s="45" t="s">
        <v>0</v>
      </c>
      <c r="B1" s="2"/>
      <c r="C1" s="18"/>
      <c r="D1" s="18"/>
      <c r="E1" s="19"/>
      <c r="F1" s="3"/>
      <c r="G1" s="18"/>
      <c r="H1" s="19"/>
      <c r="I1" s="20"/>
      <c r="J1" s="20"/>
      <c r="K1" s="20"/>
    </row>
    <row r="2" spans="1:32" x14ac:dyDescent="0.2">
      <c r="A2" s="5"/>
      <c r="B2" s="2"/>
      <c r="C2" s="18"/>
      <c r="D2" s="18"/>
      <c r="E2" s="19"/>
      <c r="F2" s="3"/>
      <c r="G2" s="18"/>
      <c r="H2" s="19"/>
      <c r="I2" s="18"/>
      <c r="J2" s="18"/>
      <c r="K2" s="18"/>
    </row>
    <row r="3" spans="1:32" x14ac:dyDescent="0.2">
      <c r="A3" s="15" t="s">
        <v>106</v>
      </c>
      <c r="B3" s="15"/>
      <c r="C3" s="15"/>
      <c r="D3" s="15"/>
      <c r="E3" s="15"/>
      <c r="F3" s="15"/>
      <c r="G3" s="15"/>
      <c r="H3" s="15"/>
      <c r="I3" s="15"/>
      <c r="J3" s="7"/>
      <c r="K3" s="7"/>
      <c r="R3" s="15" t="s">
        <v>32</v>
      </c>
      <c r="S3" s="15"/>
      <c r="T3" s="15"/>
      <c r="U3" s="15"/>
      <c r="V3" s="15"/>
      <c r="W3" s="15"/>
      <c r="X3" s="15"/>
      <c r="Y3" s="15"/>
      <c r="Z3" s="15"/>
    </row>
    <row r="4" spans="1:32" x14ac:dyDescent="0.2">
      <c r="A4" s="16" t="s">
        <v>1</v>
      </c>
      <c r="B4" s="16"/>
      <c r="C4" s="16"/>
      <c r="D4" s="16"/>
      <c r="E4" s="16"/>
      <c r="F4" s="16"/>
      <c r="G4" s="16"/>
      <c r="H4" s="16"/>
      <c r="I4" s="16"/>
      <c r="J4" s="1"/>
      <c r="K4" s="1"/>
      <c r="R4" s="16" t="s">
        <v>1</v>
      </c>
      <c r="S4" s="16"/>
      <c r="T4" s="16"/>
      <c r="U4" s="16"/>
      <c r="V4" s="16"/>
      <c r="W4" s="16"/>
      <c r="X4" s="16"/>
      <c r="Y4" s="16"/>
      <c r="Z4" s="16"/>
    </row>
    <row r="5" spans="1:3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0"/>
      <c r="M5" t="s">
        <v>92</v>
      </c>
      <c r="N5" t="s">
        <v>93</v>
      </c>
      <c r="O5" t="s">
        <v>94</v>
      </c>
      <c r="P5" t="s">
        <v>101</v>
      </c>
      <c r="R5" s="1"/>
      <c r="S5" s="1"/>
      <c r="T5" s="1"/>
      <c r="U5" s="1"/>
      <c r="V5" s="1"/>
      <c r="W5" s="1"/>
      <c r="X5" s="1"/>
      <c r="Y5" s="1"/>
      <c r="Z5" s="1"/>
      <c r="AB5" s="20"/>
      <c r="AC5" t="s">
        <v>92</v>
      </c>
      <c r="AD5" t="s">
        <v>93</v>
      </c>
      <c r="AE5" t="s">
        <v>94</v>
      </c>
      <c r="AF5" t="s">
        <v>101</v>
      </c>
    </row>
    <row r="6" spans="1:3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0" t="s">
        <v>90</v>
      </c>
      <c r="M6" s="18" t="s">
        <v>182</v>
      </c>
      <c r="N6" t="s">
        <v>183</v>
      </c>
      <c r="O6" t="s">
        <v>177</v>
      </c>
      <c r="P6" t="str">
        <f>_xlfn.CONCAT("'",M6,N6,"'","!",O6)</f>
        <v>'[FDI.2024(first-6-months).xlsx]Thang 6 2024'!$C$9:$K$26</v>
      </c>
      <c r="R6" s="1"/>
      <c r="S6" s="1"/>
      <c r="T6" s="1"/>
      <c r="U6" s="1"/>
      <c r="V6" s="1"/>
      <c r="W6" s="1"/>
      <c r="X6" s="1"/>
      <c r="Y6" s="1"/>
      <c r="Z6" s="1"/>
      <c r="AB6" s="50" t="s">
        <v>90</v>
      </c>
      <c r="AC6" s="18" t="str">
        <f>M6</f>
        <v>[FDI.2024(first-6-months).xlsx]</v>
      </c>
      <c r="AD6" t="str">
        <f>N6</f>
        <v>Thang 6 2024</v>
      </c>
      <c r="AE6" t="s">
        <v>184</v>
      </c>
      <c r="AF6" t="str">
        <f>_xlfn.CONCAT("'",AC6,AD6,"'","!",AE6)</f>
        <v>'[FDI.2024(first-6-months).xlsx]Thang 6 2024'!$C$125:$K$172</v>
      </c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50" t="s">
        <v>98</v>
      </c>
      <c r="M7" s="18" t="str">
        <f>M6</f>
        <v>[FDI.2024(first-6-months).xlsx]</v>
      </c>
      <c r="N7" t="str">
        <f>N6</f>
        <v>Thang 6 2024</v>
      </c>
      <c r="O7" t="s">
        <v>166</v>
      </c>
      <c r="P7" t="str">
        <f>_xlfn.CONCAT("'",M7,N7,"'","!",O7)</f>
        <v>'[FDI.2024(first-6-months).xlsx]Thang 6 2024'!$B$9:$B$26</v>
      </c>
      <c r="R7" s="1"/>
      <c r="S7" s="1"/>
      <c r="T7" s="1"/>
      <c r="U7" s="1"/>
      <c r="V7" s="1"/>
      <c r="W7" s="1"/>
      <c r="X7" s="1"/>
      <c r="Y7" s="1"/>
      <c r="Z7" s="1"/>
      <c r="AB7" s="50" t="s">
        <v>98</v>
      </c>
      <c r="AC7" s="18" t="str">
        <f>AC6</f>
        <v>[FDI.2024(first-6-months).xlsx]</v>
      </c>
      <c r="AD7" t="str">
        <f>AD6</f>
        <v>Thang 6 2024</v>
      </c>
      <c r="AE7" t="s">
        <v>185</v>
      </c>
      <c r="AF7" t="str">
        <f>_xlfn.CONCAT("'",AC7,AD7,"'","!",AE7)</f>
        <v>'[FDI.2024(first-6-months).xlsx]Thang 6 2024'!$B$125:$B$172</v>
      </c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50" t="s">
        <v>102</v>
      </c>
      <c r="M8" s="18" t="str">
        <f>M6</f>
        <v>[FDI.2024(first-6-months).xlsx]</v>
      </c>
      <c r="N8" t="str">
        <f>N6</f>
        <v>Thang 6 2024</v>
      </c>
      <c r="O8" t="s">
        <v>178</v>
      </c>
      <c r="P8" t="str">
        <f>_xlfn.CONCAT("'",M8,N8,"'","!",O8)</f>
        <v>'[FDI.2024(first-6-months).xlsx]Thang 6 2024'!$C$8:$K$8</v>
      </c>
      <c r="R8" s="1"/>
      <c r="S8" s="1"/>
      <c r="T8" s="1"/>
      <c r="U8" s="1"/>
      <c r="V8" s="1"/>
      <c r="W8" s="1"/>
      <c r="X8" s="1"/>
      <c r="Y8" s="1"/>
      <c r="Z8" s="1"/>
      <c r="AB8" s="50" t="s">
        <v>102</v>
      </c>
      <c r="AC8" s="18" t="str">
        <f>AC6</f>
        <v>[FDI.2024(first-6-months).xlsx]</v>
      </c>
      <c r="AD8" t="str">
        <f>AD6</f>
        <v>Thang 6 2024</v>
      </c>
      <c r="AE8" t="s">
        <v>186</v>
      </c>
      <c r="AF8" t="str">
        <f>_xlfn.CONCAT("'",AC8,AD8,"'","!",AE8)</f>
        <v>'[FDI.2024(first-6-months).xlsx]Thang 6 2024'!$C$124:$K$124</v>
      </c>
    </row>
    <row r="9" spans="1:32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50"/>
      <c r="M9" s="18"/>
      <c r="R9" s="1"/>
      <c r="S9" s="1"/>
      <c r="T9" s="1"/>
      <c r="U9" s="1"/>
      <c r="V9" s="1"/>
      <c r="W9" s="1"/>
      <c r="X9" s="1"/>
      <c r="Y9" s="1"/>
      <c r="Z9" s="1"/>
      <c r="AB9" s="50"/>
      <c r="AC9" s="18"/>
    </row>
    <row r="10" spans="1:32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50"/>
      <c r="M10" s="18"/>
      <c r="R10" s="1"/>
      <c r="S10" s="1"/>
      <c r="T10" s="1"/>
      <c r="U10" s="1"/>
      <c r="V10" s="1"/>
      <c r="W10" s="1"/>
      <c r="X10" s="1"/>
      <c r="Y10" s="1"/>
      <c r="Z10" s="1"/>
      <c r="AB10" s="50"/>
      <c r="AC10" s="18"/>
    </row>
    <row r="11" spans="1:32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50"/>
      <c r="M11" s="18"/>
      <c r="R11" s="1"/>
      <c r="S11" s="1"/>
      <c r="T11" s="1"/>
      <c r="U11" s="1"/>
      <c r="V11" s="1"/>
      <c r="W11" s="1"/>
      <c r="X11" s="1"/>
      <c r="Y11" s="1"/>
      <c r="Z11" s="1"/>
      <c r="AB11" s="50"/>
      <c r="AC11" s="18"/>
    </row>
    <row r="12" spans="1:32" ht="16" customHeight="1" thickBot="1" x14ac:dyDescent="0.25">
      <c r="A12" s="5"/>
      <c r="B12" s="2"/>
      <c r="C12" s="18"/>
      <c r="D12" s="18"/>
      <c r="E12" s="19"/>
      <c r="F12" s="3"/>
      <c r="G12" s="18"/>
      <c r="H12" s="19"/>
      <c r="I12" s="18"/>
      <c r="J12" s="18"/>
      <c r="K12" s="18"/>
      <c r="L12" s="18"/>
      <c r="M12" s="18"/>
      <c r="R12" s="17"/>
      <c r="S12" s="2"/>
      <c r="T12" s="52" t="s">
        <v>107</v>
      </c>
      <c r="U12" s="52"/>
      <c r="V12" s="52"/>
      <c r="W12" s="53" t="s">
        <v>108</v>
      </c>
      <c r="X12" s="53"/>
      <c r="Y12" s="53"/>
      <c r="Z12" s="54" t="s">
        <v>109</v>
      </c>
      <c r="AA12" s="54"/>
      <c r="AB12" s="55" t="s">
        <v>110</v>
      </c>
    </row>
    <row r="13" spans="1:32" ht="71" customHeight="1" thickTop="1" x14ac:dyDescent="0.2">
      <c r="A13" s="51" t="s">
        <v>2</v>
      </c>
      <c r="B13" s="51" t="s">
        <v>3</v>
      </c>
      <c r="C13" s="80" t="s">
        <v>107</v>
      </c>
      <c r="D13" s="81"/>
      <c r="E13" s="82"/>
      <c r="F13" s="77" t="s">
        <v>108</v>
      </c>
      <c r="G13" s="78"/>
      <c r="H13" s="79"/>
      <c r="I13" s="75" t="s">
        <v>109</v>
      </c>
      <c r="J13" s="76"/>
      <c r="K13" s="65"/>
      <c r="L13" s="48"/>
      <c r="M13" s="48"/>
      <c r="R13" s="8" t="s">
        <v>2</v>
      </c>
      <c r="S13" s="9" t="s">
        <v>33</v>
      </c>
      <c r="T13" s="57" t="s">
        <v>27</v>
      </c>
      <c r="U13" s="57" t="s">
        <v>28</v>
      </c>
      <c r="V13" s="58" t="s">
        <v>29</v>
      </c>
      <c r="W13" s="74" t="s">
        <v>147</v>
      </c>
      <c r="X13" s="72" t="s">
        <v>148</v>
      </c>
      <c r="Y13" s="94" t="s">
        <v>149</v>
      </c>
      <c r="Z13" s="61" t="s">
        <v>126</v>
      </c>
      <c r="AA13" s="73" t="s">
        <v>127</v>
      </c>
      <c r="AB13" s="62"/>
    </row>
    <row r="14" spans="1:32" ht="84" x14ac:dyDescent="0.2">
      <c r="A14" s="56"/>
      <c r="B14" s="56"/>
      <c r="C14" s="72" t="s">
        <v>27</v>
      </c>
      <c r="D14" s="57" t="s">
        <v>28</v>
      </c>
      <c r="E14" s="58" t="s">
        <v>29</v>
      </c>
      <c r="F14" s="74" t="s">
        <v>147</v>
      </c>
      <c r="G14" s="72" t="s">
        <v>148</v>
      </c>
      <c r="H14" s="94" t="s">
        <v>149</v>
      </c>
      <c r="I14" s="61" t="s">
        <v>126</v>
      </c>
      <c r="J14" s="73" t="s">
        <v>127</v>
      </c>
      <c r="K14" s="66" t="s">
        <v>110</v>
      </c>
      <c r="L14" s="49"/>
      <c r="M14" s="49"/>
      <c r="R14">
        <v>1</v>
      </c>
      <c r="S14" t="s">
        <v>42</v>
      </c>
      <c r="T14" s="14">
        <f ca="1">INDEX(INDIRECT($AF$6),
       MATCH(TRIM($S14), INDIRECT($AF$7), 0),
       MATCH(TRIM(T$13), INDIRECT($AF$8), 0))</f>
        <v>120</v>
      </c>
      <c r="U14" s="14" t="e">
        <f ca="1">INDEX(INDIRECT($AF$6),
       MATCH(TRIM($S14), INDIRECT($AF$7), 0),
       MATCH(TRIM(U$13), INDIRECT($AF$8), 0))</f>
        <v>#N/A</v>
      </c>
      <c r="V14" s="14">
        <f ca="1">INDEX(INDIRECT($AF$6),
       MATCH(TRIM($S14), INDIRECT($AF$7), 0),
       MATCH(TRIM(V$13), INDIRECT($AF$8), 0))</f>
        <v>1036.9082862499999</v>
      </c>
      <c r="W14" s="14">
        <f ca="1">INDEX(INDIRECT($AF$6),
       MATCH(TRIM($S14), INDIRECT($AF$7), 0),
       MATCH(TRIM(W$13), INDIRECT($AF$8), 0))</f>
        <v>79</v>
      </c>
      <c r="X14" s="14" t="e">
        <f ca="1">INDEX(INDIRECT($AF$6),
       MATCH(TRIM($S14), INDIRECT($AF$7), 0),
       MATCH(TRIM(X$13), INDIRECT($AF$8), 0))</f>
        <v>#N/A</v>
      </c>
      <c r="Y14" s="14">
        <f ca="1">INDEX(INDIRECT($AF$6),
       MATCH(TRIM($S14), INDIRECT($AF$7), 0),
       MATCH(TRIM(Y$13), INDIRECT($AF$8), 0))</f>
        <v>55.654967379999995</v>
      </c>
      <c r="Z14" s="14">
        <f ca="1">INDEX(INDIRECT($AF$6),
       MATCH(TRIM($S14), INDIRECT($AF$7), 0),
       MATCH(TRIM(Z$13), INDIRECT($AF$8), 0))</f>
        <v>102</v>
      </c>
      <c r="AA14" s="14">
        <f ca="1">INDEX(INDIRECT($AF$6),
       MATCH(TRIM($S14), INDIRECT($AF$7), 0),
       MATCH(TRIM(AA$13), INDIRECT($AF$8), 0))</f>
        <v>89.54765999</v>
      </c>
      <c r="AB14" s="14">
        <f ca="1">V14+Y14+AA14</f>
        <v>1182.11091362</v>
      </c>
    </row>
    <row r="15" spans="1:32" ht="57" x14ac:dyDescent="0.2">
      <c r="A15" s="26">
        <v>1</v>
      </c>
      <c r="B15" s="27" t="s">
        <v>7</v>
      </c>
      <c r="C15" s="28">
        <f ca="1">INDEX(INDIRECT($P$6),
       MATCH(TRIM($B15), INDIRECT($P$7), 0),
       MATCH(TRIM(C$14), INDIRECT($P$8), 0))</f>
        <v>541</v>
      </c>
      <c r="D15" s="28" t="e">
        <f ca="1">INDEX(INDIRECT($P$6),
       MATCH(TRIM($B15), INDIRECT($P$7), 0),
       MATCH(TRIM(D$14), INDIRECT($P$8), 0))</f>
        <v>#N/A</v>
      </c>
      <c r="E15" s="28">
        <f ca="1">INDEX(INDIRECT($P$6),
       MATCH(TRIM($B15), INDIRECT($P$7), 0),
       MATCH(TRIM(E$14), INDIRECT($P$8), 0))</f>
        <v>6826.0056527200004</v>
      </c>
      <c r="F15" s="28">
        <f ca="1">INDEX(INDIRECT($P$6),
       MATCH(TRIM($B15), INDIRECT($P$7), 0),
       MATCH(TRIM(F$14), INDIRECT($P$8), 0))</f>
        <v>390</v>
      </c>
      <c r="G15" s="28" t="e">
        <f ca="1">INDEX(INDIRECT($P$6),
       MATCH(TRIM($B15), INDIRECT($P$7), 0),
       MATCH(TRIM(G$14), INDIRECT($P$8), 0))</f>
        <v>#N/A</v>
      </c>
      <c r="H15" s="28">
        <f ca="1">INDEX(INDIRECT($P$6),
       MATCH(TRIM($B15), INDIRECT($P$7), 0),
       MATCH(TRIM(H$14), INDIRECT($P$8), 0))</f>
        <v>3539.9941784062498</v>
      </c>
      <c r="I15" s="28">
        <f ca="1">INDEX(INDIRECT($P$6),
       MATCH(TRIM($B15), INDIRECT($P$7), 0),
       MATCH(TRIM(I$14), INDIRECT($P$8), 0))</f>
        <v>190</v>
      </c>
      <c r="J15" s="28">
        <f ca="1">INDEX(INDIRECT($P$6),
       MATCH(TRIM($B15), INDIRECT($P$7), 0),
       MATCH(TRIM(J$14), INDIRECT($P$8), 0))</f>
        <v>323.14804267999995</v>
      </c>
      <c r="K15" s="28">
        <f ca="1">E15+H15+J15</f>
        <v>10689.147873806251</v>
      </c>
      <c r="L15" s="46"/>
      <c r="M15" s="46"/>
      <c r="R15">
        <v>2</v>
      </c>
      <c r="S15" t="s">
        <v>37</v>
      </c>
      <c r="T15" s="14">
        <f ca="1">INDEX(INDIRECT($AF$6),
       MATCH(TRIM($S15), INDIRECT($AF$7), 0),
       MATCH(TRIM(T$13), INDIRECT($AF$8), 0))</f>
        <v>597</v>
      </c>
      <c r="U15" s="14" t="e">
        <f ca="1">INDEX(INDIRECT($AF$6),
       MATCH(TRIM($S15), INDIRECT($AF$7), 0),
       MATCH(TRIM(U$13), INDIRECT($AF$8), 0))</f>
        <v>#N/A</v>
      </c>
      <c r="V15" s="14">
        <f ca="1">INDEX(INDIRECT($AF$6),
       MATCH(TRIM($S15), INDIRECT($AF$7), 0),
       MATCH(TRIM(V$13), INDIRECT($AF$8), 0))</f>
        <v>192.64746200999997</v>
      </c>
      <c r="W15" s="14">
        <f ca="1">INDEX(INDIRECT($AF$6),
       MATCH(TRIM($S15), INDIRECT($AF$7), 0),
       MATCH(TRIM(W$13), INDIRECT($AF$8), 0))</f>
        <v>79</v>
      </c>
      <c r="X15" s="14" t="e">
        <f ca="1">INDEX(INDIRECT($AF$6),
       MATCH(TRIM($S15), INDIRECT($AF$7), 0),
       MATCH(TRIM(X$13), INDIRECT($AF$8), 0))</f>
        <v>#N/A</v>
      </c>
      <c r="Y15" s="14">
        <f ca="1">INDEX(INDIRECT($AF$6),
       MATCH(TRIM($S15), INDIRECT($AF$7), 0),
       MATCH(TRIM(Y$13), INDIRECT($AF$8), 0))</f>
        <v>107.00646922119141</v>
      </c>
      <c r="Z15" s="14">
        <f ca="1">INDEX(INDIRECT($AF$6),
       MATCH(TRIM($S15), INDIRECT($AF$7), 0),
       MATCH(TRIM(Z$13), INDIRECT($AF$8), 0))</f>
        <v>1015</v>
      </c>
      <c r="AA15" s="14">
        <f ca="1">INDEX(INDIRECT($AF$6),
       MATCH(TRIM($S15), INDIRECT($AF$7), 0),
       MATCH(TRIM(AA$13), INDIRECT($AF$8), 0))</f>
        <v>821.34180730000026</v>
      </c>
      <c r="AB15" s="14">
        <f t="shared" ref="AB15:AB76" ca="1" si="0">V15+Y15+AA15</f>
        <v>1120.9957385311916</v>
      </c>
    </row>
    <row r="16" spans="1:32" ht="71" x14ac:dyDescent="0.2">
      <c r="A16" s="26">
        <v>2</v>
      </c>
      <c r="B16" s="27" t="s">
        <v>8</v>
      </c>
      <c r="C16" s="28">
        <f ca="1">INDEX(INDIRECT($P$6),
       MATCH(TRIM($B16), INDIRECT($P$7), 0),
       MATCH(TRIM(C$14), INDIRECT($P$8), 0))</f>
        <v>2</v>
      </c>
      <c r="D16" s="28" t="e">
        <f ca="1">INDEX(INDIRECT($P$6),
       MATCH(TRIM($B16), INDIRECT($P$7), 0),
       MATCH(TRIM(D$14), INDIRECT($P$8), 0))</f>
        <v>#N/A</v>
      </c>
      <c r="E16" s="28">
        <f ca="1">INDEX(INDIRECT($P$6),
       MATCH(TRIM($B16), INDIRECT($P$7), 0),
       MATCH(TRIM(E$14), INDIRECT($P$8), 0))</f>
        <v>118.00064751000001</v>
      </c>
      <c r="F16" s="28">
        <f ca="1">INDEX(INDIRECT($P$6),
       MATCH(TRIM($B16), INDIRECT($P$7), 0),
       MATCH(TRIM(F$14), INDIRECT($P$8), 0))</f>
        <v>0</v>
      </c>
      <c r="G16" s="28" t="e">
        <f ca="1">INDEX(INDIRECT($P$6),
       MATCH(TRIM($B16), INDIRECT($P$7), 0),
       MATCH(TRIM(G$14), INDIRECT($P$8), 0))</f>
        <v>#N/A</v>
      </c>
      <c r="H16" s="28">
        <f ca="1">INDEX(INDIRECT($P$6),
       MATCH(TRIM($B16), INDIRECT($P$7), 0),
       MATCH(TRIM(H$14), INDIRECT($P$8), 0))</f>
        <v>0</v>
      </c>
      <c r="I16" s="28">
        <f ca="1">INDEX(INDIRECT($P$6),
       MATCH(TRIM($B16), INDIRECT($P$7), 0),
       MATCH(TRIM(I$14), INDIRECT($P$8), 0))</f>
        <v>5</v>
      </c>
      <c r="J16" s="28">
        <f ca="1">INDEX(INDIRECT($P$6),
       MATCH(TRIM($B16), INDIRECT($P$7), 0),
       MATCH(TRIM(J$14), INDIRECT($P$8), 0))</f>
        <v>30.778100379869564</v>
      </c>
      <c r="K16" s="28">
        <f t="shared" ref="K16:K33" ca="1" si="1">E16+H16+J16</f>
        <v>148.77874788986958</v>
      </c>
      <c r="L16" s="46"/>
      <c r="M16" s="46"/>
      <c r="R16">
        <v>3</v>
      </c>
      <c r="S16" t="s">
        <v>39</v>
      </c>
      <c r="T16" s="14">
        <f ca="1">INDEX(INDIRECT($AF$6),
       MATCH(TRIM($S16), INDIRECT($AF$7), 0),
       MATCH(TRIM(T$13), INDIRECT($AF$8), 0))</f>
        <v>88</v>
      </c>
      <c r="U16" s="14" t="e">
        <f ca="1">INDEX(INDIRECT($AF$6),
       MATCH(TRIM($S16), INDIRECT($AF$7), 0),
       MATCH(TRIM(U$13), INDIRECT($AF$8), 0))</f>
        <v>#N/A</v>
      </c>
      <c r="V16" s="14">
        <f ca="1">INDEX(INDIRECT($AF$6),
       MATCH(TRIM($S16), INDIRECT($AF$7), 0),
       MATCH(TRIM(V$13), INDIRECT($AF$8), 0))</f>
        <v>318.77570535999996</v>
      </c>
      <c r="W16" s="14">
        <f ca="1">INDEX(INDIRECT($AF$6),
       MATCH(TRIM($S16), INDIRECT($AF$7), 0),
       MATCH(TRIM(W$13), INDIRECT($AF$8), 0))</f>
        <v>63</v>
      </c>
      <c r="X16" s="14" t="e">
        <f ca="1">INDEX(INDIRECT($AF$6),
       MATCH(TRIM($S16), INDIRECT($AF$7), 0),
       MATCH(TRIM(X$13), INDIRECT($AF$8), 0))</f>
        <v>#N/A</v>
      </c>
      <c r="Y16" s="14">
        <f ca="1">INDEX(INDIRECT($AF$6),
       MATCH(TRIM($S16), INDIRECT($AF$7), 0),
       MATCH(TRIM(Y$13), INDIRECT($AF$8), 0))</f>
        <v>261.01168124999998</v>
      </c>
      <c r="Z16" s="14">
        <f ca="1">INDEX(INDIRECT($AF$6),
       MATCH(TRIM($S16), INDIRECT($AF$7), 0),
       MATCH(TRIM(Z$13), INDIRECT($AF$8), 0))</f>
        <v>77</v>
      </c>
      <c r="AA16" s="14">
        <f ca="1">INDEX(INDIRECT($AF$6),
       MATCH(TRIM($S16), INDIRECT($AF$7), 0),
       MATCH(TRIM(AA$13), INDIRECT($AF$8), 0))</f>
        <v>89.331147169999966</v>
      </c>
      <c r="AB16" s="14">
        <f t="shared" ca="1" si="0"/>
        <v>669.11853377999989</v>
      </c>
    </row>
    <row r="17" spans="1:28" ht="57" x14ac:dyDescent="0.2">
      <c r="A17" s="26">
        <v>3</v>
      </c>
      <c r="B17" s="27" t="s">
        <v>9</v>
      </c>
      <c r="C17" s="28">
        <f ca="1">INDEX(INDIRECT($P$6),
       MATCH(TRIM($B17), INDIRECT($P$7), 0),
       MATCH(TRIM(C$14), INDIRECT($P$8), 0))</f>
        <v>37</v>
      </c>
      <c r="D17" s="28" t="e">
        <f ca="1">INDEX(INDIRECT($P$6),
       MATCH(TRIM($B17), INDIRECT($P$7), 0),
       MATCH(TRIM(D$14), INDIRECT($P$8), 0))</f>
        <v>#N/A</v>
      </c>
      <c r="E17" s="28">
        <f ca="1">INDEX(INDIRECT($P$6),
       MATCH(TRIM($B17), INDIRECT($P$7), 0),
       MATCH(TRIM(E$14), INDIRECT($P$8), 0))</f>
        <v>1893.10590241</v>
      </c>
      <c r="F17" s="28">
        <f ca="1">INDEX(INDIRECT($P$6),
       MATCH(TRIM($B17), INDIRECT($P$7), 0),
       MATCH(TRIM(F$14), INDIRECT($P$8), 0))</f>
        <v>20</v>
      </c>
      <c r="G17" s="28" t="e">
        <f ca="1">INDEX(INDIRECT($P$6),
       MATCH(TRIM($B17), INDIRECT($P$7), 0),
       MATCH(TRIM(G$14), INDIRECT($P$8), 0))</f>
        <v>#N/A</v>
      </c>
      <c r="H17" s="28">
        <f ca="1">INDEX(INDIRECT($P$6),
       MATCH(TRIM($B17), INDIRECT($P$7), 0),
       MATCH(TRIM(H$14), INDIRECT($P$8), 0))</f>
        <v>98.135739000000001</v>
      </c>
      <c r="I17" s="28">
        <f ca="1">INDEX(INDIRECT($P$6),
       MATCH(TRIM($B17), INDIRECT($P$7), 0),
       MATCH(TRIM(I$14), INDIRECT($P$8), 0))</f>
        <v>31</v>
      </c>
      <c r="J17" s="28">
        <f ca="1">INDEX(INDIRECT($P$6),
       MATCH(TRIM($B17), INDIRECT($P$7), 0),
       MATCH(TRIM(J$14), INDIRECT($P$8), 0))</f>
        <v>480.29133308999997</v>
      </c>
      <c r="K17" s="28">
        <f t="shared" ca="1" si="1"/>
        <v>2471.5329744999999</v>
      </c>
      <c r="L17" s="46"/>
      <c r="M17" s="46"/>
      <c r="R17">
        <v>4</v>
      </c>
      <c r="S17" t="s">
        <v>41</v>
      </c>
      <c r="T17" s="14">
        <f ca="1">INDEX(INDIRECT($AF$6),
       MATCH(TRIM($S17), INDIRECT($AF$7), 0),
       MATCH(TRIM(T$13), INDIRECT($AF$8), 0))</f>
        <v>48</v>
      </c>
      <c r="U17" s="14" t="e">
        <f ca="1">INDEX(INDIRECT($AF$6),
       MATCH(TRIM($S17), INDIRECT($AF$7), 0),
       MATCH(TRIM(U$13), INDIRECT($AF$8), 0))</f>
        <v>#N/A</v>
      </c>
      <c r="V17" s="14">
        <f ca="1">INDEX(INDIRECT($AF$6),
       MATCH(TRIM($S17), INDIRECT($AF$7), 0),
       MATCH(TRIM(V$13), INDIRECT($AF$8), 0))</f>
        <v>570.63430000000005</v>
      </c>
      <c r="W17" s="14">
        <f ca="1">INDEX(INDIRECT($AF$6),
       MATCH(TRIM($S17), INDIRECT($AF$7), 0),
       MATCH(TRIM(W$13), INDIRECT($AF$8), 0))</f>
        <v>40</v>
      </c>
      <c r="X17" s="14" t="e">
        <f ca="1">INDEX(INDIRECT($AF$6),
       MATCH(TRIM($S17), INDIRECT($AF$7), 0),
       MATCH(TRIM(X$13), INDIRECT($AF$8), 0))</f>
        <v>#N/A</v>
      </c>
      <c r="Y17" s="14">
        <f ca="1">INDEX(INDIRECT($AF$6),
       MATCH(TRIM($S17), INDIRECT($AF$7), 0),
       MATCH(TRIM(Y$13), INDIRECT($AF$8), 0))</f>
        <v>242.90185124999999</v>
      </c>
      <c r="Z17" s="14">
        <f ca="1">INDEX(INDIRECT($AF$6),
       MATCH(TRIM($S17), INDIRECT($AF$7), 0),
       MATCH(TRIM(Z$13), INDIRECT($AF$8), 0))</f>
        <v>20</v>
      </c>
      <c r="AA17" s="14">
        <f ca="1">INDEX(INDIRECT($AF$6),
       MATCH(TRIM($S17), INDIRECT($AF$7), 0),
       MATCH(TRIM(AA$13), INDIRECT($AF$8), 0))</f>
        <v>123.93534785986957</v>
      </c>
      <c r="AB17" s="14">
        <f t="shared" ca="1" si="0"/>
        <v>937.47149910986968</v>
      </c>
    </row>
    <row r="18" spans="1:28" x14ac:dyDescent="0.2">
      <c r="A18" s="26">
        <v>4</v>
      </c>
      <c r="B18" s="27" t="s">
        <v>10</v>
      </c>
      <c r="C18" s="28">
        <f ca="1">INDEX(INDIRECT($P$6),
       MATCH(TRIM($B18), INDIRECT($P$7), 0),
       MATCH(TRIM(C$14), INDIRECT($P$8), 0))</f>
        <v>25</v>
      </c>
      <c r="D18" s="28" t="e">
        <f ca="1">INDEX(INDIRECT($P$6),
       MATCH(TRIM($B18), INDIRECT($P$7), 0),
       MATCH(TRIM(D$14), INDIRECT($P$8), 0))</f>
        <v>#N/A</v>
      </c>
      <c r="E18" s="28">
        <f ca="1">INDEX(INDIRECT($P$6),
       MATCH(TRIM($B18), INDIRECT($P$7), 0),
       MATCH(TRIM(E$14), INDIRECT($P$8), 0))</f>
        <v>10.181926000000001</v>
      </c>
      <c r="F18" s="28">
        <f ca="1">INDEX(INDIRECT($P$6),
       MATCH(TRIM($B18), INDIRECT($P$7), 0),
       MATCH(TRIM(F$14), INDIRECT($P$8), 0))</f>
        <v>17</v>
      </c>
      <c r="G18" s="28" t="e">
        <f ca="1">INDEX(INDIRECT($P$6),
       MATCH(TRIM($B18), INDIRECT($P$7), 0),
       MATCH(TRIM(G$14), INDIRECT($P$8), 0))</f>
        <v>#N/A</v>
      </c>
      <c r="H18" s="28">
        <f ca="1">INDEX(INDIRECT($P$6),
       MATCH(TRIM($B18), INDIRECT($P$7), 0),
       MATCH(TRIM(H$14), INDIRECT($P$8), 0))</f>
        <v>16.666286171875001</v>
      </c>
      <c r="I18" s="28">
        <f ca="1">INDEX(INDIRECT($P$6),
       MATCH(TRIM($B18), INDIRECT($P$7), 0),
       MATCH(TRIM(I$14), INDIRECT($P$8), 0))</f>
        <v>32</v>
      </c>
      <c r="J18" s="28">
        <f ca="1">INDEX(INDIRECT($P$6),
       MATCH(TRIM($B18), INDIRECT($P$7), 0),
       MATCH(TRIM(J$14), INDIRECT($P$8), 0))</f>
        <v>16.648782430000001</v>
      </c>
      <c r="K18" s="28">
        <f t="shared" ca="1" si="1"/>
        <v>43.496994601875002</v>
      </c>
      <c r="L18" s="46"/>
      <c r="M18" s="46"/>
      <c r="R18">
        <v>5</v>
      </c>
      <c r="S18" t="s">
        <v>38</v>
      </c>
      <c r="T18" s="14">
        <f ca="1">INDEX(INDIRECT($AF$6),
       MATCH(TRIM($S18), INDIRECT($AF$7), 0),
       MATCH(TRIM(T$13), INDIRECT($AF$8), 0))</f>
        <v>224</v>
      </c>
      <c r="U18" s="14" t="e">
        <f ca="1">INDEX(INDIRECT($AF$6),
       MATCH(TRIM($S18), INDIRECT($AF$7), 0),
       MATCH(TRIM(U$13), INDIRECT($AF$8), 0))</f>
        <v>#N/A</v>
      </c>
      <c r="V18" s="14">
        <f ca="1">INDEX(INDIRECT($AF$6),
       MATCH(TRIM($S18), INDIRECT($AF$7), 0),
       MATCH(TRIM(V$13), INDIRECT($AF$8), 0))</f>
        <v>1076.1801175900002</v>
      </c>
      <c r="W18" s="14">
        <f ca="1">INDEX(INDIRECT($AF$6),
       MATCH(TRIM($S18), INDIRECT($AF$7), 0),
       MATCH(TRIM(W$13), INDIRECT($AF$8), 0))</f>
        <v>80</v>
      </c>
      <c r="X18" s="14" t="e">
        <f ca="1">INDEX(INDIRECT($AF$6),
       MATCH(TRIM($S18), INDIRECT($AF$7), 0),
       MATCH(TRIM(X$13), INDIRECT($AF$8), 0))</f>
        <v>#N/A</v>
      </c>
      <c r="Y18" s="14">
        <f ca="1">INDEX(INDIRECT($AF$6),
       MATCH(TRIM($S18), INDIRECT($AF$7), 0),
       MATCH(TRIM(Y$13), INDIRECT($AF$8), 0))</f>
        <v>1465.052144125</v>
      </c>
      <c r="Z18" s="14">
        <f ca="1">INDEX(INDIRECT($AF$6),
       MATCH(TRIM($S18), INDIRECT($AF$7), 0),
       MATCH(TRIM(Z$13), INDIRECT($AF$8), 0))</f>
        <v>32</v>
      </c>
      <c r="AA18" s="14">
        <f ca="1">INDEX(INDIRECT($AF$6),
       MATCH(TRIM($S18), INDIRECT($AF$7), 0),
       MATCH(TRIM(AA$13), INDIRECT($AF$8), 0))</f>
        <v>36.26047286</v>
      </c>
      <c r="AB18" s="14">
        <f t="shared" ca="1" si="0"/>
        <v>2577.4927345750002</v>
      </c>
    </row>
    <row r="19" spans="1:28" ht="71" x14ac:dyDescent="0.2">
      <c r="A19" s="26">
        <v>5</v>
      </c>
      <c r="B19" s="27" t="s">
        <v>11</v>
      </c>
      <c r="C19" s="28">
        <f ca="1">INDEX(INDIRECT($P$6),
       MATCH(TRIM($B19), INDIRECT($P$7), 0),
       MATCH(TRIM(C$14), INDIRECT($P$8), 0))</f>
        <v>539</v>
      </c>
      <c r="D19" s="28" t="e">
        <f ca="1">INDEX(INDIRECT($P$6),
       MATCH(TRIM($B19), INDIRECT($P$7), 0),
       MATCH(TRIM(D$14), INDIRECT($P$8), 0))</f>
        <v>#N/A</v>
      </c>
      <c r="E19" s="28">
        <f ca="1">INDEX(INDIRECT($P$6),
       MATCH(TRIM($B19), INDIRECT($P$7), 0),
       MATCH(TRIM(E$14), INDIRECT($P$8), 0))</f>
        <v>375.33764351000008</v>
      </c>
      <c r="F19" s="28">
        <f ca="1">INDEX(INDIRECT($P$6),
       MATCH(TRIM($B19), INDIRECT($P$7), 0),
       MATCH(TRIM(F$14), INDIRECT($P$8), 0))</f>
        <v>71</v>
      </c>
      <c r="G19" s="28" t="e">
        <f ca="1">INDEX(INDIRECT($P$6),
       MATCH(TRIM($B19), INDIRECT($P$7), 0),
       MATCH(TRIM(G$14), INDIRECT($P$8), 0))</f>
        <v>#N/A</v>
      </c>
      <c r="H19" s="28">
        <f ca="1">INDEX(INDIRECT($P$6),
       MATCH(TRIM($B19), INDIRECT($P$7), 0),
       MATCH(TRIM(H$14), INDIRECT($P$8), 0))</f>
        <v>67.918440718750006</v>
      </c>
      <c r="I19" s="28">
        <f ca="1">INDEX(INDIRECT($P$6),
       MATCH(TRIM($B19), INDIRECT($P$7), 0),
       MATCH(TRIM(I$14), INDIRECT($P$8), 0))</f>
        <v>617</v>
      </c>
      <c r="J19" s="28">
        <f ca="1">INDEX(INDIRECT($P$6),
       MATCH(TRIM($B19), INDIRECT($P$7), 0),
       MATCH(TRIM(J$14), INDIRECT($P$8), 0))</f>
        <v>170.32377357000001</v>
      </c>
      <c r="K19" s="28">
        <f t="shared" ca="1" si="1"/>
        <v>613.57985779875003</v>
      </c>
      <c r="L19" s="46"/>
      <c r="M19" s="46"/>
      <c r="R19">
        <v>6</v>
      </c>
      <c r="S19" t="s">
        <v>43</v>
      </c>
      <c r="T19" s="14">
        <f ca="1">INDEX(INDIRECT($AF$6),
       MATCH(TRIM($S19), INDIRECT($AF$7), 0),
       MATCH(TRIM(T$13), INDIRECT($AF$8), 0))</f>
        <v>54</v>
      </c>
      <c r="U19" s="14" t="e">
        <f ca="1">INDEX(INDIRECT($AF$6),
       MATCH(TRIM($S19), INDIRECT($AF$7), 0),
       MATCH(TRIM(U$13), INDIRECT($AF$8), 0))</f>
        <v>#N/A</v>
      </c>
      <c r="V19" s="14">
        <f ca="1">INDEX(INDIRECT($AF$6),
       MATCH(TRIM($S19), INDIRECT($AF$7), 0),
       MATCH(TRIM(V$13), INDIRECT($AF$8), 0))</f>
        <v>276.71300889999998</v>
      </c>
      <c r="W19" s="14">
        <f ca="1">INDEX(INDIRECT($AF$6),
       MATCH(TRIM($S19), INDIRECT($AF$7), 0),
       MATCH(TRIM(W$13), INDIRECT($AF$8), 0))</f>
        <v>25</v>
      </c>
      <c r="X19" s="14" t="e">
        <f ca="1">INDEX(INDIRECT($AF$6),
       MATCH(TRIM($S19), INDIRECT($AF$7), 0),
       MATCH(TRIM(X$13), INDIRECT($AF$8), 0))</f>
        <v>#N/A</v>
      </c>
      <c r="Y19" s="14">
        <f ca="1">INDEX(INDIRECT($AF$6),
       MATCH(TRIM($S19), INDIRECT($AF$7), 0),
       MATCH(TRIM(Y$13), INDIRECT($AF$8), 0))</f>
        <v>454.76243649999998</v>
      </c>
      <c r="Z19" s="14">
        <f ca="1">INDEX(INDIRECT($AF$6),
       MATCH(TRIM($S19), INDIRECT($AF$7), 0),
       MATCH(TRIM(Z$13), INDIRECT($AF$8), 0))</f>
        <v>22</v>
      </c>
      <c r="AA19" s="14">
        <f ca="1">INDEX(INDIRECT($AF$6),
       MATCH(TRIM($S19), INDIRECT($AF$7), 0),
       MATCH(TRIM(AA$13), INDIRECT($AF$8), 0))</f>
        <v>405.85064782000006</v>
      </c>
      <c r="AB19" s="14">
        <f t="shared" ca="1" si="0"/>
        <v>1137.3260932200001</v>
      </c>
    </row>
    <row r="20" spans="1:28" ht="57" x14ac:dyDescent="0.2">
      <c r="A20" s="26">
        <v>6</v>
      </c>
      <c r="B20" s="27" t="s">
        <v>12</v>
      </c>
      <c r="C20" s="28">
        <f ca="1">INDEX(INDIRECT($P$6),
       MATCH(TRIM($B20), INDIRECT($P$7), 0),
       MATCH(TRIM(C$14), INDIRECT($P$8), 0))</f>
        <v>4</v>
      </c>
      <c r="D20" s="28" t="e">
        <f ca="1">INDEX(INDIRECT($P$6),
       MATCH(TRIM($B20), INDIRECT($P$7), 0),
       MATCH(TRIM(D$14), INDIRECT($P$8), 0))</f>
        <v>#N/A</v>
      </c>
      <c r="E20" s="28">
        <f ca="1">INDEX(INDIRECT($P$6),
       MATCH(TRIM($B20), INDIRECT($P$7), 0),
       MATCH(TRIM(E$14), INDIRECT($P$8), 0))</f>
        <v>18.07375639</v>
      </c>
      <c r="F20" s="28">
        <f ca="1">INDEX(INDIRECT($P$6),
       MATCH(TRIM($B20), INDIRECT($P$7), 0),
       MATCH(TRIM(F$14), INDIRECT($P$8), 0))</f>
        <v>3</v>
      </c>
      <c r="G20" s="28" t="e">
        <f ca="1">INDEX(INDIRECT($P$6),
       MATCH(TRIM($B20), INDIRECT($P$7), 0),
       MATCH(TRIM(G$14), INDIRECT($P$8), 0))</f>
        <v>#N/A</v>
      </c>
      <c r="H20" s="28">
        <f ca="1">INDEX(INDIRECT($P$6),
       MATCH(TRIM($B20), INDIRECT($P$7), 0),
       MATCH(TRIM(H$14), INDIRECT($P$8), 0))</f>
        <v>33.994563999999997</v>
      </c>
      <c r="I20" s="28">
        <f ca="1">INDEX(INDIRECT($P$6),
       MATCH(TRIM($B20), INDIRECT($P$7), 0),
       MATCH(TRIM(I$14), INDIRECT($P$8), 0))</f>
        <v>6</v>
      </c>
      <c r="J20" s="28">
        <f ca="1">INDEX(INDIRECT($P$6),
       MATCH(TRIM($B20), INDIRECT($P$7), 0),
       MATCH(TRIM(J$14), INDIRECT($P$8), 0))</f>
        <v>2.3082420699999999</v>
      </c>
      <c r="K20" s="28">
        <f t="shared" ca="1" si="1"/>
        <v>54.376562459999995</v>
      </c>
      <c r="L20" s="46"/>
      <c r="M20" s="46"/>
      <c r="R20">
        <v>7</v>
      </c>
      <c r="S20" t="s">
        <v>46</v>
      </c>
      <c r="T20" s="14">
        <f ca="1">INDEX(INDIRECT($AF$6),
       MATCH(TRIM($S20), INDIRECT($AF$7), 0),
       MATCH(TRIM(T$13), INDIRECT($AF$8), 0))</f>
        <v>13</v>
      </c>
      <c r="U20" s="14" t="e">
        <f ca="1">INDEX(INDIRECT($AF$6),
       MATCH(TRIM($S20), INDIRECT($AF$7), 0),
       MATCH(TRIM(U$13), INDIRECT($AF$8), 0))</f>
        <v>#N/A</v>
      </c>
      <c r="V20" s="14">
        <f ca="1">INDEX(INDIRECT($AF$6),
       MATCH(TRIM($S20), INDIRECT($AF$7), 0),
       MATCH(TRIM(V$13), INDIRECT($AF$8), 0))</f>
        <v>76.8</v>
      </c>
      <c r="W20" s="14">
        <f ca="1">INDEX(INDIRECT($AF$6),
       MATCH(TRIM($S20), INDIRECT($AF$7), 0),
       MATCH(TRIM(W$13), INDIRECT($AF$8), 0))</f>
        <v>14</v>
      </c>
      <c r="X20" s="14" t="e">
        <f ca="1">INDEX(INDIRECT($AF$6),
       MATCH(TRIM($S20), INDIRECT($AF$7), 0),
       MATCH(TRIM(X$13), INDIRECT($AF$8), 0))</f>
        <v>#N/A</v>
      </c>
      <c r="Y20" s="14">
        <f ca="1">INDEX(INDIRECT($AF$6),
       MATCH(TRIM($S20), INDIRECT($AF$7), 0),
       MATCH(TRIM(Y$13), INDIRECT($AF$8), 0))</f>
        <v>138.64266281249999</v>
      </c>
      <c r="Z20" s="14">
        <f ca="1">INDEX(INDIRECT($AF$6),
       MATCH(TRIM($S20), INDIRECT($AF$7), 0),
       MATCH(TRIM(Z$13), INDIRECT($AF$8), 0))</f>
        <v>2</v>
      </c>
      <c r="AA20" s="14">
        <f ca="1">INDEX(INDIRECT($AF$6),
       MATCH(TRIM($S20), INDIRECT($AF$7), 0),
       MATCH(TRIM(AA$13), INDIRECT($AF$8), 0))</f>
        <v>0.35981907000000002</v>
      </c>
      <c r="AB20" s="14">
        <f t="shared" ca="1" si="0"/>
        <v>215.80248188249996</v>
      </c>
    </row>
    <row r="21" spans="1:28" ht="71" x14ac:dyDescent="0.2">
      <c r="A21" s="26">
        <v>7</v>
      </c>
      <c r="B21" s="27" t="s">
        <v>13</v>
      </c>
      <c r="C21" s="28">
        <f ca="1">INDEX(INDIRECT($P$6),
       MATCH(TRIM($B21), INDIRECT($P$7), 0),
       MATCH(TRIM(C$14), INDIRECT($P$8), 0))</f>
        <v>161</v>
      </c>
      <c r="D21" s="28" t="e">
        <f ca="1">INDEX(INDIRECT($P$6),
       MATCH(TRIM($B21), INDIRECT($P$7), 0),
       MATCH(TRIM(D$14), INDIRECT($P$8), 0))</f>
        <v>#N/A</v>
      </c>
      <c r="E21" s="28">
        <f ca="1">INDEX(INDIRECT($P$6),
       MATCH(TRIM($B21), INDIRECT($P$7), 0),
       MATCH(TRIM(E$14), INDIRECT($P$8), 0))</f>
        <v>52.612869340000003</v>
      </c>
      <c r="F21" s="28">
        <f ca="1">INDEX(INDIRECT($P$6),
       MATCH(TRIM($B21), INDIRECT($P$7), 0),
       MATCH(TRIM(F$14), INDIRECT($P$8), 0))</f>
        <v>31</v>
      </c>
      <c r="G21" s="28" t="e">
        <f ca="1">INDEX(INDIRECT($P$6),
       MATCH(TRIM($B21), INDIRECT($P$7), 0),
       MATCH(TRIM(G$14), INDIRECT($P$8), 0))</f>
        <v>#N/A</v>
      </c>
      <c r="H21" s="28">
        <f ca="1">INDEX(INDIRECT($P$6),
       MATCH(TRIM($B21), INDIRECT($P$7), 0),
       MATCH(TRIM(H$14), INDIRECT($P$8), 0))</f>
        <v>75.10086652062499</v>
      </c>
      <c r="I21" s="28">
        <f ca="1">INDEX(INDIRECT($P$6),
       MATCH(TRIM($B21), INDIRECT($P$7), 0),
       MATCH(TRIM(I$14), INDIRECT($P$8), 0))</f>
        <v>220</v>
      </c>
      <c r="J21" s="28">
        <f ca="1">INDEX(INDIRECT($P$6),
       MATCH(TRIM($B21), INDIRECT($P$7), 0),
       MATCH(TRIM(J$14), INDIRECT($P$8), 0))</f>
        <v>324.69714139000007</v>
      </c>
      <c r="K21" s="28">
        <f t="shared" ca="1" si="1"/>
        <v>452.41087725062505</v>
      </c>
      <c r="L21" s="46"/>
      <c r="M21" s="46"/>
      <c r="R21">
        <v>8</v>
      </c>
      <c r="S21" t="s">
        <v>47</v>
      </c>
      <c r="T21" s="14">
        <f ca="1">INDEX(INDIRECT($AF$6),
       MATCH(TRIM($S21), INDIRECT($AF$7), 0),
       MATCH(TRIM(T$13), INDIRECT($AF$8), 0))</f>
        <v>39</v>
      </c>
      <c r="U21" s="14" t="e">
        <f ca="1">INDEX(INDIRECT($AF$6),
       MATCH(TRIM($S21), INDIRECT($AF$7), 0),
       MATCH(TRIM(U$13), INDIRECT($AF$8), 0))</f>
        <v>#N/A</v>
      </c>
      <c r="V21" s="14">
        <f ca="1">INDEX(INDIRECT($AF$6),
       MATCH(TRIM($S21), INDIRECT($AF$7), 0),
       MATCH(TRIM(V$13), INDIRECT($AF$8), 0))</f>
        <v>250.47785300000001</v>
      </c>
      <c r="W21" s="14">
        <f ca="1">INDEX(INDIRECT($AF$6),
       MATCH(TRIM($S21), INDIRECT($AF$7), 0),
       MATCH(TRIM(W$13), INDIRECT($AF$8), 0))</f>
        <v>29</v>
      </c>
      <c r="X21" s="14" t="e">
        <f ca="1">INDEX(INDIRECT($AF$6),
       MATCH(TRIM($S21), INDIRECT($AF$7), 0),
       MATCH(TRIM(X$13), INDIRECT($AF$8), 0))</f>
        <v>#N/A</v>
      </c>
      <c r="Y21" s="14">
        <f ca="1">INDEX(INDIRECT($AF$6),
       MATCH(TRIM($S21), INDIRECT($AF$7), 0),
       MATCH(TRIM(Y$13), INDIRECT($AF$8), 0))</f>
        <v>483.97828531250002</v>
      </c>
      <c r="Z21" s="14">
        <f ca="1">INDEX(INDIRECT($AF$6),
       MATCH(TRIM($S21), INDIRECT($AF$7), 0),
       MATCH(TRIM(Z$13), INDIRECT($AF$8), 0))</f>
        <v>20</v>
      </c>
      <c r="AA21" s="14">
        <f ca="1">INDEX(INDIRECT($AF$6),
       MATCH(TRIM($S21), INDIRECT($AF$7), 0),
       MATCH(TRIM(AA$13), INDIRECT($AF$8), 0))</f>
        <v>29.760122849999998</v>
      </c>
      <c r="AB21" s="14">
        <f t="shared" ca="1" si="0"/>
        <v>764.21626116250002</v>
      </c>
    </row>
    <row r="22" spans="1:28" ht="29" x14ac:dyDescent="0.2">
      <c r="A22" s="26">
        <v>8</v>
      </c>
      <c r="B22" s="27" t="s">
        <v>14</v>
      </c>
      <c r="C22" s="28">
        <f ca="1">INDEX(INDIRECT($P$6),
       MATCH(TRIM($B22), INDIRECT($P$7), 0),
       MATCH(TRIM(C$14), INDIRECT($P$8), 0))</f>
        <v>42</v>
      </c>
      <c r="D22" s="28" t="e">
        <f ca="1">INDEX(INDIRECT($P$6),
       MATCH(TRIM($B22), INDIRECT($P$7), 0),
       MATCH(TRIM(D$14), INDIRECT($P$8), 0))</f>
        <v>#N/A</v>
      </c>
      <c r="E22" s="28">
        <f ca="1">INDEX(INDIRECT($P$6),
       MATCH(TRIM($B22), INDIRECT($P$7), 0),
       MATCH(TRIM(E$14), INDIRECT($P$8), 0))</f>
        <v>161.983947</v>
      </c>
      <c r="F22" s="28">
        <f ca="1">INDEX(INDIRECT($P$6),
       MATCH(TRIM($B22), INDIRECT($P$7), 0),
       MATCH(TRIM(F$14), INDIRECT($P$8), 0))</f>
        <v>5</v>
      </c>
      <c r="G22" s="28" t="e">
        <f ca="1">INDEX(INDIRECT($P$6),
       MATCH(TRIM($B22), INDIRECT($P$7), 0),
       MATCH(TRIM(G$14), INDIRECT($P$8), 0))</f>
        <v>#N/A</v>
      </c>
      <c r="H22" s="28">
        <f ca="1">INDEX(INDIRECT($P$6),
       MATCH(TRIM($B22), INDIRECT($P$7), 0),
       MATCH(TRIM(H$14), INDIRECT($P$8), 0))</f>
        <v>16.872689000000001</v>
      </c>
      <c r="I22" s="28">
        <f ca="1">INDEX(INDIRECT($P$6),
       MATCH(TRIM($B22), INDIRECT($P$7), 0),
       MATCH(TRIM(I$14), INDIRECT($P$8), 0))</f>
        <v>59</v>
      </c>
      <c r="J22" s="28">
        <f ca="1">INDEX(INDIRECT($P$6),
       MATCH(TRIM($B22), INDIRECT($P$7), 0),
       MATCH(TRIM(J$14), INDIRECT($P$8), 0))</f>
        <v>203.61474425999998</v>
      </c>
      <c r="K22" s="28">
        <f t="shared" ca="1" si="1"/>
        <v>382.47138025999999</v>
      </c>
      <c r="L22" s="46"/>
      <c r="M22" s="46"/>
      <c r="R22">
        <v>9</v>
      </c>
      <c r="S22" t="s">
        <v>44</v>
      </c>
      <c r="T22" s="14">
        <f ca="1">INDEX(INDIRECT($AF$6),
       MATCH(TRIM($S22), INDIRECT($AF$7), 0),
       MATCH(TRIM(T$13), INDIRECT($AF$8), 0))</f>
        <v>20</v>
      </c>
      <c r="U22" s="14" t="e">
        <f ca="1">INDEX(INDIRECT($AF$6),
       MATCH(TRIM($S22), INDIRECT($AF$7), 0),
       MATCH(TRIM(U$13), INDIRECT($AF$8), 0))</f>
        <v>#N/A</v>
      </c>
      <c r="V22" s="14">
        <f ca="1">INDEX(INDIRECT($AF$6),
       MATCH(TRIM($S22), INDIRECT($AF$7), 0),
       MATCH(TRIM(V$13), INDIRECT($AF$8), 0))</f>
        <v>1533.1411415499999</v>
      </c>
      <c r="W22" s="14">
        <f ca="1">INDEX(INDIRECT($AF$6),
       MATCH(TRIM($S22), INDIRECT($AF$7), 0),
       MATCH(TRIM(W$13), INDIRECT($AF$8), 0))</f>
        <v>2</v>
      </c>
      <c r="X22" s="14" t="e">
        <f ca="1">INDEX(INDIRECT($AF$6),
       MATCH(TRIM($S22), INDIRECT($AF$7), 0),
       MATCH(TRIM(X$13), INDIRECT($AF$8), 0))</f>
        <v>#N/A</v>
      </c>
      <c r="Y22" s="14">
        <f ca="1">INDEX(INDIRECT($AF$6),
       MATCH(TRIM($S22), INDIRECT($AF$7), 0),
       MATCH(TRIM(Y$13), INDIRECT($AF$8), 0))</f>
        <v>-9.5574569999999994</v>
      </c>
      <c r="Z22" s="14">
        <f ca="1">INDEX(INDIRECT($AF$6),
       MATCH(TRIM($S22), INDIRECT($AF$7), 0),
       MATCH(TRIM(Z$13), INDIRECT($AF$8), 0))</f>
        <v>4</v>
      </c>
      <c r="AA22" s="14">
        <f ca="1">INDEX(INDIRECT($AF$6),
       MATCH(TRIM($S22), INDIRECT($AF$7), 0),
       MATCH(TRIM(AA$13), INDIRECT($AF$8), 0))</f>
        <v>11.968528529999999</v>
      </c>
      <c r="AB22" s="14">
        <f t="shared" ca="1" si="0"/>
        <v>1535.5522130799998</v>
      </c>
    </row>
    <row r="23" spans="1:28" ht="43" x14ac:dyDescent="0.2">
      <c r="A23" s="26">
        <v>9</v>
      </c>
      <c r="B23" s="27" t="s">
        <v>15</v>
      </c>
      <c r="C23" s="28">
        <f ca="1">INDEX(INDIRECT($P$6),
       MATCH(TRIM($B23), INDIRECT($P$7), 0),
       MATCH(TRIM(C$14), INDIRECT($P$8), 0))</f>
        <v>18</v>
      </c>
      <c r="D23" s="28" t="e">
        <f ca="1">INDEX(INDIRECT($P$6),
       MATCH(TRIM($B23), INDIRECT($P$7), 0),
       MATCH(TRIM(D$14), INDIRECT($P$8), 0))</f>
        <v>#N/A</v>
      </c>
      <c r="E23" s="28">
        <f ca="1">INDEX(INDIRECT($P$6),
       MATCH(TRIM($B23), INDIRECT($P$7), 0),
       MATCH(TRIM(E$14), INDIRECT($P$8), 0))</f>
        <v>16.602467999999998</v>
      </c>
      <c r="F23" s="28">
        <f ca="1">INDEX(INDIRECT($P$6),
       MATCH(TRIM($B23), INDIRECT($P$7), 0),
       MATCH(TRIM(F$14), INDIRECT($P$8), 0))</f>
        <v>10</v>
      </c>
      <c r="G23" s="28" t="e">
        <f ca="1">INDEX(INDIRECT($P$6),
       MATCH(TRIM($B23), INDIRECT($P$7), 0),
       MATCH(TRIM(G$14), INDIRECT($P$8), 0))</f>
        <v>#N/A</v>
      </c>
      <c r="H23" s="28">
        <f ca="1">INDEX(INDIRECT($P$6),
       MATCH(TRIM($B23), INDIRECT($P$7), 0),
       MATCH(TRIM(H$14), INDIRECT($P$8), 0))</f>
        <v>15.892573689941406</v>
      </c>
      <c r="I23" s="28">
        <f ca="1">INDEX(INDIRECT($P$6),
       MATCH(TRIM($B23), INDIRECT($P$7), 0),
       MATCH(TRIM(I$14), INDIRECT($P$8), 0))</f>
        <v>76</v>
      </c>
      <c r="J23" s="28">
        <f ca="1">INDEX(INDIRECT($P$6),
       MATCH(TRIM($B23), INDIRECT($P$7), 0),
       MATCH(TRIM(J$14), INDIRECT($P$8), 0))</f>
        <v>24.129754670000001</v>
      </c>
      <c r="K23" s="28">
        <f t="shared" ca="1" si="1"/>
        <v>56.624796359941399</v>
      </c>
      <c r="L23" s="46"/>
      <c r="M23" s="46"/>
      <c r="R23">
        <v>10</v>
      </c>
      <c r="S23" t="s">
        <v>51</v>
      </c>
      <c r="T23" s="14">
        <f ca="1">INDEX(INDIRECT($AF$6),
       MATCH(TRIM($S23), INDIRECT($AF$7), 0),
       MATCH(TRIM(T$13), INDIRECT($AF$8), 0))</f>
        <v>14</v>
      </c>
      <c r="U23" s="14" t="e">
        <f ca="1">INDEX(INDIRECT($AF$6),
       MATCH(TRIM($S23), INDIRECT($AF$7), 0),
       MATCH(TRIM(U$13), INDIRECT($AF$8), 0))</f>
        <v>#N/A</v>
      </c>
      <c r="V23" s="14">
        <f ca="1">INDEX(INDIRECT($AF$6),
       MATCH(TRIM($S23), INDIRECT($AF$7), 0),
       MATCH(TRIM(V$13), INDIRECT($AF$8), 0))</f>
        <v>85.18</v>
      </c>
      <c r="W23" s="14">
        <f ca="1">INDEX(INDIRECT($AF$6),
       MATCH(TRIM($S23), INDIRECT($AF$7), 0),
       MATCH(TRIM(W$13), INDIRECT($AF$8), 0))</f>
        <v>13</v>
      </c>
      <c r="X23" s="14" t="e">
        <f ca="1">INDEX(INDIRECT($AF$6),
       MATCH(TRIM($S23), INDIRECT($AF$7), 0),
       MATCH(TRIM(X$13), INDIRECT($AF$8), 0))</f>
        <v>#N/A</v>
      </c>
      <c r="Y23" s="14">
        <f ca="1">INDEX(INDIRECT($AF$6),
       MATCH(TRIM($S23), INDIRECT($AF$7), 0),
       MATCH(TRIM(Y$13), INDIRECT($AF$8), 0))</f>
        <v>283.625061625</v>
      </c>
      <c r="Z23" s="14">
        <f ca="1">INDEX(INDIRECT($AF$6),
       MATCH(TRIM($S23), INDIRECT($AF$7), 0),
       MATCH(TRIM(Z$13), INDIRECT($AF$8), 0))</f>
        <v>0</v>
      </c>
      <c r="AA23" s="14">
        <f ca="1">INDEX(INDIRECT($AF$6),
       MATCH(TRIM($S23), INDIRECT($AF$7), 0),
       MATCH(TRIM(AA$13), INDIRECT($AF$8), 0))</f>
        <v>0</v>
      </c>
      <c r="AB23" s="14">
        <f t="shared" ca="1" si="0"/>
        <v>368.80506162500001</v>
      </c>
    </row>
    <row r="24" spans="1:28" ht="43" x14ac:dyDescent="0.2">
      <c r="A24" s="26">
        <v>10</v>
      </c>
      <c r="B24" s="27" t="s">
        <v>16</v>
      </c>
      <c r="C24" s="28">
        <f ca="1">INDEX(INDIRECT($P$6),
       MATCH(TRIM($B24), INDIRECT($P$7), 0),
       MATCH(TRIM(C$14), INDIRECT($P$8), 0))</f>
        <v>106</v>
      </c>
      <c r="D24" s="28" t="e">
        <f ca="1">INDEX(INDIRECT($P$6),
       MATCH(TRIM($B24), INDIRECT($P$7), 0),
       MATCH(TRIM(D$14), INDIRECT($P$8), 0))</f>
        <v>#N/A</v>
      </c>
      <c r="E24" s="28">
        <f ca="1">INDEX(INDIRECT($P$6),
       MATCH(TRIM($B24), INDIRECT($P$7), 0),
       MATCH(TRIM(E$14), INDIRECT($P$8), 0))</f>
        <v>21.54454192</v>
      </c>
      <c r="F24" s="28">
        <f ca="1">INDEX(INDIRECT($P$6),
       MATCH(TRIM($B24), INDIRECT($P$7), 0),
       MATCH(TRIM(F$14), INDIRECT($P$8), 0))</f>
        <v>24</v>
      </c>
      <c r="G24" s="28" t="e">
        <f ca="1">INDEX(INDIRECT($P$6),
       MATCH(TRIM($B24), INDIRECT($P$7), 0),
       MATCH(TRIM(G$14), INDIRECT($P$8), 0))</f>
        <v>#N/A</v>
      </c>
      <c r="H24" s="28">
        <f ca="1">INDEX(INDIRECT($P$6),
       MATCH(TRIM($B24), INDIRECT($P$7), 0),
       MATCH(TRIM(H$14), INDIRECT($P$8), 0))</f>
        <v>28.031444125</v>
      </c>
      <c r="I24" s="28">
        <f ca="1">INDEX(INDIRECT($P$6),
       MATCH(TRIM($B24), INDIRECT($P$7), 0),
       MATCH(TRIM(I$14), INDIRECT($P$8), 0))</f>
        <v>113</v>
      </c>
      <c r="J24" s="28">
        <f ca="1">INDEX(INDIRECT($P$6),
       MATCH(TRIM($B24), INDIRECT($P$7), 0),
       MATCH(TRIM(J$14), INDIRECT($P$8), 0))</f>
        <v>23.065518329999996</v>
      </c>
      <c r="K24" s="28">
        <f t="shared" ca="1" si="1"/>
        <v>72.641504374999997</v>
      </c>
      <c r="L24" s="46"/>
      <c r="M24" s="46"/>
      <c r="R24">
        <v>11</v>
      </c>
      <c r="S24" t="s">
        <v>45</v>
      </c>
      <c r="T24" s="14">
        <f ca="1">INDEX(INDIRECT($AF$6),
       MATCH(TRIM($S24), INDIRECT($AF$7), 0),
       MATCH(TRIM(T$13), INDIRECT($AF$8), 0))</f>
        <v>59</v>
      </c>
      <c r="U24" s="14" t="e">
        <f ca="1">INDEX(INDIRECT($AF$6),
       MATCH(TRIM($S24), INDIRECT($AF$7), 0),
       MATCH(TRIM(U$13), INDIRECT($AF$8), 0))</f>
        <v>#N/A</v>
      </c>
      <c r="V24" s="14">
        <f ca="1">INDEX(INDIRECT($AF$6),
       MATCH(TRIM($S24), INDIRECT($AF$7), 0),
       MATCH(TRIM(V$13), INDIRECT($AF$8), 0))</f>
        <v>273.47797200000002</v>
      </c>
      <c r="W24" s="14">
        <f ca="1">INDEX(INDIRECT($AF$6),
       MATCH(TRIM($S24), INDIRECT($AF$7), 0),
       MATCH(TRIM(W$13), INDIRECT($AF$8), 0))</f>
        <v>46</v>
      </c>
      <c r="X24" s="14" t="e">
        <f ca="1">INDEX(INDIRECT($AF$6),
       MATCH(TRIM($S24), INDIRECT($AF$7), 0),
       MATCH(TRIM(X$13), INDIRECT($AF$8), 0))</f>
        <v>#N/A</v>
      </c>
      <c r="Y24" s="14">
        <f ca="1">INDEX(INDIRECT($AF$6),
       MATCH(TRIM($S24), INDIRECT($AF$7), 0),
       MATCH(TRIM(Y$13), INDIRECT($AF$8), 0))</f>
        <v>108.28722462011719</v>
      </c>
      <c r="Z24" s="14">
        <f ca="1">INDEX(INDIRECT($AF$6),
       MATCH(TRIM($S24), INDIRECT($AF$7), 0),
       MATCH(TRIM(Z$13), INDIRECT($AF$8), 0))</f>
        <v>25</v>
      </c>
      <c r="AA24" s="14">
        <f ca="1">INDEX(INDIRECT($AF$6),
       MATCH(TRIM($S24), INDIRECT($AF$7), 0),
       MATCH(TRIM(AA$13), INDIRECT($AF$8), 0))</f>
        <v>11.559325130000003</v>
      </c>
      <c r="AB24" s="14">
        <f t="shared" ca="1" si="0"/>
        <v>393.32452175011719</v>
      </c>
    </row>
    <row r="25" spans="1:28" ht="57" x14ac:dyDescent="0.2">
      <c r="A25" s="26">
        <v>11</v>
      </c>
      <c r="B25" s="27" t="s">
        <v>17</v>
      </c>
      <c r="C25" s="28">
        <f ca="1">INDEX(INDIRECT($P$6),
       MATCH(TRIM($B25), INDIRECT($P$7), 0),
       MATCH(TRIM(C$14), INDIRECT($P$8), 0))</f>
        <v>35</v>
      </c>
      <c r="D25" s="28" t="e">
        <f ca="1">INDEX(INDIRECT($P$6),
       MATCH(TRIM($B25), INDIRECT($P$7), 0),
       MATCH(TRIM(D$14), INDIRECT($P$8), 0))</f>
        <v>#N/A</v>
      </c>
      <c r="E25" s="28">
        <f ca="1">INDEX(INDIRECT($P$6),
       MATCH(TRIM($B25), INDIRECT($P$7), 0),
       MATCH(TRIM(E$14), INDIRECT($P$8), 0))</f>
        <v>16.934717329999998</v>
      </c>
      <c r="F25" s="28">
        <f ca="1">INDEX(INDIRECT($P$6),
       MATCH(TRIM($B25), INDIRECT($P$7), 0),
       MATCH(TRIM(F$14), INDIRECT($P$8), 0))</f>
        <v>9</v>
      </c>
      <c r="G25" s="28" t="e">
        <f ca="1">INDEX(INDIRECT($P$6),
       MATCH(TRIM($B25), INDIRECT($P$7), 0),
       MATCH(TRIM(G$14), INDIRECT($P$8), 0))</f>
        <v>#N/A</v>
      </c>
      <c r="H25" s="28">
        <f ca="1">INDEX(INDIRECT($P$6),
       MATCH(TRIM($B25), INDIRECT($P$7), 0),
       MATCH(TRIM(H$14), INDIRECT($P$8), 0))</f>
        <v>2.8474059999999999</v>
      </c>
      <c r="I25" s="28">
        <f ca="1">INDEX(INDIRECT($P$6),
       MATCH(TRIM($B25), INDIRECT($P$7), 0),
       MATCH(TRIM(I$14), INDIRECT($P$8), 0))</f>
        <v>29</v>
      </c>
      <c r="J25" s="28">
        <f ca="1">INDEX(INDIRECT($P$6),
       MATCH(TRIM($B25), INDIRECT($P$7), 0),
       MATCH(TRIM(J$14), INDIRECT($P$8), 0))</f>
        <v>42.375662480000003</v>
      </c>
      <c r="K25" s="28">
        <f t="shared" ca="1" si="1"/>
        <v>62.15778581</v>
      </c>
      <c r="L25" s="46"/>
      <c r="M25" s="46"/>
      <c r="R25">
        <v>12</v>
      </c>
      <c r="S25" t="s">
        <v>49</v>
      </c>
      <c r="T25" s="14">
        <f ca="1">INDEX(INDIRECT($AF$6),
       MATCH(TRIM($S25), INDIRECT($AF$7), 0),
       MATCH(TRIM(T$13), INDIRECT($AF$8), 0))</f>
        <v>30</v>
      </c>
      <c r="U25" s="14" t="e">
        <f ca="1">INDEX(INDIRECT($AF$6),
       MATCH(TRIM($S25), INDIRECT($AF$7), 0),
       MATCH(TRIM(U$13), INDIRECT($AF$8), 0))</f>
        <v>#N/A</v>
      </c>
      <c r="V25" s="14">
        <f ca="1">INDEX(INDIRECT($AF$6),
       MATCH(TRIM($S25), INDIRECT($AF$7), 0),
       MATCH(TRIM(V$13), INDIRECT($AF$8), 0))</f>
        <v>115.34</v>
      </c>
      <c r="W25" s="14">
        <f ca="1">INDEX(INDIRECT($AF$6),
       MATCH(TRIM($S25), INDIRECT($AF$7), 0),
       MATCH(TRIM(W$13), INDIRECT($AF$8), 0))</f>
        <v>8</v>
      </c>
      <c r="X25" s="14" t="e">
        <f ca="1">INDEX(INDIRECT($AF$6),
       MATCH(TRIM($S25), INDIRECT($AF$7), 0),
       MATCH(TRIM(X$13), INDIRECT($AF$8), 0))</f>
        <v>#N/A</v>
      </c>
      <c r="Y25" s="14">
        <f ca="1">INDEX(INDIRECT($AF$6),
       MATCH(TRIM($S25), INDIRECT($AF$7), 0),
       MATCH(TRIM(Y$13), INDIRECT($AF$8), 0))</f>
        <v>32.478000000000002</v>
      </c>
      <c r="Z25" s="14">
        <f ca="1">INDEX(INDIRECT($AF$6),
       MATCH(TRIM($S25), INDIRECT($AF$7), 0),
       MATCH(TRIM(Z$13), INDIRECT($AF$8), 0))</f>
        <v>17</v>
      </c>
      <c r="AA25" s="14">
        <f ca="1">INDEX(INDIRECT($AF$6),
       MATCH(TRIM($S25), INDIRECT($AF$7), 0),
       MATCH(TRIM(AA$13), INDIRECT($AF$8), 0))</f>
        <v>2.7905917399999995</v>
      </c>
      <c r="AB25" s="14">
        <f t="shared" ca="1" si="0"/>
        <v>150.60859174000001</v>
      </c>
    </row>
    <row r="26" spans="1:28" ht="29" x14ac:dyDescent="0.2">
      <c r="A26" s="26">
        <v>12</v>
      </c>
      <c r="B26" s="27" t="s">
        <v>18</v>
      </c>
      <c r="C26" s="28">
        <f ca="1">INDEX(INDIRECT($P$6),
       MATCH(TRIM($B26), INDIRECT($P$7), 0),
       MATCH(TRIM(C$14), INDIRECT($P$8), 0))</f>
        <v>2</v>
      </c>
      <c r="D26" s="28" t="e">
        <f ca="1">INDEX(INDIRECT($P$6),
       MATCH(TRIM($B26), INDIRECT($P$7), 0),
       MATCH(TRIM(D$14), INDIRECT($P$8), 0))</f>
        <v>#N/A</v>
      </c>
      <c r="E26" s="28">
        <f ca="1">INDEX(INDIRECT($P$6),
       MATCH(TRIM($B26), INDIRECT($P$7), 0),
       MATCH(TRIM(E$14), INDIRECT($P$8), 0))</f>
        <v>0.27500000000000002</v>
      </c>
      <c r="F26" s="28">
        <f ca="1">INDEX(INDIRECT($P$6),
       MATCH(TRIM($B26), INDIRECT($P$7), 0),
       MATCH(TRIM(F$14), INDIRECT($P$8), 0))</f>
        <v>2</v>
      </c>
      <c r="G26" s="28" t="e">
        <f ca="1">INDEX(INDIRECT($P$6),
       MATCH(TRIM($B26), INDIRECT($P$7), 0),
       MATCH(TRIM(G$14), INDIRECT($P$8), 0))</f>
        <v>#N/A</v>
      </c>
      <c r="H26" s="28">
        <f ca="1">INDEX(INDIRECT($P$6),
       MATCH(TRIM($B26), INDIRECT($P$7), 0),
       MATCH(TRIM(H$14), INDIRECT($P$8), 0))</f>
        <v>160</v>
      </c>
      <c r="I26" s="28">
        <f ca="1">INDEX(INDIRECT($P$6),
       MATCH(TRIM($B26), INDIRECT($P$7), 0),
       MATCH(TRIM(I$14), INDIRECT($P$8), 0))</f>
        <v>6</v>
      </c>
      <c r="J26" s="28">
        <f ca="1">INDEX(INDIRECT($P$6),
       MATCH(TRIM($B26), INDIRECT($P$7), 0),
       MATCH(TRIM(J$14), INDIRECT($P$8), 0))</f>
        <v>0.53486009000000001</v>
      </c>
      <c r="K26" s="28">
        <f t="shared" ca="1" si="1"/>
        <v>160.80986009</v>
      </c>
      <c r="L26" s="46"/>
      <c r="M26" s="46"/>
      <c r="R26">
        <v>13</v>
      </c>
      <c r="S26" t="s">
        <v>55</v>
      </c>
      <c r="T26" s="14">
        <f ca="1">INDEX(INDIRECT($AF$6),
       MATCH(TRIM($S26), INDIRECT($AF$7), 0),
       MATCH(TRIM(T$13), INDIRECT($AF$8), 0))</f>
        <v>10</v>
      </c>
      <c r="U26" s="14" t="e">
        <f ca="1">INDEX(INDIRECT($AF$6),
       MATCH(TRIM($S26), INDIRECT($AF$7), 0),
       MATCH(TRIM(U$13), INDIRECT($AF$8), 0))</f>
        <v>#N/A</v>
      </c>
      <c r="V26" s="14">
        <f ca="1">INDEX(INDIRECT($AF$6),
       MATCH(TRIM($S26), INDIRECT($AF$7), 0),
       MATCH(TRIM(V$13), INDIRECT($AF$8), 0))</f>
        <v>482.85700000000003</v>
      </c>
      <c r="W26" s="14">
        <f ca="1">INDEX(INDIRECT($AF$6),
       MATCH(TRIM($S26), INDIRECT($AF$7), 0),
       MATCH(TRIM(W$13), INDIRECT($AF$8), 0))</f>
        <v>12</v>
      </c>
      <c r="X26" s="14" t="e">
        <f ca="1">INDEX(INDIRECT($AF$6),
       MATCH(TRIM($S26), INDIRECT($AF$7), 0),
       MATCH(TRIM(X$13), INDIRECT($AF$8), 0))</f>
        <v>#N/A</v>
      </c>
      <c r="Y26" s="14">
        <f ca="1">INDEX(INDIRECT($AF$6),
       MATCH(TRIM($S26), INDIRECT($AF$7), 0),
       MATCH(TRIM(Y$13), INDIRECT($AF$8), 0))</f>
        <v>62.870876500000001</v>
      </c>
      <c r="Z26" s="14">
        <f ca="1">INDEX(INDIRECT($AF$6),
       MATCH(TRIM($S26), INDIRECT($AF$7), 0),
       MATCH(TRIM(Z$13), INDIRECT($AF$8), 0))</f>
        <v>2</v>
      </c>
      <c r="AA26" s="14">
        <f ca="1">INDEX(INDIRECT($AF$6),
       MATCH(TRIM($S26), INDIRECT($AF$7), 0),
       MATCH(TRIM(AA$13), INDIRECT($AF$8), 0))</f>
        <v>0.78406619999999994</v>
      </c>
      <c r="AB26" s="14">
        <f t="shared" ca="1" si="0"/>
        <v>546.51194269999996</v>
      </c>
    </row>
    <row r="27" spans="1:28" ht="29" x14ac:dyDescent="0.2">
      <c r="A27" s="26">
        <v>13</v>
      </c>
      <c r="B27" s="27" t="s">
        <v>19</v>
      </c>
      <c r="C27" s="28">
        <f ca="1">INDEX(INDIRECT($P$6),
       MATCH(TRIM($B27), INDIRECT($P$7), 0),
       MATCH(TRIM(C$14), INDIRECT($P$8), 0))</f>
        <v>19</v>
      </c>
      <c r="D27" s="28" t="e">
        <f ca="1">INDEX(INDIRECT($P$6),
       MATCH(TRIM($B27), INDIRECT($P$7), 0),
       MATCH(TRIM(D$14), INDIRECT($P$8), 0))</f>
        <v>#N/A</v>
      </c>
      <c r="E27" s="28">
        <f ca="1">INDEX(INDIRECT($P$6),
       MATCH(TRIM($B27), INDIRECT($P$7), 0),
       MATCH(TRIM(E$14), INDIRECT($P$8), 0))</f>
        <v>18.3862329</v>
      </c>
      <c r="F27" s="28">
        <f ca="1">INDEX(INDIRECT($P$6),
       MATCH(TRIM($B27), INDIRECT($P$7), 0),
       MATCH(TRIM(F$14), INDIRECT($P$8), 0))</f>
        <v>4</v>
      </c>
      <c r="G27" s="28" t="e">
        <f ca="1">INDEX(INDIRECT($P$6),
       MATCH(TRIM($B27), INDIRECT($P$7), 0),
       MATCH(TRIM(G$14), INDIRECT($P$8), 0))</f>
        <v>#N/A</v>
      </c>
      <c r="H27" s="28">
        <f ca="1">INDEX(INDIRECT($P$6),
       MATCH(TRIM($B27), INDIRECT($P$7), 0),
       MATCH(TRIM(H$14), INDIRECT($P$8), 0))</f>
        <v>2.9141694999999999</v>
      </c>
      <c r="I27" s="28">
        <f ca="1">INDEX(INDIRECT($P$6),
       MATCH(TRIM($B27), INDIRECT($P$7), 0),
       MATCH(TRIM(I$14), INDIRECT($P$8), 0))</f>
        <v>15</v>
      </c>
      <c r="J27" s="28">
        <f ca="1">INDEX(INDIRECT($P$6),
       MATCH(TRIM($B27), INDIRECT($P$7), 0),
       MATCH(TRIM(J$14), INDIRECT($P$8), 0))</f>
        <v>2.2906955999999989</v>
      </c>
      <c r="K27" s="28">
        <f t="shared" ca="1" si="1"/>
        <v>23.591097999999999</v>
      </c>
      <c r="L27" s="46"/>
      <c r="M27" s="46"/>
      <c r="R27">
        <v>14</v>
      </c>
      <c r="S27" t="s">
        <v>50</v>
      </c>
      <c r="T27" s="14">
        <f ca="1">INDEX(INDIRECT($AF$6),
       MATCH(TRIM($S27), INDIRECT($AF$7), 0),
       MATCH(TRIM(T$13), INDIRECT($AF$8), 0))</f>
        <v>19</v>
      </c>
      <c r="U27" s="14" t="e">
        <f ca="1">INDEX(INDIRECT($AF$6),
       MATCH(TRIM($S27), INDIRECT($AF$7), 0),
       MATCH(TRIM(U$13), INDIRECT($AF$8), 0))</f>
        <v>#N/A</v>
      </c>
      <c r="V27" s="14">
        <f ca="1">INDEX(INDIRECT($AF$6),
       MATCH(TRIM($S27), INDIRECT($AF$7), 0),
       MATCH(TRIM(V$13), INDIRECT($AF$8), 0))</f>
        <v>70.929241000000005</v>
      </c>
      <c r="W27" s="14">
        <f ca="1">INDEX(INDIRECT($AF$6),
       MATCH(TRIM($S27), INDIRECT($AF$7), 0),
       MATCH(TRIM(W$13), INDIRECT($AF$8), 0))</f>
        <v>2</v>
      </c>
      <c r="X27" s="14" t="e">
        <f ca="1">INDEX(INDIRECT($AF$6),
       MATCH(TRIM($S27), INDIRECT($AF$7), 0),
       MATCH(TRIM(X$13), INDIRECT($AF$8), 0))</f>
        <v>#N/A</v>
      </c>
      <c r="Y27" s="14">
        <f ca="1">INDEX(INDIRECT($AF$6),
       MATCH(TRIM($S27), INDIRECT($AF$7), 0),
       MATCH(TRIM(Y$13), INDIRECT($AF$8), 0))</f>
        <v>94.77</v>
      </c>
      <c r="Z27" s="14">
        <f ca="1">INDEX(INDIRECT($AF$6),
       MATCH(TRIM($S27), INDIRECT($AF$7), 0),
       MATCH(TRIM(Z$13), INDIRECT($AF$8), 0))</f>
        <v>2</v>
      </c>
      <c r="AA27" s="14">
        <f ca="1">INDEX(INDIRECT($AF$6),
       MATCH(TRIM($S27), INDIRECT($AF$7), 0),
       MATCH(TRIM(AA$13), INDIRECT($AF$8), 0))</f>
        <v>1.3528713900000002</v>
      </c>
      <c r="AB27" s="14">
        <f t="shared" ca="1" si="0"/>
        <v>167.05211238999999</v>
      </c>
    </row>
    <row r="28" spans="1:28" ht="43" x14ac:dyDescent="0.2">
      <c r="A28" s="26">
        <v>14</v>
      </c>
      <c r="B28" s="27" t="s">
        <v>20</v>
      </c>
      <c r="C28" s="28">
        <f ca="1">INDEX(INDIRECT($P$6),
       MATCH(TRIM($B28), INDIRECT($P$7), 0),
       MATCH(TRIM(C$14), INDIRECT($P$8), 0))</f>
        <v>1</v>
      </c>
      <c r="D28" s="28" t="e">
        <f ca="1">INDEX(INDIRECT($P$6),
       MATCH(TRIM($B28), INDIRECT($P$7), 0),
       MATCH(TRIM(D$14), INDIRECT($P$8), 0))</f>
        <v>#N/A</v>
      </c>
      <c r="E28" s="28">
        <f ca="1">INDEX(INDIRECT($P$6),
       MATCH(TRIM($B28), INDIRECT($P$7), 0),
       MATCH(TRIM(E$14), INDIRECT($P$8), 0))</f>
        <v>2.4679E-2</v>
      </c>
      <c r="F28" s="28">
        <f ca="1">INDEX(INDIRECT($P$6),
       MATCH(TRIM($B28), INDIRECT($P$7), 0),
       MATCH(TRIM(F$14), INDIRECT($P$8), 0))</f>
        <v>2</v>
      </c>
      <c r="G28" s="28" t="e">
        <f ca="1">INDEX(INDIRECT($P$6),
       MATCH(TRIM($B28), INDIRECT($P$7), 0),
       MATCH(TRIM(G$14), INDIRECT($P$8), 0))</f>
        <v>#N/A</v>
      </c>
      <c r="H28" s="28">
        <f ca="1">INDEX(INDIRECT($P$6),
       MATCH(TRIM($B28), INDIRECT($P$7), 0),
       MATCH(TRIM(H$14), INDIRECT($P$8), 0))</f>
        <v>-109.061249</v>
      </c>
      <c r="I28" s="28">
        <f ca="1">INDEX(INDIRECT($P$6),
       MATCH(TRIM($B28), INDIRECT($P$7), 0),
       MATCH(TRIM(I$14), INDIRECT($P$8), 0))</f>
        <v>1</v>
      </c>
      <c r="J28" s="28">
        <f ca="1">INDEX(INDIRECT($P$6),
       MATCH(TRIM($B28), INDIRECT($P$7), 0),
       MATCH(TRIM(J$14), INDIRECT($P$8), 0))</f>
        <v>2.5</v>
      </c>
      <c r="K28" s="28">
        <f t="shared" ca="1" si="1"/>
        <v>-106.53657</v>
      </c>
      <c r="L28" s="46"/>
      <c r="M28" s="46"/>
      <c r="R28">
        <v>15</v>
      </c>
      <c r="S28" t="s">
        <v>69</v>
      </c>
      <c r="T28" s="14">
        <f ca="1">INDEX(INDIRECT($AF$6),
       MATCH(TRIM($S28), INDIRECT($AF$7), 0),
       MATCH(TRIM(T$13), INDIRECT($AF$8), 0))</f>
        <v>36</v>
      </c>
      <c r="U28" s="14" t="e">
        <f ca="1">INDEX(INDIRECT($AF$6),
       MATCH(TRIM($S28), INDIRECT($AF$7), 0),
       MATCH(TRIM(U$13), INDIRECT($AF$8), 0))</f>
        <v>#N/A</v>
      </c>
      <c r="V28" s="14">
        <f ca="1">INDEX(INDIRECT($AF$6),
       MATCH(TRIM($S28), INDIRECT($AF$7), 0),
       MATCH(TRIM(V$13), INDIRECT($AF$8), 0))</f>
        <v>23.474592000000001</v>
      </c>
      <c r="W28" s="14">
        <f ca="1">INDEX(INDIRECT($AF$6),
       MATCH(TRIM($S28), INDIRECT($AF$7), 0),
       MATCH(TRIM(W$13), INDIRECT($AF$8), 0))</f>
        <v>14</v>
      </c>
      <c r="X28" s="14" t="e">
        <f ca="1">INDEX(INDIRECT($AF$6),
       MATCH(TRIM($S28), INDIRECT($AF$7), 0),
       MATCH(TRIM(X$13), INDIRECT($AF$8), 0))</f>
        <v>#N/A</v>
      </c>
      <c r="Y28" s="14">
        <f ca="1">INDEX(INDIRECT($AF$6),
       MATCH(TRIM($S28), INDIRECT($AF$7), 0),
       MATCH(TRIM(Y$13), INDIRECT($AF$8), 0))</f>
        <v>3.7905000000000001E-2</v>
      </c>
      <c r="Z28" s="14">
        <f ca="1">INDEX(INDIRECT($AF$6),
       MATCH(TRIM($S28), INDIRECT($AF$7), 0),
       MATCH(TRIM(Z$13), INDIRECT($AF$8), 0))</f>
        <v>7</v>
      </c>
      <c r="AA28" s="14">
        <f ca="1">INDEX(INDIRECT($AF$6),
       MATCH(TRIM($S28), INDIRECT($AF$7), 0),
       MATCH(TRIM(AA$13), INDIRECT($AF$8), 0))</f>
        <v>0.72645536000000011</v>
      </c>
      <c r="AB28" s="14">
        <f t="shared" ca="1" si="0"/>
        <v>24.238952359999999</v>
      </c>
    </row>
    <row r="29" spans="1:28" ht="43" x14ac:dyDescent="0.2">
      <c r="A29" s="26">
        <v>15</v>
      </c>
      <c r="B29" s="27" t="s">
        <v>21</v>
      </c>
      <c r="C29" s="28">
        <f ca="1">INDEX(INDIRECT($P$6),
       MATCH(TRIM($B29), INDIRECT($P$7), 0),
       MATCH(TRIM(C$14), INDIRECT($P$8), 0))</f>
        <v>0</v>
      </c>
      <c r="D29" s="28" t="e">
        <f ca="1">INDEX(INDIRECT($P$6),
       MATCH(TRIM($B29), INDIRECT($P$7), 0),
       MATCH(TRIM(D$14), INDIRECT($P$8), 0))</f>
        <v>#N/A</v>
      </c>
      <c r="E29" s="28">
        <f ca="1">INDEX(INDIRECT($P$6),
       MATCH(TRIM($B29), INDIRECT($P$7), 0),
       MATCH(TRIM(E$14), INDIRECT($P$8), 0))</f>
        <v>0</v>
      </c>
      <c r="F29" s="28">
        <f ca="1">INDEX(INDIRECT($P$6),
       MATCH(TRIM($B29), INDIRECT($P$7), 0),
       MATCH(TRIM(F$14), INDIRECT($P$8), 0))</f>
        <v>2</v>
      </c>
      <c r="G29" s="28" t="e">
        <f ca="1">INDEX(INDIRECT($P$6),
       MATCH(TRIM($B29), INDIRECT($P$7), 0),
       MATCH(TRIM(G$14), INDIRECT($P$8), 0))</f>
        <v>#N/A</v>
      </c>
      <c r="H29" s="28">
        <f ca="1">INDEX(INDIRECT($P$6),
       MATCH(TRIM($B29), INDIRECT($P$7), 0),
       MATCH(TRIM(H$14), INDIRECT($P$8), 0))</f>
        <v>0.75862099999999999</v>
      </c>
      <c r="I29" s="28">
        <f ca="1">INDEX(INDIRECT($P$6),
       MATCH(TRIM($B29), INDIRECT($P$7), 0),
       MATCH(TRIM(I$14), INDIRECT($P$8), 0))</f>
        <v>8</v>
      </c>
      <c r="J29" s="28">
        <f ca="1">INDEX(INDIRECT($P$6),
       MATCH(TRIM($B29), INDIRECT($P$7), 0),
       MATCH(TRIM(J$14), INDIRECT($P$8), 0))</f>
        <v>18.310070900000003</v>
      </c>
      <c r="K29" s="28">
        <f t="shared" ca="1" si="1"/>
        <v>19.068691900000005</v>
      </c>
      <c r="L29" s="46"/>
      <c r="M29" s="46"/>
      <c r="R29">
        <v>16</v>
      </c>
      <c r="S29" t="s">
        <v>52</v>
      </c>
      <c r="T29" s="14">
        <f ca="1">INDEX(INDIRECT($AF$6),
       MATCH(TRIM($S29), INDIRECT($AF$7), 0),
       MATCH(TRIM(T$13), INDIRECT($AF$8), 0))</f>
        <v>32</v>
      </c>
      <c r="U29" s="14" t="e">
        <f ca="1">INDEX(INDIRECT($AF$6),
       MATCH(TRIM($S29), INDIRECT($AF$7), 0),
       MATCH(TRIM(U$13), INDIRECT($AF$8), 0))</f>
        <v>#N/A</v>
      </c>
      <c r="V29" s="14">
        <f ca="1">INDEX(INDIRECT($AF$6),
       MATCH(TRIM($S29), INDIRECT($AF$7), 0),
       MATCH(TRIM(V$13), INDIRECT($AF$8), 0))</f>
        <v>543.78744800000004</v>
      </c>
      <c r="W29" s="14">
        <f ca="1">INDEX(INDIRECT($AF$6),
       MATCH(TRIM($S29), INDIRECT($AF$7), 0),
       MATCH(TRIM(W$13), INDIRECT($AF$8), 0))</f>
        <v>22</v>
      </c>
      <c r="X29" s="14" t="e">
        <f ca="1">INDEX(INDIRECT($AF$6),
       MATCH(TRIM($S29), INDIRECT($AF$7), 0),
       MATCH(TRIM(X$13), INDIRECT($AF$8), 0))</f>
        <v>#N/A</v>
      </c>
      <c r="Y29" s="14">
        <f ca="1">INDEX(INDIRECT($AF$6),
       MATCH(TRIM($S29), INDIRECT($AF$7), 0),
       MATCH(TRIM(Y$13), INDIRECT($AF$8), 0))</f>
        <v>-29.109233</v>
      </c>
      <c r="Z29" s="14">
        <f ca="1">INDEX(INDIRECT($AF$6),
       MATCH(TRIM($S29), INDIRECT($AF$7), 0),
       MATCH(TRIM(Z$13), INDIRECT($AF$8), 0))</f>
        <v>9</v>
      </c>
      <c r="AA29" s="14">
        <f ca="1">INDEX(INDIRECT($AF$6),
       MATCH(TRIM($S29), INDIRECT($AF$7), 0),
       MATCH(TRIM(AA$13), INDIRECT($AF$8), 0))</f>
        <v>1.7362263600000001</v>
      </c>
      <c r="AB29" s="14">
        <f t="shared" ca="1" si="0"/>
        <v>516.41444136000007</v>
      </c>
    </row>
    <row r="30" spans="1:28" ht="29" x14ac:dyDescent="0.2">
      <c r="A30" s="26">
        <v>16</v>
      </c>
      <c r="B30" s="27" t="s">
        <v>22</v>
      </c>
      <c r="C30" s="28">
        <f ca="1">INDEX(INDIRECT($P$6),
       MATCH(TRIM($B30), INDIRECT($P$7), 0),
       MATCH(TRIM(C$14), INDIRECT($P$8), 0))</f>
        <v>0</v>
      </c>
      <c r="D30" s="28" t="e">
        <f ca="1">INDEX(INDIRECT($P$6),
       MATCH(TRIM($B30), INDIRECT($P$7), 0),
       MATCH(TRIM(D$14), INDIRECT($P$8), 0))</f>
        <v>#N/A</v>
      </c>
      <c r="E30" s="28">
        <f ca="1">INDEX(INDIRECT($P$6),
       MATCH(TRIM($B30), INDIRECT($P$7), 0),
       MATCH(TRIM(E$14), INDIRECT($P$8), 0))</f>
        <v>0</v>
      </c>
      <c r="F30" s="28">
        <f ca="1">INDEX(INDIRECT($P$6),
       MATCH(TRIM($B30), INDIRECT($P$7), 0),
       MATCH(TRIM(F$14), INDIRECT($P$8), 0))</f>
        <v>1</v>
      </c>
      <c r="G30" s="28" t="e">
        <f ca="1">INDEX(INDIRECT($P$6),
       MATCH(TRIM($B30), INDIRECT($P$7), 0),
       MATCH(TRIM(G$14), INDIRECT($P$8), 0))</f>
        <v>#N/A</v>
      </c>
      <c r="H30" s="28">
        <f ca="1">INDEX(INDIRECT($P$6),
       MATCH(TRIM($B30), INDIRECT($P$7), 0),
       MATCH(TRIM(H$14), INDIRECT($P$8), 0))</f>
        <v>0.22500000000000001</v>
      </c>
      <c r="I30" s="28">
        <f ca="1">INDEX(INDIRECT($P$6),
       MATCH(TRIM($B30), INDIRECT($P$7), 0),
       MATCH(TRIM(I$14), INDIRECT($P$8), 0))</f>
        <v>1</v>
      </c>
      <c r="J30" s="28">
        <f ca="1">INDEX(INDIRECT($P$6),
       MATCH(TRIM($B30), INDIRECT($P$7), 0),
       MATCH(TRIM(J$14), INDIRECT($P$8), 0))</f>
        <v>0.54998999999999998</v>
      </c>
      <c r="K30" s="28">
        <f t="shared" ca="1" si="1"/>
        <v>0.77498999999999996</v>
      </c>
      <c r="L30" s="46"/>
      <c r="M30" s="46"/>
      <c r="R30">
        <v>17</v>
      </c>
      <c r="S30" t="s">
        <v>53</v>
      </c>
      <c r="T30" s="14">
        <f ca="1">INDEX(INDIRECT($AF$6),
       MATCH(TRIM($S30), INDIRECT($AF$7), 0),
       MATCH(TRIM(T$13), INDIRECT($AF$8), 0))</f>
        <v>10</v>
      </c>
      <c r="U30" s="14" t="e">
        <f ca="1">INDEX(INDIRECT($AF$6),
       MATCH(TRIM($S30), INDIRECT($AF$7), 0),
       MATCH(TRIM(U$13), INDIRECT($AF$8), 0))</f>
        <v>#N/A</v>
      </c>
      <c r="V30" s="14">
        <f ca="1">INDEX(INDIRECT($AF$6),
       MATCH(TRIM($S30), INDIRECT($AF$7), 0),
       MATCH(TRIM(V$13), INDIRECT($AF$8), 0))</f>
        <v>42.608328390000004</v>
      </c>
      <c r="W30" s="14">
        <f ca="1">INDEX(INDIRECT($AF$6),
       MATCH(TRIM($S30), INDIRECT($AF$7), 0),
       MATCH(TRIM(W$13), INDIRECT($AF$8), 0))</f>
        <v>22</v>
      </c>
      <c r="X30" s="14" t="e">
        <f ca="1">INDEX(INDIRECT($AF$6),
       MATCH(TRIM($S30), INDIRECT($AF$7), 0),
       MATCH(TRIM(X$13), INDIRECT($AF$8), 0))</f>
        <v>#N/A</v>
      </c>
      <c r="Y30" s="14">
        <f ca="1">INDEX(INDIRECT($AF$6),
       MATCH(TRIM($S30), INDIRECT($AF$7), 0),
       MATCH(TRIM(Y$13), INDIRECT($AF$8), 0))</f>
        <v>50.849106726562503</v>
      </c>
      <c r="Z30" s="14">
        <f ca="1">INDEX(INDIRECT($AF$6),
       MATCH(TRIM($S30), INDIRECT($AF$7), 0),
       MATCH(TRIM(Z$13), INDIRECT($AF$8), 0))</f>
        <v>5</v>
      </c>
      <c r="AA30" s="14">
        <f ca="1">INDEX(INDIRECT($AF$6),
       MATCH(TRIM($S30), INDIRECT($AF$7), 0),
       MATCH(TRIM(AA$13), INDIRECT($AF$8), 0))</f>
        <v>4.3655520700000006</v>
      </c>
      <c r="AB30" s="14">
        <f t="shared" ca="1" si="0"/>
        <v>97.822987186562514</v>
      </c>
    </row>
    <row r="31" spans="1:28" ht="43" x14ac:dyDescent="0.2">
      <c r="A31" s="26">
        <v>17</v>
      </c>
      <c r="B31" s="27" t="s">
        <v>23</v>
      </c>
      <c r="C31" s="28">
        <f ca="1">INDEX(INDIRECT($P$6),
       MATCH(TRIM($B31), INDIRECT($P$7), 0),
       MATCH(TRIM(C$14), INDIRECT($P$8), 0))</f>
        <v>3</v>
      </c>
      <c r="D31" s="28" t="e">
        <f ca="1">INDEX(INDIRECT($P$6),
       MATCH(TRIM($B31), INDIRECT($P$7), 0),
       MATCH(TRIM(D$14), INDIRECT($P$8), 0))</f>
        <v>#N/A</v>
      </c>
      <c r="E31" s="28">
        <f ca="1">INDEX(INDIRECT($P$6),
       MATCH(TRIM($B31), INDIRECT($P$7), 0),
       MATCH(TRIM(E$14), INDIRECT($P$8), 0))</f>
        <v>5.6974761199999993</v>
      </c>
      <c r="F31" s="28">
        <f ca="1">INDEX(INDIRECT($P$6),
       MATCH(TRIM($B31), INDIRECT($P$7), 0),
       MATCH(TRIM(F$14), INDIRECT($P$8), 0))</f>
        <v>0</v>
      </c>
      <c r="G31" s="28" t="e">
        <f ca="1">INDEX(INDIRECT($P$6),
       MATCH(TRIM($B31), INDIRECT($P$7), 0),
       MATCH(TRIM(G$14), INDIRECT($P$8), 0))</f>
        <v>#N/A</v>
      </c>
      <c r="H31" s="28">
        <f ca="1">INDEX(INDIRECT($P$6),
       MATCH(TRIM($B31), INDIRECT($P$7), 0),
       MATCH(TRIM(H$14), INDIRECT($P$8), 0))</f>
        <v>0</v>
      </c>
      <c r="I31" s="28">
        <f ca="1">INDEX(INDIRECT($P$6),
       MATCH(TRIM($B31), INDIRECT($P$7), 0),
       MATCH(TRIM(I$14), INDIRECT($P$8), 0))</f>
        <v>3</v>
      </c>
      <c r="J31" s="28">
        <f ca="1">INDEX(INDIRECT($P$6),
       MATCH(TRIM($B31), INDIRECT($P$7), 0),
       MATCH(TRIM(J$14), INDIRECT($P$8), 0))</f>
        <v>0.58616299999999999</v>
      </c>
      <c r="K31" s="28">
        <f t="shared" ca="1" si="1"/>
        <v>6.2836391199999992</v>
      </c>
      <c r="L31" s="46"/>
      <c r="M31" s="46"/>
      <c r="R31">
        <v>18</v>
      </c>
      <c r="S31" t="s">
        <v>63</v>
      </c>
      <c r="T31" s="14">
        <f ca="1">INDEX(INDIRECT($AF$6),
       MATCH(TRIM($S31), INDIRECT($AF$7), 0),
       MATCH(TRIM(T$13), INDIRECT($AF$8), 0))</f>
        <v>3</v>
      </c>
      <c r="U31" s="14" t="e">
        <f ca="1">INDEX(INDIRECT($AF$6),
       MATCH(TRIM($S31), INDIRECT($AF$7), 0),
       MATCH(TRIM(U$13), INDIRECT($AF$8), 0))</f>
        <v>#N/A</v>
      </c>
      <c r="V31" s="14">
        <f ca="1">INDEX(INDIRECT($AF$6),
       MATCH(TRIM($S31), INDIRECT($AF$7), 0),
       MATCH(TRIM(V$13), INDIRECT($AF$8), 0))</f>
        <v>24</v>
      </c>
      <c r="W31" s="14">
        <f ca="1">INDEX(INDIRECT($AF$6),
       MATCH(TRIM($S31), INDIRECT($AF$7), 0),
       MATCH(TRIM(W$13), INDIRECT($AF$8), 0))</f>
        <v>3</v>
      </c>
      <c r="X31" s="14" t="e">
        <f ca="1">INDEX(INDIRECT($AF$6),
       MATCH(TRIM($S31), INDIRECT($AF$7), 0),
       MATCH(TRIM(X$13), INDIRECT($AF$8), 0))</f>
        <v>#N/A</v>
      </c>
      <c r="Y31" s="14">
        <f ca="1">INDEX(INDIRECT($AF$6),
       MATCH(TRIM($S31), INDIRECT($AF$7), 0),
       MATCH(TRIM(Y$13), INDIRECT($AF$8), 0))</f>
        <v>13.12</v>
      </c>
      <c r="Z31" s="14">
        <f ca="1">INDEX(INDIRECT($AF$6),
       MATCH(TRIM($S31), INDIRECT($AF$7), 0),
       MATCH(TRIM(Z$13), INDIRECT($AF$8), 0))</f>
        <v>1</v>
      </c>
      <c r="AA31" s="14">
        <f ca="1">INDEX(INDIRECT($AF$6),
       MATCH(TRIM($S31), INDIRECT($AF$7), 0),
       MATCH(TRIM(AA$13), INDIRECT($AF$8), 0))</f>
        <v>8.238928999999999E-2</v>
      </c>
      <c r="AB31" s="14">
        <f t="shared" ca="1" si="0"/>
        <v>37.202389289999999</v>
      </c>
    </row>
    <row r="32" spans="1:28" ht="57" x14ac:dyDescent="0.2">
      <c r="A32" s="26">
        <v>18</v>
      </c>
      <c r="B32" s="27" t="s">
        <v>24</v>
      </c>
      <c r="C32" s="28">
        <f ca="1">INDEX(INDIRECT($P$6),
       MATCH(TRIM($B32), INDIRECT($P$7), 0),
       MATCH(TRIM(C$14), INDIRECT($P$8), 0))</f>
        <v>3</v>
      </c>
      <c r="D32" s="28" t="e">
        <f ca="1">INDEX(INDIRECT($P$6),
       MATCH(TRIM($B32), INDIRECT($P$7), 0),
       MATCH(TRIM(D$14), INDIRECT($P$8), 0))</f>
        <v>#N/A</v>
      </c>
      <c r="E32" s="28">
        <f ca="1">INDEX(INDIRECT($P$6),
       MATCH(TRIM($B32), INDIRECT($P$7), 0),
       MATCH(TRIM(E$14), INDIRECT($P$8), 0))</f>
        <v>1.986645</v>
      </c>
      <c r="F32" s="28">
        <f ca="1">INDEX(INDIRECT($P$6),
       MATCH(TRIM($B32), INDIRECT($P$7), 0),
       MATCH(TRIM(F$14), INDIRECT($P$8), 0))</f>
        <v>1</v>
      </c>
      <c r="G32" s="28" t="e">
        <f ca="1">INDEX(INDIRECT($P$6),
       MATCH(TRIM($B32), INDIRECT($P$7), 0),
       MATCH(TRIM(G$14), INDIRECT($P$8), 0))</f>
        <v>#N/A</v>
      </c>
      <c r="H32" s="28">
        <f ca="1">INDEX(INDIRECT($P$6),
       MATCH(TRIM($B32), INDIRECT($P$7), 0),
       MATCH(TRIM(H$14), INDIRECT($P$8), 0))</f>
        <v>0.06</v>
      </c>
      <c r="I32" s="28">
        <f ca="1">INDEX(INDIRECT($P$6),
       MATCH(TRIM($B32), INDIRECT($P$7), 0),
       MATCH(TRIM(I$14), INDIRECT($P$8), 0))</f>
        <v>8</v>
      </c>
      <c r="J32" s="28">
        <f ca="1">INDEX(INDIRECT($P$6),
       MATCH(TRIM($B32), INDIRECT($P$7), 0),
       MATCH(TRIM(J$14), INDIRECT($P$8), 0))</f>
        <v>31.960474630000004</v>
      </c>
      <c r="K32" s="28">
        <f t="shared" ca="1" si="1"/>
        <v>34.007119630000005</v>
      </c>
      <c r="L32" s="46"/>
      <c r="M32" s="46"/>
      <c r="R32">
        <v>19</v>
      </c>
      <c r="S32" t="s">
        <v>70</v>
      </c>
      <c r="T32" s="14">
        <f ca="1">INDEX(INDIRECT($AF$6),
       MATCH(TRIM($S32), INDIRECT($AF$7), 0),
       MATCH(TRIM(T$13), INDIRECT($AF$8), 0))</f>
        <v>15</v>
      </c>
      <c r="U32" s="14" t="e">
        <f ca="1">INDEX(INDIRECT($AF$6),
       MATCH(TRIM($S32), INDIRECT($AF$7), 0),
       MATCH(TRIM(U$13), INDIRECT($AF$8), 0))</f>
        <v>#N/A</v>
      </c>
      <c r="V32" s="14">
        <f ca="1">INDEX(INDIRECT($AF$6),
       MATCH(TRIM($S32), INDIRECT($AF$7), 0),
       MATCH(TRIM(V$13), INDIRECT($AF$8), 0))</f>
        <v>183.90543700000001</v>
      </c>
      <c r="W32" s="14">
        <f ca="1">INDEX(INDIRECT($AF$6),
       MATCH(TRIM($S32), INDIRECT($AF$7), 0),
       MATCH(TRIM(W$13), INDIRECT($AF$8), 0))</f>
        <v>1</v>
      </c>
      <c r="X32" s="14" t="e">
        <f ca="1">INDEX(INDIRECT($AF$6),
       MATCH(TRIM($S32), INDIRECT($AF$7), 0),
       MATCH(TRIM(X$13), INDIRECT($AF$8), 0))</f>
        <v>#N/A</v>
      </c>
      <c r="Y32" s="14">
        <f ca="1">INDEX(INDIRECT($AF$6),
       MATCH(TRIM($S32), INDIRECT($AF$7), 0),
       MATCH(TRIM(Y$13), INDIRECT($AF$8), 0))</f>
        <v>0.5</v>
      </c>
      <c r="Z32" s="14">
        <f ca="1">INDEX(INDIRECT($AF$6),
       MATCH(TRIM($S32), INDIRECT($AF$7), 0),
       MATCH(TRIM(Z$13), INDIRECT($AF$8), 0))</f>
        <v>1</v>
      </c>
      <c r="AA32" s="14">
        <f ca="1">INDEX(INDIRECT($AF$6),
       MATCH(TRIM($S32), INDIRECT($AF$7), 0),
       MATCH(TRIM(AA$13), INDIRECT($AF$8), 0))</f>
        <v>0.57509600000000005</v>
      </c>
      <c r="AB32" s="14">
        <f t="shared" ca="1" si="0"/>
        <v>184.98053300000001</v>
      </c>
    </row>
    <row r="33" spans="1:28" ht="85" x14ac:dyDescent="0.2">
      <c r="A33" s="26">
        <v>19</v>
      </c>
      <c r="B33" s="27" t="s">
        <v>25</v>
      </c>
      <c r="C33" s="28" t="e">
        <f ca="1">INDEX(INDIRECT($P$6),
       MATCH(TRIM($B33), INDIRECT($P$7), 0),
       MATCH(TRIM(C$14), INDIRECT($P$8), 0))</f>
        <v>#N/A</v>
      </c>
      <c r="D33" s="28" t="e">
        <f ca="1">INDEX(INDIRECT($P$6),
       MATCH(TRIM($B33), INDIRECT($P$7), 0),
       MATCH(TRIM(D$14), INDIRECT($P$8), 0))</f>
        <v>#N/A</v>
      </c>
      <c r="E33" s="28" t="e">
        <f ca="1">INDEX(INDIRECT($P$6),
       MATCH(TRIM($B33), INDIRECT($P$7), 0),
       MATCH(TRIM(E$14), INDIRECT($P$8), 0))</f>
        <v>#N/A</v>
      </c>
      <c r="F33" s="28" t="e">
        <f ca="1">INDEX(INDIRECT($P$6),
       MATCH(TRIM($B33), INDIRECT($P$7), 0),
       MATCH(TRIM(F$14), INDIRECT($P$8), 0))</f>
        <v>#N/A</v>
      </c>
      <c r="G33" s="28" t="e">
        <f ca="1">INDEX(INDIRECT($P$6),
       MATCH(TRIM($B33), INDIRECT($P$7), 0),
       MATCH(TRIM(G$14), INDIRECT($P$8), 0))</f>
        <v>#N/A</v>
      </c>
      <c r="H33" s="28" t="e">
        <f ca="1">INDEX(INDIRECT($P$6),
       MATCH(TRIM($B33), INDIRECT($P$7), 0),
       MATCH(TRIM(H$14), INDIRECT($P$8), 0))</f>
        <v>#N/A</v>
      </c>
      <c r="I33" s="28" t="e">
        <f ca="1">INDEX(INDIRECT($P$6),
       MATCH(TRIM($B33), INDIRECT($P$7), 0),
       MATCH(TRIM(I$14), INDIRECT($P$8), 0))</f>
        <v>#N/A</v>
      </c>
      <c r="J33" s="28" t="e">
        <f ca="1">INDEX(INDIRECT($P$6),
       MATCH(TRIM($B33), INDIRECT($P$7), 0),
       MATCH(TRIM(J$14), INDIRECT($P$8), 0))</f>
        <v>#N/A</v>
      </c>
      <c r="K33" s="28" t="e">
        <f t="shared" ca="1" si="1"/>
        <v>#N/A</v>
      </c>
      <c r="L33" s="47"/>
      <c r="M33" s="47"/>
      <c r="R33">
        <v>20</v>
      </c>
      <c r="S33" t="s">
        <v>61</v>
      </c>
      <c r="T33" s="14">
        <f ca="1">INDEX(INDIRECT($AF$6),
       MATCH(TRIM($S33), INDIRECT($AF$7), 0),
       MATCH(TRIM(T$13), INDIRECT($AF$8), 0))</f>
        <v>12</v>
      </c>
      <c r="U33" s="14" t="e">
        <f ca="1">INDEX(INDIRECT($AF$6),
       MATCH(TRIM($S33), INDIRECT($AF$7), 0),
       MATCH(TRIM(U$13), INDIRECT($AF$8), 0))</f>
        <v>#N/A</v>
      </c>
      <c r="V33" s="14">
        <f ca="1">INDEX(INDIRECT($AF$6),
       MATCH(TRIM($S33), INDIRECT($AF$7), 0),
       MATCH(TRIM(V$13), INDIRECT($AF$8), 0))</f>
        <v>71.133335000000002</v>
      </c>
      <c r="W33" s="14">
        <f ca="1">INDEX(INDIRECT($AF$6),
       MATCH(TRIM($S33), INDIRECT($AF$7), 0),
       MATCH(TRIM(W$13), INDIRECT($AF$8), 0))</f>
        <v>7</v>
      </c>
      <c r="X33" s="14" t="e">
        <f ca="1">INDEX(INDIRECT($AF$6),
       MATCH(TRIM($S33), INDIRECT($AF$7), 0),
       MATCH(TRIM(X$13), INDIRECT($AF$8), 0))</f>
        <v>#N/A</v>
      </c>
      <c r="Y33" s="14">
        <f ca="1">INDEX(INDIRECT($AF$6),
       MATCH(TRIM($S33), INDIRECT($AF$7), 0),
       MATCH(TRIM(Y$13), INDIRECT($AF$8), 0))</f>
        <v>-0.14522237499999999</v>
      </c>
      <c r="Z33" s="14">
        <f ca="1">INDEX(INDIRECT($AF$6),
       MATCH(TRIM($S33), INDIRECT($AF$7), 0),
       MATCH(TRIM(Z$13), INDIRECT($AF$8), 0))</f>
        <v>1</v>
      </c>
      <c r="AA33" s="14">
        <f ca="1">INDEX(INDIRECT($AF$6),
       MATCH(TRIM($S33), INDIRECT($AF$7), 0),
       MATCH(TRIM(AA$13), INDIRECT($AF$8), 0))</f>
        <v>0.64991876000000004</v>
      </c>
      <c r="AB33" s="14">
        <f t="shared" ca="1" si="0"/>
        <v>71.638031385000005</v>
      </c>
    </row>
    <row r="34" spans="1:28" ht="17" thickBot="1" x14ac:dyDescent="0.25">
      <c r="A34" s="34" t="s">
        <v>26</v>
      </c>
      <c r="B34" s="35"/>
      <c r="C34" s="31" cm="1">
        <f t="array" aca="1" ref="C34" ca="1">SUM(IFERROR(C15:C33,0))</f>
        <v>1538</v>
      </c>
      <c r="D34" s="31" cm="1">
        <f t="array" aca="1" ref="D34" ca="1">SUM(IFERROR(D15:D33,0))</f>
        <v>0</v>
      </c>
      <c r="E34" s="31" cm="1">
        <f t="array" aca="1" ref="E34" ca="1">SUM(IFERROR(E15:E33,0))</f>
        <v>9536.7541051500011</v>
      </c>
      <c r="F34" s="31" cm="1">
        <f t="array" aca="1" ref="F34" ca="1">SUM(IFERROR(F15:F33,0))</f>
        <v>592</v>
      </c>
      <c r="G34" s="31" cm="1">
        <f t="array" aca="1" ref="G34" ca="1">SUM(IFERROR(G15:G33,0))</f>
        <v>0</v>
      </c>
      <c r="H34" s="31" cm="1">
        <f t="array" aca="1" ref="H34" ca="1">SUM(IFERROR(H15:H33,0))</f>
        <v>3950.3507291324404</v>
      </c>
      <c r="I34" s="31" cm="1">
        <f t="array" aca="1" ref="I34" ca="1">SUM(IFERROR(I15:I33,0))</f>
        <v>1420</v>
      </c>
      <c r="J34" s="31" cm="1">
        <f t="array" aca="1" ref="J34" ca="1">SUM(IFERROR(J15:J33,0))</f>
        <v>1698.1133495698693</v>
      </c>
      <c r="K34" s="31" cm="1">
        <f t="array" aca="1" ref="K34" ca="1">SUM(IFERROR(K15:K33,0))</f>
        <v>15185.218183852312</v>
      </c>
      <c r="R34">
        <v>21</v>
      </c>
      <c r="S34" t="s">
        <v>59</v>
      </c>
      <c r="T34" s="14">
        <f ca="1">INDEX(INDIRECT($AF$6),
       MATCH(TRIM($S34), INDIRECT($AF$7), 0),
       MATCH(TRIM(T$13), INDIRECT($AF$8), 0))</f>
        <v>8</v>
      </c>
      <c r="U34" s="14" t="e">
        <f ca="1">INDEX(INDIRECT($AF$6),
       MATCH(TRIM($S34), INDIRECT($AF$7), 0),
       MATCH(TRIM(U$13), INDIRECT($AF$8), 0))</f>
        <v>#N/A</v>
      </c>
      <c r="V34" s="14">
        <f ca="1">INDEX(INDIRECT($AF$6),
       MATCH(TRIM($S34), INDIRECT($AF$7), 0),
       MATCH(TRIM(V$13), INDIRECT($AF$8), 0))</f>
        <v>33.167254999999997</v>
      </c>
      <c r="W34" s="14">
        <f ca="1">INDEX(INDIRECT($AF$6),
       MATCH(TRIM($S34), INDIRECT($AF$7), 0),
       MATCH(TRIM(W$13), INDIRECT($AF$8), 0))</f>
        <v>0</v>
      </c>
      <c r="X34" s="14" t="e">
        <f ca="1">INDEX(INDIRECT($AF$6),
       MATCH(TRIM($S34), INDIRECT($AF$7), 0),
       MATCH(TRIM(X$13), INDIRECT($AF$8), 0))</f>
        <v>#N/A</v>
      </c>
      <c r="Y34" s="14">
        <f ca="1">INDEX(INDIRECT($AF$6),
       MATCH(TRIM($S34), INDIRECT($AF$7), 0),
       MATCH(TRIM(Y$13), INDIRECT($AF$8), 0))</f>
        <v>0</v>
      </c>
      <c r="Z34" s="14">
        <f ca="1">INDEX(INDIRECT($AF$6),
       MATCH(TRIM($S34), INDIRECT($AF$7), 0),
       MATCH(TRIM(Z$13), INDIRECT($AF$8), 0))</f>
        <v>3</v>
      </c>
      <c r="AA34" s="14">
        <f ca="1">INDEX(INDIRECT($AF$6),
       MATCH(TRIM($S34), INDIRECT($AF$7), 0),
       MATCH(TRIM(AA$13), INDIRECT($AF$8), 0))</f>
        <v>0.29403319</v>
      </c>
      <c r="AB34" s="14">
        <f t="shared" ca="1" si="0"/>
        <v>33.461288189999998</v>
      </c>
    </row>
    <row r="35" spans="1:28" ht="17" thickTop="1" x14ac:dyDescent="0.2">
      <c r="R35">
        <v>22</v>
      </c>
      <c r="S35" t="s">
        <v>56</v>
      </c>
      <c r="T35" s="14">
        <f ca="1">INDEX(INDIRECT($AF$6),
       MATCH(TRIM($S35), INDIRECT($AF$7), 0),
       MATCH(TRIM(T$13), INDIRECT($AF$8), 0))</f>
        <v>3</v>
      </c>
      <c r="U35" s="14" t="e">
        <f ca="1">INDEX(INDIRECT($AF$6),
       MATCH(TRIM($S35), INDIRECT($AF$7), 0),
       MATCH(TRIM(U$13), INDIRECT($AF$8), 0))</f>
        <v>#N/A</v>
      </c>
      <c r="V35" s="14">
        <f ca="1">INDEX(INDIRECT($AF$6),
       MATCH(TRIM($S35), INDIRECT($AF$7), 0),
       MATCH(TRIM(V$13), INDIRECT($AF$8), 0))</f>
        <v>48</v>
      </c>
      <c r="W35" s="14">
        <f ca="1">INDEX(INDIRECT($AF$6),
       MATCH(TRIM($S35), INDIRECT($AF$7), 0),
       MATCH(TRIM(W$13), INDIRECT($AF$8), 0))</f>
        <v>3</v>
      </c>
      <c r="X35" s="14" t="e">
        <f ca="1">INDEX(INDIRECT($AF$6),
       MATCH(TRIM($S35), INDIRECT($AF$7), 0),
       MATCH(TRIM(X$13), INDIRECT($AF$8), 0))</f>
        <v>#N/A</v>
      </c>
      <c r="Y35" s="14">
        <f ca="1">INDEX(INDIRECT($AF$6),
       MATCH(TRIM($S35), INDIRECT($AF$7), 0),
       MATCH(TRIM(Y$13), INDIRECT($AF$8), 0))</f>
        <v>45.968938000000001</v>
      </c>
      <c r="Z35" s="14">
        <f ca="1">INDEX(INDIRECT($AF$6),
       MATCH(TRIM($S35), INDIRECT($AF$7), 0),
       MATCH(TRIM(Z$13), INDIRECT($AF$8), 0))</f>
        <v>0</v>
      </c>
      <c r="AA35" s="14">
        <f ca="1">INDEX(INDIRECT($AF$6),
       MATCH(TRIM($S35), INDIRECT($AF$7), 0),
       MATCH(TRIM(AA$13), INDIRECT($AF$8), 0))</f>
        <v>0</v>
      </c>
      <c r="AB35" s="14">
        <f t="shared" ca="1" si="0"/>
        <v>93.968938000000009</v>
      </c>
    </row>
    <row r="36" spans="1:28" x14ac:dyDescent="0.2">
      <c r="R36">
        <v>23</v>
      </c>
      <c r="S36" t="s">
        <v>48</v>
      </c>
      <c r="T36" s="14">
        <f ca="1">INDEX(INDIRECT($AF$6),
       MATCH(TRIM($S36), INDIRECT($AF$7), 0),
       MATCH(TRIM(T$13), INDIRECT($AF$8), 0))</f>
        <v>23</v>
      </c>
      <c r="U36" s="14" t="e">
        <f ca="1">INDEX(INDIRECT($AF$6),
       MATCH(TRIM($S36), INDIRECT($AF$7), 0),
       MATCH(TRIM(U$13), INDIRECT($AF$8), 0))</f>
        <v>#N/A</v>
      </c>
      <c r="V36" s="14">
        <f ca="1">INDEX(INDIRECT($AF$6),
       MATCH(TRIM($S36), INDIRECT($AF$7), 0),
       MATCH(TRIM(V$13), INDIRECT($AF$8), 0))</f>
        <v>1357.9683279999999</v>
      </c>
      <c r="W36" s="14">
        <f ca="1">INDEX(INDIRECT($AF$6),
       MATCH(TRIM($S36), INDIRECT($AF$7), 0),
       MATCH(TRIM(W$13), INDIRECT($AF$8), 0))</f>
        <v>3</v>
      </c>
      <c r="X36" s="14" t="e">
        <f ca="1">INDEX(INDIRECT($AF$6),
       MATCH(TRIM($S36), INDIRECT($AF$7), 0),
       MATCH(TRIM(X$13), INDIRECT($AF$8), 0))</f>
        <v>#N/A</v>
      </c>
      <c r="Y36" s="14">
        <f ca="1">INDEX(INDIRECT($AF$6),
       MATCH(TRIM($S36), INDIRECT($AF$7), 0),
       MATCH(TRIM(Y$13), INDIRECT($AF$8), 0))</f>
        <v>3.6710379999999998</v>
      </c>
      <c r="Z36" s="14">
        <f ca="1">INDEX(INDIRECT($AF$6),
       MATCH(TRIM($S36), INDIRECT($AF$7), 0),
       MATCH(TRIM(Z$13), INDIRECT($AF$8), 0))</f>
        <v>1</v>
      </c>
      <c r="AA36" s="14">
        <f ca="1">INDEX(INDIRECT($AF$6),
       MATCH(TRIM($S36), INDIRECT($AF$7), 0),
       MATCH(TRIM(AA$13), INDIRECT($AF$8), 0))</f>
        <v>6.6791000000000003E-2</v>
      </c>
      <c r="AB36" s="14">
        <f t="shared" ca="1" si="0"/>
        <v>1361.7061569999998</v>
      </c>
    </row>
    <row r="37" spans="1:28" x14ac:dyDescent="0.2">
      <c r="R37">
        <v>24</v>
      </c>
      <c r="S37" t="s">
        <v>72</v>
      </c>
      <c r="T37" s="14">
        <f ca="1">INDEX(INDIRECT($AF$6),
       MATCH(TRIM($S37), INDIRECT($AF$7), 0),
       MATCH(TRIM(T$13), INDIRECT($AF$8), 0))</f>
        <v>1</v>
      </c>
      <c r="U37" s="14" t="e">
        <f ca="1">INDEX(INDIRECT($AF$6),
       MATCH(TRIM($S37), INDIRECT($AF$7), 0),
       MATCH(TRIM(U$13), INDIRECT($AF$8), 0))</f>
        <v>#N/A</v>
      </c>
      <c r="V37" s="14">
        <f ca="1">INDEX(INDIRECT($AF$6),
       MATCH(TRIM($S37), INDIRECT($AF$7), 0),
       MATCH(TRIM(V$13), INDIRECT($AF$8), 0))</f>
        <v>2.7445520000000001</v>
      </c>
      <c r="W37" s="14">
        <f ca="1">INDEX(INDIRECT($AF$6),
       MATCH(TRIM($S37), INDIRECT($AF$7), 0),
       MATCH(TRIM(W$13), INDIRECT($AF$8), 0))</f>
        <v>0</v>
      </c>
      <c r="X37" s="14" t="e">
        <f ca="1">INDEX(INDIRECT($AF$6),
       MATCH(TRIM($S37), INDIRECT($AF$7), 0),
       MATCH(TRIM(X$13), INDIRECT($AF$8), 0))</f>
        <v>#N/A</v>
      </c>
      <c r="Y37" s="14">
        <f ca="1">INDEX(INDIRECT($AF$6),
       MATCH(TRIM($S37), INDIRECT($AF$7), 0),
       MATCH(TRIM(Y$13), INDIRECT($AF$8), 0))</f>
        <v>0</v>
      </c>
      <c r="Z37" s="14">
        <f ca="1">INDEX(INDIRECT($AF$6),
       MATCH(TRIM($S37), INDIRECT($AF$7), 0),
       MATCH(TRIM(Z$13), INDIRECT($AF$8), 0))</f>
        <v>0</v>
      </c>
      <c r="AA37" s="14">
        <f ca="1">INDEX(INDIRECT($AF$6),
       MATCH(TRIM($S37), INDIRECT($AF$7), 0),
       MATCH(TRIM(AA$13), INDIRECT($AF$8), 0))</f>
        <v>0</v>
      </c>
      <c r="AB37" s="14">
        <f t="shared" ca="1" si="0"/>
        <v>2.7445520000000001</v>
      </c>
    </row>
    <row r="38" spans="1:28" x14ac:dyDescent="0.2">
      <c r="R38">
        <v>25</v>
      </c>
      <c r="S38" t="s">
        <v>67</v>
      </c>
      <c r="T38" s="14">
        <f ca="1">INDEX(INDIRECT($AF$6),
       MATCH(TRIM($S38), INDIRECT($AF$7), 0),
       MATCH(TRIM(T$13), INDIRECT($AF$8), 0))</f>
        <v>1</v>
      </c>
      <c r="U38" s="14" t="e">
        <f ca="1">INDEX(INDIRECT($AF$6),
       MATCH(TRIM($S38), INDIRECT($AF$7), 0),
       MATCH(TRIM(U$13), INDIRECT($AF$8), 0))</f>
        <v>#N/A</v>
      </c>
      <c r="V38" s="14">
        <f ca="1">INDEX(INDIRECT($AF$6),
       MATCH(TRIM($S38), INDIRECT($AF$7), 0),
       MATCH(TRIM(V$13), INDIRECT($AF$8), 0))</f>
        <v>11</v>
      </c>
      <c r="W38" s="14">
        <f ca="1">INDEX(INDIRECT($AF$6),
       MATCH(TRIM($S38), INDIRECT($AF$7), 0),
       MATCH(TRIM(W$13), INDIRECT($AF$8), 0))</f>
        <v>0</v>
      </c>
      <c r="X38" s="14" t="e">
        <f ca="1">INDEX(INDIRECT($AF$6),
       MATCH(TRIM($S38), INDIRECT($AF$7), 0),
       MATCH(TRIM(X$13), INDIRECT($AF$8), 0))</f>
        <v>#N/A</v>
      </c>
      <c r="Y38" s="14">
        <f ca="1">INDEX(INDIRECT($AF$6),
       MATCH(TRIM($S38), INDIRECT($AF$7), 0),
       MATCH(TRIM(Y$13), INDIRECT($AF$8), 0))</f>
        <v>0</v>
      </c>
      <c r="Z38" s="14">
        <f ca="1">INDEX(INDIRECT($AF$6),
       MATCH(TRIM($S38), INDIRECT($AF$7), 0),
       MATCH(TRIM(Z$13), INDIRECT($AF$8), 0))</f>
        <v>28</v>
      </c>
      <c r="AA38" s="14">
        <f ca="1">INDEX(INDIRECT($AF$6),
       MATCH(TRIM($S38), INDIRECT($AF$7), 0),
       MATCH(TRIM(AA$13), INDIRECT($AF$8), 0))</f>
        <v>26.314522069999999</v>
      </c>
      <c r="AB38" s="14">
        <f t="shared" ca="1" si="0"/>
        <v>37.314522069999995</v>
      </c>
    </row>
    <row r="39" spans="1:28" x14ac:dyDescent="0.2">
      <c r="R39">
        <v>26</v>
      </c>
      <c r="S39" t="s">
        <v>54</v>
      </c>
      <c r="T39" s="14">
        <f ca="1">INDEX(INDIRECT($AF$6),
       MATCH(TRIM($S39), INDIRECT($AF$7), 0),
       MATCH(TRIM(T$13), INDIRECT($AF$8), 0))</f>
        <v>6</v>
      </c>
      <c r="U39" s="14" t="e">
        <f ca="1">INDEX(INDIRECT($AF$6),
       MATCH(TRIM($S39), INDIRECT($AF$7), 0),
       MATCH(TRIM(U$13), INDIRECT($AF$8), 0))</f>
        <v>#N/A</v>
      </c>
      <c r="V39" s="14">
        <f ca="1">INDEX(INDIRECT($AF$6),
       MATCH(TRIM($S39), INDIRECT($AF$7), 0),
       MATCH(TRIM(V$13), INDIRECT($AF$8), 0))</f>
        <v>87.061284999999998</v>
      </c>
      <c r="W39" s="14">
        <f ca="1">INDEX(INDIRECT($AF$6),
       MATCH(TRIM($S39), INDIRECT($AF$7), 0),
       MATCH(TRIM(W$13), INDIRECT($AF$8), 0))</f>
        <v>1</v>
      </c>
      <c r="X39" s="14" t="e">
        <f ca="1">INDEX(INDIRECT($AF$6),
       MATCH(TRIM($S39), INDIRECT($AF$7), 0),
       MATCH(TRIM(X$13), INDIRECT($AF$8), 0))</f>
        <v>#N/A</v>
      </c>
      <c r="Y39" s="14">
        <f ca="1">INDEX(INDIRECT($AF$6),
       MATCH(TRIM($S39), INDIRECT($AF$7), 0),
       MATCH(TRIM(Y$13), INDIRECT($AF$8), 0))</f>
        <v>1.0004189999999999</v>
      </c>
      <c r="Z39" s="14">
        <f ca="1">INDEX(INDIRECT($AF$6),
       MATCH(TRIM($S39), INDIRECT($AF$7), 0),
       MATCH(TRIM(Z$13), INDIRECT($AF$8), 0))</f>
        <v>1</v>
      </c>
      <c r="AA39" s="14">
        <f ca="1">INDEX(INDIRECT($AF$6),
       MATCH(TRIM($S39), INDIRECT($AF$7), 0),
       MATCH(TRIM(AA$13), INDIRECT($AF$8), 0))</f>
        <v>8.4109800000000002E-3</v>
      </c>
      <c r="AB39" s="14">
        <f t="shared" ca="1" si="0"/>
        <v>88.070114979999985</v>
      </c>
    </row>
    <row r="40" spans="1:28" x14ac:dyDescent="0.2">
      <c r="R40">
        <v>27</v>
      </c>
      <c r="S40" t="s">
        <v>64</v>
      </c>
      <c r="T40" s="14">
        <f ca="1">INDEX(INDIRECT($AF$6),
       MATCH(TRIM($S40), INDIRECT($AF$7), 0),
       MATCH(TRIM(T$13), INDIRECT($AF$8), 0))</f>
        <v>0</v>
      </c>
      <c r="U40" s="14" t="e">
        <f ca="1">INDEX(INDIRECT($AF$6),
       MATCH(TRIM($S40), INDIRECT($AF$7), 0),
       MATCH(TRIM(U$13), INDIRECT($AF$8), 0))</f>
        <v>#N/A</v>
      </c>
      <c r="V40" s="14">
        <f ca="1">INDEX(INDIRECT($AF$6),
       MATCH(TRIM($S40), INDIRECT($AF$7), 0),
       MATCH(TRIM(V$13), INDIRECT($AF$8), 0))</f>
        <v>0</v>
      </c>
      <c r="W40" s="14">
        <f ca="1">INDEX(INDIRECT($AF$6),
       MATCH(TRIM($S40), INDIRECT($AF$7), 0),
       MATCH(TRIM(W$13), INDIRECT($AF$8), 0))</f>
        <v>1</v>
      </c>
      <c r="X40" s="14" t="e">
        <f ca="1">INDEX(INDIRECT($AF$6),
       MATCH(TRIM($S40), INDIRECT($AF$7), 0),
       MATCH(TRIM(X$13), INDIRECT($AF$8), 0))</f>
        <v>#N/A</v>
      </c>
      <c r="Y40" s="14">
        <f ca="1">INDEX(INDIRECT($AF$6),
       MATCH(TRIM($S40), INDIRECT($AF$7), 0),
       MATCH(TRIM(Y$13), INDIRECT($AF$8), 0))</f>
        <v>3.5</v>
      </c>
      <c r="Z40" s="14">
        <f ca="1">INDEX(INDIRECT($AF$6),
       MATCH(TRIM($S40), INDIRECT($AF$7), 0),
       MATCH(TRIM(Z$13), INDIRECT($AF$8), 0))</f>
        <v>2</v>
      </c>
      <c r="AA40" s="14">
        <f ca="1">INDEX(INDIRECT($AF$6),
       MATCH(TRIM($S40), INDIRECT($AF$7), 0),
       MATCH(TRIM(AA$13), INDIRECT($AF$8), 0))</f>
        <v>2.8510760000000003E-2</v>
      </c>
      <c r="AB40" s="14">
        <f t="shared" ca="1" si="0"/>
        <v>3.5285107600000001</v>
      </c>
    </row>
    <row r="41" spans="1:28" x14ac:dyDescent="0.2">
      <c r="R41">
        <v>28</v>
      </c>
      <c r="S41" t="s">
        <v>81</v>
      </c>
      <c r="T41" s="14">
        <f ca="1">INDEX(INDIRECT($AF$6),
       MATCH(TRIM($S41), INDIRECT($AF$7), 0),
       MATCH(TRIM(T$13), INDIRECT($AF$8), 0))</f>
        <v>1</v>
      </c>
      <c r="U41" s="14" t="e">
        <f ca="1">INDEX(INDIRECT($AF$6),
       MATCH(TRIM($S41), INDIRECT($AF$7), 0),
       MATCH(TRIM(U$13), INDIRECT($AF$8), 0))</f>
        <v>#N/A</v>
      </c>
      <c r="V41" s="14">
        <f ca="1">INDEX(INDIRECT($AF$6),
       MATCH(TRIM($S41), INDIRECT($AF$7), 0),
       MATCH(TRIM(V$13), INDIRECT($AF$8), 0))</f>
        <v>1.2788809999999999</v>
      </c>
      <c r="W41" s="14">
        <f ca="1">INDEX(INDIRECT($AF$6),
       MATCH(TRIM($S41), INDIRECT($AF$7), 0),
       MATCH(TRIM(W$13), INDIRECT($AF$8), 0))</f>
        <v>5</v>
      </c>
      <c r="X41" s="14" t="e">
        <f ca="1">INDEX(INDIRECT($AF$6),
       MATCH(TRIM($S41), INDIRECT($AF$7), 0),
       MATCH(TRIM(X$13), INDIRECT($AF$8), 0))</f>
        <v>#N/A</v>
      </c>
      <c r="Y41" s="14">
        <f ca="1">INDEX(INDIRECT($AF$6),
       MATCH(TRIM($S41), INDIRECT($AF$7), 0),
       MATCH(TRIM(Y$13), INDIRECT($AF$8), 0))</f>
        <v>3.8270101845703124</v>
      </c>
      <c r="Z41" s="14">
        <f ca="1">INDEX(INDIRECT($AF$6),
       MATCH(TRIM($S41), INDIRECT($AF$7), 0),
       MATCH(TRIM(Z$13), INDIRECT($AF$8), 0))</f>
        <v>0</v>
      </c>
      <c r="AA41" s="14">
        <f ca="1">INDEX(INDIRECT($AF$6),
       MATCH(TRIM($S41), INDIRECT($AF$7), 0),
       MATCH(TRIM(AA$13), INDIRECT($AF$8), 0))</f>
        <v>0</v>
      </c>
      <c r="AB41" s="14">
        <f t="shared" ca="1" si="0"/>
        <v>5.1058911845703125</v>
      </c>
    </row>
    <row r="42" spans="1:28" x14ac:dyDescent="0.2">
      <c r="R42">
        <v>29</v>
      </c>
      <c r="S42" t="s">
        <v>71</v>
      </c>
      <c r="T42" s="14">
        <f ca="1">INDEX(INDIRECT($AF$6),
       MATCH(TRIM($S42), INDIRECT($AF$7), 0),
       MATCH(TRIM(T$13), INDIRECT($AF$8), 0))</f>
        <v>4</v>
      </c>
      <c r="U42" s="14" t="e">
        <f ca="1">INDEX(INDIRECT($AF$6),
       MATCH(TRIM($S42), INDIRECT($AF$7), 0),
       MATCH(TRIM(U$13), INDIRECT($AF$8), 0))</f>
        <v>#N/A</v>
      </c>
      <c r="V42" s="14">
        <f ca="1">INDEX(INDIRECT($AF$6),
       MATCH(TRIM($S42), INDIRECT($AF$7), 0),
       MATCH(TRIM(V$13), INDIRECT($AF$8), 0))</f>
        <v>31.390045000000001</v>
      </c>
      <c r="W42" s="14">
        <f ca="1">INDEX(INDIRECT($AF$6),
       MATCH(TRIM($S42), INDIRECT($AF$7), 0),
       MATCH(TRIM(W$13), INDIRECT($AF$8), 0))</f>
        <v>0</v>
      </c>
      <c r="X42" s="14" t="e">
        <f ca="1">INDEX(INDIRECT($AF$6),
       MATCH(TRIM($S42), INDIRECT($AF$7), 0),
       MATCH(TRIM(X$13), INDIRECT($AF$8), 0))</f>
        <v>#N/A</v>
      </c>
      <c r="Y42" s="14">
        <f ca="1">INDEX(INDIRECT($AF$6),
       MATCH(TRIM($S42), INDIRECT($AF$7), 0),
       MATCH(TRIM(Y$13), INDIRECT($AF$8), 0))</f>
        <v>0</v>
      </c>
      <c r="Z42" s="14">
        <f ca="1">INDEX(INDIRECT($AF$6),
       MATCH(TRIM($S42), INDIRECT($AF$7), 0),
       MATCH(TRIM(Z$13), INDIRECT($AF$8), 0))</f>
        <v>0</v>
      </c>
      <c r="AA42" s="14">
        <f ca="1">INDEX(INDIRECT($AF$6),
       MATCH(TRIM($S42), INDIRECT($AF$7), 0),
       MATCH(TRIM(AA$13), INDIRECT($AF$8), 0))</f>
        <v>0</v>
      </c>
      <c r="AB42" s="14">
        <f t="shared" ca="1" si="0"/>
        <v>31.390045000000001</v>
      </c>
    </row>
    <row r="43" spans="1:28" x14ac:dyDescent="0.2">
      <c r="R43">
        <v>30</v>
      </c>
      <c r="S43" t="s">
        <v>76</v>
      </c>
      <c r="T43" s="14">
        <f ca="1">INDEX(INDIRECT($AF$6),
       MATCH(TRIM($S43), INDIRECT($AF$7), 0),
       MATCH(TRIM(T$13), INDIRECT($AF$8), 0))</f>
        <v>2</v>
      </c>
      <c r="U43" s="14" t="e">
        <f ca="1">INDEX(INDIRECT($AF$6),
       MATCH(TRIM($S43), INDIRECT($AF$7), 0),
       MATCH(TRIM(U$13), INDIRECT($AF$8), 0))</f>
        <v>#N/A</v>
      </c>
      <c r="V43" s="14">
        <f ca="1">INDEX(INDIRECT($AF$6),
       MATCH(TRIM($S43), INDIRECT($AF$7), 0),
       MATCH(TRIM(V$13), INDIRECT($AF$8), 0))</f>
        <v>14.107623</v>
      </c>
      <c r="W43" s="14">
        <f ca="1">INDEX(INDIRECT($AF$6),
       MATCH(TRIM($S43), INDIRECT($AF$7), 0),
       MATCH(TRIM(W$13), INDIRECT($AF$8), 0))</f>
        <v>3</v>
      </c>
      <c r="X43" s="14" t="e">
        <f ca="1">INDEX(INDIRECT($AF$6),
       MATCH(TRIM($S43), INDIRECT($AF$7), 0),
       MATCH(TRIM(X$13), INDIRECT($AF$8), 0))</f>
        <v>#N/A</v>
      </c>
      <c r="Y43" s="14">
        <f ca="1">INDEX(INDIRECT($AF$6),
       MATCH(TRIM($S43), INDIRECT($AF$7), 0),
       MATCH(TRIM(Y$13), INDIRECT($AF$8), 0))</f>
        <v>34.401000000000003</v>
      </c>
      <c r="Z43" s="14">
        <f ca="1">INDEX(INDIRECT($AF$6),
       MATCH(TRIM($S43), INDIRECT($AF$7), 0),
       MATCH(TRIM(Z$13), INDIRECT($AF$8), 0))</f>
        <v>0</v>
      </c>
      <c r="AA43" s="14">
        <f ca="1">INDEX(INDIRECT($AF$6),
       MATCH(TRIM($S43), INDIRECT($AF$7), 0),
       MATCH(TRIM(AA$13), INDIRECT($AF$8), 0))</f>
        <v>0</v>
      </c>
      <c r="AB43" s="14">
        <f t="shared" ca="1" si="0"/>
        <v>48.508623</v>
      </c>
    </row>
    <row r="44" spans="1:28" x14ac:dyDescent="0.2">
      <c r="R44">
        <v>31</v>
      </c>
      <c r="S44" t="s">
        <v>88</v>
      </c>
      <c r="T44" s="14">
        <f ca="1">INDEX(INDIRECT($AF$6),
       MATCH(TRIM($S44), INDIRECT($AF$7), 0),
       MATCH(TRIM(T$13), INDIRECT($AF$8), 0))</f>
        <v>1</v>
      </c>
      <c r="U44" s="14" t="e">
        <f ca="1">INDEX(INDIRECT($AF$6),
       MATCH(TRIM($S44), INDIRECT($AF$7), 0),
       MATCH(TRIM(U$13), INDIRECT($AF$8), 0))</f>
        <v>#N/A</v>
      </c>
      <c r="V44" s="14">
        <f ca="1">INDEX(INDIRECT($AF$6),
       MATCH(TRIM($S44), INDIRECT($AF$7), 0),
       MATCH(TRIM(V$13), INDIRECT($AF$8), 0))</f>
        <v>2.5000000000000001E-2</v>
      </c>
      <c r="W44" s="14">
        <f ca="1">INDEX(INDIRECT($AF$6),
       MATCH(TRIM($S44), INDIRECT($AF$7), 0),
       MATCH(TRIM(W$13), INDIRECT($AF$8), 0))</f>
        <v>1</v>
      </c>
      <c r="X44" s="14" t="e">
        <f ca="1">INDEX(INDIRECT($AF$6),
       MATCH(TRIM($S44), INDIRECT($AF$7), 0),
       MATCH(TRIM(X$13), INDIRECT($AF$8), 0))</f>
        <v>#N/A</v>
      </c>
      <c r="Y44" s="14">
        <f ca="1">INDEX(INDIRECT($AF$6),
       MATCH(TRIM($S44), INDIRECT($AF$7), 0),
       MATCH(TRIM(Y$13), INDIRECT($AF$8), 0))</f>
        <v>17.415216000000001</v>
      </c>
      <c r="Z44" s="14">
        <f ca="1">INDEX(INDIRECT($AF$6),
       MATCH(TRIM($S44), INDIRECT($AF$7), 0),
       MATCH(TRIM(Z$13), INDIRECT($AF$8), 0))</f>
        <v>3</v>
      </c>
      <c r="AA44" s="14">
        <f ca="1">INDEX(INDIRECT($AF$6),
       MATCH(TRIM($S44), INDIRECT($AF$7), 0),
       MATCH(TRIM(AA$13), INDIRECT($AF$8), 0))</f>
        <v>28.769325210000002</v>
      </c>
      <c r="AB44" s="14">
        <f t="shared" ca="1" si="0"/>
        <v>46.209541209999998</v>
      </c>
    </row>
    <row r="45" spans="1:28" x14ac:dyDescent="0.2">
      <c r="R45">
        <v>32</v>
      </c>
      <c r="S45" t="s">
        <v>84</v>
      </c>
      <c r="T45" s="14">
        <f ca="1">INDEX(INDIRECT($AF$6),
       MATCH(TRIM($S45), INDIRECT($AF$7), 0),
       MATCH(TRIM(T$13), INDIRECT($AF$8), 0))</f>
        <v>1</v>
      </c>
      <c r="U45" s="14" t="e">
        <f ca="1">INDEX(INDIRECT($AF$6),
       MATCH(TRIM($S45), INDIRECT($AF$7), 0),
       MATCH(TRIM(U$13), INDIRECT($AF$8), 0))</f>
        <v>#N/A</v>
      </c>
      <c r="V45" s="14">
        <f ca="1">INDEX(INDIRECT($AF$6),
       MATCH(TRIM($S45), INDIRECT($AF$7), 0),
       MATCH(TRIM(V$13), INDIRECT($AF$8), 0))</f>
        <v>4.96</v>
      </c>
      <c r="W45" s="14">
        <f ca="1">INDEX(INDIRECT($AF$6),
       MATCH(TRIM($S45), INDIRECT($AF$7), 0),
       MATCH(TRIM(W$13), INDIRECT($AF$8), 0))</f>
        <v>1</v>
      </c>
      <c r="X45" s="14" t="e">
        <f ca="1">INDEX(INDIRECT($AF$6),
       MATCH(TRIM($S45), INDIRECT($AF$7), 0),
       MATCH(TRIM(X$13), INDIRECT($AF$8), 0))</f>
        <v>#N/A</v>
      </c>
      <c r="Y45" s="14">
        <f ca="1">INDEX(INDIRECT($AF$6),
       MATCH(TRIM($S45), INDIRECT($AF$7), 0),
       MATCH(TRIM(Y$13), INDIRECT($AF$8), 0))</f>
        <v>16</v>
      </c>
      <c r="Z45" s="14">
        <f ca="1">INDEX(INDIRECT($AF$6),
       MATCH(TRIM($S45), INDIRECT($AF$7), 0),
       MATCH(TRIM(Z$13), INDIRECT($AF$8), 0))</f>
        <v>0</v>
      </c>
      <c r="AA45" s="14">
        <f ca="1">INDEX(INDIRECT($AF$6),
       MATCH(TRIM($S45), INDIRECT($AF$7), 0),
       MATCH(TRIM(AA$13), INDIRECT($AF$8), 0))</f>
        <v>0</v>
      </c>
      <c r="AB45" s="14">
        <f t="shared" ca="1" si="0"/>
        <v>20.96</v>
      </c>
    </row>
    <row r="46" spans="1:28" x14ac:dyDescent="0.2">
      <c r="R46">
        <v>33</v>
      </c>
      <c r="S46" t="s">
        <v>80</v>
      </c>
      <c r="T46" s="14">
        <f ca="1">INDEX(INDIRECT($AF$6),
       MATCH(TRIM($S46), INDIRECT($AF$7), 0),
       MATCH(TRIM(T$13), INDIRECT($AF$8), 0))</f>
        <v>0</v>
      </c>
      <c r="U46" s="14" t="e">
        <f ca="1">INDEX(INDIRECT($AF$6),
       MATCH(TRIM($S46), INDIRECT($AF$7), 0),
       MATCH(TRIM(U$13), INDIRECT($AF$8), 0))</f>
        <v>#N/A</v>
      </c>
      <c r="V46" s="14">
        <f ca="1">INDEX(INDIRECT($AF$6),
       MATCH(TRIM($S46), INDIRECT($AF$7), 0),
       MATCH(TRIM(V$13), INDIRECT($AF$8), 0))</f>
        <v>0</v>
      </c>
      <c r="W46" s="14">
        <f ca="1">INDEX(INDIRECT($AF$6),
       MATCH(TRIM($S46), INDIRECT($AF$7), 0),
       MATCH(TRIM(W$13), INDIRECT($AF$8), 0))</f>
        <v>1</v>
      </c>
      <c r="X46" s="14" t="e">
        <f ca="1">INDEX(INDIRECT($AF$6),
       MATCH(TRIM($S46), INDIRECT($AF$7), 0),
       MATCH(TRIM(X$13), INDIRECT($AF$8), 0))</f>
        <v>#N/A</v>
      </c>
      <c r="Y46" s="14">
        <f ca="1">INDEX(INDIRECT($AF$6),
       MATCH(TRIM($S46), INDIRECT($AF$7), 0),
       MATCH(TRIM(Y$13), INDIRECT($AF$8), 0))</f>
        <v>16.502124999999999</v>
      </c>
      <c r="Z46" s="14">
        <f ca="1">INDEX(INDIRECT($AF$6),
       MATCH(TRIM($S46), INDIRECT($AF$7), 0),
       MATCH(TRIM(Z$13), INDIRECT($AF$8), 0))</f>
        <v>0</v>
      </c>
      <c r="AA46" s="14">
        <f ca="1">INDEX(INDIRECT($AF$6),
       MATCH(TRIM($S46), INDIRECT($AF$7), 0),
       MATCH(TRIM(AA$13), INDIRECT($AF$8), 0))</f>
        <v>0</v>
      </c>
      <c r="AB46" s="14">
        <f t="shared" ca="1" si="0"/>
        <v>16.502124999999999</v>
      </c>
    </row>
    <row r="47" spans="1:28" x14ac:dyDescent="0.2">
      <c r="R47">
        <v>34</v>
      </c>
      <c r="S47" t="s">
        <v>40</v>
      </c>
      <c r="T47" s="14">
        <f ca="1">INDEX(INDIRECT($AF$6),
       MATCH(TRIM($S47), INDIRECT($AF$7), 0),
       MATCH(TRIM(T$13), INDIRECT($AF$8), 0))</f>
        <v>0</v>
      </c>
      <c r="U47" s="14" t="e">
        <f ca="1">INDEX(INDIRECT($AF$6),
       MATCH(TRIM($S47), INDIRECT($AF$7), 0),
       MATCH(TRIM(U$13), INDIRECT($AF$8), 0))</f>
        <v>#N/A</v>
      </c>
      <c r="V47" s="14">
        <f ca="1">INDEX(INDIRECT($AF$6),
       MATCH(TRIM($S47), INDIRECT($AF$7), 0),
       MATCH(TRIM(V$13), INDIRECT($AF$8), 0))</f>
        <v>0</v>
      </c>
      <c r="W47" s="14">
        <f ca="1">INDEX(INDIRECT($AF$6),
       MATCH(TRIM($S47), INDIRECT($AF$7), 0),
       MATCH(TRIM(W$13), INDIRECT($AF$8), 0))</f>
        <v>0</v>
      </c>
      <c r="X47" s="14" t="e">
        <f ca="1">INDEX(INDIRECT($AF$6),
       MATCH(TRIM($S47), INDIRECT($AF$7), 0),
       MATCH(TRIM(X$13), INDIRECT($AF$8), 0))</f>
        <v>#N/A</v>
      </c>
      <c r="Y47" s="14">
        <f ca="1">INDEX(INDIRECT($AF$6),
       MATCH(TRIM($S47), INDIRECT($AF$7), 0),
       MATCH(TRIM(Y$13), INDIRECT($AF$8), 0))</f>
        <v>0</v>
      </c>
      <c r="Z47" s="14">
        <f ca="1">INDEX(INDIRECT($AF$6),
       MATCH(TRIM($S47), INDIRECT($AF$7), 0),
       MATCH(TRIM(Z$13), INDIRECT($AF$8), 0))</f>
        <v>1</v>
      </c>
      <c r="AA47" s="14">
        <f ca="1">INDEX(INDIRECT($AF$6),
       MATCH(TRIM($S47), INDIRECT($AF$7), 0),
       MATCH(TRIM(AA$13), INDIRECT($AF$8), 0))</f>
        <v>5.0544480000000003E-2</v>
      </c>
      <c r="AB47" s="14">
        <f t="shared" ca="1" si="0"/>
        <v>5.0544480000000003E-2</v>
      </c>
    </row>
    <row r="48" spans="1:28" x14ac:dyDescent="0.2">
      <c r="R48">
        <v>35</v>
      </c>
      <c r="S48" t="s">
        <v>66</v>
      </c>
      <c r="T48" s="14" t="e">
        <f ca="1">INDEX(INDIRECT($AF$6),
       MATCH(TRIM($S48), INDIRECT($AF$7), 0),
       MATCH(TRIM(T$13), INDIRECT($AF$8), 0))</f>
        <v>#N/A</v>
      </c>
      <c r="U48" s="14" t="e">
        <f ca="1">INDEX(INDIRECT($AF$6),
       MATCH(TRIM($S48), INDIRECT($AF$7), 0),
       MATCH(TRIM(U$13), INDIRECT($AF$8), 0))</f>
        <v>#N/A</v>
      </c>
      <c r="V48" s="14" t="e">
        <f ca="1">INDEX(INDIRECT($AF$6),
       MATCH(TRIM($S48), INDIRECT($AF$7), 0),
       MATCH(TRIM(V$13), INDIRECT($AF$8), 0))</f>
        <v>#N/A</v>
      </c>
      <c r="W48" s="14" t="e">
        <f ca="1">INDEX(INDIRECT($AF$6),
       MATCH(TRIM($S48), INDIRECT($AF$7), 0),
       MATCH(TRIM(W$13), INDIRECT($AF$8), 0))</f>
        <v>#N/A</v>
      </c>
      <c r="X48" s="14" t="e">
        <f ca="1">INDEX(INDIRECT($AF$6),
       MATCH(TRIM($S48), INDIRECT($AF$7), 0),
       MATCH(TRIM(X$13), INDIRECT($AF$8), 0))</f>
        <v>#N/A</v>
      </c>
      <c r="Y48" s="14" t="e">
        <f ca="1">INDEX(INDIRECT($AF$6),
       MATCH(TRIM($S48), INDIRECT($AF$7), 0),
       MATCH(TRIM(Y$13), INDIRECT($AF$8), 0))</f>
        <v>#N/A</v>
      </c>
      <c r="Z48" s="14" t="e">
        <f ca="1">INDEX(INDIRECT($AF$6),
       MATCH(TRIM($S48), INDIRECT($AF$7), 0),
       MATCH(TRIM(Z$13), INDIRECT($AF$8), 0))</f>
        <v>#N/A</v>
      </c>
      <c r="AA48" s="14" t="e">
        <f ca="1">INDEX(INDIRECT($AF$6),
       MATCH(TRIM($S48), INDIRECT($AF$7), 0),
       MATCH(TRIM(AA$13), INDIRECT($AF$8), 0))</f>
        <v>#N/A</v>
      </c>
      <c r="AB48" s="14" t="e">
        <f t="shared" ca="1" si="0"/>
        <v>#N/A</v>
      </c>
    </row>
    <row r="49" spans="18:28" x14ac:dyDescent="0.2">
      <c r="R49">
        <v>36</v>
      </c>
      <c r="S49" t="s">
        <v>133</v>
      </c>
      <c r="T49" s="14">
        <f ca="1">INDEX(INDIRECT($AF$6),
       MATCH(TRIM($S49), INDIRECT($AF$7), 0),
       MATCH(TRIM(T$13), INDIRECT($AF$8), 0))</f>
        <v>1</v>
      </c>
      <c r="U49" s="14" t="e">
        <f ca="1">INDEX(INDIRECT($AF$6),
       MATCH(TRIM($S49), INDIRECT($AF$7), 0),
       MATCH(TRIM(U$13), INDIRECT($AF$8), 0))</f>
        <v>#N/A</v>
      </c>
      <c r="V49" s="14">
        <f ca="1">INDEX(INDIRECT($AF$6),
       MATCH(TRIM($S49), INDIRECT($AF$7), 0),
       MATCH(TRIM(V$13), INDIRECT($AF$8), 0))</f>
        <v>2.4175</v>
      </c>
      <c r="W49" s="14">
        <f ca="1">INDEX(INDIRECT($AF$6),
       MATCH(TRIM($S49), INDIRECT($AF$7), 0),
       MATCH(TRIM(W$13), INDIRECT($AF$8), 0))</f>
        <v>0</v>
      </c>
      <c r="X49" s="14" t="e">
        <f ca="1">INDEX(INDIRECT($AF$6),
       MATCH(TRIM($S49), INDIRECT($AF$7), 0),
       MATCH(TRIM(X$13), INDIRECT($AF$8), 0))</f>
        <v>#N/A</v>
      </c>
      <c r="Y49" s="14">
        <f ca="1">INDEX(INDIRECT($AF$6),
       MATCH(TRIM($S49), INDIRECT($AF$7), 0),
       MATCH(TRIM(Y$13), INDIRECT($AF$8), 0))</f>
        <v>0</v>
      </c>
      <c r="Z49" s="14">
        <f ca="1">INDEX(INDIRECT($AF$6),
       MATCH(TRIM($S49), INDIRECT($AF$7), 0),
       MATCH(TRIM(Z$13), INDIRECT($AF$8), 0))</f>
        <v>0</v>
      </c>
      <c r="AA49" s="14">
        <f ca="1">INDEX(INDIRECT($AF$6),
       MATCH(TRIM($S49), INDIRECT($AF$7), 0),
       MATCH(TRIM(AA$13), INDIRECT($AF$8), 0))</f>
        <v>0</v>
      </c>
      <c r="AB49" s="14">
        <f t="shared" ca="1" si="0"/>
        <v>2.4175</v>
      </c>
    </row>
    <row r="50" spans="18:28" x14ac:dyDescent="0.2">
      <c r="R50">
        <v>37</v>
      </c>
      <c r="S50" t="s">
        <v>75</v>
      </c>
      <c r="T50" s="14">
        <f ca="1">INDEX(INDIRECT($AF$6),
       MATCH(TRIM($S50), INDIRECT($AF$7), 0),
       MATCH(TRIM(T$13), INDIRECT($AF$8), 0))</f>
        <v>1</v>
      </c>
      <c r="U50" s="14" t="e">
        <f ca="1">INDEX(INDIRECT($AF$6),
       MATCH(TRIM($S50), INDIRECT($AF$7), 0),
       MATCH(TRIM(U$13), INDIRECT($AF$8), 0))</f>
        <v>#N/A</v>
      </c>
      <c r="V50" s="14">
        <f ca="1">INDEX(INDIRECT($AF$6),
       MATCH(TRIM($S50), INDIRECT($AF$7), 0),
       MATCH(TRIM(V$13), INDIRECT($AF$8), 0))</f>
        <v>0.15</v>
      </c>
      <c r="W50" s="14">
        <f ca="1">INDEX(INDIRECT($AF$6),
       MATCH(TRIM($S50), INDIRECT($AF$7), 0),
       MATCH(TRIM(W$13), INDIRECT($AF$8), 0))</f>
        <v>0</v>
      </c>
      <c r="X50" s="14" t="e">
        <f ca="1">INDEX(INDIRECT($AF$6),
       MATCH(TRIM($S50), INDIRECT($AF$7), 0),
       MATCH(TRIM(X$13), INDIRECT($AF$8), 0))</f>
        <v>#N/A</v>
      </c>
      <c r="Y50" s="14">
        <f ca="1">INDEX(INDIRECT($AF$6),
       MATCH(TRIM($S50), INDIRECT($AF$7), 0),
       MATCH(TRIM(Y$13), INDIRECT($AF$8), 0))</f>
        <v>0</v>
      </c>
      <c r="Z50" s="14">
        <f ca="1">INDEX(INDIRECT($AF$6),
       MATCH(TRIM($S50), INDIRECT($AF$7), 0),
       MATCH(TRIM(Z$13), INDIRECT($AF$8), 0))</f>
        <v>0</v>
      </c>
      <c r="AA50" s="14">
        <f ca="1">INDEX(INDIRECT($AF$6),
       MATCH(TRIM($S50), INDIRECT($AF$7), 0),
       MATCH(TRIM(AA$13), INDIRECT($AF$8), 0))</f>
        <v>0</v>
      </c>
      <c r="AB50" s="14">
        <f t="shared" ca="1" si="0"/>
        <v>0.15</v>
      </c>
    </row>
    <row r="51" spans="18:28" x14ac:dyDescent="0.2">
      <c r="R51">
        <v>38</v>
      </c>
      <c r="S51" t="s">
        <v>77</v>
      </c>
      <c r="T51" s="14">
        <f ca="1">INDEX(INDIRECT($AF$6),
       MATCH(TRIM($S51), INDIRECT($AF$7), 0),
       MATCH(TRIM(T$13), INDIRECT($AF$8), 0))</f>
        <v>1</v>
      </c>
      <c r="U51" s="14" t="e">
        <f ca="1">INDEX(INDIRECT($AF$6),
       MATCH(TRIM($S51), INDIRECT($AF$7), 0),
       MATCH(TRIM(U$13), INDIRECT($AF$8), 0))</f>
        <v>#N/A</v>
      </c>
      <c r="V51" s="14">
        <f ca="1">INDEX(INDIRECT($AF$6),
       MATCH(TRIM($S51), INDIRECT($AF$7), 0),
       MATCH(TRIM(V$13), INDIRECT($AF$8), 0))</f>
        <v>0.15</v>
      </c>
      <c r="W51" s="14">
        <f ca="1">INDEX(INDIRECT($AF$6),
       MATCH(TRIM($S51), INDIRECT($AF$7), 0),
       MATCH(TRIM(W$13), INDIRECT($AF$8), 0))</f>
        <v>0</v>
      </c>
      <c r="X51" s="14" t="e">
        <f ca="1">INDEX(INDIRECT($AF$6),
       MATCH(TRIM($S51), INDIRECT($AF$7), 0),
       MATCH(TRIM(X$13), INDIRECT($AF$8), 0))</f>
        <v>#N/A</v>
      </c>
      <c r="Y51" s="14">
        <f ca="1">INDEX(INDIRECT($AF$6),
       MATCH(TRIM($S51), INDIRECT($AF$7), 0),
       MATCH(TRIM(Y$13), INDIRECT($AF$8), 0))</f>
        <v>0</v>
      </c>
      <c r="Z51" s="14">
        <f ca="1">INDEX(INDIRECT($AF$6),
       MATCH(TRIM($S51), INDIRECT($AF$7), 0),
       MATCH(TRIM(Z$13), INDIRECT($AF$8), 0))</f>
        <v>4</v>
      </c>
      <c r="AA51" s="14">
        <f ca="1">INDEX(INDIRECT($AF$6),
       MATCH(TRIM($S51), INDIRECT($AF$7), 0),
       MATCH(TRIM(AA$13), INDIRECT($AF$8), 0))</f>
        <v>0.10593225000000001</v>
      </c>
      <c r="AB51" s="14">
        <f t="shared" ca="1" si="0"/>
        <v>0.25593224999999997</v>
      </c>
    </row>
    <row r="52" spans="18:28" x14ac:dyDescent="0.2">
      <c r="R52">
        <v>39</v>
      </c>
      <c r="S52" t="s">
        <v>68</v>
      </c>
      <c r="T52" s="14">
        <f ca="1">INDEX(INDIRECT($AF$6),
       MATCH(TRIM($S52), INDIRECT($AF$7), 0),
       MATCH(TRIM(T$13), INDIRECT($AF$8), 0))</f>
        <v>17</v>
      </c>
      <c r="U52" s="14" t="e">
        <f ca="1">INDEX(INDIRECT($AF$6),
       MATCH(TRIM($S52), INDIRECT($AF$7), 0),
       MATCH(TRIM(U$13), INDIRECT($AF$8), 0))</f>
        <v>#N/A</v>
      </c>
      <c r="V52" s="14">
        <f ca="1">INDEX(INDIRECT($AF$6),
       MATCH(TRIM($S52), INDIRECT($AF$7), 0),
       MATCH(TRIM(V$13), INDIRECT($AF$8), 0))</f>
        <v>396.58859899999999</v>
      </c>
      <c r="W52" s="14">
        <f ca="1">INDEX(INDIRECT($AF$6),
       MATCH(TRIM($S52), INDIRECT($AF$7), 0),
       MATCH(TRIM(W$13), INDIRECT($AF$8), 0))</f>
        <v>2</v>
      </c>
      <c r="X52" s="14" t="e">
        <f ca="1">INDEX(INDIRECT($AF$6),
       MATCH(TRIM($S52), INDIRECT($AF$7), 0),
       MATCH(TRIM(X$13), INDIRECT($AF$8), 0))</f>
        <v>#N/A</v>
      </c>
      <c r="Y52" s="14">
        <f ca="1">INDEX(INDIRECT($AF$6),
       MATCH(TRIM($S52), INDIRECT($AF$7), 0),
       MATCH(TRIM(Y$13), INDIRECT($AF$8), 0))</f>
        <v>5</v>
      </c>
      <c r="Z52" s="14">
        <f ca="1">INDEX(INDIRECT($AF$6),
       MATCH(TRIM($S52), INDIRECT($AF$7), 0),
       MATCH(TRIM(Z$13), INDIRECT($AF$8), 0))</f>
        <v>1</v>
      </c>
      <c r="AA52" s="14">
        <f ca="1">INDEX(INDIRECT($AF$6),
       MATCH(TRIM($S52), INDIRECT($AF$7), 0),
       MATCH(TRIM(AA$13), INDIRECT($AF$8), 0))</f>
        <v>3.5620550000000001E-2</v>
      </c>
      <c r="AB52" s="14">
        <f t="shared" ca="1" si="0"/>
        <v>401.62421954999996</v>
      </c>
    </row>
    <row r="53" spans="18:28" x14ac:dyDescent="0.2">
      <c r="R53">
        <v>40</v>
      </c>
      <c r="S53" t="s">
        <v>62</v>
      </c>
      <c r="T53" s="14">
        <f ca="1">INDEX(INDIRECT($AF$6),
       MATCH(TRIM($S53), INDIRECT($AF$7), 0),
       MATCH(TRIM(T$13), INDIRECT($AF$8), 0))</f>
        <v>0</v>
      </c>
      <c r="U53" s="14" t="e">
        <f ca="1">INDEX(INDIRECT($AF$6),
       MATCH(TRIM($S53), INDIRECT($AF$7), 0),
       MATCH(TRIM(U$13), INDIRECT($AF$8), 0))</f>
        <v>#N/A</v>
      </c>
      <c r="V53" s="14">
        <f ca="1">INDEX(INDIRECT($AF$6),
       MATCH(TRIM($S53), INDIRECT($AF$7), 0),
       MATCH(TRIM(V$13), INDIRECT($AF$8), 0))</f>
        <v>0</v>
      </c>
      <c r="W53" s="14">
        <f ca="1">INDEX(INDIRECT($AF$6),
       MATCH(TRIM($S53), INDIRECT($AF$7), 0),
       MATCH(TRIM(W$13), INDIRECT($AF$8), 0))</f>
        <v>0</v>
      </c>
      <c r="X53" s="14" t="e">
        <f ca="1">INDEX(INDIRECT($AF$6),
       MATCH(TRIM($S53), INDIRECT($AF$7), 0),
       MATCH(TRIM(X$13), INDIRECT($AF$8), 0))</f>
        <v>#N/A</v>
      </c>
      <c r="Y53" s="14">
        <f ca="1">INDEX(INDIRECT($AF$6),
       MATCH(TRIM($S53), INDIRECT($AF$7), 0),
       MATCH(TRIM(Y$13), INDIRECT($AF$8), 0))</f>
        <v>0</v>
      </c>
      <c r="Z53" s="14">
        <f ca="1">INDEX(INDIRECT($AF$6),
       MATCH(TRIM($S53), INDIRECT($AF$7), 0),
       MATCH(TRIM(Z$13), INDIRECT($AF$8), 0))</f>
        <v>2</v>
      </c>
      <c r="AA53" s="14">
        <f ca="1">INDEX(INDIRECT($AF$6),
       MATCH(TRIM($S53), INDIRECT($AF$7), 0),
       MATCH(TRIM(AA$13), INDIRECT($AF$8), 0))</f>
        <v>0.58982199999999996</v>
      </c>
      <c r="AB53" s="14">
        <f t="shared" ca="1" si="0"/>
        <v>0.58982199999999996</v>
      </c>
    </row>
    <row r="54" spans="18:28" x14ac:dyDescent="0.2">
      <c r="R54">
        <v>41</v>
      </c>
      <c r="S54" t="s">
        <v>60</v>
      </c>
      <c r="T54" s="14">
        <f ca="1">INDEX(INDIRECT($AF$6),
       MATCH(TRIM($S54), INDIRECT($AF$7), 0),
       MATCH(TRIM(T$13), INDIRECT($AF$8), 0))</f>
        <v>14</v>
      </c>
      <c r="U54" s="14" t="e">
        <f ca="1">INDEX(INDIRECT($AF$6),
       MATCH(TRIM($S54), INDIRECT($AF$7), 0),
       MATCH(TRIM(U$13), INDIRECT($AF$8), 0))</f>
        <v>#N/A</v>
      </c>
      <c r="V54" s="14">
        <f ca="1">INDEX(INDIRECT($AF$6),
       MATCH(TRIM($S54), INDIRECT($AF$7), 0),
       MATCH(TRIM(V$13), INDIRECT($AF$8), 0))</f>
        <v>136.451065</v>
      </c>
      <c r="W54" s="14">
        <f ca="1">INDEX(INDIRECT($AF$6),
       MATCH(TRIM($S54), INDIRECT($AF$7), 0),
       MATCH(TRIM(W$13), INDIRECT($AF$8), 0))</f>
        <v>8</v>
      </c>
      <c r="X54" s="14" t="e">
        <f ca="1">INDEX(INDIRECT($AF$6),
       MATCH(TRIM($S54), INDIRECT($AF$7), 0),
       MATCH(TRIM(X$13), INDIRECT($AF$8), 0))</f>
        <v>#N/A</v>
      </c>
      <c r="Y54" s="14">
        <f ca="1">INDEX(INDIRECT($AF$6),
       MATCH(TRIM($S54), INDIRECT($AF$7), 0),
       MATCH(TRIM(Y$13), INDIRECT($AF$8), 0))</f>
        <v>-20.358521</v>
      </c>
      <c r="Z54" s="14">
        <f ca="1">INDEX(INDIRECT($AF$6),
       MATCH(TRIM($S54), INDIRECT($AF$7), 0),
       MATCH(TRIM(Z$13), INDIRECT($AF$8), 0))</f>
        <v>1</v>
      </c>
      <c r="AA54" s="14">
        <f ca="1">INDEX(INDIRECT($AF$6),
       MATCH(TRIM($S54), INDIRECT($AF$7), 0),
       MATCH(TRIM(AA$13), INDIRECT($AF$8), 0))</f>
        <v>2.2179999999999998E-2</v>
      </c>
      <c r="AB54" s="14">
        <f t="shared" ca="1" si="0"/>
        <v>116.11472400000001</v>
      </c>
    </row>
    <row r="55" spans="18:28" x14ac:dyDescent="0.2">
      <c r="R55">
        <v>42</v>
      </c>
      <c r="S55" t="s">
        <v>57</v>
      </c>
      <c r="T55" s="14" t="e">
        <f ca="1">INDEX(INDIRECT($AF$6),
       MATCH(TRIM($S55), INDIRECT($AF$7), 0),
       MATCH(TRIM(T$13), INDIRECT($AF$8), 0))</f>
        <v>#N/A</v>
      </c>
      <c r="U55" s="14" t="e">
        <f ca="1">INDEX(INDIRECT($AF$6),
       MATCH(TRIM($S55), INDIRECT($AF$7), 0),
       MATCH(TRIM(U$13), INDIRECT($AF$8), 0))</f>
        <v>#N/A</v>
      </c>
      <c r="V55" s="14" t="e">
        <f ca="1">INDEX(INDIRECT($AF$6),
       MATCH(TRIM($S55), INDIRECT($AF$7), 0),
       MATCH(TRIM(V$13), INDIRECT($AF$8), 0))</f>
        <v>#N/A</v>
      </c>
      <c r="W55" s="14" t="e">
        <f ca="1">INDEX(INDIRECT($AF$6),
       MATCH(TRIM($S55), INDIRECT($AF$7), 0),
       MATCH(TRIM(W$13), INDIRECT($AF$8), 0))</f>
        <v>#N/A</v>
      </c>
      <c r="X55" s="14" t="e">
        <f ca="1">INDEX(INDIRECT($AF$6),
       MATCH(TRIM($S55), INDIRECT($AF$7), 0),
       MATCH(TRIM(X$13), INDIRECT($AF$8), 0))</f>
        <v>#N/A</v>
      </c>
      <c r="Y55" s="14" t="e">
        <f ca="1">INDEX(INDIRECT($AF$6),
       MATCH(TRIM($S55), INDIRECT($AF$7), 0),
       MATCH(TRIM(Y$13), INDIRECT($AF$8), 0))</f>
        <v>#N/A</v>
      </c>
      <c r="Z55" s="14" t="e">
        <f ca="1">INDEX(INDIRECT($AF$6),
       MATCH(TRIM($S55), INDIRECT($AF$7), 0),
       MATCH(TRIM(Z$13), INDIRECT($AF$8), 0))</f>
        <v>#N/A</v>
      </c>
      <c r="AA55" s="14" t="e">
        <f ca="1">INDEX(INDIRECT($AF$6),
       MATCH(TRIM($S55), INDIRECT($AF$7), 0),
       MATCH(TRIM(AA$13), INDIRECT($AF$8), 0))</f>
        <v>#N/A</v>
      </c>
      <c r="AB55" s="14" t="e">
        <f t="shared" ca="1" si="0"/>
        <v>#N/A</v>
      </c>
    </row>
    <row r="56" spans="18:28" x14ac:dyDescent="0.2">
      <c r="R56">
        <v>43</v>
      </c>
      <c r="S56" t="s">
        <v>58</v>
      </c>
      <c r="T56" s="14">
        <f ca="1">INDEX(INDIRECT($AF$6),
       MATCH(TRIM($S56), INDIRECT($AF$7), 0),
       MATCH(TRIM(T$13), INDIRECT($AF$8), 0))</f>
        <v>0</v>
      </c>
      <c r="U56" s="14" t="e">
        <f ca="1">INDEX(INDIRECT($AF$6),
       MATCH(TRIM($S56), INDIRECT($AF$7), 0),
       MATCH(TRIM(U$13), INDIRECT($AF$8), 0))</f>
        <v>#N/A</v>
      </c>
      <c r="V56" s="14">
        <f ca="1">INDEX(INDIRECT($AF$6),
       MATCH(TRIM($S56), INDIRECT($AF$7), 0),
       MATCH(TRIM(V$13), INDIRECT($AF$8), 0))</f>
        <v>0</v>
      </c>
      <c r="W56" s="14">
        <f ca="1">INDEX(INDIRECT($AF$6),
       MATCH(TRIM($S56), INDIRECT($AF$7), 0),
       MATCH(TRIM(W$13), INDIRECT($AF$8), 0))</f>
        <v>0</v>
      </c>
      <c r="X56" s="14" t="e">
        <f ca="1">INDEX(INDIRECT($AF$6),
       MATCH(TRIM($S56), INDIRECT($AF$7), 0),
       MATCH(TRIM(X$13), INDIRECT($AF$8), 0))</f>
        <v>#N/A</v>
      </c>
      <c r="Y56" s="14">
        <f ca="1">INDEX(INDIRECT($AF$6),
       MATCH(TRIM($S56), INDIRECT($AF$7), 0),
       MATCH(TRIM(Y$13), INDIRECT($AF$8), 0))</f>
        <v>0</v>
      </c>
      <c r="Z56" s="14">
        <f ca="1">INDEX(INDIRECT($AF$6),
       MATCH(TRIM($S56), INDIRECT($AF$7), 0),
       MATCH(TRIM(Z$13), INDIRECT($AF$8), 0))</f>
        <v>1</v>
      </c>
      <c r="AA56" s="14">
        <f ca="1">INDEX(INDIRECT($AF$6),
       MATCH(TRIM($S56), INDIRECT($AF$7), 0),
       MATCH(TRIM(AA$13), INDIRECT($AF$8), 0))</f>
        <v>5.6847754500000001</v>
      </c>
      <c r="AB56" s="14">
        <f t="shared" ca="1" si="0"/>
        <v>5.6847754500000001</v>
      </c>
    </row>
    <row r="57" spans="18:28" x14ac:dyDescent="0.2">
      <c r="R57">
        <v>44</v>
      </c>
      <c r="S57" t="s">
        <v>83</v>
      </c>
      <c r="T57" s="14">
        <f ca="1">INDEX(INDIRECT($AF$6),
       MATCH(TRIM($S57), INDIRECT($AF$7), 0),
       MATCH(TRIM(T$13), INDIRECT($AF$8), 0))</f>
        <v>0</v>
      </c>
      <c r="U57" s="14" t="e">
        <f ca="1">INDEX(INDIRECT($AF$6),
       MATCH(TRIM($S57), INDIRECT($AF$7), 0),
       MATCH(TRIM(U$13), INDIRECT($AF$8), 0))</f>
        <v>#N/A</v>
      </c>
      <c r="V57" s="14">
        <f ca="1">INDEX(INDIRECT($AF$6),
       MATCH(TRIM($S57), INDIRECT($AF$7), 0),
       MATCH(TRIM(V$13), INDIRECT($AF$8), 0))</f>
        <v>0</v>
      </c>
      <c r="W57" s="14">
        <f ca="1">INDEX(INDIRECT($AF$6),
       MATCH(TRIM($S57), INDIRECT($AF$7), 0),
       MATCH(TRIM(W$13), INDIRECT($AF$8), 0))</f>
        <v>0</v>
      </c>
      <c r="X57" s="14" t="e">
        <f ca="1">INDEX(INDIRECT($AF$6),
       MATCH(TRIM($S57), INDIRECT($AF$7), 0),
       MATCH(TRIM(X$13), INDIRECT($AF$8), 0))</f>
        <v>#N/A</v>
      </c>
      <c r="Y57" s="14">
        <f ca="1">INDEX(INDIRECT($AF$6),
       MATCH(TRIM($S57), INDIRECT($AF$7), 0),
       MATCH(TRIM(Y$13), INDIRECT($AF$8), 0))</f>
        <v>0</v>
      </c>
      <c r="Z57" s="14">
        <f ca="1">INDEX(INDIRECT($AF$6),
       MATCH(TRIM($S57), INDIRECT($AF$7), 0),
       MATCH(TRIM(Z$13), INDIRECT($AF$8), 0))</f>
        <v>1</v>
      </c>
      <c r="AA57" s="14">
        <f ca="1">INDEX(INDIRECT($AF$6),
       MATCH(TRIM($S57), INDIRECT($AF$7), 0),
       MATCH(TRIM(AA$13), INDIRECT($AF$8), 0))</f>
        <v>4.0000000000000001E-3</v>
      </c>
      <c r="AB57" s="14">
        <f t="shared" ca="1" si="0"/>
        <v>4.0000000000000001E-3</v>
      </c>
    </row>
    <row r="58" spans="18:28" x14ac:dyDescent="0.2">
      <c r="R58">
        <v>45</v>
      </c>
      <c r="S58" t="s">
        <v>73</v>
      </c>
      <c r="T58" s="14">
        <f ca="1">INDEX(INDIRECT($AF$6),
       MATCH(TRIM($S58), INDIRECT($AF$7), 0),
       MATCH(TRIM(T$13), INDIRECT($AF$8), 0))</f>
        <v>2</v>
      </c>
      <c r="U58" s="14" t="e">
        <f ca="1">INDEX(INDIRECT($AF$6),
       MATCH(TRIM($S58), INDIRECT($AF$7), 0),
       MATCH(TRIM(U$13), INDIRECT($AF$8), 0))</f>
        <v>#N/A</v>
      </c>
      <c r="V58" s="14">
        <f ca="1">INDEX(INDIRECT($AF$6),
       MATCH(TRIM($S58), INDIRECT($AF$7), 0),
       MATCH(TRIM(V$13), INDIRECT($AF$8), 0))</f>
        <v>4.4690000000000003</v>
      </c>
      <c r="W58" s="14">
        <f ca="1">INDEX(INDIRECT($AF$6),
       MATCH(TRIM($S58), INDIRECT($AF$7), 0),
       MATCH(TRIM(W$13), INDIRECT($AF$8), 0))</f>
        <v>0</v>
      </c>
      <c r="X58" s="14" t="e">
        <f ca="1">INDEX(INDIRECT($AF$6),
       MATCH(TRIM($S58), INDIRECT($AF$7), 0),
       MATCH(TRIM(X$13), INDIRECT($AF$8), 0))</f>
        <v>#N/A</v>
      </c>
      <c r="Y58" s="14">
        <f ca="1">INDEX(INDIRECT($AF$6),
       MATCH(TRIM($S58), INDIRECT($AF$7), 0),
       MATCH(TRIM(Y$13), INDIRECT($AF$8), 0))</f>
        <v>0</v>
      </c>
      <c r="Z58" s="14">
        <f ca="1">INDEX(INDIRECT($AF$6),
       MATCH(TRIM($S58), INDIRECT($AF$7), 0),
       MATCH(TRIM(Z$13), INDIRECT($AF$8), 0))</f>
        <v>0</v>
      </c>
      <c r="AA58" s="14">
        <f ca="1">INDEX(INDIRECT($AF$6),
       MATCH(TRIM($S58), INDIRECT($AF$7), 0),
       MATCH(TRIM(AA$13), INDIRECT($AF$8), 0))</f>
        <v>0</v>
      </c>
      <c r="AB58" s="14">
        <f t="shared" ca="1" si="0"/>
        <v>4.4690000000000003</v>
      </c>
    </row>
    <row r="59" spans="18:28" x14ac:dyDescent="0.2">
      <c r="R59">
        <v>46</v>
      </c>
      <c r="S59" t="s">
        <v>87</v>
      </c>
      <c r="T59" s="14" t="e">
        <f ca="1">INDEX(INDIRECT($AF$6),
       MATCH(TRIM($S59), INDIRECT($AF$7), 0),
       MATCH(TRIM(T$13), INDIRECT($AF$8), 0))</f>
        <v>#N/A</v>
      </c>
      <c r="U59" s="14" t="e">
        <f ca="1">INDEX(INDIRECT($AF$6),
       MATCH(TRIM($S59), INDIRECT($AF$7), 0),
       MATCH(TRIM(U$13), INDIRECT($AF$8), 0))</f>
        <v>#N/A</v>
      </c>
      <c r="V59" s="14" t="e">
        <f ca="1">INDEX(INDIRECT($AF$6),
       MATCH(TRIM($S59), INDIRECT($AF$7), 0),
       MATCH(TRIM(V$13), INDIRECT($AF$8), 0))</f>
        <v>#N/A</v>
      </c>
      <c r="W59" s="14" t="e">
        <f ca="1">INDEX(INDIRECT($AF$6),
       MATCH(TRIM($S59), INDIRECT($AF$7), 0),
       MATCH(TRIM(W$13), INDIRECT($AF$8), 0))</f>
        <v>#N/A</v>
      </c>
      <c r="X59" s="14" t="e">
        <f ca="1">INDEX(INDIRECT($AF$6),
       MATCH(TRIM($S59), INDIRECT($AF$7), 0),
       MATCH(TRIM(X$13), INDIRECT($AF$8), 0))</f>
        <v>#N/A</v>
      </c>
      <c r="Y59" s="14" t="e">
        <f ca="1">INDEX(INDIRECT($AF$6),
       MATCH(TRIM($S59), INDIRECT($AF$7), 0),
       MATCH(TRIM(Y$13), INDIRECT($AF$8), 0))</f>
        <v>#N/A</v>
      </c>
      <c r="Z59" s="14" t="e">
        <f ca="1">INDEX(INDIRECT($AF$6),
       MATCH(TRIM($S59), INDIRECT($AF$7), 0),
       MATCH(TRIM(Z$13), INDIRECT($AF$8), 0))</f>
        <v>#N/A</v>
      </c>
      <c r="AA59" s="14" t="e">
        <f ca="1">INDEX(INDIRECT($AF$6),
       MATCH(TRIM($S59), INDIRECT($AF$7), 0),
       MATCH(TRIM(AA$13), INDIRECT($AF$8), 0))</f>
        <v>#N/A</v>
      </c>
      <c r="AB59" s="14" t="e">
        <f t="shared" ca="1" si="0"/>
        <v>#N/A</v>
      </c>
    </row>
    <row r="60" spans="18:28" x14ac:dyDescent="0.2">
      <c r="R60">
        <v>47</v>
      </c>
      <c r="S60" t="s">
        <v>85</v>
      </c>
      <c r="T60" s="14">
        <f ca="1">INDEX(INDIRECT($AF$6),
       MATCH(TRIM($S60), INDIRECT($AF$7), 0),
       MATCH(TRIM(T$13), INDIRECT($AF$8), 0))</f>
        <v>1</v>
      </c>
      <c r="U60" s="14" t="e">
        <f ca="1">INDEX(INDIRECT($AF$6),
       MATCH(TRIM($S60), INDIRECT($AF$7), 0),
       MATCH(TRIM(U$13), INDIRECT($AF$8), 0))</f>
        <v>#N/A</v>
      </c>
      <c r="V60" s="14">
        <f ca="1">INDEX(INDIRECT($AF$6),
       MATCH(TRIM($S60), INDIRECT($AF$7), 0),
       MATCH(TRIM(V$13), INDIRECT($AF$8), 0))</f>
        <v>6.6</v>
      </c>
      <c r="W60" s="14">
        <f ca="1">INDEX(INDIRECT($AF$6),
       MATCH(TRIM($S60), INDIRECT($AF$7), 0),
       MATCH(TRIM(W$13), INDIRECT($AF$8), 0))</f>
        <v>1</v>
      </c>
      <c r="X60" s="14" t="e">
        <f ca="1">INDEX(INDIRECT($AF$6),
       MATCH(TRIM($S60), INDIRECT($AF$7), 0),
       MATCH(TRIM(X$13), INDIRECT($AF$8), 0))</f>
        <v>#N/A</v>
      </c>
      <c r="Y60" s="14">
        <f ca="1">INDEX(INDIRECT($AF$6),
       MATCH(TRIM($S60), INDIRECT($AF$7), 0),
       MATCH(TRIM(Y$13), INDIRECT($AF$8), 0))</f>
        <v>1</v>
      </c>
      <c r="Z60" s="14">
        <f ca="1">INDEX(INDIRECT($AF$6),
       MATCH(TRIM($S60), INDIRECT($AF$7), 0),
       MATCH(TRIM(Z$13), INDIRECT($AF$8), 0))</f>
        <v>2</v>
      </c>
      <c r="AA60" s="14">
        <f ca="1">INDEX(INDIRECT($AF$6),
       MATCH(TRIM($S60), INDIRECT($AF$7), 0),
       MATCH(TRIM(AA$13), INDIRECT($AF$8), 0))</f>
        <v>1.4473818799999998</v>
      </c>
      <c r="AB60" s="14">
        <f t="shared" ca="1" si="0"/>
        <v>9.0473818799999997</v>
      </c>
    </row>
    <row r="61" spans="18:28" x14ac:dyDescent="0.2">
      <c r="R61">
        <v>48</v>
      </c>
      <c r="S61" t="s">
        <v>82</v>
      </c>
      <c r="T61" s="14" t="e">
        <f ca="1">INDEX(INDIRECT($AF$6),
       MATCH(TRIM($S61), INDIRECT($AF$7), 0),
       MATCH(TRIM(T$13), INDIRECT($AF$8), 0))</f>
        <v>#N/A</v>
      </c>
      <c r="U61" s="14" t="e">
        <f ca="1">INDEX(INDIRECT($AF$6),
       MATCH(TRIM($S61), INDIRECT($AF$7), 0),
       MATCH(TRIM(U$13), INDIRECT($AF$8), 0))</f>
        <v>#N/A</v>
      </c>
      <c r="V61" s="14" t="e">
        <f ca="1">INDEX(INDIRECT($AF$6),
       MATCH(TRIM($S61), INDIRECT($AF$7), 0),
       MATCH(TRIM(V$13), INDIRECT($AF$8), 0))</f>
        <v>#N/A</v>
      </c>
      <c r="W61" s="14" t="e">
        <f ca="1">INDEX(INDIRECT($AF$6),
       MATCH(TRIM($S61), INDIRECT($AF$7), 0),
       MATCH(TRIM(W$13), INDIRECT($AF$8), 0))</f>
        <v>#N/A</v>
      </c>
      <c r="X61" s="14" t="e">
        <f ca="1">INDEX(INDIRECT($AF$6),
       MATCH(TRIM($S61), INDIRECT($AF$7), 0),
       MATCH(TRIM(X$13), INDIRECT($AF$8), 0))</f>
        <v>#N/A</v>
      </c>
      <c r="Y61" s="14" t="e">
        <f ca="1">INDEX(INDIRECT($AF$6),
       MATCH(TRIM($S61), INDIRECT($AF$7), 0),
       MATCH(TRIM(Y$13), INDIRECT($AF$8), 0))</f>
        <v>#N/A</v>
      </c>
      <c r="Z61" s="14" t="e">
        <f ca="1">INDEX(INDIRECT($AF$6),
       MATCH(TRIM($S61), INDIRECT($AF$7), 0),
       MATCH(TRIM(Z$13), INDIRECT($AF$8), 0))</f>
        <v>#N/A</v>
      </c>
      <c r="AA61" s="14" t="e">
        <f ca="1">INDEX(INDIRECT($AF$6),
       MATCH(TRIM($S61), INDIRECT($AF$7), 0),
       MATCH(TRIM(AA$13), INDIRECT($AF$8), 0))</f>
        <v>#N/A</v>
      </c>
      <c r="AB61" s="14" t="e">
        <f t="shared" ca="1" si="0"/>
        <v>#N/A</v>
      </c>
    </row>
    <row r="62" spans="18:28" x14ac:dyDescent="0.2">
      <c r="R62">
        <v>49</v>
      </c>
      <c r="S62" t="s">
        <v>65</v>
      </c>
      <c r="T62" s="14">
        <f ca="1">INDEX(INDIRECT($AF$6),
       MATCH(TRIM($S62), INDIRECT($AF$7), 0),
       MATCH(TRIM(T$13), INDIRECT($AF$8), 0))</f>
        <v>3</v>
      </c>
      <c r="U62" s="14" t="e">
        <f ca="1">INDEX(INDIRECT($AF$6),
       MATCH(TRIM($S62), INDIRECT($AF$7), 0),
       MATCH(TRIM(U$13), INDIRECT($AF$8), 0))</f>
        <v>#N/A</v>
      </c>
      <c r="V62" s="14">
        <f ca="1">INDEX(INDIRECT($AF$6),
       MATCH(TRIM($S62), INDIRECT($AF$7), 0),
       MATCH(TRIM(V$13), INDIRECT($AF$8), 0))</f>
        <v>131.64166399999999</v>
      </c>
      <c r="W62" s="14">
        <f ca="1">INDEX(INDIRECT($AF$6),
       MATCH(TRIM($S62), INDIRECT($AF$7), 0),
       MATCH(TRIM(W$13), INDIRECT($AF$8), 0))</f>
        <v>0</v>
      </c>
      <c r="X62" s="14" t="e">
        <f ca="1">INDEX(INDIRECT($AF$6),
       MATCH(TRIM($S62), INDIRECT($AF$7), 0),
       MATCH(TRIM(X$13), INDIRECT($AF$8), 0))</f>
        <v>#N/A</v>
      </c>
      <c r="Y62" s="14">
        <f ca="1">INDEX(INDIRECT($AF$6),
       MATCH(TRIM($S62), INDIRECT($AF$7), 0),
       MATCH(TRIM(Y$13), INDIRECT($AF$8), 0))</f>
        <v>0</v>
      </c>
      <c r="Z62" s="14">
        <f ca="1">INDEX(INDIRECT($AF$6),
       MATCH(TRIM($S62), INDIRECT($AF$7), 0),
       MATCH(TRIM(Z$13), INDIRECT($AF$8), 0))</f>
        <v>3</v>
      </c>
      <c r="AA62" s="14">
        <f ca="1">INDEX(INDIRECT($AF$6),
       MATCH(TRIM($S62), INDIRECT($AF$7), 0),
       MATCH(TRIM(AA$13), INDIRECT($AF$8), 0))</f>
        <v>1.400954</v>
      </c>
      <c r="AB62" s="14">
        <f t="shared" ca="1" si="0"/>
        <v>133.042618</v>
      </c>
    </row>
    <row r="63" spans="18:28" x14ac:dyDescent="0.2">
      <c r="R63">
        <v>50</v>
      </c>
      <c r="S63" t="s">
        <v>120</v>
      </c>
      <c r="T63" s="14" t="e">
        <f ca="1">INDEX(INDIRECT($AF$6),
       MATCH(TRIM($S63), INDIRECT($AF$7), 0),
       MATCH(TRIM(T$13), INDIRECT($AF$8), 0))</f>
        <v>#N/A</v>
      </c>
      <c r="U63" s="14" t="e">
        <f ca="1">INDEX(INDIRECT($AF$6),
       MATCH(TRIM($S63), INDIRECT($AF$7), 0),
       MATCH(TRIM(U$13), INDIRECT($AF$8), 0))</f>
        <v>#N/A</v>
      </c>
      <c r="V63" s="14" t="e">
        <f ca="1">INDEX(INDIRECT($AF$6),
       MATCH(TRIM($S63), INDIRECT($AF$7), 0),
       MATCH(TRIM(V$13), INDIRECT($AF$8), 0))</f>
        <v>#N/A</v>
      </c>
      <c r="W63" s="14" t="e">
        <f ca="1">INDEX(INDIRECT($AF$6),
       MATCH(TRIM($S63), INDIRECT($AF$7), 0),
       MATCH(TRIM(W$13), INDIRECT($AF$8), 0))</f>
        <v>#N/A</v>
      </c>
      <c r="X63" s="14" t="e">
        <f ca="1">INDEX(INDIRECT($AF$6),
       MATCH(TRIM($S63), INDIRECT($AF$7), 0),
       MATCH(TRIM(X$13), INDIRECT($AF$8), 0))</f>
        <v>#N/A</v>
      </c>
      <c r="Y63" s="14" t="e">
        <f ca="1">INDEX(INDIRECT($AF$6),
       MATCH(TRIM($S63), INDIRECT($AF$7), 0),
       MATCH(TRIM(Y$13), INDIRECT($AF$8), 0))</f>
        <v>#N/A</v>
      </c>
      <c r="Z63" s="14" t="e">
        <f ca="1">INDEX(INDIRECT($AF$6),
       MATCH(TRIM($S63), INDIRECT($AF$7), 0),
       MATCH(TRIM(Z$13), INDIRECT($AF$8), 0))</f>
        <v>#N/A</v>
      </c>
      <c r="AA63" s="14" t="e">
        <f ca="1">INDEX(INDIRECT($AF$6),
       MATCH(TRIM($S63), INDIRECT($AF$7), 0),
       MATCH(TRIM(AA$13), INDIRECT($AF$8), 0))</f>
        <v>#N/A</v>
      </c>
      <c r="AB63" s="14" t="e">
        <f t="shared" ca="1" si="0"/>
        <v>#N/A</v>
      </c>
    </row>
    <row r="64" spans="18:28" x14ac:dyDescent="0.2">
      <c r="R64">
        <v>51</v>
      </c>
      <c r="S64" t="s">
        <v>89</v>
      </c>
      <c r="T64" s="14" t="e">
        <f ca="1">INDEX(INDIRECT($AF$6),
       MATCH(TRIM($S64), INDIRECT($AF$7), 0),
       MATCH(TRIM(T$13), INDIRECT($AF$8), 0))</f>
        <v>#N/A</v>
      </c>
      <c r="U64" s="14" t="e">
        <f ca="1">INDEX(INDIRECT($AF$6),
       MATCH(TRIM($S64), INDIRECT($AF$7), 0),
       MATCH(TRIM(U$13), INDIRECT($AF$8), 0))</f>
        <v>#N/A</v>
      </c>
      <c r="V64" s="14" t="e">
        <f ca="1">INDEX(INDIRECT($AF$6),
       MATCH(TRIM($S64), INDIRECT($AF$7), 0),
       MATCH(TRIM(V$13), INDIRECT($AF$8), 0))</f>
        <v>#N/A</v>
      </c>
      <c r="W64" s="14" t="e">
        <f ca="1">INDEX(INDIRECT($AF$6),
       MATCH(TRIM($S64), INDIRECT($AF$7), 0),
       MATCH(TRIM(W$13), INDIRECT($AF$8), 0))</f>
        <v>#N/A</v>
      </c>
      <c r="X64" s="14" t="e">
        <f ca="1">INDEX(INDIRECT($AF$6),
       MATCH(TRIM($S64), INDIRECT($AF$7), 0),
       MATCH(TRIM(X$13), INDIRECT($AF$8), 0))</f>
        <v>#N/A</v>
      </c>
      <c r="Y64" s="14" t="e">
        <f ca="1">INDEX(INDIRECT($AF$6),
       MATCH(TRIM($S64), INDIRECT($AF$7), 0),
       MATCH(TRIM(Y$13), INDIRECT($AF$8), 0))</f>
        <v>#N/A</v>
      </c>
      <c r="Z64" s="14" t="e">
        <f ca="1">INDEX(INDIRECT($AF$6),
       MATCH(TRIM($S64), INDIRECT($AF$7), 0),
       MATCH(TRIM(Z$13), INDIRECT($AF$8), 0))</f>
        <v>#N/A</v>
      </c>
      <c r="AA64" s="14" t="e">
        <f ca="1">INDEX(INDIRECT($AF$6),
       MATCH(TRIM($S64), INDIRECT($AF$7), 0),
       MATCH(TRIM(AA$13), INDIRECT($AF$8), 0))</f>
        <v>#N/A</v>
      </c>
      <c r="AB64" s="14" t="e">
        <f t="shared" ca="1" si="0"/>
        <v>#N/A</v>
      </c>
    </row>
    <row r="65" spans="18:29" x14ac:dyDescent="0.2">
      <c r="R65">
        <v>52</v>
      </c>
      <c r="S65" t="s">
        <v>74</v>
      </c>
      <c r="T65" s="14">
        <f ca="1">INDEX(INDIRECT($AF$6),
       MATCH(TRIM($S65), INDIRECT($AF$7), 0),
       MATCH(TRIM(T$13), INDIRECT($AF$8), 0))</f>
        <v>2</v>
      </c>
      <c r="U65" s="14" t="e">
        <f ca="1">INDEX(INDIRECT($AF$6),
       MATCH(TRIM($S65), INDIRECT($AF$7), 0),
       MATCH(TRIM(U$13), INDIRECT($AF$8), 0))</f>
        <v>#N/A</v>
      </c>
      <c r="V65" s="14">
        <f ca="1">INDEX(INDIRECT($AF$6),
       MATCH(TRIM($S65), INDIRECT($AF$7), 0),
       MATCH(TRIM(V$13), INDIRECT($AF$8), 0))</f>
        <v>10.6753991</v>
      </c>
      <c r="W65" s="14">
        <f ca="1">INDEX(INDIRECT($AF$6),
       MATCH(TRIM($S65), INDIRECT($AF$7), 0),
       MATCH(TRIM(W$13), INDIRECT($AF$8), 0))</f>
        <v>1</v>
      </c>
      <c r="X65" s="14" t="e">
        <f ca="1">INDEX(INDIRECT($AF$6),
       MATCH(TRIM($S65), INDIRECT($AF$7), 0),
       MATCH(TRIM(X$13), INDIRECT($AF$8), 0))</f>
        <v>#N/A</v>
      </c>
      <c r="Y65" s="14">
        <f ca="1">INDEX(INDIRECT($AF$6),
       MATCH(TRIM($S65), INDIRECT($AF$7), 0),
       MATCH(TRIM(Y$13), INDIRECT($AF$8), 0))</f>
        <v>5.686744</v>
      </c>
      <c r="Z65" s="14">
        <f ca="1">INDEX(INDIRECT($AF$6),
       MATCH(TRIM($S65), INDIRECT($AF$7), 0),
       MATCH(TRIM(Z$13), INDIRECT($AF$8), 0))</f>
        <v>2</v>
      </c>
      <c r="AA65" s="14">
        <f ca="1">INDEX(INDIRECT($AF$6),
       MATCH(TRIM($S65), INDIRECT($AF$7), 0),
       MATCH(TRIM(AA$13), INDIRECT($AF$8), 0))</f>
        <v>0.3125</v>
      </c>
      <c r="AB65" s="14">
        <f t="shared" ca="1" si="0"/>
        <v>16.674643100000001</v>
      </c>
    </row>
    <row r="66" spans="18:29" x14ac:dyDescent="0.2">
      <c r="R66">
        <v>53</v>
      </c>
      <c r="S66" t="s">
        <v>119</v>
      </c>
      <c r="T66" s="14" t="e">
        <f ca="1">INDEX(INDIRECT($AF$6),
       MATCH(TRIM($S66), INDIRECT($AF$7), 0),
       MATCH(TRIM(T$13), INDIRECT($AF$8), 0))</f>
        <v>#N/A</v>
      </c>
      <c r="U66" s="14" t="e">
        <f ca="1">INDEX(INDIRECT($AF$6),
       MATCH(TRIM($S66), INDIRECT($AF$7), 0),
       MATCH(TRIM(U$13), INDIRECT($AF$8), 0))</f>
        <v>#N/A</v>
      </c>
      <c r="V66" s="14" t="e">
        <f ca="1">INDEX(INDIRECT($AF$6),
       MATCH(TRIM($S66), INDIRECT($AF$7), 0),
       MATCH(TRIM(V$13), INDIRECT($AF$8), 0))</f>
        <v>#N/A</v>
      </c>
      <c r="W66" s="14" t="e">
        <f ca="1">INDEX(INDIRECT($AF$6),
       MATCH(TRIM($S66), INDIRECT($AF$7), 0),
       MATCH(TRIM(W$13), INDIRECT($AF$8), 0))</f>
        <v>#N/A</v>
      </c>
      <c r="X66" s="14" t="e">
        <f ca="1">INDEX(INDIRECT($AF$6),
       MATCH(TRIM($S66), INDIRECT($AF$7), 0),
       MATCH(TRIM(X$13), INDIRECT($AF$8), 0))</f>
        <v>#N/A</v>
      </c>
      <c r="Y66" s="14" t="e">
        <f ca="1">INDEX(INDIRECT($AF$6),
       MATCH(TRIM($S66), INDIRECT($AF$7), 0),
       MATCH(TRIM(Y$13), INDIRECT($AF$8), 0))</f>
        <v>#N/A</v>
      </c>
      <c r="Z66" s="14" t="e">
        <f ca="1">INDEX(INDIRECT($AF$6),
       MATCH(TRIM($S66), INDIRECT($AF$7), 0),
       MATCH(TRIM(Z$13), INDIRECT($AF$8), 0))</f>
        <v>#N/A</v>
      </c>
      <c r="AA66" s="14" t="e">
        <f ca="1">INDEX(INDIRECT($AF$6),
       MATCH(TRIM($S66), INDIRECT($AF$7), 0),
       MATCH(TRIM(AA$13), INDIRECT($AF$8), 0))</f>
        <v>#N/A</v>
      </c>
      <c r="AB66" s="14" t="e">
        <f t="shared" ca="1" si="0"/>
        <v>#N/A</v>
      </c>
    </row>
    <row r="67" spans="18:29" x14ac:dyDescent="0.2">
      <c r="R67">
        <v>54</v>
      </c>
      <c r="S67" t="s">
        <v>136</v>
      </c>
      <c r="T67" s="14" t="e">
        <f ca="1">INDEX(INDIRECT($AF$6),
       MATCH(TRIM($S67), INDIRECT($AF$7), 0),
       MATCH(TRIM(T$13), INDIRECT($AF$8), 0))</f>
        <v>#N/A</v>
      </c>
      <c r="U67" s="14" t="e">
        <f ca="1">INDEX(INDIRECT($AF$6),
       MATCH(TRIM($S67), INDIRECT($AF$7), 0),
       MATCH(TRIM(U$13), INDIRECT($AF$8), 0))</f>
        <v>#N/A</v>
      </c>
      <c r="V67" s="14" t="e">
        <f ca="1">INDEX(INDIRECT($AF$6),
       MATCH(TRIM($S67), INDIRECT($AF$7), 0),
       MATCH(TRIM(V$13), INDIRECT($AF$8), 0))</f>
        <v>#N/A</v>
      </c>
      <c r="W67" s="14" t="e">
        <f ca="1">INDEX(INDIRECT($AF$6),
       MATCH(TRIM($S67), INDIRECT($AF$7), 0),
       MATCH(TRIM(W$13), INDIRECT($AF$8), 0))</f>
        <v>#N/A</v>
      </c>
      <c r="X67" s="14" t="e">
        <f ca="1">INDEX(INDIRECT($AF$6),
       MATCH(TRIM($S67), INDIRECT($AF$7), 0),
       MATCH(TRIM(X$13), INDIRECT($AF$8), 0))</f>
        <v>#N/A</v>
      </c>
      <c r="Y67" s="14" t="e">
        <f ca="1">INDEX(INDIRECT($AF$6),
       MATCH(TRIM($S67), INDIRECT($AF$7), 0),
       MATCH(TRIM(Y$13), INDIRECT($AF$8), 0))</f>
        <v>#N/A</v>
      </c>
      <c r="Z67" s="14" t="e">
        <f ca="1">INDEX(INDIRECT($AF$6),
       MATCH(TRIM($S67), INDIRECT($AF$7), 0),
       MATCH(TRIM(Z$13), INDIRECT($AF$8), 0))</f>
        <v>#N/A</v>
      </c>
      <c r="AA67" s="14" t="e">
        <f ca="1">INDEX(INDIRECT($AF$6),
       MATCH(TRIM($S67), INDIRECT($AF$7), 0),
       MATCH(TRIM(AA$13), INDIRECT($AF$8), 0))</f>
        <v>#N/A</v>
      </c>
      <c r="AB67" s="14" t="e">
        <f t="shared" ca="1" si="0"/>
        <v>#N/A</v>
      </c>
    </row>
    <row r="68" spans="18:29" x14ac:dyDescent="0.2">
      <c r="R68">
        <v>55</v>
      </c>
      <c r="S68" t="s">
        <v>117</v>
      </c>
      <c r="T68" s="14" t="e">
        <f ca="1">INDEX(INDIRECT($AF$6),
       MATCH(TRIM($S68), INDIRECT($AF$7), 0),
       MATCH(TRIM(T$13), INDIRECT($AF$8), 0))</f>
        <v>#N/A</v>
      </c>
      <c r="U68" s="14" t="e">
        <f ca="1">INDEX(INDIRECT($AF$6),
       MATCH(TRIM($S68), INDIRECT($AF$7), 0),
       MATCH(TRIM(U$13), INDIRECT($AF$8), 0))</f>
        <v>#N/A</v>
      </c>
      <c r="V68" s="14" t="e">
        <f ca="1">INDEX(INDIRECT($AF$6),
       MATCH(TRIM($S68), INDIRECT($AF$7), 0),
       MATCH(TRIM(V$13), INDIRECT($AF$8), 0))</f>
        <v>#N/A</v>
      </c>
      <c r="W68" s="14" t="e">
        <f ca="1">INDEX(INDIRECT($AF$6),
       MATCH(TRIM($S68), INDIRECT($AF$7), 0),
       MATCH(TRIM(W$13), INDIRECT($AF$8), 0))</f>
        <v>#N/A</v>
      </c>
      <c r="X68" s="14" t="e">
        <f ca="1">INDEX(INDIRECT($AF$6),
       MATCH(TRIM($S68), INDIRECT($AF$7), 0),
       MATCH(TRIM(X$13), INDIRECT($AF$8), 0))</f>
        <v>#N/A</v>
      </c>
      <c r="Y68" s="14" t="e">
        <f ca="1">INDEX(INDIRECT($AF$6),
       MATCH(TRIM($S68), INDIRECT($AF$7), 0),
       MATCH(TRIM(Y$13), INDIRECT($AF$8), 0))</f>
        <v>#N/A</v>
      </c>
      <c r="Z68" s="14" t="e">
        <f ca="1">INDEX(INDIRECT($AF$6),
       MATCH(TRIM($S68), INDIRECT($AF$7), 0),
       MATCH(TRIM(Z$13), INDIRECT($AF$8), 0))</f>
        <v>#N/A</v>
      </c>
      <c r="AA68" s="14" t="e">
        <f ca="1">INDEX(INDIRECT($AF$6),
       MATCH(TRIM($S68), INDIRECT($AF$7), 0),
       MATCH(TRIM(AA$13), INDIRECT($AF$8), 0))</f>
        <v>#N/A</v>
      </c>
      <c r="AB68" s="14" t="e">
        <f t="shared" ca="1" si="0"/>
        <v>#N/A</v>
      </c>
    </row>
    <row r="69" spans="18:29" x14ac:dyDescent="0.2">
      <c r="R69">
        <v>56</v>
      </c>
      <c r="S69" t="s">
        <v>78</v>
      </c>
      <c r="T69" s="14" t="e">
        <f ca="1">INDEX(INDIRECT($AF$6),
       MATCH(TRIM($S69), INDIRECT($AF$7), 0),
       MATCH(TRIM(T$13), INDIRECT($AF$8), 0))</f>
        <v>#N/A</v>
      </c>
      <c r="U69" s="14" t="e">
        <f ca="1">INDEX(INDIRECT($AF$6),
       MATCH(TRIM($S69), INDIRECT($AF$7), 0),
       MATCH(TRIM(U$13), INDIRECT($AF$8), 0))</f>
        <v>#N/A</v>
      </c>
      <c r="V69" s="14" t="e">
        <f ca="1">INDEX(INDIRECT($AF$6),
       MATCH(TRIM($S69), INDIRECT($AF$7), 0),
       MATCH(TRIM(V$13), INDIRECT($AF$8), 0))</f>
        <v>#N/A</v>
      </c>
      <c r="W69" s="14" t="e">
        <f ca="1">INDEX(INDIRECT($AF$6),
       MATCH(TRIM($S69), INDIRECT($AF$7), 0),
       MATCH(TRIM(W$13), INDIRECT($AF$8), 0))</f>
        <v>#N/A</v>
      </c>
      <c r="X69" s="14" t="e">
        <f ca="1">INDEX(INDIRECT($AF$6),
       MATCH(TRIM($S69), INDIRECT($AF$7), 0),
       MATCH(TRIM(X$13), INDIRECT($AF$8), 0))</f>
        <v>#N/A</v>
      </c>
      <c r="Y69" s="14" t="e">
        <f ca="1">INDEX(INDIRECT($AF$6),
       MATCH(TRIM($S69), INDIRECT($AF$7), 0),
       MATCH(TRIM(Y$13), INDIRECT($AF$8), 0))</f>
        <v>#N/A</v>
      </c>
      <c r="Z69" s="14" t="e">
        <f ca="1">INDEX(INDIRECT($AF$6),
       MATCH(TRIM($S69), INDIRECT($AF$7), 0),
       MATCH(TRIM(Z$13), INDIRECT($AF$8), 0))</f>
        <v>#N/A</v>
      </c>
      <c r="AA69" s="14" t="e">
        <f ca="1">INDEX(INDIRECT($AF$6),
       MATCH(TRIM($S69), INDIRECT($AF$7), 0),
       MATCH(TRIM(AA$13), INDIRECT($AF$8), 0))</f>
        <v>#N/A</v>
      </c>
      <c r="AB69" s="14" t="e">
        <f t="shared" ca="1" si="0"/>
        <v>#N/A</v>
      </c>
    </row>
    <row r="70" spans="18:29" x14ac:dyDescent="0.2">
      <c r="R70">
        <v>57</v>
      </c>
      <c r="S70" t="s">
        <v>118</v>
      </c>
      <c r="T70" s="14" t="e">
        <f ca="1">INDEX(INDIRECT($AF$6),
       MATCH(TRIM($S70), INDIRECT($AF$7), 0),
       MATCH(TRIM(T$13), INDIRECT($AF$8), 0))</f>
        <v>#N/A</v>
      </c>
      <c r="U70" s="14" t="e">
        <f ca="1">INDEX(INDIRECT($AF$6),
       MATCH(TRIM($S70), INDIRECT($AF$7), 0),
       MATCH(TRIM(U$13), INDIRECT($AF$8), 0))</f>
        <v>#N/A</v>
      </c>
      <c r="V70" s="14" t="e">
        <f ca="1">INDEX(INDIRECT($AF$6),
       MATCH(TRIM($S70), INDIRECT($AF$7), 0),
       MATCH(TRIM(V$13), INDIRECT($AF$8), 0))</f>
        <v>#N/A</v>
      </c>
      <c r="W70" s="14" t="e">
        <f ca="1">INDEX(INDIRECT($AF$6),
       MATCH(TRIM($S70), INDIRECT($AF$7), 0),
       MATCH(TRIM(W$13), INDIRECT($AF$8), 0))</f>
        <v>#N/A</v>
      </c>
      <c r="X70" s="14" t="e">
        <f ca="1">INDEX(INDIRECT($AF$6),
       MATCH(TRIM($S70), INDIRECT($AF$7), 0),
       MATCH(TRIM(X$13), INDIRECT($AF$8), 0))</f>
        <v>#N/A</v>
      </c>
      <c r="Y70" s="14" t="e">
        <f ca="1">INDEX(INDIRECT($AF$6),
       MATCH(TRIM($S70), INDIRECT($AF$7), 0),
       MATCH(TRIM(Y$13), INDIRECT($AF$8), 0))</f>
        <v>#N/A</v>
      </c>
      <c r="Z70" s="14" t="e">
        <f ca="1">INDEX(INDIRECT($AF$6),
       MATCH(TRIM($S70), INDIRECT($AF$7), 0),
       MATCH(TRIM(Z$13), INDIRECT($AF$8), 0))</f>
        <v>#N/A</v>
      </c>
      <c r="AA70" s="14" t="e">
        <f ca="1">INDEX(INDIRECT($AF$6),
       MATCH(TRIM($S70), INDIRECT($AF$7), 0),
       MATCH(TRIM(AA$13), INDIRECT($AF$8), 0))</f>
        <v>#N/A</v>
      </c>
      <c r="AB70" s="14" t="e">
        <f t="shared" ca="1" si="0"/>
        <v>#N/A</v>
      </c>
    </row>
    <row r="71" spans="18:29" x14ac:dyDescent="0.2">
      <c r="R71">
        <v>58</v>
      </c>
      <c r="S71" t="s">
        <v>134</v>
      </c>
      <c r="T71" s="14" t="e">
        <f ca="1">INDEX(INDIRECT($AF$6),
       MATCH(TRIM($S71), INDIRECT($AF$7), 0),
       MATCH(TRIM(T$13), INDIRECT($AF$8), 0))</f>
        <v>#N/A</v>
      </c>
      <c r="U71" s="14" t="e">
        <f ca="1">INDEX(INDIRECT($AF$6),
       MATCH(TRIM($S71), INDIRECT($AF$7), 0),
       MATCH(TRIM(U$13), INDIRECT($AF$8), 0))</f>
        <v>#N/A</v>
      </c>
      <c r="V71" s="14" t="e">
        <f ca="1">INDEX(INDIRECT($AF$6),
       MATCH(TRIM($S71), INDIRECT($AF$7), 0),
       MATCH(TRIM(V$13), INDIRECT($AF$8), 0))</f>
        <v>#N/A</v>
      </c>
      <c r="W71" s="14" t="e">
        <f ca="1">INDEX(INDIRECT($AF$6),
       MATCH(TRIM($S71), INDIRECT($AF$7), 0),
       MATCH(TRIM(W$13), INDIRECT($AF$8), 0))</f>
        <v>#N/A</v>
      </c>
      <c r="X71" s="14" t="e">
        <f ca="1">INDEX(INDIRECT($AF$6),
       MATCH(TRIM($S71), INDIRECT($AF$7), 0),
       MATCH(TRIM(X$13), INDIRECT($AF$8), 0))</f>
        <v>#N/A</v>
      </c>
      <c r="Y71" s="14" t="e">
        <f ca="1">INDEX(INDIRECT($AF$6),
       MATCH(TRIM($S71), INDIRECT($AF$7), 0),
       MATCH(TRIM(Y$13), INDIRECT($AF$8), 0))</f>
        <v>#N/A</v>
      </c>
      <c r="Z71" s="14" t="e">
        <f ca="1">INDEX(INDIRECT($AF$6),
       MATCH(TRIM($S71), INDIRECT($AF$7), 0),
       MATCH(TRIM(Z$13), INDIRECT($AF$8), 0))</f>
        <v>#N/A</v>
      </c>
      <c r="AA71" s="14" t="e">
        <f ca="1">INDEX(INDIRECT($AF$6),
       MATCH(TRIM($S71), INDIRECT($AF$7), 0),
       MATCH(TRIM(AA$13), INDIRECT($AF$8), 0))</f>
        <v>#N/A</v>
      </c>
      <c r="AB71" s="14" t="e">
        <f t="shared" ca="1" si="0"/>
        <v>#N/A</v>
      </c>
    </row>
    <row r="72" spans="18:29" x14ac:dyDescent="0.2">
      <c r="R72">
        <v>59</v>
      </c>
      <c r="S72" t="s">
        <v>121</v>
      </c>
      <c r="T72" s="14">
        <f ca="1">INDEX(INDIRECT($AF$6),
       MATCH(TRIM($S72), INDIRECT($AF$7), 0),
       MATCH(TRIM(T$13), INDIRECT($AF$8), 0))</f>
        <v>1</v>
      </c>
      <c r="U72" s="14" t="e">
        <f t="shared" ref="U72:AB72" ca="1" si="2">INDEX(INDIRECT($AF$6),
       MATCH(TRIM($S72), INDIRECT($AF$7), 0),
       MATCH(TRIM(U$13), INDIRECT($AF$8), 0))</f>
        <v>#N/A</v>
      </c>
      <c r="V72" s="14">
        <f t="shared" ca="1" si="2"/>
        <v>6.5</v>
      </c>
      <c r="W72" s="14">
        <f t="shared" ca="1" si="2"/>
        <v>0</v>
      </c>
      <c r="X72" s="14" t="e">
        <f t="shared" ca="1" si="2"/>
        <v>#N/A</v>
      </c>
      <c r="Y72" s="14">
        <f t="shared" ca="1" si="2"/>
        <v>0</v>
      </c>
      <c r="Z72" s="14">
        <f t="shared" ca="1" si="2"/>
        <v>0</v>
      </c>
      <c r="AA72" s="14">
        <f t="shared" ca="1" si="2"/>
        <v>0</v>
      </c>
      <c r="AB72" s="14">
        <f t="shared" ca="1" si="0"/>
        <v>6.5</v>
      </c>
    </row>
    <row r="73" spans="18:29" x14ac:dyDescent="0.2">
      <c r="R73">
        <v>60</v>
      </c>
      <c r="S73" t="s">
        <v>135</v>
      </c>
      <c r="T73" s="14" t="e">
        <f t="shared" ref="T73:AB76" ca="1" si="3">INDEX(INDIRECT($AF$6),
       MATCH(TRIM($S73), INDIRECT($AF$7), 0),
       MATCH(TRIM(T$13), INDIRECT($AF$8), 0))</f>
        <v>#N/A</v>
      </c>
      <c r="U73" s="14" t="e">
        <f t="shared" ca="1" si="3"/>
        <v>#N/A</v>
      </c>
      <c r="V73" s="14" t="e">
        <f t="shared" ca="1" si="3"/>
        <v>#N/A</v>
      </c>
      <c r="W73" s="14" t="e">
        <f t="shared" ca="1" si="3"/>
        <v>#N/A</v>
      </c>
      <c r="X73" s="14" t="e">
        <f t="shared" ca="1" si="3"/>
        <v>#N/A</v>
      </c>
      <c r="Y73" s="14" t="e">
        <f t="shared" ca="1" si="3"/>
        <v>#N/A</v>
      </c>
      <c r="Z73" s="14" t="e">
        <f t="shared" ca="1" si="3"/>
        <v>#N/A</v>
      </c>
      <c r="AA73" s="14" t="e">
        <f t="shared" ca="1" si="3"/>
        <v>#N/A</v>
      </c>
      <c r="AB73" s="14" t="e">
        <f t="shared" ca="1" si="0"/>
        <v>#N/A</v>
      </c>
      <c r="AC73" s="91">
        <f t="shared" ref="AC73" si="4">SUM(AC14:AC72)</f>
        <v>0</v>
      </c>
    </row>
    <row r="74" spans="18:29" x14ac:dyDescent="0.2">
      <c r="R74">
        <v>61</v>
      </c>
      <c r="S74" t="s">
        <v>150</v>
      </c>
      <c r="T74" s="14" t="e">
        <f t="shared" ca="1" si="3"/>
        <v>#N/A</v>
      </c>
      <c r="U74" s="14" t="e">
        <f t="shared" ca="1" si="3"/>
        <v>#N/A</v>
      </c>
      <c r="V74" s="14" t="e">
        <f t="shared" ca="1" si="3"/>
        <v>#N/A</v>
      </c>
      <c r="W74" s="14" t="e">
        <f t="shared" ca="1" si="3"/>
        <v>#N/A</v>
      </c>
      <c r="X74" s="14" t="e">
        <f t="shared" ca="1" si="3"/>
        <v>#N/A</v>
      </c>
      <c r="Y74" s="14" t="e">
        <f t="shared" ca="1" si="3"/>
        <v>#N/A</v>
      </c>
      <c r="Z74" s="14" t="e">
        <f t="shared" ca="1" si="3"/>
        <v>#N/A</v>
      </c>
      <c r="AA74" s="14" t="e">
        <f t="shared" ca="1" si="3"/>
        <v>#N/A</v>
      </c>
      <c r="AB74" s="14" t="e">
        <f t="shared" ca="1" si="0"/>
        <v>#N/A</v>
      </c>
    </row>
    <row r="75" spans="18:29" x14ac:dyDescent="0.2">
      <c r="R75">
        <v>62</v>
      </c>
      <c r="S75" t="s">
        <v>86</v>
      </c>
      <c r="T75" s="14">
        <f t="shared" ca="1" si="3"/>
        <v>1</v>
      </c>
      <c r="U75" s="14" t="e">
        <f t="shared" ca="1" si="3"/>
        <v>#N/A</v>
      </c>
      <c r="V75" s="14">
        <f t="shared" ca="1" si="3"/>
        <v>0.43668099999999999</v>
      </c>
      <c r="W75" s="14">
        <f t="shared" ca="1" si="3"/>
        <v>0</v>
      </c>
      <c r="X75" s="14" t="e">
        <f t="shared" ca="1" si="3"/>
        <v>#N/A</v>
      </c>
      <c r="Y75" s="14">
        <f t="shared" ca="1" si="3"/>
        <v>0</v>
      </c>
      <c r="Z75" s="14">
        <f t="shared" ca="1" si="3"/>
        <v>0</v>
      </c>
      <c r="AA75" s="14">
        <f t="shared" ca="1" si="3"/>
        <v>0</v>
      </c>
      <c r="AB75" s="14">
        <f t="shared" ca="1" si="0"/>
        <v>0.43668099999999999</v>
      </c>
      <c r="AC75" s="91">
        <f>SUM(AC16:AC74)</f>
        <v>0</v>
      </c>
    </row>
    <row r="76" spans="18:29" x14ac:dyDescent="0.2">
      <c r="R76">
        <v>63</v>
      </c>
      <c r="S76" t="s">
        <v>122</v>
      </c>
      <c r="T76" s="14" t="e">
        <f t="shared" ca="1" si="3"/>
        <v>#N/A</v>
      </c>
      <c r="U76" s="14" t="e">
        <f t="shared" ca="1" si="3"/>
        <v>#N/A</v>
      </c>
      <c r="V76" s="14" t="e">
        <f t="shared" ca="1" si="3"/>
        <v>#N/A</v>
      </c>
      <c r="W76" s="14" t="e">
        <f t="shared" ca="1" si="3"/>
        <v>#N/A</v>
      </c>
      <c r="X76" s="14" t="e">
        <f t="shared" ca="1" si="3"/>
        <v>#N/A</v>
      </c>
      <c r="Y76" s="14" t="e">
        <f t="shared" ca="1" si="3"/>
        <v>#N/A</v>
      </c>
      <c r="Z76" s="14" t="e">
        <f t="shared" ca="1" si="3"/>
        <v>#N/A</v>
      </c>
      <c r="AA76" s="14" t="e">
        <f t="shared" ca="1" si="3"/>
        <v>#N/A</v>
      </c>
      <c r="AB76" s="14" t="e">
        <f t="shared" ca="1" si="0"/>
        <v>#N/A</v>
      </c>
      <c r="AC76" s="100"/>
    </row>
    <row r="77" spans="18:29" x14ac:dyDescent="0.2">
      <c r="R77" s="87" t="s">
        <v>26</v>
      </c>
      <c r="S77" s="88"/>
      <c r="T77" s="89" cm="1">
        <f t="array" aca="1" ref="T77" ca="1">SUM(IFERROR(T14:T76,0))</f>
        <v>1538</v>
      </c>
      <c r="U77" s="89" cm="1">
        <f t="array" aca="1" ref="U77" ca="1">SUM(IFERROR(U14:U76,0))</f>
        <v>0</v>
      </c>
      <c r="V77" s="89" cm="1">
        <f t="array" aca="1" ref="V77" ca="1">SUM(IFERROR(V14:V76,0))</f>
        <v>9536.7541051499993</v>
      </c>
      <c r="W77" s="89" cm="1">
        <f t="array" aca="1" ref="W77" ca="1">SUM(IFERROR(W14:W76,0))</f>
        <v>592</v>
      </c>
      <c r="X77" s="89" cm="1">
        <f t="array" aca="1" ref="X77" ca="1">SUM(IFERROR(X14:X76,0))</f>
        <v>0</v>
      </c>
      <c r="Y77" s="89" cm="1">
        <f t="array" aca="1" ref="Y77" ca="1">SUM(IFERROR(Y14:Y76,0))</f>
        <v>3950.3507291324418</v>
      </c>
      <c r="Z77" s="89" cm="1">
        <f t="array" aca="1" ref="Z77" ca="1">SUM(IFERROR(Z14:Z76,0))</f>
        <v>1420</v>
      </c>
      <c r="AA77" s="89" cm="1">
        <f t="array" aca="1" ref="AA77" ca="1">SUM(IFERROR(AA14:AA76,0))</f>
        <v>1698.1133495698696</v>
      </c>
      <c r="AB77" s="89" cm="1">
        <f t="array" aca="1" ref="AB77" ca="1">SUM(IFERROR(AB14:AB76,0))</f>
        <v>15185.218183852308</v>
      </c>
    </row>
  </sheetData>
  <mergeCells count="14">
    <mergeCell ref="R77:S77"/>
    <mergeCell ref="AB12:AB13"/>
    <mergeCell ref="A13:A14"/>
    <mergeCell ref="B13:B14"/>
    <mergeCell ref="C13:E13"/>
    <mergeCell ref="F13:H13"/>
    <mergeCell ref="I13:J13"/>
    <mergeCell ref="A3:I3"/>
    <mergeCell ref="R3:Z3"/>
    <mergeCell ref="A4:I4"/>
    <mergeCell ref="R4:Z4"/>
    <mergeCell ref="T12:V12"/>
    <mergeCell ref="W12:Y12"/>
    <mergeCell ref="Z12:AA12"/>
  </mergeCells>
  <conditionalFormatting sqref="S77">
    <cfRule type="duplicateValues" dxfId="3" priority="1" stopIfTrue="1"/>
    <cfRule type="duplicateValues" dxfId="2" priority="2" stopIfTrue="1"/>
  </conditionalFormatting>
  <conditionalFormatting sqref="S77">
    <cfRule type="duplicateValues" dxfId="1" priority="3" stopIfTrue="1"/>
    <cfRule type="duplicateValues" dxfId="0" priority="4" stopIfTrue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sample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  <vt:lpstr>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Khoa Dao</dc:creator>
  <cp:lastModifiedBy>Khoa Dao</cp:lastModifiedBy>
  <dcterms:created xsi:type="dcterms:W3CDTF">2025-02-19T20:10:50Z</dcterms:created>
  <dcterms:modified xsi:type="dcterms:W3CDTF">2025-02-19T23:12:09Z</dcterms:modified>
</cp:coreProperties>
</file>